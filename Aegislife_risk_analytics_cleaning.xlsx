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e3a75173b6cb30/Desktop/AegisLife Risk_Analytics/"/>
    </mc:Choice>
  </mc:AlternateContent>
  <xr:revisionPtr revIDLastSave="268" documentId="8_{D24B9BFB-B0E7-4783-A412-946F35E669ED}" xr6:coauthVersionLast="47" xr6:coauthVersionMax="47" xr10:uidLastSave="{92E41788-FAAA-4271-AE4C-C3216E00A043}"/>
  <bookViews>
    <workbookView xWindow="-108" yWindow="-108" windowWidth="23256" windowHeight="12456" firstSheet="4" activeTab="7" xr2:uid="{1B1D0D05-5363-479C-B0AD-981CDF718997}"/>
  </bookViews>
  <sheets>
    <sheet name="README" sheetId="7" r:id="rId1"/>
    <sheet name="Data_Quality_Log" sheetId="8" r:id="rId2"/>
    <sheet name="customer_master" sheetId="2" r:id="rId3"/>
    <sheet name="policy_details" sheetId="3" r:id="rId4"/>
    <sheet name="claim_history" sheetId="4" r:id="rId5"/>
    <sheet name="agent_info" sheetId="6" r:id="rId6"/>
    <sheet name="customer_feedback_surveys" sheetId="5" r:id="rId7"/>
    <sheet name="customer_feedback_surveys_valid" sheetId="9" r:id="rId8"/>
  </sheets>
  <definedNames>
    <definedName name="_xlnm._FilterDatabase" localSheetId="5" hidden="1">agent_info!$A$1:$G$301</definedName>
    <definedName name="_xlnm._FilterDatabase" localSheetId="4" hidden="1">claim_history!$A$1:$I$1407</definedName>
    <definedName name="_xlnm._FilterDatabase" localSheetId="6" hidden="1">customer_feedback_surveys!$A$1:$G$1001</definedName>
    <definedName name="_xlnm._FilterDatabase" localSheetId="7" hidden="1">customer_feedback_surveys_valid!$A$1:$H$632</definedName>
    <definedName name="_xlnm._FilterDatabase" localSheetId="2" hidden="1">customer_master!$A$1:$K$1649</definedName>
    <definedName name="_xlnm._FilterDatabase" localSheetId="3" hidden="1">policy_details!$A$1:$K$2829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8" l="1"/>
  <c r="F12" i="8"/>
  <c r="F11" i="8"/>
  <c r="F10" i="8"/>
  <c r="F9" i="8"/>
  <c r="F8" i="8"/>
  <c r="F7" i="8"/>
  <c r="F6" i="8"/>
  <c r="F5" i="8"/>
  <c r="K5" i="5" a="1"/>
  <c r="K5" i="5" s="1"/>
  <c r="J2" i="6" a="1"/>
  <c r="J2" i="6" s="1"/>
  <c r="L3" i="4" a="1"/>
  <c r="L3" i="4" s="1"/>
  <c r="N4" i="3" a="1"/>
  <c r="N4" i="3" s="1"/>
  <c r="O4" i="2" a="1"/>
  <c r="O4" i="2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2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" i="3"/>
  <c r="H3" i="5"/>
  <c r="H4" i="5"/>
  <c r="H5" i="5"/>
  <c r="H6" i="5"/>
  <c r="H7" i="5"/>
  <c r="E10" i="8" s="1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A2" i="9" s="1" a="1"/>
  <c r="A2" i="9" s="1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2" i="5"/>
  <c r="K4" i="5" s="1"/>
  <c r="L2" i="4" a="1"/>
  <c r="L2" i="4" s="1"/>
  <c r="N3" i="3" a="1"/>
  <c r="N3" i="3" s="1"/>
  <c r="N2" i="3" a="1"/>
  <c r="N2" i="3" s="1"/>
  <c r="O3" i="2" a="1"/>
  <c r="O3" i="2" s="1"/>
  <c r="O2" i="2"/>
  <c r="K2" i="5" l="1"/>
  <c r="K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<sst xmlns="http://schemas.openxmlformats.org/spreadsheetml/2006/main" count="40088" uniqueCount="9321">
  <si>
    <t>customer_id</t>
  </si>
  <si>
    <t>full_name</t>
  </si>
  <si>
    <t>age</t>
  </si>
  <si>
    <t>gender</t>
  </si>
  <si>
    <t>marital_status</t>
  </si>
  <si>
    <t>occupation</t>
  </si>
  <si>
    <t>region</t>
  </si>
  <si>
    <t>smoking_status</t>
  </si>
  <si>
    <t>pre_existing_illness</t>
  </si>
  <si>
    <t>risk_score</t>
  </si>
  <si>
    <t>date_joined</t>
  </si>
  <si>
    <t>CUST10000</t>
  </si>
  <si>
    <t>Garrett Lane</t>
  </si>
  <si>
    <t>Female</t>
  </si>
  <si>
    <t>Married</t>
  </si>
  <si>
    <t>Student</t>
  </si>
  <si>
    <t>East</t>
  </si>
  <si>
    <t>No</t>
  </si>
  <si>
    <t>CUST10001</t>
  </si>
  <si>
    <t>Phillip Jimenez</t>
  </si>
  <si>
    <t>Male</t>
  </si>
  <si>
    <t>Single</t>
  </si>
  <si>
    <t>North</t>
  </si>
  <si>
    <t>CUST10002</t>
  </si>
  <si>
    <t>Kathleen Parker</t>
  </si>
  <si>
    <t>South</t>
  </si>
  <si>
    <t>CUST10003</t>
  </si>
  <si>
    <t>Tony Wagner</t>
  </si>
  <si>
    <t>Widowed</t>
  </si>
  <si>
    <t>Salaried</t>
  </si>
  <si>
    <t>Yes</t>
  </si>
  <si>
    <t>CUST10004</t>
  </si>
  <si>
    <t>Cindy Gomez</t>
  </si>
  <si>
    <t>Divorced</t>
  </si>
  <si>
    <t>CUST10005</t>
  </si>
  <si>
    <t>Johnny Khan</t>
  </si>
  <si>
    <t>CUST10006</t>
  </si>
  <si>
    <t>Julie Herrera</t>
  </si>
  <si>
    <t>Central</t>
  </si>
  <si>
    <t>CUST10007</t>
  </si>
  <si>
    <t>Jessica Khan</t>
  </si>
  <si>
    <t>CUST10008</t>
  </si>
  <si>
    <t>Pamela Diaz</t>
  </si>
  <si>
    <t>North-East</t>
  </si>
  <si>
    <t>CUST10009</t>
  </si>
  <si>
    <t>Kelly Lee</t>
  </si>
  <si>
    <t>Retired</t>
  </si>
  <si>
    <t>West</t>
  </si>
  <si>
    <t>CUST10010</t>
  </si>
  <si>
    <t>Angel Gordon</t>
  </si>
  <si>
    <t>CUST10011</t>
  </si>
  <si>
    <t>Diana Hays</t>
  </si>
  <si>
    <t>CUST10012</t>
  </si>
  <si>
    <t>Barbara Hester</t>
  </si>
  <si>
    <t>CUST10013</t>
  </si>
  <si>
    <t>Robert Morgan</t>
  </si>
  <si>
    <t>CUST10014</t>
  </si>
  <si>
    <t>Nicole Gonzalez</t>
  </si>
  <si>
    <t>CUST10015</t>
  </si>
  <si>
    <t>Kathryn Williams</t>
  </si>
  <si>
    <t>CUST10016</t>
  </si>
  <si>
    <t>Gary Wells</t>
  </si>
  <si>
    <t>Self-employed</t>
  </si>
  <si>
    <t>CUST10017</t>
  </si>
  <si>
    <t>Larry Robertson</t>
  </si>
  <si>
    <t>CUST10018</t>
  </si>
  <si>
    <t>Louis Martin</t>
  </si>
  <si>
    <t>CUST10019</t>
  </si>
  <si>
    <t>Nancy Evans MD</t>
  </si>
  <si>
    <t>CUST10020</t>
  </si>
  <si>
    <t>Kim Erickson</t>
  </si>
  <si>
    <t>CUST10021</t>
  </si>
  <si>
    <t>Robert Richardson</t>
  </si>
  <si>
    <t>CUST10022</t>
  </si>
  <si>
    <t>Veronica Silva</t>
  </si>
  <si>
    <t>CUST10023</t>
  </si>
  <si>
    <t>Molly Watts</t>
  </si>
  <si>
    <t>CUST10024</t>
  </si>
  <si>
    <t>John Coffey</t>
  </si>
  <si>
    <t>CUST10025</t>
  </si>
  <si>
    <t>Paula Lane</t>
  </si>
  <si>
    <t>CUST10026</t>
  </si>
  <si>
    <t>Lauren Jackson</t>
  </si>
  <si>
    <t>CUST10027</t>
  </si>
  <si>
    <t>Lisa Randall</t>
  </si>
  <si>
    <t>CUST10028</t>
  </si>
  <si>
    <t>Michael Johnson</t>
  </si>
  <si>
    <t>CUST10029</t>
  </si>
  <si>
    <t>Ashley Smith</t>
  </si>
  <si>
    <t>CUST10030</t>
  </si>
  <si>
    <t>Christian Vaughn</t>
  </si>
  <si>
    <t>CUST10031</t>
  </si>
  <si>
    <t>Reginald Knapp</t>
  </si>
  <si>
    <t>CUST10032</t>
  </si>
  <si>
    <t>Nancy Brown</t>
  </si>
  <si>
    <t>CUST10033</t>
  </si>
  <si>
    <t>Daniel Nguyen</t>
  </si>
  <si>
    <t>CUST10034</t>
  </si>
  <si>
    <t>Kelly Edwards</t>
  </si>
  <si>
    <t>CUST10035</t>
  </si>
  <si>
    <t>Thomas Peterson</t>
  </si>
  <si>
    <t>CUST10036</t>
  </si>
  <si>
    <t>Raymond Le</t>
  </si>
  <si>
    <t>CUST10037</t>
  </si>
  <si>
    <t>Melissa Bishop</t>
  </si>
  <si>
    <t>CUST10038</t>
  </si>
  <si>
    <t>David Grant</t>
  </si>
  <si>
    <t>CUST10039</t>
  </si>
  <si>
    <t>William Evans</t>
  </si>
  <si>
    <t>CUST10040</t>
  </si>
  <si>
    <t>Daniel Bush</t>
  </si>
  <si>
    <t>CUST10041</t>
  </si>
  <si>
    <t>Gregory Peck</t>
  </si>
  <si>
    <t>CUST10042</t>
  </si>
  <si>
    <t>Denise Martinez</t>
  </si>
  <si>
    <t>CUST10043</t>
  </si>
  <si>
    <t>Jamie Baird</t>
  </si>
  <si>
    <t>CUST10044</t>
  </si>
  <si>
    <t>Tina Ballard</t>
  </si>
  <si>
    <t>CUST10045</t>
  </si>
  <si>
    <t>Dwayne Klein</t>
  </si>
  <si>
    <t>CUST10046</t>
  </si>
  <si>
    <t>Jeremy Scott</t>
  </si>
  <si>
    <t>CUST10047</t>
  </si>
  <si>
    <t>Dale Ryan</t>
  </si>
  <si>
    <t>CUST10048</t>
  </si>
  <si>
    <t>Melissa Taylor</t>
  </si>
  <si>
    <t>CUST10049</t>
  </si>
  <si>
    <t>Laurie Sanchez</t>
  </si>
  <si>
    <t>CUST10050</t>
  </si>
  <si>
    <t>Kiara Little</t>
  </si>
  <si>
    <t>CUST10051</t>
  </si>
  <si>
    <t>Jason Love</t>
  </si>
  <si>
    <t>CUST10052</t>
  </si>
  <si>
    <t>Randy Smith</t>
  </si>
  <si>
    <t>CUST10053</t>
  </si>
  <si>
    <t>Tanya Russell</t>
  </si>
  <si>
    <t>CUST10054</t>
  </si>
  <si>
    <t>Sherry Woods</t>
  </si>
  <si>
    <t>CUST10055</t>
  </si>
  <si>
    <t>Victor Morris</t>
  </si>
  <si>
    <t>MALE</t>
  </si>
  <si>
    <t>CUST10056</t>
  </si>
  <si>
    <t>Susan Davis</t>
  </si>
  <si>
    <t>CUST10057</t>
  </si>
  <si>
    <t>Kimberly Sharp</t>
  </si>
  <si>
    <t>CUST10058</t>
  </si>
  <si>
    <t>Susan Thompson</t>
  </si>
  <si>
    <t>CUST10059</t>
  </si>
  <si>
    <t>Casey Gillespie</t>
  </si>
  <si>
    <t>CUST10060</t>
  </si>
  <si>
    <t>Jennifer Simpson DVM</t>
  </si>
  <si>
    <t>CUST10061</t>
  </si>
  <si>
    <t>Tammy Mcdowell</t>
  </si>
  <si>
    <t>CUST10062</t>
  </si>
  <si>
    <t>Keith Rodriguez</t>
  </si>
  <si>
    <t>CUST10063</t>
  </si>
  <si>
    <t>Mrs. Virginia Daniels</t>
  </si>
  <si>
    <t>CUST10064</t>
  </si>
  <si>
    <t>Todd Rosales MD</t>
  </si>
  <si>
    <t>CUST10065</t>
  </si>
  <si>
    <t>Brian Martin</t>
  </si>
  <si>
    <t>CUST10066</t>
  </si>
  <si>
    <t>David Lopez</t>
  </si>
  <si>
    <t>CUST10067</t>
  </si>
  <si>
    <t>Rachel Bradley</t>
  </si>
  <si>
    <t>CUST10068</t>
  </si>
  <si>
    <t>Casey Chase</t>
  </si>
  <si>
    <t>CUST10069</t>
  </si>
  <si>
    <t>Samantha Robertson</t>
  </si>
  <si>
    <t>CUST10070</t>
  </si>
  <si>
    <t>Michael Lopez</t>
  </si>
  <si>
    <t>CUST10071</t>
  </si>
  <si>
    <t>Franklin Wright</t>
  </si>
  <si>
    <t>CUST10072</t>
  </si>
  <si>
    <t>David Molina</t>
  </si>
  <si>
    <t>CUST10073</t>
  </si>
  <si>
    <t>Elizabeth Sharp</t>
  </si>
  <si>
    <t>CUST10074</t>
  </si>
  <si>
    <t>Matthew Schwartz</t>
  </si>
  <si>
    <t>CUST10075</t>
  </si>
  <si>
    <t>Bryan Parker</t>
  </si>
  <si>
    <t>CUST10076</t>
  </si>
  <si>
    <t>Jonathan Jacobson</t>
  </si>
  <si>
    <t>CUST10077</t>
  </si>
  <si>
    <t>Emily Wilson</t>
  </si>
  <si>
    <t>CUST10078</t>
  </si>
  <si>
    <t>Elizabeth Mendez</t>
  </si>
  <si>
    <t>CUST10079</t>
  </si>
  <si>
    <t>Casey Hernandez</t>
  </si>
  <si>
    <t>CUST10080</t>
  </si>
  <si>
    <t>Lisa Perry</t>
  </si>
  <si>
    <t>CUST10081</t>
  </si>
  <si>
    <t>Kaitlin Medina</t>
  </si>
  <si>
    <t>CUST10082</t>
  </si>
  <si>
    <t>Colleen Wright</t>
  </si>
  <si>
    <t>CUST10083</t>
  </si>
  <si>
    <t>Shelley Miller</t>
  </si>
  <si>
    <t>CUST10084</t>
  </si>
  <si>
    <t>Michael Miller</t>
  </si>
  <si>
    <t>CUST10085</t>
  </si>
  <si>
    <t>Amy Kelley</t>
  </si>
  <si>
    <t>CUST10086</t>
  </si>
  <si>
    <t>Laura Hernandez</t>
  </si>
  <si>
    <t>CUST10087</t>
  </si>
  <si>
    <t>Joseph Wilson</t>
  </si>
  <si>
    <t>CUST10088</t>
  </si>
  <si>
    <t>Kevin Davis</t>
  </si>
  <si>
    <t>CUST10089</t>
  </si>
  <si>
    <t>Rhonda Chavez</t>
  </si>
  <si>
    <t>CUST10090</t>
  </si>
  <si>
    <t>Joyce Brown</t>
  </si>
  <si>
    <t>CUST10091</t>
  </si>
  <si>
    <t>Robert Cummings</t>
  </si>
  <si>
    <t>CUST10092</t>
  </si>
  <si>
    <t>Robert Reese</t>
  </si>
  <si>
    <t>CUST10093</t>
  </si>
  <si>
    <t>Amber Cooper</t>
  </si>
  <si>
    <t>CUST10094</t>
  </si>
  <si>
    <t>Zachary Michael</t>
  </si>
  <si>
    <t>CUST10095</t>
  </si>
  <si>
    <t>Timothy Johnson</t>
  </si>
  <si>
    <t>CUST10096</t>
  </si>
  <si>
    <t>Randy Cannon</t>
  </si>
  <si>
    <t>CUST10097</t>
  </si>
  <si>
    <t>Maria Fisher</t>
  </si>
  <si>
    <t>CUST10098</t>
  </si>
  <si>
    <t>Janet Kane DVM</t>
  </si>
  <si>
    <t>CUST10099</t>
  </si>
  <si>
    <t>Michael Stanley</t>
  </si>
  <si>
    <t>CUST10100</t>
  </si>
  <si>
    <t>Martha Bailey</t>
  </si>
  <si>
    <t>CUST10101</t>
  </si>
  <si>
    <t>Joshua Rice</t>
  </si>
  <si>
    <t>CUST10102</t>
  </si>
  <si>
    <t>Courtney Smith</t>
  </si>
  <si>
    <t>CUST10103</t>
  </si>
  <si>
    <t>Edwin Nunez</t>
  </si>
  <si>
    <t>CUST10104</t>
  </si>
  <si>
    <t>Kim Morrow</t>
  </si>
  <si>
    <t>CUST10105</t>
  </si>
  <si>
    <t>Gregory Hill</t>
  </si>
  <si>
    <t>CUST10106</t>
  </si>
  <si>
    <t>Molly Rodriguez</t>
  </si>
  <si>
    <t>CUST10107</t>
  </si>
  <si>
    <t>Jennifer Miranda</t>
  </si>
  <si>
    <t>CUST10108</t>
  </si>
  <si>
    <t>Alexis Harris</t>
  </si>
  <si>
    <t>CUST10109</t>
  </si>
  <si>
    <t>Andrew Harper</t>
  </si>
  <si>
    <t>CUST10110</t>
  </si>
  <si>
    <t>Amber Yang</t>
  </si>
  <si>
    <t>CUST10111</t>
  </si>
  <si>
    <t>David Robinson</t>
  </si>
  <si>
    <t>CUST10112</t>
  </si>
  <si>
    <t>Amy Gordon</t>
  </si>
  <si>
    <t>CUST10113</t>
  </si>
  <si>
    <t>Robert Dennis</t>
  </si>
  <si>
    <t>CUST10114</t>
  </si>
  <si>
    <t>Kyle Chambers</t>
  </si>
  <si>
    <t>CUST10115</t>
  </si>
  <si>
    <t>Eric Thomas</t>
  </si>
  <si>
    <t>CUST10116</t>
  </si>
  <si>
    <t>Connie Turner</t>
  </si>
  <si>
    <t>CUST10117</t>
  </si>
  <si>
    <t>Travis Hobbs</t>
  </si>
  <si>
    <t>CUST10118</t>
  </si>
  <si>
    <t>Lori Simmons</t>
  </si>
  <si>
    <t>CUST10119</t>
  </si>
  <si>
    <t>William David DDS</t>
  </si>
  <si>
    <t>CUST10120</t>
  </si>
  <si>
    <t>Emma Butler</t>
  </si>
  <si>
    <t>CUST10121</t>
  </si>
  <si>
    <t>James Webster</t>
  </si>
  <si>
    <t>CUST10122</t>
  </si>
  <si>
    <t>Samuel Turner</t>
  </si>
  <si>
    <t>CUST10123</t>
  </si>
  <si>
    <t>Renee Melendez</t>
  </si>
  <si>
    <t>CUST10124</t>
  </si>
  <si>
    <t>Tracy Grant</t>
  </si>
  <si>
    <t>CUST10125</t>
  </si>
  <si>
    <t>David Harris</t>
  </si>
  <si>
    <t>CUST10126</t>
  </si>
  <si>
    <t>Tammy Boone</t>
  </si>
  <si>
    <t>CUST10127</t>
  </si>
  <si>
    <t>Nathaniel Lee</t>
  </si>
  <si>
    <t>CUST10128</t>
  </si>
  <si>
    <t>Michael Morrison</t>
  </si>
  <si>
    <t>CUST10129</t>
  </si>
  <si>
    <t>Chelsea Gill</t>
  </si>
  <si>
    <t>CUST10130</t>
  </si>
  <si>
    <t>Kristin Mendoza</t>
  </si>
  <si>
    <t>CUST10131</t>
  </si>
  <si>
    <t>Felicia Krueger</t>
  </si>
  <si>
    <t>CUST10132</t>
  </si>
  <si>
    <t>Timothy Hayden</t>
  </si>
  <si>
    <t>CUST10133</t>
  </si>
  <si>
    <t>Zachary Mendoza</t>
  </si>
  <si>
    <t>CUST10134</t>
  </si>
  <si>
    <t>Larry Harris</t>
  </si>
  <si>
    <t>CUST10135</t>
  </si>
  <si>
    <t>Kristen Rowe</t>
  </si>
  <si>
    <t>CUST10136</t>
  </si>
  <si>
    <t>Joseph Howard</t>
  </si>
  <si>
    <t>CUST10137</t>
  </si>
  <si>
    <t>Jose Crawford</t>
  </si>
  <si>
    <t>CUST10138</t>
  </si>
  <si>
    <t>William Harrison</t>
  </si>
  <si>
    <t>CUST10139</t>
  </si>
  <si>
    <t>Suzanne Wood</t>
  </si>
  <si>
    <t>CUST10140</t>
  </si>
  <si>
    <t>Justin Walker</t>
  </si>
  <si>
    <t>CUST10141</t>
  </si>
  <si>
    <t>Dean Donovan</t>
  </si>
  <si>
    <t>CUST10142</t>
  </si>
  <si>
    <t>Jennifer Hernandez</t>
  </si>
  <si>
    <t>CUST10143</t>
  </si>
  <si>
    <t>James Whitaker</t>
  </si>
  <si>
    <t>CUST10144</t>
  </si>
  <si>
    <t>Mr. Michael Scott PhD</t>
  </si>
  <si>
    <t>CUST10145</t>
  </si>
  <si>
    <t>Maria Henry</t>
  </si>
  <si>
    <t>CUST10146</t>
  </si>
  <si>
    <t>Robert Jackson</t>
  </si>
  <si>
    <t>CUST10147</t>
  </si>
  <si>
    <t>Katherine Stark</t>
  </si>
  <si>
    <t>CUST10148</t>
  </si>
  <si>
    <t>Maria Brown</t>
  </si>
  <si>
    <t>CUST10149</t>
  </si>
  <si>
    <t>Ryan Landry</t>
  </si>
  <si>
    <t>CUST10150</t>
  </si>
  <si>
    <t>Pamela Gutierrez</t>
  </si>
  <si>
    <t>CUST10151</t>
  </si>
  <si>
    <t>Crystal Mann</t>
  </si>
  <si>
    <t>CUST10152</t>
  </si>
  <si>
    <t>Jonathan Brooks</t>
  </si>
  <si>
    <t>CUST10153</t>
  </si>
  <si>
    <t>Mary Jensen</t>
  </si>
  <si>
    <t>CUST10154</t>
  </si>
  <si>
    <t>Mr. Aaron Arnold</t>
  </si>
  <si>
    <t>CUST10155</t>
  </si>
  <si>
    <t>Joseph Hill</t>
  </si>
  <si>
    <t>CUST10156</t>
  </si>
  <si>
    <t>Alicia Li</t>
  </si>
  <si>
    <t>CUST10157</t>
  </si>
  <si>
    <t>Renee Browning</t>
  </si>
  <si>
    <t>CUST10158</t>
  </si>
  <si>
    <t>Brent Hernandez</t>
  </si>
  <si>
    <t>CUST10159</t>
  </si>
  <si>
    <t>Joseph Ochoa</t>
  </si>
  <si>
    <t>CUST10160</t>
  </si>
  <si>
    <t>James Watson</t>
  </si>
  <si>
    <t>CUST10161</t>
  </si>
  <si>
    <t>Karl Branch</t>
  </si>
  <si>
    <t>CUST10162</t>
  </si>
  <si>
    <t>Michael Abbott</t>
  </si>
  <si>
    <t>male</t>
  </si>
  <si>
    <t>CUST10163</t>
  </si>
  <si>
    <t>Shannon Malone</t>
  </si>
  <si>
    <t>CUST10164</t>
  </si>
  <si>
    <t>James Tran</t>
  </si>
  <si>
    <t>CUST10165</t>
  </si>
  <si>
    <t>Adam Jackson</t>
  </si>
  <si>
    <t>CUST10166</t>
  </si>
  <si>
    <t>Mr. Richard Knight PhD</t>
  </si>
  <si>
    <t>CUST10167</t>
  </si>
  <si>
    <t>Joseph Williams</t>
  </si>
  <si>
    <t>CUST10168</t>
  </si>
  <si>
    <t>Sean Clay</t>
  </si>
  <si>
    <t>CUST10169</t>
  </si>
  <si>
    <t>Anthony Jones</t>
  </si>
  <si>
    <t>CUST10170</t>
  </si>
  <si>
    <t>Stephanie Elliott</t>
  </si>
  <si>
    <t>CUST10171</t>
  </si>
  <si>
    <t>Timothy Edwards</t>
  </si>
  <si>
    <t>CUST10172</t>
  </si>
  <si>
    <t>Laurie Goodwin</t>
  </si>
  <si>
    <t>CUST10173</t>
  </si>
  <si>
    <t>Jennifer Jones</t>
  </si>
  <si>
    <t>CUST10174</t>
  </si>
  <si>
    <t>David Davenport</t>
  </si>
  <si>
    <t>CUST10175</t>
  </si>
  <si>
    <t>Steven Rivera</t>
  </si>
  <si>
    <t>CUST10176</t>
  </si>
  <si>
    <t>Brenda Hinton</t>
  </si>
  <si>
    <t>CUST10177</t>
  </si>
  <si>
    <t>Kathryn Mccann</t>
  </si>
  <si>
    <t>CUST10178</t>
  </si>
  <si>
    <t>Jeffrey Roberson</t>
  </si>
  <si>
    <t>CUST10179</t>
  </si>
  <si>
    <t>Randy Friedman</t>
  </si>
  <si>
    <t>CUST10180</t>
  </si>
  <si>
    <t>Raymond Johnson</t>
  </si>
  <si>
    <t>CUST10181</t>
  </si>
  <si>
    <t>Willie Henry</t>
  </si>
  <si>
    <t>CUST10182</t>
  </si>
  <si>
    <t>Todd Reynolds</t>
  </si>
  <si>
    <t>CUST10183</t>
  </si>
  <si>
    <t>Mary Miller</t>
  </si>
  <si>
    <t>CUST10184</t>
  </si>
  <si>
    <t>Rebecca Marquez</t>
  </si>
  <si>
    <t>CUST10185</t>
  </si>
  <si>
    <t>Christian Dawson</t>
  </si>
  <si>
    <t>CUST10186</t>
  </si>
  <si>
    <t>Nancy Stewart</t>
  </si>
  <si>
    <t>CUST10187</t>
  </si>
  <si>
    <t>Aaron Parker</t>
  </si>
  <si>
    <t>CUST10188</t>
  </si>
  <si>
    <t>Derrick Anderson</t>
  </si>
  <si>
    <t>CUST10189</t>
  </si>
  <si>
    <t>Jerry Peters</t>
  </si>
  <si>
    <t>CUST10190</t>
  </si>
  <si>
    <t>Alexander Gomez</t>
  </si>
  <si>
    <t>CUST10191</t>
  </si>
  <si>
    <t>Kyle Nguyen</t>
  </si>
  <si>
    <t>CUST10192</t>
  </si>
  <si>
    <t>Edgar Hughes</t>
  </si>
  <si>
    <t>CUST10193</t>
  </si>
  <si>
    <t>Steven Stein</t>
  </si>
  <si>
    <t>CUST10194</t>
  </si>
  <si>
    <t>Laura Jackson</t>
  </si>
  <si>
    <t>CUST10195</t>
  </si>
  <si>
    <t>Charles Turner</t>
  </si>
  <si>
    <t>CUST10196</t>
  </si>
  <si>
    <t>Arthur Hamilton MD</t>
  </si>
  <si>
    <t>CUST10197</t>
  </si>
  <si>
    <t>Mr. David Wright</t>
  </si>
  <si>
    <t>CUST10198</t>
  </si>
  <si>
    <t>Linda Gonzalez</t>
  </si>
  <si>
    <t>CUST10199</t>
  </si>
  <si>
    <t>Eric Rush</t>
  </si>
  <si>
    <t>CUST10200</t>
  </si>
  <si>
    <t>Manuel Brock</t>
  </si>
  <si>
    <t>CUST10201</t>
  </si>
  <si>
    <t>George Ochoa</t>
  </si>
  <si>
    <t>CUST10202</t>
  </si>
  <si>
    <t>Valerie Taylor</t>
  </si>
  <si>
    <t>CUST10203</t>
  </si>
  <si>
    <t>Travis Harris</t>
  </si>
  <si>
    <t>CUST10204</t>
  </si>
  <si>
    <t>Vincent Novak</t>
  </si>
  <si>
    <t>CUST10205</t>
  </si>
  <si>
    <t>Michael Henry</t>
  </si>
  <si>
    <t>CUST10206</t>
  </si>
  <si>
    <t>Dana Bennett</t>
  </si>
  <si>
    <t>CUST10207</t>
  </si>
  <si>
    <t>Jenna Wilson</t>
  </si>
  <si>
    <t>CUST10208</t>
  </si>
  <si>
    <t>Leslie Gardner</t>
  </si>
  <si>
    <t>CUST10209</t>
  </si>
  <si>
    <t>Krista Benton</t>
  </si>
  <si>
    <t>CUST10210</t>
  </si>
  <si>
    <t>Michael Gonzales</t>
  </si>
  <si>
    <t>CUST10211</t>
  </si>
  <si>
    <t>Michael Fuentes</t>
  </si>
  <si>
    <t>CUST10212</t>
  </si>
  <si>
    <t>Jennifer Porter</t>
  </si>
  <si>
    <t>CUST10213</t>
  </si>
  <si>
    <t>Dana Hopkins</t>
  </si>
  <si>
    <t>CUST10214</t>
  </si>
  <si>
    <t>Rachel Jones</t>
  </si>
  <si>
    <t>CUST10215</t>
  </si>
  <si>
    <t>Karen Morales DDS</t>
  </si>
  <si>
    <t>CUST10216</t>
  </si>
  <si>
    <t>Melissa Stephens</t>
  </si>
  <si>
    <t>CUST10217</t>
  </si>
  <si>
    <t>Heather Woodard</t>
  </si>
  <si>
    <t>CUST10218</t>
  </si>
  <si>
    <t>Margaret Miller</t>
  </si>
  <si>
    <t>CUST10219</t>
  </si>
  <si>
    <t>Mary Kelly</t>
  </si>
  <si>
    <t>CUST10220</t>
  </si>
  <si>
    <t>Amanda Terrell</t>
  </si>
  <si>
    <t>CUST10221</t>
  </si>
  <si>
    <t>Jennifer Goodwin</t>
  </si>
  <si>
    <t>CUST10222</t>
  </si>
  <si>
    <t>Jessica Smith</t>
  </si>
  <si>
    <t>CUST10223</t>
  </si>
  <si>
    <t>Jorge Stone</t>
  </si>
  <si>
    <t>CUST10224</t>
  </si>
  <si>
    <t>Laura Griffin</t>
  </si>
  <si>
    <t>CUST10225</t>
  </si>
  <si>
    <t>Raymond Chapman</t>
  </si>
  <si>
    <t>CUST10226</t>
  </si>
  <si>
    <t>Haley Johnson</t>
  </si>
  <si>
    <t>CUST10227</t>
  </si>
  <si>
    <t>Jason Nixon</t>
  </si>
  <si>
    <t>CUST10228</t>
  </si>
  <si>
    <t>Todd Thomas</t>
  </si>
  <si>
    <t>CUST10229</t>
  </si>
  <si>
    <t>Jesse Clark</t>
  </si>
  <si>
    <t>CUST10230</t>
  </si>
  <si>
    <t>Mr. Jeffrey Horton</t>
  </si>
  <si>
    <t>CUST10231</t>
  </si>
  <si>
    <t>Eric Patrick</t>
  </si>
  <si>
    <t>CUST10232</t>
  </si>
  <si>
    <t>Samuel Wong</t>
  </si>
  <si>
    <t>CUST10233</t>
  </si>
  <si>
    <t>Carly Riggs</t>
  </si>
  <si>
    <t>CUST10234</t>
  </si>
  <si>
    <t>Christopher Moore</t>
  </si>
  <si>
    <t>CUST10235</t>
  </si>
  <si>
    <t>Tina Hall</t>
  </si>
  <si>
    <t>CUST10236</t>
  </si>
  <si>
    <t>Cody Davidson</t>
  </si>
  <si>
    <t>CUST10237</t>
  </si>
  <si>
    <t>Allen Mendez</t>
  </si>
  <si>
    <t>CUST10238</t>
  </si>
  <si>
    <t>Kevin Price</t>
  </si>
  <si>
    <t>CUST10239</t>
  </si>
  <si>
    <t>Christine Goodwin</t>
  </si>
  <si>
    <t>CUST10240</t>
  </si>
  <si>
    <t>Amy Garcia</t>
  </si>
  <si>
    <t>CUST10241</t>
  </si>
  <si>
    <t>Chelsea Nguyen</t>
  </si>
  <si>
    <t>CUST10242</t>
  </si>
  <si>
    <t>Dennis Huffman</t>
  </si>
  <si>
    <t>CUST10243</t>
  </si>
  <si>
    <t>Margaret Harper</t>
  </si>
  <si>
    <t>CUST10244</t>
  </si>
  <si>
    <t>Laurie Bailey</t>
  </si>
  <si>
    <t>CUST10245</t>
  </si>
  <si>
    <t>Lisa Cervantes</t>
  </si>
  <si>
    <t>CUST10246</t>
  </si>
  <si>
    <t>CUST10247</t>
  </si>
  <si>
    <t>Cesar Wilson</t>
  </si>
  <si>
    <t>CUST10248</t>
  </si>
  <si>
    <t>Clayton Steele</t>
  </si>
  <si>
    <t>CUST10249</t>
  </si>
  <si>
    <t>Jennifer Taylor</t>
  </si>
  <si>
    <t>CUST10250</t>
  </si>
  <si>
    <t>Cody Reid</t>
  </si>
  <si>
    <t>CUST10251</t>
  </si>
  <si>
    <t>Maria Cooke</t>
  </si>
  <si>
    <t>CUST10252</t>
  </si>
  <si>
    <t>Katherine Taylor</t>
  </si>
  <si>
    <t>CUST10253</t>
  </si>
  <si>
    <t>Jerry Brown</t>
  </si>
  <si>
    <t>CUST10254</t>
  </si>
  <si>
    <t>Adam Taylor</t>
  </si>
  <si>
    <t>CUST10255</t>
  </si>
  <si>
    <t>Tracey Wagner</t>
  </si>
  <si>
    <t>CUST10256</t>
  </si>
  <si>
    <t>Michael Perry PhD</t>
  </si>
  <si>
    <t>CUST10257</t>
  </si>
  <si>
    <t>Bradley Johnson DDS</t>
  </si>
  <si>
    <t>CUST10258</t>
  </si>
  <si>
    <t>Donald Medina</t>
  </si>
  <si>
    <t>CUST10259</t>
  </si>
  <si>
    <t>Jim Newton</t>
  </si>
  <si>
    <t>CUST10260</t>
  </si>
  <si>
    <t>Krista Wilson</t>
  </si>
  <si>
    <t>CUST10261</t>
  </si>
  <si>
    <t>Reginald Morrow</t>
  </si>
  <si>
    <t>CUST10262</t>
  </si>
  <si>
    <t>Rodney Williams</t>
  </si>
  <si>
    <t>CUST10263</t>
  </si>
  <si>
    <t>Kimberly Fritz</t>
  </si>
  <si>
    <t>CUST10264</t>
  </si>
  <si>
    <t>Ronald Potter</t>
  </si>
  <si>
    <t>CUST10265</t>
  </si>
  <si>
    <t>Zachary Cole</t>
  </si>
  <si>
    <t>CUST10266</t>
  </si>
  <si>
    <t>Robert Gonzales</t>
  </si>
  <si>
    <t>CUST10267</t>
  </si>
  <si>
    <t>Patricia Young PhD</t>
  </si>
  <si>
    <t>CUST10268</t>
  </si>
  <si>
    <t>Heather Page</t>
  </si>
  <si>
    <t>CUST10269</t>
  </si>
  <si>
    <t>Carol Taylor</t>
  </si>
  <si>
    <t>CUST10270</t>
  </si>
  <si>
    <t>Daniel Brown</t>
  </si>
  <si>
    <t>CUST10271</t>
  </si>
  <si>
    <t>Douglas Ryan</t>
  </si>
  <si>
    <t>CUST10272</t>
  </si>
  <si>
    <t>Michael Roberts</t>
  </si>
  <si>
    <t>CUST10273</t>
  </si>
  <si>
    <t>Scott Duke</t>
  </si>
  <si>
    <t>CUST10274</t>
  </si>
  <si>
    <t>Anna Estes</t>
  </si>
  <si>
    <t>CUST10275</t>
  </si>
  <si>
    <t>Tamara Riddle</t>
  </si>
  <si>
    <t>CUST10276</t>
  </si>
  <si>
    <t>Beth Cline</t>
  </si>
  <si>
    <t>CUST10277</t>
  </si>
  <si>
    <t>Michael Poole</t>
  </si>
  <si>
    <t>CUST10278</t>
  </si>
  <si>
    <t>Megan Burns</t>
  </si>
  <si>
    <t>CUST10279</t>
  </si>
  <si>
    <t>Debra Perry</t>
  </si>
  <si>
    <t>CUST10280</t>
  </si>
  <si>
    <t>Mark Beard</t>
  </si>
  <si>
    <t>CUST10281</t>
  </si>
  <si>
    <t>Jose Ramirez</t>
  </si>
  <si>
    <t>CUST10282</t>
  </si>
  <si>
    <t>Jackie Clements</t>
  </si>
  <si>
    <t>CUST10283</t>
  </si>
  <si>
    <t>Aaron Schroeder</t>
  </si>
  <si>
    <t>CUST10284</t>
  </si>
  <si>
    <t>Monica Ellis</t>
  </si>
  <si>
    <t>CUST10285</t>
  </si>
  <si>
    <t>Heather Brown</t>
  </si>
  <si>
    <t>CUST10286</t>
  </si>
  <si>
    <t>Claudia Jordan</t>
  </si>
  <si>
    <t>CUST10287</t>
  </si>
  <si>
    <t>Derrick Clayton</t>
  </si>
  <si>
    <t>CUST10288</t>
  </si>
  <si>
    <t>Kenneth Knight</t>
  </si>
  <si>
    <t>CUST10289</t>
  </si>
  <si>
    <t>Mr. Michael Williams</t>
  </si>
  <si>
    <t>CUST10290</t>
  </si>
  <si>
    <t>Richard Stevens</t>
  </si>
  <si>
    <t>CUST10291</t>
  </si>
  <si>
    <t>Scott Alexander</t>
  </si>
  <si>
    <t>CUST10292</t>
  </si>
  <si>
    <t>Tyler Harris</t>
  </si>
  <si>
    <t>CUST10293</t>
  </si>
  <si>
    <t>Bonnie Santos</t>
  </si>
  <si>
    <t>CUST10294</t>
  </si>
  <si>
    <t>Timothy Hill</t>
  </si>
  <si>
    <t>CUST10295</t>
  </si>
  <si>
    <t>Danielle Watson</t>
  </si>
  <si>
    <t>CUST10296</t>
  </si>
  <si>
    <t>Carol Sanders</t>
  </si>
  <si>
    <t>CUST10297</t>
  </si>
  <si>
    <t>Michael Young</t>
  </si>
  <si>
    <t>CUST10298</t>
  </si>
  <si>
    <t>Michele Smith</t>
  </si>
  <si>
    <t>CUST10299</t>
  </si>
  <si>
    <t>Casey Perez</t>
  </si>
  <si>
    <t>CUST10300</t>
  </si>
  <si>
    <t>Alexandra Dominguez</t>
  </si>
  <si>
    <t>CUST10301</t>
  </si>
  <si>
    <t>Virginia Henderson</t>
  </si>
  <si>
    <t>CUST10302</t>
  </si>
  <si>
    <t>Benjamin Reyes</t>
  </si>
  <si>
    <t>CUST10303</t>
  </si>
  <si>
    <t>Ashley Edwards</t>
  </si>
  <si>
    <t>CUST10304</t>
  </si>
  <si>
    <t>Breanna Ayala</t>
  </si>
  <si>
    <t>CUST10305</t>
  </si>
  <si>
    <t>Brandi Haney</t>
  </si>
  <si>
    <t>CUST10306</t>
  </si>
  <si>
    <t>Joseph Smith</t>
  </si>
  <si>
    <t>CUST10307</t>
  </si>
  <si>
    <t>Jessica Bowen</t>
  </si>
  <si>
    <t>CUST10308</t>
  </si>
  <si>
    <t>Brittany Jenkins</t>
  </si>
  <si>
    <t>CUST10309</t>
  </si>
  <si>
    <t>Shannon Miller</t>
  </si>
  <si>
    <t>CUST10310</t>
  </si>
  <si>
    <t>Paul Lawrence</t>
  </si>
  <si>
    <t>CUST10311</t>
  </si>
  <si>
    <t>Victor Edwards</t>
  </si>
  <si>
    <t>CUST10312</t>
  </si>
  <si>
    <t>Donald Miller</t>
  </si>
  <si>
    <t>CUST10313</t>
  </si>
  <si>
    <t>Lindsay Lawson</t>
  </si>
  <si>
    <t>CUST10314</t>
  </si>
  <si>
    <t>Melissa Abbott</t>
  </si>
  <si>
    <t>CUST10315</t>
  </si>
  <si>
    <t>Elizabeth Holmes</t>
  </si>
  <si>
    <t>CUST10316</t>
  </si>
  <si>
    <t>Nicole Phillips</t>
  </si>
  <si>
    <t>CUST10317</t>
  </si>
  <si>
    <t>Steven Blevins</t>
  </si>
  <si>
    <t>CUST10318</t>
  </si>
  <si>
    <t>Brian Porter MD</t>
  </si>
  <si>
    <t>CUST10319</t>
  </si>
  <si>
    <t>Vanessa Hatfield</t>
  </si>
  <si>
    <t>CUST10320</t>
  </si>
  <si>
    <t>Bonnie Valencia</t>
  </si>
  <si>
    <t>CUST10321</t>
  </si>
  <si>
    <t>Holly Vega</t>
  </si>
  <si>
    <t>CUST10322</t>
  </si>
  <si>
    <t>Tiffany Townsend</t>
  </si>
  <si>
    <t>CUST10323</t>
  </si>
  <si>
    <t>Austin Baker</t>
  </si>
  <si>
    <t>CUST10324</t>
  </si>
  <si>
    <t>Antonio Mccormick</t>
  </si>
  <si>
    <t>CUST10325</t>
  </si>
  <si>
    <t>Lori Mason</t>
  </si>
  <si>
    <t>CUST10326</t>
  </si>
  <si>
    <t>CUST10327</t>
  </si>
  <si>
    <t>Lisa Ramirez</t>
  </si>
  <si>
    <t>CUST10328</t>
  </si>
  <si>
    <t>Jorge Harris</t>
  </si>
  <si>
    <t>CUST10329</t>
  </si>
  <si>
    <t>Kimberly Myers</t>
  </si>
  <si>
    <t>CUST10330</t>
  </si>
  <si>
    <t>Sandra Becker</t>
  </si>
  <si>
    <t>CUST10331</t>
  </si>
  <si>
    <t>Michael Blair</t>
  </si>
  <si>
    <t>CUST10332</t>
  </si>
  <si>
    <t>Amy Miller</t>
  </si>
  <si>
    <t>CUST10333</t>
  </si>
  <si>
    <t>Jesse Lynch</t>
  </si>
  <si>
    <t>CUST10334</t>
  </si>
  <si>
    <t>Patrick Yang</t>
  </si>
  <si>
    <t>CUST10335</t>
  </si>
  <si>
    <t>Michael Miles</t>
  </si>
  <si>
    <t>CUST10336</t>
  </si>
  <si>
    <t>Troy Mills</t>
  </si>
  <si>
    <t>CUST10337</t>
  </si>
  <si>
    <t>Michelle Jackson</t>
  </si>
  <si>
    <t>CUST10338</t>
  </si>
  <si>
    <t>Richard Adams</t>
  </si>
  <si>
    <t>CUST10339</t>
  </si>
  <si>
    <t>Patricia Johnson</t>
  </si>
  <si>
    <t>CUST10340</t>
  </si>
  <si>
    <t>Denise Brown</t>
  </si>
  <si>
    <t>CUST10341</t>
  </si>
  <si>
    <t>Laura Jones</t>
  </si>
  <si>
    <t>CUST10342</t>
  </si>
  <si>
    <t>Ian Porter</t>
  </si>
  <si>
    <t>CUST10343</t>
  </si>
  <si>
    <t>Holly Scott</t>
  </si>
  <si>
    <t>CUST10344</t>
  </si>
  <si>
    <t>Kenneth Sharp</t>
  </si>
  <si>
    <t>CUST10345</t>
  </si>
  <si>
    <t>Jordan Williams</t>
  </si>
  <si>
    <t>CUST10346</t>
  </si>
  <si>
    <t>Dana Ruiz</t>
  </si>
  <si>
    <t>CUST10347</t>
  </si>
  <si>
    <t>Chris Velazquez</t>
  </si>
  <si>
    <t>CUST10348</t>
  </si>
  <si>
    <t>Kristen Sloan</t>
  </si>
  <si>
    <t>CUST10349</t>
  </si>
  <si>
    <t>Jennifer Morris</t>
  </si>
  <si>
    <t>CUST10350</t>
  </si>
  <si>
    <t>Nathan Nelson</t>
  </si>
  <si>
    <t>CUST10351</t>
  </si>
  <si>
    <t>Jake Shaw</t>
  </si>
  <si>
    <t>CUST10352</t>
  </si>
  <si>
    <t>Cassie Brock</t>
  </si>
  <si>
    <t>CUST10353</t>
  </si>
  <si>
    <t>Dr. Andrea Marshall</t>
  </si>
  <si>
    <t>CUST10354</t>
  </si>
  <si>
    <t>Ryan Murphy</t>
  </si>
  <si>
    <t>CUST10355</t>
  </si>
  <si>
    <t>Aimee Gonzalez</t>
  </si>
  <si>
    <t>CUST10356</t>
  </si>
  <si>
    <t>Elizabeth Dean</t>
  </si>
  <si>
    <t>CUST10357</t>
  </si>
  <si>
    <t>Kevin Snyder</t>
  </si>
  <si>
    <t>CUST10358</t>
  </si>
  <si>
    <t>Christie Mccullough</t>
  </si>
  <si>
    <t>CUST10359</t>
  </si>
  <si>
    <t>Danielle Smith</t>
  </si>
  <si>
    <t>CUST10360</t>
  </si>
  <si>
    <t>David Reed</t>
  </si>
  <si>
    <t>CUST10361</t>
  </si>
  <si>
    <t>Sherry Tapia</t>
  </si>
  <si>
    <t>CUST10362</t>
  </si>
  <si>
    <t>Matthew Sweeney</t>
  </si>
  <si>
    <t>CUST10363</t>
  </si>
  <si>
    <t>Ashley Moreno</t>
  </si>
  <si>
    <t>CUST10364</t>
  </si>
  <si>
    <t>Johnathan Brown</t>
  </si>
  <si>
    <t>CUST10365</t>
  </si>
  <si>
    <t>Michelle Davis DVM</t>
  </si>
  <si>
    <t>CUST10366</t>
  </si>
  <si>
    <t>Kelly Haynes</t>
  </si>
  <si>
    <t>CUST10367</t>
  </si>
  <si>
    <t>William Miller</t>
  </si>
  <si>
    <t>CUST10368</t>
  </si>
  <si>
    <t>Casey Wilkins</t>
  </si>
  <si>
    <t>CUST10369</t>
  </si>
  <si>
    <t>Keith Graham</t>
  </si>
  <si>
    <t>CUST10370</t>
  </si>
  <si>
    <t>Cynthia Green</t>
  </si>
  <si>
    <t>CUST10371</t>
  </si>
  <si>
    <t>Robert Haynes</t>
  </si>
  <si>
    <t>CUST10372</t>
  </si>
  <si>
    <t>Emily Nelson</t>
  </si>
  <si>
    <t>CUST10373</t>
  </si>
  <si>
    <t>Dale Chan</t>
  </si>
  <si>
    <t>CUST10374</t>
  </si>
  <si>
    <t>Brittney Martin</t>
  </si>
  <si>
    <t>CUST10375</t>
  </si>
  <si>
    <t>Jason Herrera</t>
  </si>
  <si>
    <t>CUST10376</t>
  </si>
  <si>
    <t>Christine Parker</t>
  </si>
  <si>
    <t>CUST10377</t>
  </si>
  <si>
    <t>Bryan Moore</t>
  </si>
  <si>
    <t>CUST10378</t>
  </si>
  <si>
    <t>Samantha Terry</t>
  </si>
  <si>
    <t>CUST10379</t>
  </si>
  <si>
    <t>Russell Murphy</t>
  </si>
  <si>
    <t>CUST10380</t>
  </si>
  <si>
    <t>David Kelly</t>
  </si>
  <si>
    <t>CUST10381</t>
  </si>
  <si>
    <t>Megan Green</t>
  </si>
  <si>
    <t>CUST10382</t>
  </si>
  <si>
    <t>Amanda Sullivan MD</t>
  </si>
  <si>
    <t>CUST10383</t>
  </si>
  <si>
    <t>Danielle Murray</t>
  </si>
  <si>
    <t>CUST10384</t>
  </si>
  <si>
    <t>Brenda Smith</t>
  </si>
  <si>
    <t>CUST10385</t>
  </si>
  <si>
    <t>Vickie Anderson</t>
  </si>
  <si>
    <t>CUST10386</t>
  </si>
  <si>
    <t>Jacqueline Mccoy</t>
  </si>
  <si>
    <t>CUST10387</t>
  </si>
  <si>
    <t>Lauren Green</t>
  </si>
  <si>
    <t>CUST10388</t>
  </si>
  <si>
    <t>Alison Brown</t>
  </si>
  <si>
    <t>CUST10389</t>
  </si>
  <si>
    <t>Jill Anderson</t>
  </si>
  <si>
    <t>CUST10390</t>
  </si>
  <si>
    <t>Sandra Rivera</t>
  </si>
  <si>
    <t>CUST10391</t>
  </si>
  <si>
    <t>Joel Jackson</t>
  </si>
  <si>
    <t>CUST10392</t>
  </si>
  <si>
    <t>Samantha Foster</t>
  </si>
  <si>
    <t>CUST10393</t>
  </si>
  <si>
    <t>Michael Thompson</t>
  </si>
  <si>
    <t>CUST10394</t>
  </si>
  <si>
    <t>Cody Ramirez</t>
  </si>
  <si>
    <t>CUST10395</t>
  </si>
  <si>
    <t>Amanda Harvey</t>
  </si>
  <si>
    <t>CUST10396</t>
  </si>
  <si>
    <t>Edward Jenkins</t>
  </si>
  <si>
    <t>CUST10397</t>
  </si>
  <si>
    <t>Amy Ramirez</t>
  </si>
  <si>
    <t>CUST10398</t>
  </si>
  <si>
    <t>Curtis Wilkerson</t>
  </si>
  <si>
    <t>CUST10399</t>
  </si>
  <si>
    <t>Lydia Pham</t>
  </si>
  <si>
    <t>CUST10400</t>
  </si>
  <si>
    <t>Virginia Casey</t>
  </si>
  <si>
    <t>CUST10401</t>
  </si>
  <si>
    <t>Joshua Washington</t>
  </si>
  <si>
    <t>CUST10402</t>
  </si>
  <si>
    <t>Kathryn Price</t>
  </si>
  <si>
    <t>CUST10403</t>
  </si>
  <si>
    <t>Francis Robinson</t>
  </si>
  <si>
    <t>CUST10404</t>
  </si>
  <si>
    <t>Paula Brown</t>
  </si>
  <si>
    <t>CUST10405</t>
  </si>
  <si>
    <t>Kendra Wang DVM</t>
  </si>
  <si>
    <t>CUST10406</t>
  </si>
  <si>
    <t>Ariel Sandoval</t>
  </si>
  <si>
    <t>CUST10407</t>
  </si>
  <si>
    <t>Robert Stark</t>
  </si>
  <si>
    <t>CUST10408</t>
  </si>
  <si>
    <t>Zachary Robinson</t>
  </si>
  <si>
    <t>CUST10409</t>
  </si>
  <si>
    <t>Rebecca Kelly</t>
  </si>
  <si>
    <t>CUST10410</t>
  </si>
  <si>
    <t>Sarah Thompson</t>
  </si>
  <si>
    <t>CUST10411</t>
  </si>
  <si>
    <t>Renee Wolfe</t>
  </si>
  <si>
    <t>CUST10412</t>
  </si>
  <si>
    <t>Alyssa Haynes</t>
  </si>
  <si>
    <t>CUST10413</t>
  </si>
  <si>
    <t>Kristy Hart</t>
  </si>
  <si>
    <t>CUST10414</t>
  </si>
  <si>
    <t>William Keith</t>
  </si>
  <si>
    <t>CUST10415</t>
  </si>
  <si>
    <t>Eric Henry Jr.</t>
  </si>
  <si>
    <t>CUST10416</t>
  </si>
  <si>
    <t>Daniel Fox</t>
  </si>
  <si>
    <t>CUST10417</t>
  </si>
  <si>
    <t>Thomas Harris</t>
  </si>
  <si>
    <t>CUST10418</t>
  </si>
  <si>
    <t>Mitchell Sellers</t>
  </si>
  <si>
    <t>CUST10419</t>
  </si>
  <si>
    <t>Erica Johnson</t>
  </si>
  <si>
    <t>CUST10420</t>
  </si>
  <si>
    <t>Sylvia Schroeder</t>
  </si>
  <si>
    <t>CUST10421</t>
  </si>
  <si>
    <t>Shannon Yu</t>
  </si>
  <si>
    <t>CUST10422</t>
  </si>
  <si>
    <t>Tom Foster</t>
  </si>
  <si>
    <t>CUST10423</t>
  </si>
  <si>
    <t>Eric Taylor</t>
  </si>
  <si>
    <t>CUST10424</t>
  </si>
  <si>
    <t>Travis Conner</t>
  </si>
  <si>
    <t>CUST10425</t>
  </si>
  <si>
    <t>Marie Thompson</t>
  </si>
  <si>
    <t>CUST10426</t>
  </si>
  <si>
    <t>Melissa Mcfarland</t>
  </si>
  <si>
    <t>CUST10427</t>
  </si>
  <si>
    <t>Courtney Chapman</t>
  </si>
  <si>
    <t>CUST10428</t>
  </si>
  <si>
    <t>Eric Barker</t>
  </si>
  <si>
    <t>CUST10429</t>
  </si>
  <si>
    <t>Nicholas Rush</t>
  </si>
  <si>
    <t>CUST10430</t>
  </si>
  <si>
    <t>Jenna Gamble</t>
  </si>
  <si>
    <t>CUST10431</t>
  </si>
  <si>
    <t>Amanda Guzman</t>
  </si>
  <si>
    <t>CUST10432</t>
  </si>
  <si>
    <t>Tracy Walker</t>
  </si>
  <si>
    <t>CUST10433</t>
  </si>
  <si>
    <t>Taylor Taylor</t>
  </si>
  <si>
    <t>CUST10434</t>
  </si>
  <si>
    <t>Cynthia Haas</t>
  </si>
  <si>
    <t>CUST10435</t>
  </si>
  <si>
    <t>Stephen Davis</t>
  </si>
  <si>
    <t>CUST10436</t>
  </si>
  <si>
    <t>Margaret Tanner</t>
  </si>
  <si>
    <t>CUST10437</t>
  </si>
  <si>
    <t>Derek Wright</t>
  </si>
  <si>
    <t>CUST10438</t>
  </si>
  <si>
    <t>David Rodriguez</t>
  </si>
  <si>
    <t>CUST10439</t>
  </si>
  <si>
    <t>James Oconnor</t>
  </si>
  <si>
    <t>CUST10440</t>
  </si>
  <si>
    <t>Stacey Snyder</t>
  </si>
  <si>
    <t>CUST10441</t>
  </si>
  <si>
    <t>Joshua Garcia</t>
  </si>
  <si>
    <t>CUST10442</t>
  </si>
  <si>
    <t>Sean Curtis</t>
  </si>
  <si>
    <t>CUST10443</t>
  </si>
  <si>
    <t>Carla Jones</t>
  </si>
  <si>
    <t>CUST10444</t>
  </si>
  <si>
    <t>Elizabeth Flores</t>
  </si>
  <si>
    <t>CUST10445</t>
  </si>
  <si>
    <t>Angela Jackson</t>
  </si>
  <si>
    <t>CUST10446</t>
  </si>
  <si>
    <t>Nicholas Payne</t>
  </si>
  <si>
    <t>CUST10447</t>
  </si>
  <si>
    <t>Anna Wheeler</t>
  </si>
  <si>
    <t>CUST10448</t>
  </si>
  <si>
    <t>Karen Johnson</t>
  </si>
  <si>
    <t>CUST10449</t>
  </si>
  <si>
    <t>Carmen Preston</t>
  </si>
  <si>
    <t>CUST10450</t>
  </si>
  <si>
    <t>Brian Harris</t>
  </si>
  <si>
    <t>CUST10451</t>
  </si>
  <si>
    <t>Michael Bowen</t>
  </si>
  <si>
    <t>CUST10452</t>
  </si>
  <si>
    <t>Deborah Campbell</t>
  </si>
  <si>
    <t>CUST10453</t>
  </si>
  <si>
    <t>Anthony Armstrong</t>
  </si>
  <si>
    <t>CUST10454</t>
  </si>
  <si>
    <t>Brittany Ward</t>
  </si>
  <si>
    <t>CUST10455</t>
  </si>
  <si>
    <t>Edward Stanley</t>
  </si>
  <si>
    <t>CUST10456</t>
  </si>
  <si>
    <t>Christina Johnson</t>
  </si>
  <si>
    <t>CUST10457</t>
  </si>
  <si>
    <t>Edgar Miller</t>
  </si>
  <si>
    <t>CUST10458</t>
  </si>
  <si>
    <t>Elizabeth Sanders</t>
  </si>
  <si>
    <t>CUST10459</t>
  </si>
  <si>
    <t>Matthew Davis MD</t>
  </si>
  <si>
    <t>CUST10460</t>
  </si>
  <si>
    <t>Stephen Wood</t>
  </si>
  <si>
    <t>CUST10461</t>
  </si>
  <si>
    <t>Dennis Marshall</t>
  </si>
  <si>
    <t>CUST10462</t>
  </si>
  <si>
    <t>Derrick Brown</t>
  </si>
  <si>
    <t>CUST10463</t>
  </si>
  <si>
    <t>CUST10464</t>
  </si>
  <si>
    <t>Joshua Arellano</t>
  </si>
  <si>
    <t>CUST10465</t>
  </si>
  <si>
    <t>Kristen Randall</t>
  </si>
  <si>
    <t>CUST10466</t>
  </si>
  <si>
    <t>Jennifer Nichols</t>
  </si>
  <si>
    <t>CUST10467</t>
  </si>
  <si>
    <t>Karen Keith</t>
  </si>
  <si>
    <t>CUST10468</t>
  </si>
  <si>
    <t>Blake Orr</t>
  </si>
  <si>
    <t>CUST10469</t>
  </si>
  <si>
    <t>Kathryn Lester</t>
  </si>
  <si>
    <t>CUST10470</t>
  </si>
  <si>
    <t>Megan Oliver</t>
  </si>
  <si>
    <t>CUST10471</t>
  </si>
  <si>
    <t>Peter Thompson</t>
  </si>
  <si>
    <t>CUST10472</t>
  </si>
  <si>
    <t>Dr. Rhonda Martinez</t>
  </si>
  <si>
    <t>CUST10473</t>
  </si>
  <si>
    <t>William Graham</t>
  </si>
  <si>
    <t>CUST10474</t>
  </si>
  <si>
    <t>Lori Flowers MD</t>
  </si>
  <si>
    <t>CUST10475</t>
  </si>
  <si>
    <t>Suzanne Jones</t>
  </si>
  <si>
    <t>CUST10476</t>
  </si>
  <si>
    <t>James Nguyen</t>
  </si>
  <si>
    <t>CUST10477</t>
  </si>
  <si>
    <t>Jimmy Marks</t>
  </si>
  <si>
    <t>CUST10478</t>
  </si>
  <si>
    <t>Lisa Mills</t>
  </si>
  <si>
    <t>CUST10479</t>
  </si>
  <si>
    <t>Jason Hernandez</t>
  </si>
  <si>
    <t>CUST10480</t>
  </si>
  <si>
    <t>Olivia Ayers</t>
  </si>
  <si>
    <t>CUST10481</t>
  </si>
  <si>
    <t>Kristine Garcia</t>
  </si>
  <si>
    <t>CUST10482</t>
  </si>
  <si>
    <t>Joseph Cooper</t>
  </si>
  <si>
    <t>CUST10483</t>
  </si>
  <si>
    <t>James Washington</t>
  </si>
  <si>
    <t>CUST10484</t>
  </si>
  <si>
    <t>Amanda Hill</t>
  </si>
  <si>
    <t>CUST10485</t>
  </si>
  <si>
    <t>Lee Steele</t>
  </si>
  <si>
    <t>CUST10486</t>
  </si>
  <si>
    <t>Steve Rivera</t>
  </si>
  <si>
    <t>CUST10487</t>
  </si>
  <si>
    <t>Patrick Mccall</t>
  </si>
  <si>
    <t>CUST10488</t>
  </si>
  <si>
    <t>Alicia Roth</t>
  </si>
  <si>
    <t>CUST10489</t>
  </si>
  <si>
    <t>Douglas Vasquez</t>
  </si>
  <si>
    <t>CUST10490</t>
  </si>
  <si>
    <t>Annette Melton</t>
  </si>
  <si>
    <t>CUST10491</t>
  </si>
  <si>
    <t>William Ramos</t>
  </si>
  <si>
    <t>CUST10492</t>
  </si>
  <si>
    <t>Debra Butler</t>
  </si>
  <si>
    <t>CUST10493</t>
  </si>
  <si>
    <t>Chelsea Lewis</t>
  </si>
  <si>
    <t>CUST10494</t>
  </si>
  <si>
    <t>Natalie Malone</t>
  </si>
  <si>
    <t>CUST10495</t>
  </si>
  <si>
    <t>CUST10496</t>
  </si>
  <si>
    <t>Eric Hunter</t>
  </si>
  <si>
    <t>CUST10497</t>
  </si>
  <si>
    <t>Samuel Suarez</t>
  </si>
  <si>
    <t>CUST10498</t>
  </si>
  <si>
    <t>Corey Whitaker</t>
  </si>
  <si>
    <t>CUST10499</t>
  </si>
  <si>
    <t>Danielle Bryant</t>
  </si>
  <si>
    <t>CUST10500</t>
  </si>
  <si>
    <t>Michele Hill</t>
  </si>
  <si>
    <t>CUST10501</t>
  </si>
  <si>
    <t>Kathy Reid</t>
  </si>
  <si>
    <t>CUST10502</t>
  </si>
  <si>
    <t>Andre Watson</t>
  </si>
  <si>
    <t>CUST10503</t>
  </si>
  <si>
    <t>Cassandra Harrell</t>
  </si>
  <si>
    <t>CUST10504</t>
  </si>
  <si>
    <t>Hannah Martin</t>
  </si>
  <si>
    <t>CUST10505</t>
  </si>
  <si>
    <t>Nicole Barker</t>
  </si>
  <si>
    <t>CUST10506</t>
  </si>
  <si>
    <t>James Martin</t>
  </si>
  <si>
    <t>CUST10507</t>
  </si>
  <si>
    <t>Traci Vincent</t>
  </si>
  <si>
    <t>CUST10508</t>
  </si>
  <si>
    <t>Megan Adams</t>
  </si>
  <si>
    <t>CUST10509</t>
  </si>
  <si>
    <t>Alejandro Deleon</t>
  </si>
  <si>
    <t>CUST10510</t>
  </si>
  <si>
    <t>Alexa Buck</t>
  </si>
  <si>
    <t>CUST10511</t>
  </si>
  <si>
    <t>Lindsay Smith</t>
  </si>
  <si>
    <t>CUST10512</t>
  </si>
  <si>
    <t>Robert Torres</t>
  </si>
  <si>
    <t>CUST10513</t>
  </si>
  <si>
    <t>Maria Coleman</t>
  </si>
  <si>
    <t>CUST10514</t>
  </si>
  <si>
    <t>Gregory King</t>
  </si>
  <si>
    <t>CUST10515</t>
  </si>
  <si>
    <t>Michael Holloway</t>
  </si>
  <si>
    <t>CUST10516</t>
  </si>
  <si>
    <t>Brian Hunt</t>
  </si>
  <si>
    <t>CUST10517</t>
  </si>
  <si>
    <t>Sarah Brooks</t>
  </si>
  <si>
    <t>CUST10518</t>
  </si>
  <si>
    <t>Lisa Evans</t>
  </si>
  <si>
    <t>CUST10519</t>
  </si>
  <si>
    <t>Arthur Mcneil</t>
  </si>
  <si>
    <t>CUST10520</t>
  </si>
  <si>
    <t>Shannon Green</t>
  </si>
  <si>
    <t>CUST10521</t>
  </si>
  <si>
    <t>Stephanie Evans</t>
  </si>
  <si>
    <t>CUST10522</t>
  </si>
  <si>
    <t>Ralph Yoder</t>
  </si>
  <si>
    <t>CUST10523</t>
  </si>
  <si>
    <t>Rebekah Greene</t>
  </si>
  <si>
    <t>CUST10524</t>
  </si>
  <si>
    <t>Melanie Griffith</t>
  </si>
  <si>
    <t>CUST10525</t>
  </si>
  <si>
    <t>Yolanda Green</t>
  </si>
  <si>
    <t>CUST10526</t>
  </si>
  <si>
    <t>James Johnson</t>
  </si>
  <si>
    <t>CUST10527</t>
  </si>
  <si>
    <t>Laura Lee</t>
  </si>
  <si>
    <t>CUST10528</t>
  </si>
  <si>
    <t>Courtney Nichols</t>
  </si>
  <si>
    <t>CUST10529</t>
  </si>
  <si>
    <t>Susan Powers</t>
  </si>
  <si>
    <t>CUST10530</t>
  </si>
  <si>
    <t>Sarah Pittman</t>
  </si>
  <si>
    <t>CUST10531</t>
  </si>
  <si>
    <t>Catherine Davis</t>
  </si>
  <si>
    <t>CUST10532</t>
  </si>
  <si>
    <t>David Stokes</t>
  </si>
  <si>
    <t>CUST10533</t>
  </si>
  <si>
    <t>Catherine Frazier</t>
  </si>
  <si>
    <t>CUST10534</t>
  </si>
  <si>
    <t>Brandon Kelly</t>
  </si>
  <si>
    <t>CUST10535</t>
  </si>
  <si>
    <t>Elizabeth French</t>
  </si>
  <si>
    <t>CUST10536</t>
  </si>
  <si>
    <t>David Carter</t>
  </si>
  <si>
    <t>CUST10537</t>
  </si>
  <si>
    <t>Julie Delacruz</t>
  </si>
  <si>
    <t>CUST10538</t>
  </si>
  <si>
    <t>Terry Jones</t>
  </si>
  <si>
    <t>CUST10539</t>
  </si>
  <si>
    <t>Kathryn Dillon</t>
  </si>
  <si>
    <t>CUST10540</t>
  </si>
  <si>
    <t>Edwin Brown</t>
  </si>
  <si>
    <t>CUST10541</t>
  </si>
  <si>
    <t>Brenda Gonzalez</t>
  </si>
  <si>
    <t>CUST10542</t>
  </si>
  <si>
    <t>Keith Knox</t>
  </si>
  <si>
    <t>CUST10543</t>
  </si>
  <si>
    <t>Eugene Baldwin</t>
  </si>
  <si>
    <t>CUST10544</t>
  </si>
  <si>
    <t>Katherine Welch</t>
  </si>
  <si>
    <t>CUST10545</t>
  </si>
  <si>
    <t>Mark Smith</t>
  </si>
  <si>
    <t>CUST10546</t>
  </si>
  <si>
    <t>Philip Jackson</t>
  </si>
  <si>
    <t>CUST10547</t>
  </si>
  <si>
    <t>Katherine Gallagher</t>
  </si>
  <si>
    <t>CUST10548</t>
  </si>
  <si>
    <t>Lucas Schultz</t>
  </si>
  <si>
    <t>CUST10549</t>
  </si>
  <si>
    <t>Vincent Reyes</t>
  </si>
  <si>
    <t>CUST10550</t>
  </si>
  <si>
    <t>Curtis Watson</t>
  </si>
  <si>
    <t>CUST10551</t>
  </si>
  <si>
    <t>Frank Whitaker</t>
  </si>
  <si>
    <t>CUST10552</t>
  </si>
  <si>
    <t>Michael Sims</t>
  </si>
  <si>
    <t>CUST10553</t>
  </si>
  <si>
    <t>Michael Cooper</t>
  </si>
  <si>
    <t>CUST10554</t>
  </si>
  <si>
    <t>James Chapman</t>
  </si>
  <si>
    <t>CUST10555</t>
  </si>
  <si>
    <t>Rodney Evans</t>
  </si>
  <si>
    <t>CUST10556</t>
  </si>
  <si>
    <t>Nicholas Carlson</t>
  </si>
  <si>
    <t>CUST10557</t>
  </si>
  <si>
    <t>Stephen Cowan</t>
  </si>
  <si>
    <t>CUST10558</t>
  </si>
  <si>
    <t>Steven Howard</t>
  </si>
  <si>
    <t>CUST10559</t>
  </si>
  <si>
    <t>Travis Hull</t>
  </si>
  <si>
    <t>CUST10560</t>
  </si>
  <si>
    <t>Darryl Acosta</t>
  </si>
  <si>
    <t>CUST10561</t>
  </si>
  <si>
    <t>Nicholas Lawrence</t>
  </si>
  <si>
    <t>CUST10562</t>
  </si>
  <si>
    <t>Jacob Santos</t>
  </si>
  <si>
    <t>CUST10563</t>
  </si>
  <si>
    <t>Shawn Scott</t>
  </si>
  <si>
    <t>CUST10564</t>
  </si>
  <si>
    <t>Amber Vang</t>
  </si>
  <si>
    <t>CUST10565</t>
  </si>
  <si>
    <t>Martha Smith</t>
  </si>
  <si>
    <t>CUST10566</t>
  </si>
  <si>
    <t>Jennifer James</t>
  </si>
  <si>
    <t>CUST10567</t>
  </si>
  <si>
    <t>Kara Hernandez</t>
  </si>
  <si>
    <t>CUST10568</t>
  </si>
  <si>
    <t>Lorraine Turner</t>
  </si>
  <si>
    <t>CUST10569</t>
  </si>
  <si>
    <t>Mary Nelson</t>
  </si>
  <si>
    <t>CUST10570</t>
  </si>
  <si>
    <t>Breanna Rivas</t>
  </si>
  <si>
    <t>CUST10571</t>
  </si>
  <si>
    <t>Nathan Wilson</t>
  </si>
  <si>
    <t>CUST10572</t>
  </si>
  <si>
    <t>Brian Gonzalez</t>
  </si>
  <si>
    <t>CUST10573</t>
  </si>
  <si>
    <t>Dennis Mills</t>
  </si>
  <si>
    <t>CUST10574</t>
  </si>
  <si>
    <t>Michael Phillips</t>
  </si>
  <si>
    <t>CUST10575</t>
  </si>
  <si>
    <t>Jon Clark</t>
  </si>
  <si>
    <t>CUST10576</t>
  </si>
  <si>
    <t>Erin Smith</t>
  </si>
  <si>
    <t>CUST10577</t>
  </si>
  <si>
    <t>Susan Conley</t>
  </si>
  <si>
    <t>CUST10578</t>
  </si>
  <si>
    <t>Brittany Davis</t>
  </si>
  <si>
    <t>CUST10579</t>
  </si>
  <si>
    <t>Misty Garcia</t>
  </si>
  <si>
    <t>CUST10580</t>
  </si>
  <si>
    <t>David Hinton</t>
  </si>
  <si>
    <t>CUST10581</t>
  </si>
  <si>
    <t>John Garcia</t>
  </si>
  <si>
    <t>CUST10582</t>
  </si>
  <si>
    <t>Andrew Roberts</t>
  </si>
  <si>
    <t>CUST10583</t>
  </si>
  <si>
    <t>Emily Rodgers</t>
  </si>
  <si>
    <t>CUST10584</t>
  </si>
  <si>
    <t>Peter Williams</t>
  </si>
  <si>
    <t>CUST10585</t>
  </si>
  <si>
    <t>Mary Jackson</t>
  </si>
  <si>
    <t>CUST10586</t>
  </si>
  <si>
    <t>Jeffrey Howell</t>
  </si>
  <si>
    <t>CUST10587</t>
  </si>
  <si>
    <t>Anna Briggs</t>
  </si>
  <si>
    <t>CUST10588</t>
  </si>
  <si>
    <t>James Rivers</t>
  </si>
  <si>
    <t>CUST10589</t>
  </si>
  <si>
    <t>James Jefferson</t>
  </si>
  <si>
    <t>CUST10590</t>
  </si>
  <si>
    <t>Mariah Robles</t>
  </si>
  <si>
    <t>CUST10591</t>
  </si>
  <si>
    <t>Michael Brown</t>
  </si>
  <si>
    <t>CUST10592</t>
  </si>
  <si>
    <t>Caitlin Perry</t>
  </si>
  <si>
    <t>CUST10593</t>
  </si>
  <si>
    <t>Rebekah Gregory</t>
  </si>
  <si>
    <t>CUST10594</t>
  </si>
  <si>
    <t>James Howard</t>
  </si>
  <si>
    <t>CUST10595</t>
  </si>
  <si>
    <t>Michael Roberson</t>
  </si>
  <si>
    <t>CUST10596</t>
  </si>
  <si>
    <t>Bianca Knapp</t>
  </si>
  <si>
    <t>CUST10597</t>
  </si>
  <si>
    <t>Jason Williams</t>
  </si>
  <si>
    <t>CUST10598</t>
  </si>
  <si>
    <t>Ernest Bush</t>
  </si>
  <si>
    <t>CUST10599</t>
  </si>
  <si>
    <t>Patricia Ray</t>
  </si>
  <si>
    <t>CUST10600</t>
  </si>
  <si>
    <t>Vanessa Santiago</t>
  </si>
  <si>
    <t>CUST10601</t>
  </si>
  <si>
    <t>Joseph Haynes</t>
  </si>
  <si>
    <t>CUST10602</t>
  </si>
  <si>
    <t>Matthew Wright</t>
  </si>
  <si>
    <t>CUST10603</t>
  </si>
  <si>
    <t>Michael Cruz</t>
  </si>
  <si>
    <t>CUST10604</t>
  </si>
  <si>
    <t>Kristin Huerta</t>
  </si>
  <si>
    <t>CUST10605</t>
  </si>
  <si>
    <t>Mason Moore</t>
  </si>
  <si>
    <t>CUST10606</t>
  </si>
  <si>
    <t>Sarah Booth</t>
  </si>
  <si>
    <t>CUST10607</t>
  </si>
  <si>
    <t>John Allen</t>
  </si>
  <si>
    <t>CUST10608</t>
  </si>
  <si>
    <t>Amber Walker</t>
  </si>
  <si>
    <t>CUST10609</t>
  </si>
  <si>
    <t>Jennifer Young</t>
  </si>
  <si>
    <t>CUST10610</t>
  </si>
  <si>
    <t>Robert West</t>
  </si>
  <si>
    <t>CUST10611</t>
  </si>
  <si>
    <t>Jillian Wilson</t>
  </si>
  <si>
    <t>CUST10612</t>
  </si>
  <si>
    <t>Matthew Garcia MD</t>
  </si>
  <si>
    <t>CUST10613</t>
  </si>
  <si>
    <t>April Davis</t>
  </si>
  <si>
    <t>CUST10614</t>
  </si>
  <si>
    <t>Lisa Torres</t>
  </si>
  <si>
    <t>CUST10615</t>
  </si>
  <si>
    <t>Christine Powers</t>
  </si>
  <si>
    <t>CUST10616</t>
  </si>
  <si>
    <t>Heidi Brown</t>
  </si>
  <si>
    <t>CUST10617</t>
  </si>
  <si>
    <t>Jesse Castro</t>
  </si>
  <si>
    <t>CUST10618</t>
  </si>
  <si>
    <t>Kara Sandoval</t>
  </si>
  <si>
    <t>CUST10619</t>
  </si>
  <si>
    <t>Ashley Malone</t>
  </si>
  <si>
    <t>CUST10620</t>
  </si>
  <si>
    <t>Glenn Gallegos</t>
  </si>
  <si>
    <t>CUST10621</t>
  </si>
  <si>
    <t>Dorothy Boyd</t>
  </si>
  <si>
    <t>CUST10622</t>
  </si>
  <si>
    <t>Amber Martin</t>
  </si>
  <si>
    <t>CUST10623</t>
  </si>
  <si>
    <t>Mitchell Griffith</t>
  </si>
  <si>
    <t>CUST10624</t>
  </si>
  <si>
    <t>Levi Lopez</t>
  </si>
  <si>
    <t>CUST10625</t>
  </si>
  <si>
    <t>Jenna Bryant</t>
  </si>
  <si>
    <t>CUST10626</t>
  </si>
  <si>
    <t>Michelle Rodriguez</t>
  </si>
  <si>
    <t>CUST10627</t>
  </si>
  <si>
    <t>Timothy Monroe</t>
  </si>
  <si>
    <t>CUST10628</t>
  </si>
  <si>
    <t>Patricia Hayes</t>
  </si>
  <si>
    <t>CUST10629</t>
  </si>
  <si>
    <t>Tina Taylor</t>
  </si>
  <si>
    <t>CUST10630</t>
  </si>
  <si>
    <t>Mr. Anthony Mcconnell PhD</t>
  </si>
  <si>
    <t>CUST10631</t>
  </si>
  <si>
    <t>Mr. Thomas Thompson</t>
  </si>
  <si>
    <t>CUST10632</t>
  </si>
  <si>
    <t>Monica Anderson</t>
  </si>
  <si>
    <t>CUST10633</t>
  </si>
  <si>
    <t>Kyle Andrade</t>
  </si>
  <si>
    <t>CUST10634</t>
  </si>
  <si>
    <t>Janice Petty</t>
  </si>
  <si>
    <t>CUST10635</t>
  </si>
  <si>
    <t>Pamela Hill</t>
  </si>
  <si>
    <t>CUST10636</t>
  </si>
  <si>
    <t>Tracy Chavez</t>
  </si>
  <si>
    <t>CUST10637</t>
  </si>
  <si>
    <t>Jason Graves</t>
  </si>
  <si>
    <t>CUST10638</t>
  </si>
  <si>
    <t>Elizabeth Miles</t>
  </si>
  <si>
    <t>CUST10639</t>
  </si>
  <si>
    <t>Michelle Walls</t>
  </si>
  <si>
    <t>CUST10640</t>
  </si>
  <si>
    <t>Christina Weber</t>
  </si>
  <si>
    <t>CUST10641</t>
  </si>
  <si>
    <t>Gregory Chambers</t>
  </si>
  <si>
    <t>CUST10642</t>
  </si>
  <si>
    <t>Miss Tina Gordon</t>
  </si>
  <si>
    <t>CUST10643</t>
  </si>
  <si>
    <t>Erica Wilson</t>
  </si>
  <si>
    <t>CUST10644</t>
  </si>
  <si>
    <t>John Duncan</t>
  </si>
  <si>
    <t>CUST10645</t>
  </si>
  <si>
    <t>Jennifer Adkins</t>
  </si>
  <si>
    <t>CUST10646</t>
  </si>
  <si>
    <t>Donna Boone</t>
  </si>
  <si>
    <t>CUST10647</t>
  </si>
  <si>
    <t>Kelly Johnson</t>
  </si>
  <si>
    <t>CUST10648</t>
  </si>
  <si>
    <t>Michael Gonzalez</t>
  </si>
  <si>
    <t>CUST10649</t>
  </si>
  <si>
    <t>Candace Mitchell</t>
  </si>
  <si>
    <t>CUST10650</t>
  </si>
  <si>
    <t>Ryan Vaughn</t>
  </si>
  <si>
    <t>CUST10651</t>
  </si>
  <si>
    <t>Paul Johnson</t>
  </si>
  <si>
    <t>CUST10652</t>
  </si>
  <si>
    <t>Ashley Parrish</t>
  </si>
  <si>
    <t>CUST10653</t>
  </si>
  <si>
    <t>Sharon Newton</t>
  </si>
  <si>
    <t>CUST10654</t>
  </si>
  <si>
    <t>Cynthia Mueller</t>
  </si>
  <si>
    <t>CUST10655</t>
  </si>
  <si>
    <t>Donna Beck</t>
  </si>
  <si>
    <t>CUST10656</t>
  </si>
  <si>
    <t>Jasmine Frye</t>
  </si>
  <si>
    <t>CUST10657</t>
  </si>
  <si>
    <t>Emily Arnold</t>
  </si>
  <si>
    <t>CUST10658</t>
  </si>
  <si>
    <t>David Oliver</t>
  </si>
  <si>
    <t>CUST10659</t>
  </si>
  <si>
    <t>Sheila Greer</t>
  </si>
  <si>
    <t>CUST10660</t>
  </si>
  <si>
    <t>Michele Holland</t>
  </si>
  <si>
    <t>CUST10661</t>
  </si>
  <si>
    <t>Kimberly Morrison</t>
  </si>
  <si>
    <t>CUST10662</t>
  </si>
  <si>
    <t>Tracey Phillips</t>
  </si>
  <si>
    <t>CUST10663</t>
  </si>
  <si>
    <t>CUST10664</t>
  </si>
  <si>
    <t>Jose Bennett</t>
  </si>
  <si>
    <t>CUST10665</t>
  </si>
  <si>
    <t>Justin Anderson</t>
  </si>
  <si>
    <t>CUST10666</t>
  </si>
  <si>
    <t>Dawn Rivera</t>
  </si>
  <si>
    <t>CUST10667</t>
  </si>
  <si>
    <t>Brittney Hernandez</t>
  </si>
  <si>
    <t>CUST10668</t>
  </si>
  <si>
    <t>Anthony Randolph</t>
  </si>
  <si>
    <t>CUST10669</t>
  </si>
  <si>
    <t>Mary Henry</t>
  </si>
  <si>
    <t>CUST10670</t>
  </si>
  <si>
    <t>Heather Bowers</t>
  </si>
  <si>
    <t>CUST10671</t>
  </si>
  <si>
    <t>Daniel White</t>
  </si>
  <si>
    <t>CUST10672</t>
  </si>
  <si>
    <t>Jonathan Perry</t>
  </si>
  <si>
    <t>CUST10673</t>
  </si>
  <si>
    <t>Anna Walker</t>
  </si>
  <si>
    <t>CUST10674</t>
  </si>
  <si>
    <t>Gary Ward</t>
  </si>
  <si>
    <t>CUST10675</t>
  </si>
  <si>
    <t>Paul Moreno</t>
  </si>
  <si>
    <t>CUST10676</t>
  </si>
  <si>
    <t>Samantha Zavala MD</t>
  </si>
  <si>
    <t>CUST10677</t>
  </si>
  <si>
    <t>Jill Conway</t>
  </si>
  <si>
    <t>CUST10678</t>
  </si>
  <si>
    <t>Lisa Haley</t>
  </si>
  <si>
    <t>CUST10679</t>
  </si>
  <si>
    <t>Erica Moon</t>
  </si>
  <si>
    <t>CUST10680</t>
  </si>
  <si>
    <t>Janice Fernandez</t>
  </si>
  <si>
    <t>CUST10681</t>
  </si>
  <si>
    <t>Thomas Short</t>
  </si>
  <si>
    <t>CUST10682</t>
  </si>
  <si>
    <t>Robert Griffin</t>
  </si>
  <si>
    <t>CUST10683</t>
  </si>
  <si>
    <t>Steven Lee</t>
  </si>
  <si>
    <t>CUST10684</t>
  </si>
  <si>
    <t>Tiffany Jackson</t>
  </si>
  <si>
    <t>CUST10685</t>
  </si>
  <si>
    <t>Kimberly Smith</t>
  </si>
  <si>
    <t>CUST10686</t>
  </si>
  <si>
    <t>Michael Ayala</t>
  </si>
  <si>
    <t>CUST10687</t>
  </si>
  <si>
    <t>Jessica Garcia</t>
  </si>
  <si>
    <t>CUST10688</t>
  </si>
  <si>
    <t>Michele Cherry</t>
  </si>
  <si>
    <t>CUST10689</t>
  </si>
  <si>
    <t>Maria Case</t>
  </si>
  <si>
    <t>CUST10690</t>
  </si>
  <si>
    <t>Brittany Stevens</t>
  </si>
  <si>
    <t>CUST10691</t>
  </si>
  <si>
    <t>Brandon Brown</t>
  </si>
  <si>
    <t>CUST10692</t>
  </si>
  <si>
    <t>Kristin Andrews</t>
  </si>
  <si>
    <t>CUST10693</t>
  </si>
  <si>
    <t>David Hughes</t>
  </si>
  <si>
    <t>CUST10694</t>
  </si>
  <si>
    <t>CUST10695</t>
  </si>
  <si>
    <t>Kimberly May</t>
  </si>
  <si>
    <t>CUST10696</t>
  </si>
  <si>
    <t>Nicole Richards</t>
  </si>
  <si>
    <t>CUST10697</t>
  </si>
  <si>
    <t>Angel Reilly</t>
  </si>
  <si>
    <t>CUST10698</t>
  </si>
  <si>
    <t>Richard Turner</t>
  </si>
  <si>
    <t>CUST10699</t>
  </si>
  <si>
    <t>Preston Kim</t>
  </si>
  <si>
    <t>CUST10700</t>
  </si>
  <si>
    <t>Matthew Wells</t>
  </si>
  <si>
    <t>CUST10701</t>
  </si>
  <si>
    <t>Brandy Myers</t>
  </si>
  <si>
    <t>CUST10702</t>
  </si>
  <si>
    <t>Kimberly Choi</t>
  </si>
  <si>
    <t>CUST10703</t>
  </si>
  <si>
    <t>Michael Sloan</t>
  </si>
  <si>
    <t>CUST10704</t>
  </si>
  <si>
    <t>Monica Brooks</t>
  </si>
  <si>
    <t>CUST10705</t>
  </si>
  <si>
    <t>Kristen Peters</t>
  </si>
  <si>
    <t>CUST10706</t>
  </si>
  <si>
    <t>Aaron Carlson</t>
  </si>
  <si>
    <t>CUST10707</t>
  </si>
  <si>
    <t>Theresa Torres</t>
  </si>
  <si>
    <t>CUST10708</t>
  </si>
  <si>
    <t>Stephanie Cooper</t>
  </si>
  <si>
    <t>CUST10709</t>
  </si>
  <si>
    <t>Matthew Hunt</t>
  </si>
  <si>
    <t>CUST10710</t>
  </si>
  <si>
    <t>Daniel Davenport</t>
  </si>
  <si>
    <t>CUST10711</t>
  </si>
  <si>
    <t>Christopher Marsh</t>
  </si>
  <si>
    <t>CUST10712</t>
  </si>
  <si>
    <t>Sarah Randolph</t>
  </si>
  <si>
    <t>CUST10713</t>
  </si>
  <si>
    <t>Julia Dunn MD</t>
  </si>
  <si>
    <t>CUST10714</t>
  </si>
  <si>
    <t>Brett Swanson</t>
  </si>
  <si>
    <t>CUST10715</t>
  </si>
  <si>
    <t>Mr. Carl Rios</t>
  </si>
  <si>
    <t>CUST10716</t>
  </si>
  <si>
    <t>Manuel Mccullough</t>
  </si>
  <si>
    <t>CUST10717</t>
  </si>
  <si>
    <t>Jerry Jensen</t>
  </si>
  <si>
    <t>CUST10718</t>
  </si>
  <si>
    <t>Kevin Cunningham</t>
  </si>
  <si>
    <t>CUST10719</t>
  </si>
  <si>
    <t>Eugene Patterson</t>
  </si>
  <si>
    <t>CUST10720</t>
  </si>
  <si>
    <t>David Walker</t>
  </si>
  <si>
    <t>CUST10721</t>
  </si>
  <si>
    <t>Jessica Larsen</t>
  </si>
  <si>
    <t>CUST10722</t>
  </si>
  <si>
    <t>Nicholas Humphrey</t>
  </si>
  <si>
    <t>CUST10723</t>
  </si>
  <si>
    <t>Ian Torres</t>
  </si>
  <si>
    <t>CUST10724</t>
  </si>
  <si>
    <t>Casey Obrien</t>
  </si>
  <si>
    <t>CUST10725</t>
  </si>
  <si>
    <t>Shannon Taylor</t>
  </si>
  <si>
    <t>CUST10726</t>
  </si>
  <si>
    <t>Deborah Mercado</t>
  </si>
  <si>
    <t>CUST10727</t>
  </si>
  <si>
    <t>Bernard Smith</t>
  </si>
  <si>
    <t>CUST10728</t>
  </si>
  <si>
    <t>Amanda Perkins</t>
  </si>
  <si>
    <t>CUST10729</t>
  </si>
  <si>
    <t>Kevin Escobar</t>
  </si>
  <si>
    <t>CUST10730</t>
  </si>
  <si>
    <t>Kimberly Lutz</t>
  </si>
  <si>
    <t>CUST10731</t>
  </si>
  <si>
    <t>Reginald Diaz</t>
  </si>
  <si>
    <t>CUST10732</t>
  </si>
  <si>
    <t>Raymond Quinn</t>
  </si>
  <si>
    <t>CUST10733</t>
  </si>
  <si>
    <t>John Dixon</t>
  </si>
  <si>
    <t>CUST10734</t>
  </si>
  <si>
    <t>Jonathan Bates</t>
  </si>
  <si>
    <t>CUST10735</t>
  </si>
  <si>
    <t>Renee Mendez</t>
  </si>
  <si>
    <t>CUST10736</t>
  </si>
  <si>
    <t>Jose Griffin</t>
  </si>
  <si>
    <t>CUST10737</t>
  </si>
  <si>
    <t>Travis Hopkins</t>
  </si>
  <si>
    <t>CUST10738</t>
  </si>
  <si>
    <t>Nancy Webb</t>
  </si>
  <si>
    <t>CUST10739</t>
  </si>
  <si>
    <t>Daniel Freeman</t>
  </si>
  <si>
    <t>CUST10740</t>
  </si>
  <si>
    <t>Jacob Williams</t>
  </si>
  <si>
    <t>CUST10741</t>
  </si>
  <si>
    <t>Terry Ward</t>
  </si>
  <si>
    <t>CUST10742</t>
  </si>
  <si>
    <t>Jesse Williams</t>
  </si>
  <si>
    <t>CUST10743</t>
  </si>
  <si>
    <t>Mrs. Michele Boyd</t>
  </si>
  <si>
    <t>CUST10744</t>
  </si>
  <si>
    <t>Sandy Baker</t>
  </si>
  <si>
    <t>CUST10745</t>
  </si>
  <si>
    <t>Carrie Valdez</t>
  </si>
  <si>
    <t>CUST10746</t>
  </si>
  <si>
    <t>Matthew Houston</t>
  </si>
  <si>
    <t>CUST10747</t>
  </si>
  <si>
    <t>Jamie Solomon</t>
  </si>
  <si>
    <t>CUST10748</t>
  </si>
  <si>
    <t>Heather Parrish</t>
  </si>
  <si>
    <t>CUST10749</t>
  </si>
  <si>
    <t>Mr. Larry Shaw</t>
  </si>
  <si>
    <t>CUST10750</t>
  </si>
  <si>
    <t>Christopher Jones</t>
  </si>
  <si>
    <t>CUST10751</t>
  </si>
  <si>
    <t>Christine Lopez</t>
  </si>
  <si>
    <t>CUST10752</t>
  </si>
  <si>
    <t>Mitchell Wilson</t>
  </si>
  <si>
    <t>CUST10753</t>
  </si>
  <si>
    <t>Robert Cortez</t>
  </si>
  <si>
    <t>CUST10754</t>
  </si>
  <si>
    <t>Mr. Daniel Martin</t>
  </si>
  <si>
    <t>CUST10755</t>
  </si>
  <si>
    <t>Alison Williams</t>
  </si>
  <si>
    <t>CUST10756</t>
  </si>
  <si>
    <t>Candace Soto</t>
  </si>
  <si>
    <t>CUST10757</t>
  </si>
  <si>
    <t>Kenneth Brown</t>
  </si>
  <si>
    <t>CUST10758</t>
  </si>
  <si>
    <t>Christopher Mullen</t>
  </si>
  <si>
    <t>CUST10759</t>
  </si>
  <si>
    <t>Kristy Smith</t>
  </si>
  <si>
    <t>CUST10760</t>
  </si>
  <si>
    <t>Mary Campbell</t>
  </si>
  <si>
    <t>CUST10761</t>
  </si>
  <si>
    <t>Jerry Haney</t>
  </si>
  <si>
    <t>CUST10762</t>
  </si>
  <si>
    <t>Carolyn Greer</t>
  </si>
  <si>
    <t>CUST10763</t>
  </si>
  <si>
    <t>Rebecca Hoover</t>
  </si>
  <si>
    <t>CUST10764</t>
  </si>
  <si>
    <t>Matthew Baker</t>
  </si>
  <si>
    <t>CUST10765</t>
  </si>
  <si>
    <t>Grace Chavez</t>
  </si>
  <si>
    <t>CUST10766</t>
  </si>
  <si>
    <t>Crystal Cruz</t>
  </si>
  <si>
    <t>CUST10767</t>
  </si>
  <si>
    <t>Dale Heath</t>
  </si>
  <si>
    <t>CUST10768</t>
  </si>
  <si>
    <t>CUST10769</t>
  </si>
  <si>
    <t>John Mendez</t>
  </si>
  <si>
    <t>CUST10770</t>
  </si>
  <si>
    <t>Richard Gordon</t>
  </si>
  <si>
    <t>CUST10771</t>
  </si>
  <si>
    <t>John Anderson</t>
  </si>
  <si>
    <t>CUST10772</t>
  </si>
  <si>
    <t>Samantha Prince</t>
  </si>
  <si>
    <t>CUST10773</t>
  </si>
  <si>
    <t>Marie Boyd</t>
  </si>
  <si>
    <t>CUST10774</t>
  </si>
  <si>
    <t>Andrew Moreno</t>
  </si>
  <si>
    <t>CUST10775</t>
  </si>
  <si>
    <t>Robert Clarke</t>
  </si>
  <si>
    <t>CUST10776</t>
  </si>
  <si>
    <t>Kevin Figueroa</t>
  </si>
  <si>
    <t>CUST10777</t>
  </si>
  <si>
    <t>Melissa Davis</t>
  </si>
  <si>
    <t>CUST10778</t>
  </si>
  <si>
    <t>John Hall</t>
  </si>
  <si>
    <t>CUST10779</t>
  </si>
  <si>
    <t>Diane Mcdowell</t>
  </si>
  <si>
    <t>CUST10780</t>
  </si>
  <si>
    <t>Colin Fletcher</t>
  </si>
  <si>
    <t>CUST10781</t>
  </si>
  <si>
    <t>Laura Wilson</t>
  </si>
  <si>
    <t>CUST10782</t>
  </si>
  <si>
    <t>Matthew Watts</t>
  </si>
  <si>
    <t>CUST10783</t>
  </si>
  <si>
    <t>Jack Moore</t>
  </si>
  <si>
    <t>CUST10784</t>
  </si>
  <si>
    <t>Dawn Wyatt</t>
  </si>
  <si>
    <t>CUST10785</t>
  </si>
  <si>
    <t>Jacob Hill</t>
  </si>
  <si>
    <t>CUST10786</t>
  </si>
  <si>
    <t>Nicole Gutierrez</t>
  </si>
  <si>
    <t>CUST10787</t>
  </si>
  <si>
    <t>Karen Wood</t>
  </si>
  <si>
    <t>CUST10788</t>
  </si>
  <si>
    <t>Dawn Parker</t>
  </si>
  <si>
    <t>CUST10789</t>
  </si>
  <si>
    <t>Michael Fitzgerald</t>
  </si>
  <si>
    <t>CUST10790</t>
  </si>
  <si>
    <t>Mary Adkins</t>
  </si>
  <si>
    <t>CUST10791</t>
  </si>
  <si>
    <t>Michael Martin</t>
  </si>
  <si>
    <t>CUST10792</t>
  </si>
  <si>
    <t>James Morgan</t>
  </si>
  <si>
    <t>CUST10793</t>
  </si>
  <si>
    <t>Melissa Mann</t>
  </si>
  <si>
    <t>CUST10794</t>
  </si>
  <si>
    <t>Vincent Smith</t>
  </si>
  <si>
    <t>CUST10795</t>
  </si>
  <si>
    <t>Charles Frost</t>
  </si>
  <si>
    <t>CUST10796</t>
  </si>
  <si>
    <t>Austin Walker</t>
  </si>
  <si>
    <t>CUST10797</t>
  </si>
  <si>
    <t>Andrew Cruz</t>
  </si>
  <si>
    <t>CUST10798</t>
  </si>
  <si>
    <t>Miss Kelly Dawson</t>
  </si>
  <si>
    <t>CUST10799</t>
  </si>
  <si>
    <t>Theresa Wilkins</t>
  </si>
  <si>
    <t>CUST10800</t>
  </si>
  <si>
    <t>Jessica Harris</t>
  </si>
  <si>
    <t>CUST10801</t>
  </si>
  <si>
    <t>Regina Mitchell</t>
  </si>
  <si>
    <t>CUST10802</t>
  </si>
  <si>
    <t>Kyle Black</t>
  </si>
  <si>
    <t>CUST10803</t>
  </si>
  <si>
    <t>Christopher Johnson</t>
  </si>
  <si>
    <t>CUST10804</t>
  </si>
  <si>
    <t>Aaron Moore</t>
  </si>
  <si>
    <t>CUST10805</t>
  </si>
  <si>
    <t>Penny Gomez MD</t>
  </si>
  <si>
    <t>CUST10806</t>
  </si>
  <si>
    <t>Kelly Mclaughlin</t>
  </si>
  <si>
    <t>CUST10807</t>
  </si>
  <si>
    <t>Brandon Mitchell</t>
  </si>
  <si>
    <t>CUST10808</t>
  </si>
  <si>
    <t>Suzanne Bailey</t>
  </si>
  <si>
    <t>CUST10809</t>
  </si>
  <si>
    <t>Destiny Obrien</t>
  </si>
  <si>
    <t>CUST10810</t>
  </si>
  <si>
    <t>Timothy Andrews</t>
  </si>
  <si>
    <t>CUST10811</t>
  </si>
  <si>
    <t>Jason Rodriguez</t>
  </si>
  <si>
    <t>CUST10812</t>
  </si>
  <si>
    <t>Edward Arroyo</t>
  </si>
  <si>
    <t>CUST10813</t>
  </si>
  <si>
    <t>Tina Walter</t>
  </si>
  <si>
    <t>CUST10814</t>
  </si>
  <si>
    <t>Laura Benson</t>
  </si>
  <si>
    <t>CUST10815</t>
  </si>
  <si>
    <t>Kristine Carrillo</t>
  </si>
  <si>
    <t>CUST10816</t>
  </si>
  <si>
    <t>Tonya Ellis</t>
  </si>
  <si>
    <t>CUST10817</t>
  </si>
  <si>
    <t>Kevin Johnson</t>
  </si>
  <si>
    <t>CUST10818</t>
  </si>
  <si>
    <t>Austin Schultz</t>
  </si>
  <si>
    <t>CUST10819</t>
  </si>
  <si>
    <t>Megan Hall MD</t>
  </si>
  <si>
    <t>CUST10820</t>
  </si>
  <si>
    <t>Kelli Smith</t>
  </si>
  <si>
    <t>CUST10821</t>
  </si>
  <si>
    <t>Danielle Davis</t>
  </si>
  <si>
    <t>CUST10822</t>
  </si>
  <si>
    <t>Samantha Jones</t>
  </si>
  <si>
    <t>CUST10823</t>
  </si>
  <si>
    <t>Karen Gomez</t>
  </si>
  <si>
    <t>CUST10824</t>
  </si>
  <si>
    <t>Debra Valentine</t>
  </si>
  <si>
    <t>CUST10825</t>
  </si>
  <si>
    <t>Susan Porter</t>
  </si>
  <si>
    <t>CUST10826</t>
  </si>
  <si>
    <t>Nicolas Salas</t>
  </si>
  <si>
    <t>CUST10827</t>
  </si>
  <si>
    <t>Dale Wright</t>
  </si>
  <si>
    <t>CUST10828</t>
  </si>
  <si>
    <t>Brittney Rodriguez</t>
  </si>
  <si>
    <t>CUST10829</t>
  </si>
  <si>
    <t>Megan Alvarado</t>
  </si>
  <si>
    <t>CUST10830</t>
  </si>
  <si>
    <t>Pamela Weaver</t>
  </si>
  <si>
    <t>CUST10831</t>
  </si>
  <si>
    <t>John Oliver</t>
  </si>
  <si>
    <t>CUST10832</t>
  </si>
  <si>
    <t>William Prince PhD</t>
  </si>
  <si>
    <t>CUST10833</t>
  </si>
  <si>
    <t>William Moon IV</t>
  </si>
  <si>
    <t>CUST10834</t>
  </si>
  <si>
    <t>CUST10835</t>
  </si>
  <si>
    <t>Karen Fernandez</t>
  </si>
  <si>
    <t>CUST10836</t>
  </si>
  <si>
    <t>Jennifer Parks</t>
  </si>
  <si>
    <t>CUST10837</t>
  </si>
  <si>
    <t>William Wolfe</t>
  </si>
  <si>
    <t>CUST10838</t>
  </si>
  <si>
    <t>Michael Smith</t>
  </si>
  <si>
    <t>CUST10839</t>
  </si>
  <si>
    <t>Kevin Nguyen</t>
  </si>
  <si>
    <t>CUST10840</t>
  </si>
  <si>
    <t>Debbie Dunn</t>
  </si>
  <si>
    <t>CUST10841</t>
  </si>
  <si>
    <t>John Austin</t>
  </si>
  <si>
    <t>CUST10842</t>
  </si>
  <si>
    <t>Jonathan Clark</t>
  </si>
  <si>
    <t>CUST10843</t>
  </si>
  <si>
    <t>Jacqueline Dickerson</t>
  </si>
  <si>
    <t>CUST10844</t>
  </si>
  <si>
    <t>Christopher Anderson</t>
  </si>
  <si>
    <t>CUST10845</t>
  </si>
  <si>
    <t>Crystal Garcia</t>
  </si>
  <si>
    <t>CUST10846</t>
  </si>
  <si>
    <t>David Reynolds</t>
  </si>
  <si>
    <t>CUST10847</t>
  </si>
  <si>
    <t>Charles Haley</t>
  </si>
  <si>
    <t>CUST10848</t>
  </si>
  <si>
    <t>Robert Thompson</t>
  </si>
  <si>
    <t>CUST10849</t>
  </si>
  <si>
    <t>Dr. Samuel Holmes DDS</t>
  </si>
  <si>
    <t>CUST10850</t>
  </si>
  <si>
    <t>Elizabeth Hart</t>
  </si>
  <si>
    <t>CUST10851</t>
  </si>
  <si>
    <t>Jennifer Vaughn</t>
  </si>
  <si>
    <t>CUST10852</t>
  </si>
  <si>
    <t>Robert Woods</t>
  </si>
  <si>
    <t>CUST10853</t>
  </si>
  <si>
    <t>Joanna Cook</t>
  </si>
  <si>
    <t>CUST10854</t>
  </si>
  <si>
    <t>Justin Frederick</t>
  </si>
  <si>
    <t>CUST10855</t>
  </si>
  <si>
    <t>Alejandro Martinez</t>
  </si>
  <si>
    <t>CUST10856</t>
  </si>
  <si>
    <t>Tracey Gonzalez</t>
  </si>
  <si>
    <t>CUST10857</t>
  </si>
  <si>
    <t>Mariah Thompson</t>
  </si>
  <si>
    <t>CUST10858</t>
  </si>
  <si>
    <t>Heather Nunez</t>
  </si>
  <si>
    <t>CUST10859</t>
  </si>
  <si>
    <t>Dr. Steve James</t>
  </si>
  <si>
    <t>CUST10860</t>
  </si>
  <si>
    <t>Mark Thomas</t>
  </si>
  <si>
    <t>CUST10861</t>
  </si>
  <si>
    <t>Robert Rogers</t>
  </si>
  <si>
    <t>CUST10862</t>
  </si>
  <si>
    <t>Laura Sweeney</t>
  </si>
  <si>
    <t>CUST10863</t>
  </si>
  <si>
    <t>Christopher Perez</t>
  </si>
  <si>
    <t>CUST10864</t>
  </si>
  <si>
    <t>Eddie Adams</t>
  </si>
  <si>
    <t>CUST10865</t>
  </si>
  <si>
    <t>Denise Wallace</t>
  </si>
  <si>
    <t>CUST10866</t>
  </si>
  <si>
    <t>Heidi Matthews</t>
  </si>
  <si>
    <t>CUST10867</t>
  </si>
  <si>
    <t>Jennifer White</t>
  </si>
  <si>
    <t>CUST10868</t>
  </si>
  <si>
    <t>Nicholas Stanley</t>
  </si>
  <si>
    <t>CUST10869</t>
  </si>
  <si>
    <t>Mercedes Miller</t>
  </si>
  <si>
    <t>CUST10870</t>
  </si>
  <si>
    <t>Brian Brown</t>
  </si>
  <si>
    <t>CUST10871</t>
  </si>
  <si>
    <t>Kimberly Johnson</t>
  </si>
  <si>
    <t>CUST10872</t>
  </si>
  <si>
    <t>Phillip Miller</t>
  </si>
  <si>
    <t>CUST10873</t>
  </si>
  <si>
    <t>Christopher Pena</t>
  </si>
  <si>
    <t>CUST10874</t>
  </si>
  <si>
    <t>Ellen Wright</t>
  </si>
  <si>
    <t>CUST10875</t>
  </si>
  <si>
    <t>Mark Anderson</t>
  </si>
  <si>
    <t>CUST10876</t>
  </si>
  <si>
    <t>Alyssa Alvarado</t>
  </si>
  <si>
    <t>CUST10877</t>
  </si>
  <si>
    <t>Erika Alvarez</t>
  </si>
  <si>
    <t>CUST10878</t>
  </si>
  <si>
    <t>Kimberly Nelson</t>
  </si>
  <si>
    <t>CUST10879</t>
  </si>
  <si>
    <t>Wayne Wolfe</t>
  </si>
  <si>
    <t>CUST10880</t>
  </si>
  <si>
    <t>Kyle Welch</t>
  </si>
  <si>
    <t>CUST10881</t>
  </si>
  <si>
    <t>Kristy Mills</t>
  </si>
  <si>
    <t>CUST10882</t>
  </si>
  <si>
    <t>Emily Reed</t>
  </si>
  <si>
    <t>CUST10883</t>
  </si>
  <si>
    <t>Regina Ramos</t>
  </si>
  <si>
    <t>CUST10884</t>
  </si>
  <si>
    <t>David Torres</t>
  </si>
  <si>
    <t>CUST10885</t>
  </si>
  <si>
    <t>Robert Charles</t>
  </si>
  <si>
    <t>CUST10886</t>
  </si>
  <si>
    <t>John Smith</t>
  </si>
  <si>
    <t>CUST10887</t>
  </si>
  <si>
    <t>Theresa Woods</t>
  </si>
  <si>
    <t>CUST10888</t>
  </si>
  <si>
    <t>Jeffrey Carter</t>
  </si>
  <si>
    <t>CUST10889</t>
  </si>
  <si>
    <t>Adam Brooks</t>
  </si>
  <si>
    <t>CUST10890</t>
  </si>
  <si>
    <t>Justin Foster</t>
  </si>
  <si>
    <t>CUST10891</t>
  </si>
  <si>
    <t>Omar Price</t>
  </si>
  <si>
    <t>CUST10892</t>
  </si>
  <si>
    <t>Dennis Henderson</t>
  </si>
  <si>
    <t>CUST10893</t>
  </si>
  <si>
    <t>Phillip Kent</t>
  </si>
  <si>
    <t>CUST10894</t>
  </si>
  <si>
    <t>Melinda Mitchell</t>
  </si>
  <si>
    <t>CUST10895</t>
  </si>
  <si>
    <t>Rhonda Gutierrez</t>
  </si>
  <si>
    <t>CUST10896</t>
  </si>
  <si>
    <t>Catherine Roberts</t>
  </si>
  <si>
    <t>CUST10897</t>
  </si>
  <si>
    <t>Lisa Nelson</t>
  </si>
  <si>
    <t>CUST10898</t>
  </si>
  <si>
    <t>Chelsea Smith</t>
  </si>
  <si>
    <t>CUST10899</t>
  </si>
  <si>
    <t>Joseph Lopez</t>
  </si>
  <si>
    <t>CUST10900</t>
  </si>
  <si>
    <t>Derrick Espinoza</t>
  </si>
  <si>
    <t>CUST10901</t>
  </si>
  <si>
    <t>Crystal Hernandez</t>
  </si>
  <si>
    <t>CUST10902</t>
  </si>
  <si>
    <t>Glenn Collins DDS</t>
  </si>
  <si>
    <t>CUST10903</t>
  </si>
  <si>
    <t>Mrs. Raven Rivera DVM</t>
  </si>
  <si>
    <t>CUST10904</t>
  </si>
  <si>
    <t>Amy Rowe</t>
  </si>
  <si>
    <t>CUST10905</t>
  </si>
  <si>
    <t>John Lee</t>
  </si>
  <si>
    <t>CUST10906</t>
  </si>
  <si>
    <t>Ruth Clayton</t>
  </si>
  <si>
    <t>CUST10907</t>
  </si>
  <si>
    <t>Randy Wright</t>
  </si>
  <si>
    <t>CUST10908</t>
  </si>
  <si>
    <t>Jessica Rojas</t>
  </si>
  <si>
    <t>CUST10909</t>
  </si>
  <si>
    <t>Joel Wise</t>
  </si>
  <si>
    <t>CUST10910</t>
  </si>
  <si>
    <t>Vickie Kennedy</t>
  </si>
  <si>
    <t>CUST10911</t>
  </si>
  <si>
    <t>Emily Morris</t>
  </si>
  <si>
    <t>CUST10912</t>
  </si>
  <si>
    <t>Amanda Pineda</t>
  </si>
  <si>
    <t>CUST10913</t>
  </si>
  <si>
    <t>Dawn Little</t>
  </si>
  <si>
    <t>CUST10914</t>
  </si>
  <si>
    <t>Stephen Boyer</t>
  </si>
  <si>
    <t>CUST10915</t>
  </si>
  <si>
    <t>Brian Chen</t>
  </si>
  <si>
    <t>CUST10916</t>
  </si>
  <si>
    <t>Christopher Hill</t>
  </si>
  <si>
    <t>CUST10917</t>
  </si>
  <si>
    <t>Richard Smith</t>
  </si>
  <si>
    <t>CUST10918</t>
  </si>
  <si>
    <t>Richard Alvarez</t>
  </si>
  <si>
    <t>CUST10919</t>
  </si>
  <si>
    <t>Jacqueline Davis</t>
  </si>
  <si>
    <t>CUST10920</t>
  </si>
  <si>
    <t>Brandon Montgomery</t>
  </si>
  <si>
    <t>CUST10921</t>
  </si>
  <si>
    <t>Yolanda Garrett</t>
  </si>
  <si>
    <t>CUST10922</t>
  </si>
  <si>
    <t>Matthew Miles</t>
  </si>
  <si>
    <t>CUST10923</t>
  </si>
  <si>
    <t>Beth Hall</t>
  </si>
  <si>
    <t>CUST10924</t>
  </si>
  <si>
    <t>Dr. Nicole Trujillo</t>
  </si>
  <si>
    <t>CUST10925</t>
  </si>
  <si>
    <t>Corey Norris</t>
  </si>
  <si>
    <t>CUST10926</t>
  </si>
  <si>
    <t>Chad Roach</t>
  </si>
  <si>
    <t>CUST10927</t>
  </si>
  <si>
    <t>Mr. Edward Terry</t>
  </si>
  <si>
    <t>CUST10928</t>
  </si>
  <si>
    <t>Cody Bailey</t>
  </si>
  <si>
    <t>CUST10929</t>
  </si>
  <si>
    <t>Denise Guerra</t>
  </si>
  <si>
    <t>CUST10930</t>
  </si>
  <si>
    <t>Kristen Jones</t>
  </si>
  <si>
    <t>CUST10931</t>
  </si>
  <si>
    <t>Edward Baker</t>
  </si>
  <si>
    <t>CUST10932</t>
  </si>
  <si>
    <t>Aaron Little</t>
  </si>
  <si>
    <t>CUST10933</t>
  </si>
  <si>
    <t>Cody Smith</t>
  </si>
  <si>
    <t>CUST10934</t>
  </si>
  <si>
    <t>Patty Allen</t>
  </si>
  <si>
    <t>CUST10935</t>
  </si>
  <si>
    <t>Mary Ryan</t>
  </si>
  <si>
    <t>CUST10936</t>
  </si>
  <si>
    <t>Joseph Jimenez</t>
  </si>
  <si>
    <t>CUST10937</t>
  </si>
  <si>
    <t>Lisa Morris</t>
  </si>
  <si>
    <t>CUST10938</t>
  </si>
  <si>
    <t>Ashley Mills</t>
  </si>
  <si>
    <t>CUST10939</t>
  </si>
  <si>
    <t>Russell Anderson</t>
  </si>
  <si>
    <t>CUST10940</t>
  </si>
  <si>
    <t>Christina Washington</t>
  </si>
  <si>
    <t>CUST10941</t>
  </si>
  <si>
    <t>Kenneth Huff</t>
  </si>
  <si>
    <t>CUST10942</t>
  </si>
  <si>
    <t>Kelly Miles</t>
  </si>
  <si>
    <t>CUST10943</t>
  </si>
  <si>
    <t>Jacob Obrien</t>
  </si>
  <si>
    <t>CUST10944</t>
  </si>
  <si>
    <t>Timothy Clark</t>
  </si>
  <si>
    <t>CUST10945</t>
  </si>
  <si>
    <t>Steve Miller PhD</t>
  </si>
  <si>
    <t>CUST10946</t>
  </si>
  <si>
    <t>Justin Hurley</t>
  </si>
  <si>
    <t>CUST10947</t>
  </si>
  <si>
    <t>Jacob Erickson</t>
  </si>
  <si>
    <t>CUST10948</t>
  </si>
  <si>
    <t>Deborah Williams</t>
  </si>
  <si>
    <t>CUST10949</t>
  </si>
  <si>
    <t>Eric Blackburn</t>
  </si>
  <si>
    <t>CUST10950</t>
  </si>
  <si>
    <t>Anne Hardy</t>
  </si>
  <si>
    <t>CUST10951</t>
  </si>
  <si>
    <t>Chelsey Fox</t>
  </si>
  <si>
    <t>CUST10952</t>
  </si>
  <si>
    <t>Mario White</t>
  </si>
  <si>
    <t>CUST10953</t>
  </si>
  <si>
    <t>Jennifer Garcia</t>
  </si>
  <si>
    <t>CUST10954</t>
  </si>
  <si>
    <t>Heather Ellis</t>
  </si>
  <si>
    <t>CUST10955</t>
  </si>
  <si>
    <t>Sonya Jackson</t>
  </si>
  <si>
    <t>CUST10956</t>
  </si>
  <si>
    <t>CUST10957</t>
  </si>
  <si>
    <t>Zachary Ramos</t>
  </si>
  <si>
    <t>CUST10958</t>
  </si>
  <si>
    <t>Ethan Frey</t>
  </si>
  <si>
    <t>CUST10959</t>
  </si>
  <si>
    <t>Jacob Duran</t>
  </si>
  <si>
    <t>CUST10960</t>
  </si>
  <si>
    <t>Nicholas Franklin</t>
  </si>
  <si>
    <t>CUST10961</t>
  </si>
  <si>
    <t>Cindy Cannon</t>
  </si>
  <si>
    <t>CUST10962</t>
  </si>
  <si>
    <t>Dawn Nixon</t>
  </si>
  <si>
    <t>CUST10963</t>
  </si>
  <si>
    <t>James Barber</t>
  </si>
  <si>
    <t>CUST10964</t>
  </si>
  <si>
    <t>Ms. Kelly Holder</t>
  </si>
  <si>
    <t>CUST10965</t>
  </si>
  <si>
    <t>Eric Walker</t>
  </si>
  <si>
    <t>CUST10966</t>
  </si>
  <si>
    <t>Alison Short</t>
  </si>
  <si>
    <t>CUST10967</t>
  </si>
  <si>
    <t>Desiree Spencer</t>
  </si>
  <si>
    <t>CUST10968</t>
  </si>
  <si>
    <t>Tammy Moore</t>
  </si>
  <si>
    <t>CUST10969</t>
  </si>
  <si>
    <t>Henry Taylor</t>
  </si>
  <si>
    <t>CUST10970</t>
  </si>
  <si>
    <t>Kevin Hall</t>
  </si>
  <si>
    <t>CUST10971</t>
  </si>
  <si>
    <t>Anna Ross</t>
  </si>
  <si>
    <t>CUST10972</t>
  </si>
  <si>
    <t>Morgan Cummings</t>
  </si>
  <si>
    <t>CUST10973</t>
  </si>
  <si>
    <t>Carrie Petersen</t>
  </si>
  <si>
    <t>CUST10974</t>
  </si>
  <si>
    <t>Laura Velez</t>
  </si>
  <si>
    <t>CUST10975</t>
  </si>
  <si>
    <t>Elizabeth Cross</t>
  </si>
  <si>
    <t>CUST10976</t>
  </si>
  <si>
    <t>Angela Brown</t>
  </si>
  <si>
    <t>CUST10977</t>
  </si>
  <si>
    <t>Hannah Montoya</t>
  </si>
  <si>
    <t>CUST10978</t>
  </si>
  <si>
    <t>Sean Kane</t>
  </si>
  <si>
    <t>CUST10979</t>
  </si>
  <si>
    <t>Matthew Guzman</t>
  </si>
  <si>
    <t>CUST10980</t>
  </si>
  <si>
    <t>Richard Reyes</t>
  </si>
  <si>
    <t>CUST10981</t>
  </si>
  <si>
    <t>Andrew Fernandez</t>
  </si>
  <si>
    <t>CUST10982</t>
  </si>
  <si>
    <t>Jonathan Walker</t>
  </si>
  <si>
    <t>CUST10983</t>
  </si>
  <si>
    <t>Nicholas Long</t>
  </si>
  <si>
    <t>CUST10984</t>
  </si>
  <si>
    <t>Kurt Wagner</t>
  </si>
  <si>
    <t>CUST10985</t>
  </si>
  <si>
    <t>Dylan Foster</t>
  </si>
  <si>
    <t>CUST10986</t>
  </si>
  <si>
    <t>Bradley Duncan</t>
  </si>
  <si>
    <t>CUST10987</t>
  </si>
  <si>
    <t>James Miller</t>
  </si>
  <si>
    <t>CUST10988</t>
  </si>
  <si>
    <t>Patricia Anderson</t>
  </si>
  <si>
    <t>CUST10989</t>
  </si>
  <si>
    <t>Justin Freeman</t>
  </si>
  <si>
    <t>CUST10990</t>
  </si>
  <si>
    <t>Christina Gilbert</t>
  </si>
  <si>
    <t>CUST10991</t>
  </si>
  <si>
    <t>Danielle Jones</t>
  </si>
  <si>
    <t>CUST10992</t>
  </si>
  <si>
    <t>Erica Glass</t>
  </si>
  <si>
    <t>CUST10993</t>
  </si>
  <si>
    <t>Michael Henderson</t>
  </si>
  <si>
    <t>CUST10994</t>
  </si>
  <si>
    <t>Frank Wheeler</t>
  </si>
  <si>
    <t>CUST10995</t>
  </si>
  <si>
    <t>Eric Huerta</t>
  </si>
  <si>
    <t>CUST10996</t>
  </si>
  <si>
    <t>Wanda Ramos</t>
  </si>
  <si>
    <t>CUST10997</t>
  </si>
  <si>
    <t>Andrew Meyers</t>
  </si>
  <si>
    <t>CUST10998</t>
  </si>
  <si>
    <t>James Todd</t>
  </si>
  <si>
    <t>CUST10999</t>
  </si>
  <si>
    <t>Ashley Brown</t>
  </si>
  <si>
    <t>CUST11000</t>
  </si>
  <si>
    <t>Tammy Melton</t>
  </si>
  <si>
    <t>CUST11001</t>
  </si>
  <si>
    <t>Alexis Benson</t>
  </si>
  <si>
    <t>CUST11002</t>
  </si>
  <si>
    <t>Jerry Johnson</t>
  </si>
  <si>
    <t>CUST11003</t>
  </si>
  <si>
    <t>Joshua Harris</t>
  </si>
  <si>
    <t>CUST11004</t>
  </si>
  <si>
    <t>Deanna Webb</t>
  </si>
  <si>
    <t>CUST11005</t>
  </si>
  <si>
    <t>Brenda Hale</t>
  </si>
  <si>
    <t>CUST11006</t>
  </si>
  <si>
    <t>Kevin Alvarado</t>
  </si>
  <si>
    <t>CUST11007</t>
  </si>
  <si>
    <t>Christopher Campbell</t>
  </si>
  <si>
    <t>CUST11008</t>
  </si>
  <si>
    <t>Lisa Brown</t>
  </si>
  <si>
    <t>CUST11009</t>
  </si>
  <si>
    <t>Alejandra Price</t>
  </si>
  <si>
    <t>CUST11010</t>
  </si>
  <si>
    <t>Samuel Keller</t>
  </si>
  <si>
    <t>CUST11011</t>
  </si>
  <si>
    <t>Alicia Dillon</t>
  </si>
  <si>
    <t>CUST11012</t>
  </si>
  <si>
    <t>Crystal James</t>
  </si>
  <si>
    <t>CUST11013</t>
  </si>
  <si>
    <t>Ariana Stewart</t>
  </si>
  <si>
    <t>CUST11014</t>
  </si>
  <si>
    <t>Kim Lopez</t>
  </si>
  <si>
    <t>CUST11015</t>
  </si>
  <si>
    <t>Judith House</t>
  </si>
  <si>
    <t>CUST11016</t>
  </si>
  <si>
    <t>David Moreno</t>
  </si>
  <si>
    <t>CUST11017</t>
  </si>
  <si>
    <t>James Moore</t>
  </si>
  <si>
    <t>CUST11018</t>
  </si>
  <si>
    <t>Harold Garrett</t>
  </si>
  <si>
    <t>CUST11019</t>
  </si>
  <si>
    <t>William Mason</t>
  </si>
  <si>
    <t>CUST11020</t>
  </si>
  <si>
    <t>Lori Johns</t>
  </si>
  <si>
    <t>CUST11021</t>
  </si>
  <si>
    <t>Robin Johnson</t>
  </si>
  <si>
    <t>CUST11022</t>
  </si>
  <si>
    <t>Diana Hernandez</t>
  </si>
  <si>
    <t>CUST11023</t>
  </si>
  <si>
    <t>CUST11024</t>
  </si>
  <si>
    <t>Tyler Salazar</t>
  </si>
  <si>
    <t>CUST11025</t>
  </si>
  <si>
    <t>Crystal Allen</t>
  </si>
  <si>
    <t>CUST11026</t>
  </si>
  <si>
    <t>Wesley Browning</t>
  </si>
  <si>
    <t>CUST11027</t>
  </si>
  <si>
    <t>Joshua Clark</t>
  </si>
  <si>
    <t>CUST11028</t>
  </si>
  <si>
    <t>Joshua Mcbride</t>
  </si>
  <si>
    <t>CUST11029</t>
  </si>
  <si>
    <t>Ellen Thornton</t>
  </si>
  <si>
    <t>CUST11030</t>
  </si>
  <si>
    <t>Brandy Forbes</t>
  </si>
  <si>
    <t>CUST11031</t>
  </si>
  <si>
    <t>Brianna Fitzpatrick</t>
  </si>
  <si>
    <t>CUST11032</t>
  </si>
  <si>
    <t>Emily Grant</t>
  </si>
  <si>
    <t>CUST11033</t>
  </si>
  <si>
    <t>Bailey Stewart</t>
  </si>
  <si>
    <t>CUST11034</t>
  </si>
  <si>
    <t>Monica Cannon</t>
  </si>
  <si>
    <t>CUST11035</t>
  </si>
  <si>
    <t>Jennifer Jenkins</t>
  </si>
  <si>
    <t>CUST11036</t>
  </si>
  <si>
    <t>Timothy Shannon</t>
  </si>
  <si>
    <t>CUST11037</t>
  </si>
  <si>
    <t>Denise Maxwell</t>
  </si>
  <si>
    <t>CUST11038</t>
  </si>
  <si>
    <t>Cody Farmer</t>
  </si>
  <si>
    <t>CUST11039</t>
  </si>
  <si>
    <t>Debra Bradley</t>
  </si>
  <si>
    <t>CUST11040</t>
  </si>
  <si>
    <t>David Mcdaniel</t>
  </si>
  <si>
    <t>CUST11041</t>
  </si>
  <si>
    <t>Michael Woods</t>
  </si>
  <si>
    <t>CUST11042</t>
  </si>
  <si>
    <t>Lisa Joseph</t>
  </si>
  <si>
    <t>CUST11043</t>
  </si>
  <si>
    <t>Samuel Henry</t>
  </si>
  <si>
    <t>CUST11044</t>
  </si>
  <si>
    <t>Corey Johnson</t>
  </si>
  <si>
    <t>CUST11045</t>
  </si>
  <si>
    <t>Alexis Nelson</t>
  </si>
  <si>
    <t>CUST11046</t>
  </si>
  <si>
    <t>Patrick Mcneil</t>
  </si>
  <si>
    <t>CUST11047</t>
  </si>
  <si>
    <t>Andrea Ho</t>
  </si>
  <si>
    <t>CUST11048</t>
  </si>
  <si>
    <t>Dr. Katherine Nguyen</t>
  </si>
  <si>
    <t>CUST11049</t>
  </si>
  <si>
    <t>David Sullivan</t>
  </si>
  <si>
    <t>CUST11050</t>
  </si>
  <si>
    <t>Nicolas James</t>
  </si>
  <si>
    <t>CUST11051</t>
  </si>
  <si>
    <t>Logan Newton</t>
  </si>
  <si>
    <t>CUST11052</t>
  </si>
  <si>
    <t>Kelly Liu</t>
  </si>
  <si>
    <t>CUST11053</t>
  </si>
  <si>
    <t>Kelly Hayes</t>
  </si>
  <si>
    <t>CUST11054</t>
  </si>
  <si>
    <t>Amanda Forbes</t>
  </si>
  <si>
    <t>CUST11055</t>
  </si>
  <si>
    <t>Jennifer Moss</t>
  </si>
  <si>
    <t>CUST11056</t>
  </si>
  <si>
    <t>Kelli Mccoy</t>
  </si>
  <si>
    <t>CUST11057</t>
  </si>
  <si>
    <t>Eddie Sanders</t>
  </si>
  <si>
    <t>CUST11058</t>
  </si>
  <si>
    <t>Ronald Murray</t>
  </si>
  <si>
    <t>CUST11059</t>
  </si>
  <si>
    <t>Louis Brown</t>
  </si>
  <si>
    <t>CUST11060</t>
  </si>
  <si>
    <t>Brenda Gallegos</t>
  </si>
  <si>
    <t>CUST11061</t>
  </si>
  <si>
    <t>CUST11062</t>
  </si>
  <si>
    <t>Teresa Horton</t>
  </si>
  <si>
    <t>CUST11063</t>
  </si>
  <si>
    <t>Jason Hayes</t>
  </si>
  <si>
    <t>CUST11064</t>
  </si>
  <si>
    <t>Kevin Marquez</t>
  </si>
  <si>
    <t>CUST11065</t>
  </si>
  <si>
    <t>Jesse Wright</t>
  </si>
  <si>
    <t>CUST11066</t>
  </si>
  <si>
    <t>Susan Hogan</t>
  </si>
  <si>
    <t>CUST11067</t>
  </si>
  <si>
    <t>Becky Wilson</t>
  </si>
  <si>
    <t>CUST11068</t>
  </si>
  <si>
    <t>Jack Mills</t>
  </si>
  <si>
    <t>CUST11069</t>
  </si>
  <si>
    <t>Richard Hunt</t>
  </si>
  <si>
    <t>CUST11070</t>
  </si>
  <si>
    <t>Jamie James</t>
  </si>
  <si>
    <t>CUST11071</t>
  </si>
  <si>
    <t>Susan Cunningham</t>
  </si>
  <si>
    <t>CUST11072</t>
  </si>
  <si>
    <t>Brittany Melton</t>
  </si>
  <si>
    <t>CUST11073</t>
  </si>
  <si>
    <t>Michael Barnes</t>
  </si>
  <si>
    <t>CUST11074</t>
  </si>
  <si>
    <t>Randy Griffin</t>
  </si>
  <si>
    <t>CUST11075</t>
  </si>
  <si>
    <t>Autumn Anderson</t>
  </si>
  <si>
    <t>CUST11076</t>
  </si>
  <si>
    <t>Marcus King</t>
  </si>
  <si>
    <t>CUST11077</t>
  </si>
  <si>
    <t>Scott Stephens</t>
  </si>
  <si>
    <t>CUST11078</t>
  </si>
  <si>
    <t>Stephen Young</t>
  </si>
  <si>
    <t>CUST11079</t>
  </si>
  <si>
    <t>Karen Ortiz</t>
  </si>
  <si>
    <t>CUST11080</t>
  </si>
  <si>
    <t>Kyle Sanchez</t>
  </si>
  <si>
    <t>CUST11081</t>
  </si>
  <si>
    <t>Lisa Grant</t>
  </si>
  <si>
    <t>CUST11082</t>
  </si>
  <si>
    <t>Amber Hernandez</t>
  </si>
  <si>
    <t>CUST11083</t>
  </si>
  <si>
    <t>Amanda Nash</t>
  </si>
  <si>
    <t>CUST11084</t>
  </si>
  <si>
    <t>Sara Evans</t>
  </si>
  <si>
    <t>CUST11085</t>
  </si>
  <si>
    <t>Amber Butler</t>
  </si>
  <si>
    <t>CUST11086</t>
  </si>
  <si>
    <t>Michael Carr</t>
  </si>
  <si>
    <t>CUST11087</t>
  </si>
  <si>
    <t>Linda Cobb</t>
  </si>
  <si>
    <t>CUST11088</t>
  </si>
  <si>
    <t>Jesse Riley</t>
  </si>
  <si>
    <t>CUST11089</t>
  </si>
  <si>
    <t>Anna Evans</t>
  </si>
  <si>
    <t>CUST11090</t>
  </si>
  <si>
    <t>James Jones</t>
  </si>
  <si>
    <t>CUST11091</t>
  </si>
  <si>
    <t>Joshua Carter</t>
  </si>
  <si>
    <t>CUST11092</t>
  </si>
  <si>
    <t>Michael Hill</t>
  </si>
  <si>
    <t>CUST11093</t>
  </si>
  <si>
    <t>Kelly Dominguez</t>
  </si>
  <si>
    <t>CUST11094</t>
  </si>
  <si>
    <t>Ashley Blair</t>
  </si>
  <si>
    <t>CUST11095</t>
  </si>
  <si>
    <t>Victoria Webb</t>
  </si>
  <si>
    <t>CUST11096</t>
  </si>
  <si>
    <t>Taylor Andersen</t>
  </si>
  <si>
    <t>CUST11097</t>
  </si>
  <si>
    <t>Lee Stewart</t>
  </si>
  <si>
    <t>CUST11098</t>
  </si>
  <si>
    <t>Whitney Gomez</t>
  </si>
  <si>
    <t>CUST11099</t>
  </si>
  <si>
    <t>Justin Stone</t>
  </si>
  <si>
    <t>CUST11100</t>
  </si>
  <si>
    <t>Katherine White</t>
  </si>
  <si>
    <t>CUST11101</t>
  </si>
  <si>
    <t>Michelle Krause</t>
  </si>
  <si>
    <t>CUST11102</t>
  </si>
  <si>
    <t>Alexander Garrett</t>
  </si>
  <si>
    <t>CUST11103</t>
  </si>
  <si>
    <t>Ryan Marsh</t>
  </si>
  <si>
    <t>CUST11104</t>
  </si>
  <si>
    <t>Mrs. Felicia Castro DDS</t>
  </si>
  <si>
    <t>CUST11105</t>
  </si>
  <si>
    <t>Curtis Campbell</t>
  </si>
  <si>
    <t>CUST11106</t>
  </si>
  <si>
    <t>Elizabeth Hunter</t>
  </si>
  <si>
    <t>CUST11107</t>
  </si>
  <si>
    <t>Aaron Jennings</t>
  </si>
  <si>
    <t>CUST11108</t>
  </si>
  <si>
    <t>Nathaniel Gilbert</t>
  </si>
  <si>
    <t>CUST11109</t>
  </si>
  <si>
    <t>Christopher Rivera</t>
  </si>
  <si>
    <t>CUST11110</t>
  </si>
  <si>
    <t>Michael Hendricks</t>
  </si>
  <si>
    <t>CUST11111</t>
  </si>
  <si>
    <t>Maria Olson</t>
  </si>
  <si>
    <t>CUST11112</t>
  </si>
  <si>
    <t>Stephanie Herrera</t>
  </si>
  <si>
    <t>CUST11113</t>
  </si>
  <si>
    <t>Richard Gutierrez</t>
  </si>
  <si>
    <t>CUST11114</t>
  </si>
  <si>
    <t>Sandy Evans</t>
  </si>
  <si>
    <t>CUST11115</t>
  </si>
  <si>
    <t>Emily Herrera</t>
  </si>
  <si>
    <t>CUST11116</t>
  </si>
  <si>
    <t>Michael Marsh</t>
  </si>
  <si>
    <t>CUST11117</t>
  </si>
  <si>
    <t>Heather Montes</t>
  </si>
  <si>
    <t>CUST11118</t>
  </si>
  <si>
    <t>Andre Terrell</t>
  </si>
  <si>
    <t>CUST11119</t>
  </si>
  <si>
    <t>Sarah Duncan</t>
  </si>
  <si>
    <t>CUST11120</t>
  </si>
  <si>
    <t>Kurt Hancock</t>
  </si>
  <si>
    <t>CUST11121</t>
  </si>
  <si>
    <t>Michele Edwards</t>
  </si>
  <si>
    <t>CUST11122</t>
  </si>
  <si>
    <t>Jason Crawford</t>
  </si>
  <si>
    <t>CUST11123</t>
  </si>
  <si>
    <t>Jesse Sampson</t>
  </si>
  <si>
    <t>CUST11124</t>
  </si>
  <si>
    <t>Eric Rodriguez</t>
  </si>
  <si>
    <t>CUST11125</t>
  </si>
  <si>
    <t>Paula Gentry</t>
  </si>
  <si>
    <t>CUST11126</t>
  </si>
  <si>
    <t>Alexander Webb</t>
  </si>
  <si>
    <t>CUST11127</t>
  </si>
  <si>
    <t>Cheryl Mclean</t>
  </si>
  <si>
    <t>CUST11128</t>
  </si>
  <si>
    <t>Kelly Rowe</t>
  </si>
  <si>
    <t>CUST11129</t>
  </si>
  <si>
    <t>Shane Short</t>
  </si>
  <si>
    <t>CUST11130</t>
  </si>
  <si>
    <t>Megan Anderson</t>
  </si>
  <si>
    <t>CUST11131</t>
  </si>
  <si>
    <t>Julia Reeves</t>
  </si>
  <si>
    <t>CUST11132</t>
  </si>
  <si>
    <t>April Randolph</t>
  </si>
  <si>
    <t>CUST11133</t>
  </si>
  <si>
    <t>Linda Miller</t>
  </si>
  <si>
    <t>CUST11134</t>
  </si>
  <si>
    <t>Angel Meyer</t>
  </si>
  <si>
    <t>CUST11135</t>
  </si>
  <si>
    <t>Emily Lane</t>
  </si>
  <si>
    <t>CUST11136</t>
  </si>
  <si>
    <t>Steven Flores</t>
  </si>
  <si>
    <t>CUST11137</t>
  </si>
  <si>
    <t>Donald Flores</t>
  </si>
  <si>
    <t>CUST11138</t>
  </si>
  <si>
    <t>Bruce Hernandez</t>
  </si>
  <si>
    <t>CUST11139</t>
  </si>
  <si>
    <t>Adrian Dean</t>
  </si>
  <si>
    <t>CUST11140</t>
  </si>
  <si>
    <t>Christine Bell</t>
  </si>
  <si>
    <t>CUST11141</t>
  </si>
  <si>
    <t>Charles Bush</t>
  </si>
  <si>
    <t>CUST11142</t>
  </si>
  <si>
    <t>David Jones</t>
  </si>
  <si>
    <t>CUST11143</t>
  </si>
  <si>
    <t>Gina Wallace</t>
  </si>
  <si>
    <t>CUST11144</t>
  </si>
  <si>
    <t>John Lowe</t>
  </si>
  <si>
    <t>CUST11145</t>
  </si>
  <si>
    <t>Anthony Simmons</t>
  </si>
  <si>
    <t>CUST11146</t>
  </si>
  <si>
    <t>Kyle Watkins</t>
  </si>
  <si>
    <t>CUST11147</t>
  </si>
  <si>
    <t>Melissa Jensen</t>
  </si>
  <si>
    <t>CUST11148</t>
  </si>
  <si>
    <t>Robert Marquez</t>
  </si>
  <si>
    <t>CUST11149</t>
  </si>
  <si>
    <t>Kim Beltran</t>
  </si>
  <si>
    <t>CUST11150</t>
  </si>
  <si>
    <t>Julie Anderson</t>
  </si>
  <si>
    <t>CUST11151</t>
  </si>
  <si>
    <t>Tamara Mcdonald</t>
  </si>
  <si>
    <t>CUST11152</t>
  </si>
  <si>
    <t>Michael Mckinney</t>
  </si>
  <si>
    <t>CUST11153</t>
  </si>
  <si>
    <t>CUST11154</t>
  </si>
  <si>
    <t>Lisa Durham</t>
  </si>
  <si>
    <t>CUST11155</t>
  </si>
  <si>
    <t>Michael Ortega</t>
  </si>
  <si>
    <t>CUST11156</t>
  </si>
  <si>
    <t>Sonya Chavez</t>
  </si>
  <si>
    <t>CUST11157</t>
  </si>
  <si>
    <t>John Bell</t>
  </si>
  <si>
    <t>CUST11158</t>
  </si>
  <si>
    <t>Christopher Tate</t>
  </si>
  <si>
    <t>CUST11159</t>
  </si>
  <si>
    <t>Bethany Garcia</t>
  </si>
  <si>
    <t>CUST11160</t>
  </si>
  <si>
    <t>Rebecca Nguyen</t>
  </si>
  <si>
    <t>CUST11161</t>
  </si>
  <si>
    <t>Rebecca Patel</t>
  </si>
  <si>
    <t>CUST11162</t>
  </si>
  <si>
    <t>Jason Oliver</t>
  </si>
  <si>
    <t>CUST11163</t>
  </si>
  <si>
    <t>Valerie Reyes</t>
  </si>
  <si>
    <t>CUST11164</t>
  </si>
  <si>
    <t>Robert Garza</t>
  </si>
  <si>
    <t>CUST11165</t>
  </si>
  <si>
    <t>Jessica Cobb</t>
  </si>
  <si>
    <t>CUST11166</t>
  </si>
  <si>
    <t>Cynthia Bates</t>
  </si>
  <si>
    <t>CUST11167</t>
  </si>
  <si>
    <t>CUST11168</t>
  </si>
  <si>
    <t>Mr. Joel Peters</t>
  </si>
  <si>
    <t>CUST11169</t>
  </si>
  <si>
    <t>Casey Blanchard</t>
  </si>
  <si>
    <t>CUST11170</t>
  </si>
  <si>
    <t>Brian Cervantes</t>
  </si>
  <si>
    <t>CUST11171</t>
  </si>
  <si>
    <t>Jamie Snyder</t>
  </si>
  <si>
    <t>CUST11172</t>
  </si>
  <si>
    <t>Ann Montoya</t>
  </si>
  <si>
    <t>CUST11173</t>
  </si>
  <si>
    <t>Stephanie Fields</t>
  </si>
  <si>
    <t>CUST11174</t>
  </si>
  <si>
    <t>Charles Hernandez</t>
  </si>
  <si>
    <t>CUST11175</t>
  </si>
  <si>
    <t>Jean Lane</t>
  </si>
  <si>
    <t>CUST11176</t>
  </si>
  <si>
    <t>Michael Stewart</t>
  </si>
  <si>
    <t>CUST11177</t>
  </si>
  <si>
    <t>Susan Torres</t>
  </si>
  <si>
    <t>CUST11178</t>
  </si>
  <si>
    <t>Jessica Haas</t>
  </si>
  <si>
    <t>CUST11179</t>
  </si>
  <si>
    <t>Brandon Smith</t>
  </si>
  <si>
    <t>CUST11180</t>
  </si>
  <si>
    <t>Mrs. Bethany Phillips</t>
  </si>
  <si>
    <t>CUST11181</t>
  </si>
  <si>
    <t>Joshua Brown</t>
  </si>
  <si>
    <t>CUST11182</t>
  </si>
  <si>
    <t>Samantha Howard</t>
  </si>
  <si>
    <t>CUST11183</t>
  </si>
  <si>
    <t>Sharon Young</t>
  </si>
  <si>
    <t>CUST11184</t>
  </si>
  <si>
    <t>Jennifer Flores</t>
  </si>
  <si>
    <t>CUST11185</t>
  </si>
  <si>
    <t>James Gardner</t>
  </si>
  <si>
    <t>CUST11186</t>
  </si>
  <si>
    <t>Karen Lopez</t>
  </si>
  <si>
    <t>CUST11187</t>
  </si>
  <si>
    <t>Tim Larsen</t>
  </si>
  <si>
    <t>CUST11188</t>
  </si>
  <si>
    <t>Zachary Santiago</t>
  </si>
  <si>
    <t>CUST11189</t>
  </si>
  <si>
    <t>Benjamin Smith</t>
  </si>
  <si>
    <t>CUST11190</t>
  </si>
  <si>
    <t>Katelyn Kim</t>
  </si>
  <si>
    <t>CUST11191</t>
  </si>
  <si>
    <t>Angela May MD</t>
  </si>
  <si>
    <t>CUST11192</t>
  </si>
  <si>
    <t>Richard Munoz</t>
  </si>
  <si>
    <t>CUST11193</t>
  </si>
  <si>
    <t>Christopher Hicks</t>
  </si>
  <si>
    <t>CUST11194</t>
  </si>
  <si>
    <t>Joanna Kelly</t>
  </si>
  <si>
    <t>CUST11195</t>
  </si>
  <si>
    <t>Larry Lane</t>
  </si>
  <si>
    <t>CUST11196</t>
  </si>
  <si>
    <t>Cynthia Shaw</t>
  </si>
  <si>
    <t>CUST11197</t>
  </si>
  <si>
    <t>Joshua Richardson</t>
  </si>
  <si>
    <t>CUST11198</t>
  </si>
  <si>
    <t>Laura Bush</t>
  </si>
  <si>
    <t>CUST11199</t>
  </si>
  <si>
    <t>John Vaughn</t>
  </si>
  <si>
    <t>CUST11200</t>
  </si>
  <si>
    <t>Nicholas Terrell</t>
  </si>
  <si>
    <t>CUST11201</t>
  </si>
  <si>
    <t>Dr. Julie Miller</t>
  </si>
  <si>
    <t>CUST11202</t>
  </si>
  <si>
    <t>Ann Kennedy</t>
  </si>
  <si>
    <t>CUST11203</t>
  </si>
  <si>
    <t>Toni Miller</t>
  </si>
  <si>
    <t>CUST11204</t>
  </si>
  <si>
    <t>Rebecca Edwards</t>
  </si>
  <si>
    <t>CUST11205</t>
  </si>
  <si>
    <t>Greg Osborne</t>
  </si>
  <si>
    <t>CUST11206</t>
  </si>
  <si>
    <t>Jose Harrison</t>
  </si>
  <si>
    <t>CUST11207</t>
  </si>
  <si>
    <t>Jennifer Yu</t>
  </si>
  <si>
    <t>CUST11208</t>
  </si>
  <si>
    <t>Donna Johnson</t>
  </si>
  <si>
    <t>CUST11209</t>
  </si>
  <si>
    <t>Nicole Acosta</t>
  </si>
  <si>
    <t>CUST11210</t>
  </si>
  <si>
    <t>Amy Kennedy</t>
  </si>
  <si>
    <t>CUST11211</t>
  </si>
  <si>
    <t>Anthony Mooney</t>
  </si>
  <si>
    <t>CUST11212</t>
  </si>
  <si>
    <t>Lori Mitchell</t>
  </si>
  <si>
    <t>CUST11213</t>
  </si>
  <si>
    <t>Jonathan York</t>
  </si>
  <si>
    <t>CUST11214</t>
  </si>
  <si>
    <t>Casey Campbell</t>
  </si>
  <si>
    <t>CUST11215</t>
  </si>
  <si>
    <t>Alexis Rodriguez</t>
  </si>
  <si>
    <t>CUST11216</t>
  </si>
  <si>
    <t>Kevin Hernandez</t>
  </si>
  <si>
    <t>CUST11217</t>
  </si>
  <si>
    <t>Robert Green</t>
  </si>
  <si>
    <t>CUST11218</t>
  </si>
  <si>
    <t>Kari Lloyd</t>
  </si>
  <si>
    <t>CUST11219</t>
  </si>
  <si>
    <t>Grace Miller</t>
  </si>
  <si>
    <t>CUST11220</t>
  </si>
  <si>
    <t>Timothy Moore</t>
  </si>
  <si>
    <t>CUST11221</t>
  </si>
  <si>
    <t>Wyatt Townsend II</t>
  </si>
  <si>
    <t>CUST11222</t>
  </si>
  <si>
    <t>Mark Clark</t>
  </si>
  <si>
    <t>CUST11223</t>
  </si>
  <si>
    <t>Haley May</t>
  </si>
  <si>
    <t>CUST11224</t>
  </si>
  <si>
    <t>Audrey Jackson</t>
  </si>
  <si>
    <t>CUST11225</t>
  </si>
  <si>
    <t>Eric Reese</t>
  </si>
  <si>
    <t>CUST11226</t>
  </si>
  <si>
    <t>Kim James</t>
  </si>
  <si>
    <t>CUST11227</t>
  </si>
  <si>
    <t>Karen Thomas</t>
  </si>
  <si>
    <t>CUST11228</t>
  </si>
  <si>
    <t>Alexandra Ho</t>
  </si>
  <si>
    <t>CUST11229</t>
  </si>
  <si>
    <t>Michael Nixon</t>
  </si>
  <si>
    <t>CUST11230</t>
  </si>
  <si>
    <t>Amanda Hardin</t>
  </si>
  <si>
    <t>CUST11231</t>
  </si>
  <si>
    <t>Tina Reynolds</t>
  </si>
  <si>
    <t>CUST11232</t>
  </si>
  <si>
    <t>Shannon Rogers</t>
  </si>
  <si>
    <t>CUST11233</t>
  </si>
  <si>
    <t>Brett Pena</t>
  </si>
  <si>
    <t>CUST11234</t>
  </si>
  <si>
    <t>Raymond Curry</t>
  </si>
  <si>
    <t>CUST11235</t>
  </si>
  <si>
    <t>Leah Lee</t>
  </si>
  <si>
    <t>CUST11236</t>
  </si>
  <si>
    <t>Michael White</t>
  </si>
  <si>
    <t>CUST11237</t>
  </si>
  <si>
    <t>Megan Decker</t>
  </si>
  <si>
    <t>CUST11238</t>
  </si>
  <si>
    <t>Brent Garcia</t>
  </si>
  <si>
    <t>CUST11239</t>
  </si>
  <si>
    <t>Daniel Campbell</t>
  </si>
  <si>
    <t>CUST11240</t>
  </si>
  <si>
    <t>Alexander Davis</t>
  </si>
  <si>
    <t>CUST11241</t>
  </si>
  <si>
    <t>Mary Houston</t>
  </si>
  <si>
    <t>CUST11242</t>
  </si>
  <si>
    <t>Margaret Erickson</t>
  </si>
  <si>
    <t>CUST11243</t>
  </si>
  <si>
    <t>Scott Anderson</t>
  </si>
  <si>
    <t>CUST11244</t>
  </si>
  <si>
    <t>Stephanie Knight</t>
  </si>
  <si>
    <t>CUST11245</t>
  </si>
  <si>
    <t>Stephanie Dominguez</t>
  </si>
  <si>
    <t>CUST11246</t>
  </si>
  <si>
    <t>John Mayer</t>
  </si>
  <si>
    <t>CUST11247</t>
  </si>
  <si>
    <t>Tammy Hill</t>
  </si>
  <si>
    <t>CUST11248</t>
  </si>
  <si>
    <t>Steven Carrillo</t>
  </si>
  <si>
    <t>CUST11249</t>
  </si>
  <si>
    <t>CUST11250</t>
  </si>
  <si>
    <t>Janet Cook</t>
  </si>
  <si>
    <t>CUST11251</t>
  </si>
  <si>
    <t>Tyler Baker</t>
  </si>
  <si>
    <t>CUST11252</t>
  </si>
  <si>
    <t>John Mcfarland</t>
  </si>
  <si>
    <t>CUST11253</t>
  </si>
  <si>
    <t>Cassandra Vasquez</t>
  </si>
  <si>
    <t>CUST11254</t>
  </si>
  <si>
    <t>Randy Robinson</t>
  </si>
  <si>
    <t>CUST11255</t>
  </si>
  <si>
    <t>Susan Baldwin</t>
  </si>
  <si>
    <t>CUST11256</t>
  </si>
  <si>
    <t>Benjamin Duncan</t>
  </si>
  <si>
    <t>CUST11257</t>
  </si>
  <si>
    <t>Jeremy Mosley</t>
  </si>
  <si>
    <t>CUST11258</t>
  </si>
  <si>
    <t>Martin Fitzpatrick</t>
  </si>
  <si>
    <t>CUST11259</t>
  </si>
  <si>
    <t>Deborah Graves</t>
  </si>
  <si>
    <t>CUST11260</t>
  </si>
  <si>
    <t>Laura Robertson</t>
  </si>
  <si>
    <t>CUST11261</t>
  </si>
  <si>
    <t>Katherine Graham</t>
  </si>
  <si>
    <t>CUST11262</t>
  </si>
  <si>
    <t>Priscilla Floyd</t>
  </si>
  <si>
    <t>CUST11263</t>
  </si>
  <si>
    <t>April Finley</t>
  </si>
  <si>
    <t>CUST11264</t>
  </si>
  <si>
    <t>Karen Bradley</t>
  </si>
  <si>
    <t>CUST11265</t>
  </si>
  <si>
    <t>Heather Maldonado</t>
  </si>
  <si>
    <t>CUST11266</t>
  </si>
  <si>
    <t>Mark Benjamin</t>
  </si>
  <si>
    <t>CUST11267</t>
  </si>
  <si>
    <t>Joseph Woodward</t>
  </si>
  <si>
    <t>CUST11268</t>
  </si>
  <si>
    <t>Joe Miranda</t>
  </si>
  <si>
    <t>CUST11269</t>
  </si>
  <si>
    <t>Cassandra Williams</t>
  </si>
  <si>
    <t>CUST11270</t>
  </si>
  <si>
    <t>Connor Dominguez</t>
  </si>
  <si>
    <t>CUST11271</t>
  </si>
  <si>
    <t>Lydia Howard</t>
  </si>
  <si>
    <t>CUST11272</t>
  </si>
  <si>
    <t>Mark Moss</t>
  </si>
  <si>
    <t>CUST11273</t>
  </si>
  <si>
    <t>Corey Cortez</t>
  </si>
  <si>
    <t>CUST11274</t>
  </si>
  <si>
    <t>Katherine Brown</t>
  </si>
  <si>
    <t>CUST11275</t>
  </si>
  <si>
    <t>Elizabeth Ferguson</t>
  </si>
  <si>
    <t>CUST11276</t>
  </si>
  <si>
    <t>Joann Forbes</t>
  </si>
  <si>
    <t>CUST11277</t>
  </si>
  <si>
    <t>Anthony French</t>
  </si>
  <si>
    <t>CUST11278</t>
  </si>
  <si>
    <t>Bruce Roman</t>
  </si>
  <si>
    <t>CUST11279</t>
  </si>
  <si>
    <t>Judy Gregory</t>
  </si>
  <si>
    <t>CUST11280</t>
  </si>
  <si>
    <t>Brittany Riley</t>
  </si>
  <si>
    <t>CUST11281</t>
  </si>
  <si>
    <t>Amanda Thomas</t>
  </si>
  <si>
    <t>CUST11282</t>
  </si>
  <si>
    <t>Kaitlin Hardin</t>
  </si>
  <si>
    <t>CUST11283</t>
  </si>
  <si>
    <t>Michael Anderson</t>
  </si>
  <si>
    <t>CUST11284</t>
  </si>
  <si>
    <t>Anthony Parker</t>
  </si>
  <si>
    <t>CUST11285</t>
  </si>
  <si>
    <t>Joy Jackson</t>
  </si>
  <si>
    <t>CUST11286</t>
  </si>
  <si>
    <t>Sabrina Rodriguez</t>
  </si>
  <si>
    <t>CUST11287</t>
  </si>
  <si>
    <t>Robert Walker PhD</t>
  </si>
  <si>
    <t>CUST11288</t>
  </si>
  <si>
    <t>Robert Hendrix</t>
  </si>
  <si>
    <t>CUST11289</t>
  </si>
  <si>
    <t>Erika Daugherty</t>
  </si>
  <si>
    <t>CUST11290</t>
  </si>
  <si>
    <t>Brenda Copeland</t>
  </si>
  <si>
    <t>CUST11291</t>
  </si>
  <si>
    <t>Pamela Watkins</t>
  </si>
  <si>
    <t>CUST11292</t>
  </si>
  <si>
    <t>Bryan Thomas</t>
  </si>
  <si>
    <t>CUST11293</t>
  </si>
  <si>
    <t>Michael Tran</t>
  </si>
  <si>
    <t>CUST11294</t>
  </si>
  <si>
    <t>Timothy Williams</t>
  </si>
  <si>
    <t>CUST11295</t>
  </si>
  <si>
    <t>Ryan Salazar</t>
  </si>
  <si>
    <t>CUST11296</t>
  </si>
  <si>
    <t>Alexis Tucker</t>
  </si>
  <si>
    <t>CUST11297</t>
  </si>
  <si>
    <t>Christopher Davis</t>
  </si>
  <si>
    <t>CUST11298</t>
  </si>
  <si>
    <t>Stacie Butler</t>
  </si>
  <si>
    <t>CUST11299</t>
  </si>
  <si>
    <t>Patricia Schwartz</t>
  </si>
  <si>
    <t>CUST11300</t>
  </si>
  <si>
    <t>Mark Mills</t>
  </si>
  <si>
    <t>CUST11301</t>
  </si>
  <si>
    <t>Todd Bishop</t>
  </si>
  <si>
    <t>CUST11302</t>
  </si>
  <si>
    <t>Christopher Porter</t>
  </si>
  <si>
    <t>CUST11303</t>
  </si>
  <si>
    <t>Lori Patton</t>
  </si>
  <si>
    <t>CUST11304</t>
  </si>
  <si>
    <t>Aaron Young</t>
  </si>
  <si>
    <t>CUST11305</t>
  </si>
  <si>
    <t>Joseph Davis</t>
  </si>
  <si>
    <t>CUST11306</t>
  </si>
  <si>
    <t>Philip Fernandez</t>
  </si>
  <si>
    <t>CUST11307</t>
  </si>
  <si>
    <t>Randy Hopkins</t>
  </si>
  <si>
    <t>CUST11308</t>
  </si>
  <si>
    <t>Cory Hogan</t>
  </si>
  <si>
    <t>CUST11309</t>
  </si>
  <si>
    <t>Tracy Wells</t>
  </si>
  <si>
    <t>CUST11310</t>
  </si>
  <si>
    <t>Michael Williams</t>
  </si>
  <si>
    <t>CUST11311</t>
  </si>
  <si>
    <t>Dominique Hamilton</t>
  </si>
  <si>
    <t>CUST11312</t>
  </si>
  <si>
    <t>Robert Chang</t>
  </si>
  <si>
    <t>CUST11313</t>
  </si>
  <si>
    <t>Patrick Buckley</t>
  </si>
  <si>
    <t>CUST11314</t>
  </si>
  <si>
    <t>Richard Washington</t>
  </si>
  <si>
    <t>CUST11315</t>
  </si>
  <si>
    <t>Steven Griffith</t>
  </si>
  <si>
    <t>CUST11316</t>
  </si>
  <si>
    <t>Erika Gonzalez</t>
  </si>
  <si>
    <t>CUST11317</t>
  </si>
  <si>
    <t>Erika Maxwell</t>
  </si>
  <si>
    <t>CUST11318</t>
  </si>
  <si>
    <t>Brent Rojas</t>
  </si>
  <si>
    <t>CUST11319</t>
  </si>
  <si>
    <t>Jaime Walker</t>
  </si>
  <si>
    <t>CUST11320</t>
  </si>
  <si>
    <t>John Zamora</t>
  </si>
  <si>
    <t>CUST11321</t>
  </si>
  <si>
    <t>Timothy Gibson</t>
  </si>
  <si>
    <t>CUST11322</t>
  </si>
  <si>
    <t>Chad Cortez</t>
  </si>
  <si>
    <t>CUST11323</t>
  </si>
  <si>
    <t>Vanessa Harris</t>
  </si>
  <si>
    <t>CUST11324</t>
  </si>
  <si>
    <t>CUST11325</t>
  </si>
  <si>
    <t>Samuel Ellis</t>
  </si>
  <si>
    <t>CUST11326</t>
  </si>
  <si>
    <t>Greg Tanner</t>
  </si>
  <si>
    <t>CUST11327</t>
  </si>
  <si>
    <t>Rachel Little</t>
  </si>
  <si>
    <t>CUST11328</t>
  </si>
  <si>
    <t>Carolyn Cordova</t>
  </si>
  <si>
    <t>CUST11329</t>
  </si>
  <si>
    <t>Angelica Vincent</t>
  </si>
  <si>
    <t>CUST11330</t>
  </si>
  <si>
    <t>Zachary Vargas PhD</t>
  </si>
  <si>
    <t>CUST11331</t>
  </si>
  <si>
    <t>Nicholas Fitzgerald</t>
  </si>
  <si>
    <t>CUST11332</t>
  </si>
  <si>
    <t>Garrett Riley</t>
  </si>
  <si>
    <t>CUST11333</t>
  </si>
  <si>
    <t>Leslie Hernandez</t>
  </si>
  <si>
    <t>CUST11334</t>
  </si>
  <si>
    <t>Abigail Baird</t>
  </si>
  <si>
    <t>CUST11335</t>
  </si>
  <si>
    <t>John Mack</t>
  </si>
  <si>
    <t>CUST11336</t>
  </si>
  <si>
    <t>Joseph Mendoza</t>
  </si>
  <si>
    <t>CUST11337</t>
  </si>
  <si>
    <t>Samantha Chavez</t>
  </si>
  <si>
    <t>CUST11338</t>
  </si>
  <si>
    <t>Justin Smith</t>
  </si>
  <si>
    <t>CUST11339</t>
  </si>
  <si>
    <t>Tiffany Anderson</t>
  </si>
  <si>
    <t>CUST11340</t>
  </si>
  <si>
    <t>Matthew Davis</t>
  </si>
  <si>
    <t>CUST11341</t>
  </si>
  <si>
    <t>Eric Warner</t>
  </si>
  <si>
    <t>CUST11342</t>
  </si>
  <si>
    <t>Nicole Johnson</t>
  </si>
  <si>
    <t>CUST11343</t>
  </si>
  <si>
    <t>Raymond Sawyer</t>
  </si>
  <si>
    <t>CUST11344</t>
  </si>
  <si>
    <t>Richard Wood</t>
  </si>
  <si>
    <t>CUST11345</t>
  </si>
  <si>
    <t>Mark Dalton</t>
  </si>
  <si>
    <t>CUST11346</t>
  </si>
  <si>
    <t>Steven Cook</t>
  </si>
  <si>
    <t>CUST11347</t>
  </si>
  <si>
    <t>Jeffery Nelson</t>
  </si>
  <si>
    <t>CUST11348</t>
  </si>
  <si>
    <t>Kimberly Norton</t>
  </si>
  <si>
    <t>CUST11349</t>
  </si>
  <si>
    <t>Angela Gilmore</t>
  </si>
  <si>
    <t>CUST11350</t>
  </si>
  <si>
    <t>Amy Dougherty</t>
  </si>
  <si>
    <t>CUST11351</t>
  </si>
  <si>
    <t>Stacy Rodriguez</t>
  </si>
  <si>
    <t>CUST11352</t>
  </si>
  <si>
    <t>Manuel Diaz</t>
  </si>
  <si>
    <t>CUST11353</t>
  </si>
  <si>
    <t>Justin Jones</t>
  </si>
  <si>
    <t>CUST11354</t>
  </si>
  <si>
    <t>Christine Zavala</t>
  </si>
  <si>
    <t>CUST11355</t>
  </si>
  <si>
    <t>Brian Mendoza</t>
  </si>
  <si>
    <t>CUST11356</t>
  </si>
  <si>
    <t>Lauren Haley</t>
  </si>
  <si>
    <t>CUST11357</t>
  </si>
  <si>
    <t>Patrick Perez</t>
  </si>
  <si>
    <t>CUST11358</t>
  </si>
  <si>
    <t>Derek Frazier</t>
  </si>
  <si>
    <t>CUST11359</t>
  </si>
  <si>
    <t>Arthur Reed</t>
  </si>
  <si>
    <t>CUST11360</t>
  </si>
  <si>
    <t>Mr. Bryan Mckinney</t>
  </si>
  <si>
    <t>CUST11361</t>
  </si>
  <si>
    <t>Kim Carter</t>
  </si>
  <si>
    <t>CUST11362</t>
  </si>
  <si>
    <t>Rebecca Dougherty</t>
  </si>
  <si>
    <t>CUST11363</t>
  </si>
  <si>
    <t>Teresa Jones</t>
  </si>
  <si>
    <t>CUST11364</t>
  </si>
  <si>
    <t>Judith Miller</t>
  </si>
  <si>
    <t>CUST11365</t>
  </si>
  <si>
    <t>Donna Frye</t>
  </si>
  <si>
    <t>CUST11366</t>
  </si>
  <si>
    <t>Donald Terry</t>
  </si>
  <si>
    <t>CUST11367</t>
  </si>
  <si>
    <t>Shaun Meyer DDS</t>
  </si>
  <si>
    <t>CUST11368</t>
  </si>
  <si>
    <t>Wayne Weaver</t>
  </si>
  <si>
    <t>CUST11369</t>
  </si>
  <si>
    <t>Gregory Wallace</t>
  </si>
  <si>
    <t>CUST11370</t>
  </si>
  <si>
    <t>Dorothy Brown</t>
  </si>
  <si>
    <t>CUST11371</t>
  </si>
  <si>
    <t>Crystal Meza</t>
  </si>
  <si>
    <t>CUST11372</t>
  </si>
  <si>
    <t>Jennifer Cooper</t>
  </si>
  <si>
    <t>CUST11373</t>
  </si>
  <si>
    <t>Erin Watkins</t>
  </si>
  <si>
    <t>CUST11374</t>
  </si>
  <si>
    <t>Sarah Wallace</t>
  </si>
  <si>
    <t>CUST11375</t>
  </si>
  <si>
    <t>Carlos Clarke</t>
  </si>
  <si>
    <t>CUST11376</t>
  </si>
  <si>
    <t>David Washington</t>
  </si>
  <si>
    <t>CUST11377</t>
  </si>
  <si>
    <t>Patricia Williams</t>
  </si>
  <si>
    <t>CUST11378</t>
  </si>
  <si>
    <t>Jesus Jackson</t>
  </si>
  <si>
    <t>CUST11379</t>
  </si>
  <si>
    <t>Michelle Mitchell</t>
  </si>
  <si>
    <t>CUST11380</t>
  </si>
  <si>
    <t>Sara Schwartz</t>
  </si>
  <si>
    <t>CUST11381</t>
  </si>
  <si>
    <t>Brittany Young</t>
  </si>
  <si>
    <t>CUST11382</t>
  </si>
  <si>
    <t>Eugene Martinez</t>
  </si>
  <si>
    <t>CUST11383</t>
  </si>
  <si>
    <t>Cody Hart</t>
  </si>
  <si>
    <t>CUST11384</t>
  </si>
  <si>
    <t>Evan Cooper</t>
  </si>
  <si>
    <t>CUST11385</t>
  </si>
  <si>
    <t>Joshua Martin</t>
  </si>
  <si>
    <t>CUST11386</t>
  </si>
  <si>
    <t>Thomas Sullivan</t>
  </si>
  <si>
    <t>CUST11387</t>
  </si>
  <si>
    <t>Mr. Jimmy Flores Jr.</t>
  </si>
  <si>
    <t>CUST11388</t>
  </si>
  <si>
    <t>Vanessa Rivera</t>
  </si>
  <si>
    <t>CUST11389</t>
  </si>
  <si>
    <t>Kara Roberts</t>
  </si>
  <si>
    <t>CUST11390</t>
  </si>
  <si>
    <t>Veronica Berry</t>
  </si>
  <si>
    <t>CUST11391</t>
  </si>
  <si>
    <t>Keith Meadows</t>
  </si>
  <si>
    <t>CUST11392</t>
  </si>
  <si>
    <t>Michael Dennis</t>
  </si>
  <si>
    <t>CUST11393</t>
  </si>
  <si>
    <t>Brenda Pierce</t>
  </si>
  <si>
    <t>CUST11394</t>
  </si>
  <si>
    <t>James Randall</t>
  </si>
  <si>
    <t>CUST11395</t>
  </si>
  <si>
    <t>CUST11396</t>
  </si>
  <si>
    <t>Lauren Walker</t>
  </si>
  <si>
    <t>CUST11397</t>
  </si>
  <si>
    <t>Diana Johnson</t>
  </si>
  <si>
    <t>CUST11398</t>
  </si>
  <si>
    <t>Jill Powers</t>
  </si>
  <si>
    <t>CUST11399</t>
  </si>
  <si>
    <t>Jorge Lee</t>
  </si>
  <si>
    <t>CUST11400</t>
  </si>
  <si>
    <t>Larry Harding</t>
  </si>
  <si>
    <t>CUST11401</t>
  </si>
  <si>
    <t>Heather Hernandez</t>
  </si>
  <si>
    <t>CUST11402</t>
  </si>
  <si>
    <t>Jaclyn Watson</t>
  </si>
  <si>
    <t>CUST11403</t>
  </si>
  <si>
    <t>Gregory Madden</t>
  </si>
  <si>
    <t>CUST11404</t>
  </si>
  <si>
    <t>Anita Luna</t>
  </si>
  <si>
    <t>CUST11405</t>
  </si>
  <si>
    <t>Willie Lara</t>
  </si>
  <si>
    <t>CUST11406</t>
  </si>
  <si>
    <t>Robert Waller</t>
  </si>
  <si>
    <t>CUST11407</t>
  </si>
  <si>
    <t>Steven Taylor</t>
  </si>
  <si>
    <t>CUST11408</t>
  </si>
  <si>
    <t>Angelica Clark</t>
  </si>
  <si>
    <t>CUST11409</t>
  </si>
  <si>
    <t>Sean Hatfield</t>
  </si>
  <si>
    <t>CUST11410</t>
  </si>
  <si>
    <t>Tyler Avila</t>
  </si>
  <si>
    <t>CUST11411</t>
  </si>
  <si>
    <t>Jason Rocha</t>
  </si>
  <si>
    <t>CUST11412</t>
  </si>
  <si>
    <t>Justin Page</t>
  </si>
  <si>
    <t>CUST11413</t>
  </si>
  <si>
    <t>Breanna Lopez</t>
  </si>
  <si>
    <t>CUST11414</t>
  </si>
  <si>
    <t>Julian Williams</t>
  </si>
  <si>
    <t>CUST11415</t>
  </si>
  <si>
    <t>Sandra Torres</t>
  </si>
  <si>
    <t>CUST11416</t>
  </si>
  <si>
    <t>Julie Johnson</t>
  </si>
  <si>
    <t>CUST11417</t>
  </si>
  <si>
    <t>Dennis Blanchard</t>
  </si>
  <si>
    <t>CUST11418</t>
  </si>
  <si>
    <t>Kaitlyn Valdez</t>
  </si>
  <si>
    <t>CUST11419</t>
  </si>
  <si>
    <t>Jennifer Vasquez</t>
  </si>
  <si>
    <t>CUST11420</t>
  </si>
  <si>
    <t>Danielle Wilson</t>
  </si>
  <si>
    <t>CUST11421</t>
  </si>
  <si>
    <t>Zachary Jones</t>
  </si>
  <si>
    <t>CUST11422</t>
  </si>
  <si>
    <t>Lauren Cunningham</t>
  </si>
  <si>
    <t>CUST11423</t>
  </si>
  <si>
    <t>Lori Alvarez</t>
  </si>
  <si>
    <t>CUST11424</t>
  </si>
  <si>
    <t>Barbara Hunt</t>
  </si>
  <si>
    <t>CUST11425</t>
  </si>
  <si>
    <t>Sarah Martin</t>
  </si>
  <si>
    <t>CUST11426</t>
  </si>
  <si>
    <t>Francisco Johns</t>
  </si>
  <si>
    <t>CUST11427</t>
  </si>
  <si>
    <t>Christopher Nelson</t>
  </si>
  <si>
    <t>CUST11428</t>
  </si>
  <si>
    <t>Thomas Kelly</t>
  </si>
  <si>
    <t>CUST11429</t>
  </si>
  <si>
    <t>Joseph Mayer</t>
  </si>
  <si>
    <t>CUST11430</t>
  </si>
  <si>
    <t>Pamela White</t>
  </si>
  <si>
    <t>CUST11431</t>
  </si>
  <si>
    <t>Paul Stephens</t>
  </si>
  <si>
    <t>CUST11432</t>
  </si>
  <si>
    <t>Samantha Cohen</t>
  </si>
  <si>
    <t>CUST11433</t>
  </si>
  <si>
    <t>Michael Barker</t>
  </si>
  <si>
    <t>CUST11434</t>
  </si>
  <si>
    <t>Kevin Morrow</t>
  </si>
  <si>
    <t>CUST11435</t>
  </si>
  <si>
    <t>Joseph Watson</t>
  </si>
  <si>
    <t>CUST11436</t>
  </si>
  <si>
    <t>Mr. Thomas Garcia</t>
  </si>
  <si>
    <t>CUST11437</t>
  </si>
  <si>
    <t>Daniel Lopez</t>
  </si>
  <si>
    <t>CUST11438</t>
  </si>
  <si>
    <t>Lisa Guerra</t>
  </si>
  <si>
    <t>CUST11439</t>
  </si>
  <si>
    <t>Kim Arnold</t>
  </si>
  <si>
    <t>CUST11440</t>
  </si>
  <si>
    <t>Ashley Stevens</t>
  </si>
  <si>
    <t>CUST11441</t>
  </si>
  <si>
    <t>Robert Mclean</t>
  </si>
  <si>
    <t>CUST11442</t>
  </si>
  <si>
    <t>Eric Cox</t>
  </si>
  <si>
    <t>CUST11443</t>
  </si>
  <si>
    <t>Stacy Harper</t>
  </si>
  <si>
    <t>CUST11444</t>
  </si>
  <si>
    <t>Gloria Mckinney</t>
  </si>
  <si>
    <t>CUST11445</t>
  </si>
  <si>
    <t>Robert Walker</t>
  </si>
  <si>
    <t>CUST11446</t>
  </si>
  <si>
    <t>Brenda Perez</t>
  </si>
  <si>
    <t>CUST11447</t>
  </si>
  <si>
    <t>Carlos Miller</t>
  </si>
  <si>
    <t>CUST11448</t>
  </si>
  <si>
    <t>CUST11449</t>
  </si>
  <si>
    <t>Nicole Williams</t>
  </si>
  <si>
    <t>CUST11450</t>
  </si>
  <si>
    <t>Ricky Palmer</t>
  </si>
  <si>
    <t>CUST11451</t>
  </si>
  <si>
    <t>Bryan King</t>
  </si>
  <si>
    <t>CUST11452</t>
  </si>
  <si>
    <t>Michael Webster</t>
  </si>
  <si>
    <t>CUST11453</t>
  </si>
  <si>
    <t>Tamara Harris</t>
  </si>
  <si>
    <t>CUST11454</t>
  </si>
  <si>
    <t>Cathy Bell</t>
  </si>
  <si>
    <t>CUST11455</t>
  </si>
  <si>
    <t>Ryan Mcmahon</t>
  </si>
  <si>
    <t>CUST11456</t>
  </si>
  <si>
    <t>CUST11457</t>
  </si>
  <si>
    <t>Monica Allen</t>
  </si>
  <si>
    <t>CUST11458</t>
  </si>
  <si>
    <t>Annette Lane</t>
  </si>
  <si>
    <t>CUST11459</t>
  </si>
  <si>
    <t>Daniel Lee</t>
  </si>
  <si>
    <t>CUST11460</t>
  </si>
  <si>
    <t>Steven Medina</t>
  </si>
  <si>
    <t>CUST11461</t>
  </si>
  <si>
    <t>Annette Lewis</t>
  </si>
  <si>
    <t>CUST11462</t>
  </si>
  <si>
    <t>Michelle Richardson</t>
  </si>
  <si>
    <t>CUST11463</t>
  </si>
  <si>
    <t>Jessica Rosario</t>
  </si>
  <si>
    <t>CUST11464</t>
  </si>
  <si>
    <t>Henry Gray</t>
  </si>
  <si>
    <t>CUST11465</t>
  </si>
  <si>
    <t>Darren Rodriguez</t>
  </si>
  <si>
    <t>CUST11466</t>
  </si>
  <si>
    <t>Mrs. Ashley Taylor</t>
  </si>
  <si>
    <t>CUST11467</t>
  </si>
  <si>
    <t>Michele Hawkins</t>
  </si>
  <si>
    <t>CUST11468</t>
  </si>
  <si>
    <t>Garrett Wilson</t>
  </si>
  <si>
    <t>CUST11469</t>
  </si>
  <si>
    <t>Kyle Collins</t>
  </si>
  <si>
    <t>CUST11470</t>
  </si>
  <si>
    <t>Jill Spencer</t>
  </si>
  <si>
    <t>CUST11471</t>
  </si>
  <si>
    <t>Scott Lopez</t>
  </si>
  <si>
    <t>CUST11472</t>
  </si>
  <si>
    <t>Ryan Alvarez</t>
  </si>
  <si>
    <t>CUST11473</t>
  </si>
  <si>
    <t>Cassie Lutz</t>
  </si>
  <si>
    <t>CUST11474</t>
  </si>
  <si>
    <t>Brian Kim DDS</t>
  </si>
  <si>
    <t>CUST11475</t>
  </si>
  <si>
    <t>Charles Morales</t>
  </si>
  <si>
    <t>CUST11476</t>
  </si>
  <si>
    <t>Ashley Schaefer</t>
  </si>
  <si>
    <t>CUST11477</t>
  </si>
  <si>
    <t>Amy Hester</t>
  </si>
  <si>
    <t>CUST11478</t>
  </si>
  <si>
    <t>Kurt Ewing</t>
  </si>
  <si>
    <t>CUST11479</t>
  </si>
  <si>
    <t>Ryan Hardy</t>
  </si>
  <si>
    <t>CUST11480</t>
  </si>
  <si>
    <t>Micheal Perkins</t>
  </si>
  <si>
    <t>CUST11481</t>
  </si>
  <si>
    <t>Richard Schneider</t>
  </si>
  <si>
    <t>CUST11482</t>
  </si>
  <si>
    <t>John Morrison</t>
  </si>
  <si>
    <t>CUST11483</t>
  </si>
  <si>
    <t>John Ramirez</t>
  </si>
  <si>
    <t>CUST11484</t>
  </si>
  <si>
    <t>Ashley King</t>
  </si>
  <si>
    <t>CUST11485</t>
  </si>
  <si>
    <t>Mark Taylor Jr.</t>
  </si>
  <si>
    <t>CUST11486</t>
  </si>
  <si>
    <t>Barry Gregory</t>
  </si>
  <si>
    <t>CUST11487</t>
  </si>
  <si>
    <t>Janet Shelton</t>
  </si>
  <si>
    <t>CUST11488</t>
  </si>
  <si>
    <t>Marco Davis</t>
  </si>
  <si>
    <t>CUST11489</t>
  </si>
  <si>
    <t>Paul Saunders</t>
  </si>
  <si>
    <t>CUST11490</t>
  </si>
  <si>
    <t>Christina Bates</t>
  </si>
  <si>
    <t>CUST11491</t>
  </si>
  <si>
    <t>Dennis Cooper PhD</t>
  </si>
  <si>
    <t>CUST11492</t>
  </si>
  <si>
    <t>Tiffany Johnson</t>
  </si>
  <si>
    <t>CUST11493</t>
  </si>
  <si>
    <t>Thomas Reyes</t>
  </si>
  <si>
    <t>CUST11494</t>
  </si>
  <si>
    <t>James Stevens</t>
  </si>
  <si>
    <t>CUST11495</t>
  </si>
  <si>
    <t>Justin Dalton</t>
  </si>
  <si>
    <t>CUST11496</t>
  </si>
  <si>
    <t>CUST11497</t>
  </si>
  <si>
    <t>Mike Freeman</t>
  </si>
  <si>
    <t>CUST11498</t>
  </si>
  <si>
    <t>Michael Keller</t>
  </si>
  <si>
    <t>CUST11499</t>
  </si>
  <si>
    <t>Laura Alvarez</t>
  </si>
  <si>
    <t>CUST11500</t>
  </si>
  <si>
    <t>Katie Myers</t>
  </si>
  <si>
    <t>CUST11501</t>
  </si>
  <si>
    <t>Wesley Jensen MD</t>
  </si>
  <si>
    <t>CUST11502</t>
  </si>
  <si>
    <t>CUST11503</t>
  </si>
  <si>
    <t>Russell Bailey</t>
  </si>
  <si>
    <t>CUST11504</t>
  </si>
  <si>
    <t>Alyssa Vance</t>
  </si>
  <si>
    <t>CUST11505</t>
  </si>
  <si>
    <t>Brent Reed</t>
  </si>
  <si>
    <t>CUST11506</t>
  </si>
  <si>
    <t>Gregory Stanley</t>
  </si>
  <si>
    <t>CUST11507</t>
  </si>
  <si>
    <t>Matthew Watkins</t>
  </si>
  <si>
    <t>CUST11508</t>
  </si>
  <si>
    <t>Ana Torres</t>
  </si>
  <si>
    <t>CUST11509</t>
  </si>
  <si>
    <t>Alejandro Nguyen</t>
  </si>
  <si>
    <t>CUST11510</t>
  </si>
  <si>
    <t>Scott Bradley</t>
  </si>
  <si>
    <t>CUST11511</t>
  </si>
  <si>
    <t>Deborah Dominguez</t>
  </si>
  <si>
    <t>CUST11512</t>
  </si>
  <si>
    <t>Victoria Gray</t>
  </si>
  <si>
    <t>CUST11513</t>
  </si>
  <si>
    <t>Kenneth Stokes</t>
  </si>
  <si>
    <t>CUST11514</t>
  </si>
  <si>
    <t>Michael Rogers</t>
  </si>
  <si>
    <t>CUST11515</t>
  </si>
  <si>
    <t>Pamela Morgan</t>
  </si>
  <si>
    <t>CUST11516</t>
  </si>
  <si>
    <t>Heidi Graham</t>
  </si>
  <si>
    <t>CUST11517</t>
  </si>
  <si>
    <t>Ryan Cobb PhD</t>
  </si>
  <si>
    <t>CUST11518</t>
  </si>
  <si>
    <t>Donna Williams</t>
  </si>
  <si>
    <t>CUST11519</t>
  </si>
  <si>
    <t>Jennifer Perez PhD</t>
  </si>
  <si>
    <t>CUST11520</t>
  </si>
  <si>
    <t>Ryan Davis</t>
  </si>
  <si>
    <t>CUST11521</t>
  </si>
  <si>
    <t>Austin Solis</t>
  </si>
  <si>
    <t>CUST11522</t>
  </si>
  <si>
    <t>Daniel Flynn</t>
  </si>
  <si>
    <t>CUST11523</t>
  </si>
  <si>
    <t>Elizabeth Brock</t>
  </si>
  <si>
    <t>CUST11524</t>
  </si>
  <si>
    <t>Joshua Gonzalez</t>
  </si>
  <si>
    <t>CUST11525</t>
  </si>
  <si>
    <t>Mario Chavez</t>
  </si>
  <si>
    <t>CUST11526</t>
  </si>
  <si>
    <t>Catherine Smith</t>
  </si>
  <si>
    <t>CUST11527</t>
  </si>
  <si>
    <t>Shari Ray</t>
  </si>
  <si>
    <t>CUST11528</t>
  </si>
  <si>
    <t>Victor Harmon</t>
  </si>
  <si>
    <t>CUST11529</t>
  </si>
  <si>
    <t>Timothy Patel</t>
  </si>
  <si>
    <t>CUST11530</t>
  </si>
  <si>
    <t>Patricia Hamilton</t>
  </si>
  <si>
    <t>CUST11531</t>
  </si>
  <si>
    <t>Lori Boyd</t>
  </si>
  <si>
    <t>CUST11532</t>
  </si>
  <si>
    <t>CUST11533</t>
  </si>
  <si>
    <t>Elizabeth Graham</t>
  </si>
  <si>
    <t>CUST11534</t>
  </si>
  <si>
    <t>Ronald Brown</t>
  </si>
  <si>
    <t>CUST11535</t>
  </si>
  <si>
    <t>Jason Colon</t>
  </si>
  <si>
    <t>CUST11536</t>
  </si>
  <si>
    <t>Dawn Burke</t>
  </si>
  <si>
    <t>CUST11537</t>
  </si>
  <si>
    <t>Brian Lee</t>
  </si>
  <si>
    <t>CUST11538</t>
  </si>
  <si>
    <t>Ronald Marshall</t>
  </si>
  <si>
    <t>CUST11539</t>
  </si>
  <si>
    <t>Jessica Lucas</t>
  </si>
  <si>
    <t>CUST11540</t>
  </si>
  <si>
    <t>Christopher Taylor</t>
  </si>
  <si>
    <t>CUST11541</t>
  </si>
  <si>
    <t>Robert Hopkins</t>
  </si>
  <si>
    <t>CUST11542</t>
  </si>
  <si>
    <t>Samuel Stuart</t>
  </si>
  <si>
    <t>CUST11543</t>
  </si>
  <si>
    <t>Mr. Scott Miller</t>
  </si>
  <si>
    <t>CUST11544</t>
  </si>
  <si>
    <t>Sharon Lester</t>
  </si>
  <si>
    <t>CUST11545</t>
  </si>
  <si>
    <t>Jack Sandoval</t>
  </si>
  <si>
    <t>CUST11546</t>
  </si>
  <si>
    <t>Tony Ramsey</t>
  </si>
  <si>
    <t>CUST11547</t>
  </si>
  <si>
    <t>Brian Navarro</t>
  </si>
  <si>
    <t>CUST11548</t>
  </si>
  <si>
    <t>Kelly Calderon</t>
  </si>
  <si>
    <t>CUST11549</t>
  </si>
  <si>
    <t>Tara King</t>
  </si>
  <si>
    <t>CUST11550</t>
  </si>
  <si>
    <t>Cynthia Martinez</t>
  </si>
  <si>
    <t>CUST11551</t>
  </si>
  <si>
    <t>Erin Silva</t>
  </si>
  <si>
    <t>CUST11552</t>
  </si>
  <si>
    <t>Paul Young</t>
  </si>
  <si>
    <t>CUST11553</t>
  </si>
  <si>
    <t>Charles Thompson</t>
  </si>
  <si>
    <t>CUST11554</t>
  </si>
  <si>
    <t>Jessica King</t>
  </si>
  <si>
    <t>CUST11555</t>
  </si>
  <si>
    <t>Katherine Brooks</t>
  </si>
  <si>
    <t>CUST11556</t>
  </si>
  <si>
    <t>Emily Coleman</t>
  </si>
  <si>
    <t>CUST11557</t>
  </si>
  <si>
    <t>Tracey Suarez</t>
  </si>
  <si>
    <t>CUST11558</t>
  </si>
  <si>
    <t>Heidi Baldwin</t>
  </si>
  <si>
    <t>CUST11559</t>
  </si>
  <si>
    <t>Alisha Rasmussen</t>
  </si>
  <si>
    <t>CUST11560</t>
  </si>
  <si>
    <t>Sarah Bates</t>
  </si>
  <si>
    <t>CUST11561</t>
  </si>
  <si>
    <t>Melissa Mccormick</t>
  </si>
  <si>
    <t>CUST11562</t>
  </si>
  <si>
    <t>Juan Parker</t>
  </si>
  <si>
    <t>CUST11563</t>
  </si>
  <si>
    <t>Heidi Burnett</t>
  </si>
  <si>
    <t>CUST11564</t>
  </si>
  <si>
    <t>Sean Mathews</t>
  </si>
  <si>
    <t>CUST11565</t>
  </si>
  <si>
    <t>Theodore Long</t>
  </si>
  <si>
    <t>CUST11566</t>
  </si>
  <si>
    <t>Dawn Davis</t>
  </si>
  <si>
    <t>CUST11567</t>
  </si>
  <si>
    <t>Cynthia Clark</t>
  </si>
  <si>
    <t>CUST11568</t>
  </si>
  <si>
    <t>Sydney Welch</t>
  </si>
  <si>
    <t>CUST11569</t>
  </si>
  <si>
    <t>Pamela Sullivan</t>
  </si>
  <si>
    <t>CUST11570</t>
  </si>
  <si>
    <t>Sean Morrow</t>
  </si>
  <si>
    <t>CUST11571</t>
  </si>
  <si>
    <t>Kaitlin Gutierrez</t>
  </si>
  <si>
    <t>CUST11572</t>
  </si>
  <si>
    <t>Michelle Mcdowell</t>
  </si>
  <si>
    <t>CUST11573</t>
  </si>
  <si>
    <t>Samantha Hale</t>
  </si>
  <si>
    <t>CUST11574</t>
  </si>
  <si>
    <t>Heather Guzman</t>
  </si>
  <si>
    <t>CUST11575</t>
  </si>
  <si>
    <t>Nancy Chavez</t>
  </si>
  <si>
    <t>CUST11576</t>
  </si>
  <si>
    <t>Anthony May</t>
  </si>
  <si>
    <t>CUST11577</t>
  </si>
  <si>
    <t>Rachel Taylor</t>
  </si>
  <si>
    <t>CUST11578</t>
  </si>
  <si>
    <t>Mark Edwards</t>
  </si>
  <si>
    <t>CUST11579</t>
  </si>
  <si>
    <t>Christopher Black</t>
  </si>
  <si>
    <t>CUST11580</t>
  </si>
  <si>
    <t>Sandra Hines</t>
  </si>
  <si>
    <t>CUST11581</t>
  </si>
  <si>
    <t>Melissa Sparks</t>
  </si>
  <si>
    <t>CUST11582</t>
  </si>
  <si>
    <t>John Moss</t>
  </si>
  <si>
    <t>CUST11583</t>
  </si>
  <si>
    <t>Michael Serrano</t>
  </si>
  <si>
    <t>CUST11584</t>
  </si>
  <si>
    <t>Christina Perry</t>
  </si>
  <si>
    <t>CUST11585</t>
  </si>
  <si>
    <t>Shawn Duffy</t>
  </si>
  <si>
    <t>CUST11586</t>
  </si>
  <si>
    <t>Courtney Vaughan</t>
  </si>
  <si>
    <t>CUST11587</t>
  </si>
  <si>
    <t>Maria Sims</t>
  </si>
  <si>
    <t>CUST11588</t>
  </si>
  <si>
    <t>Valerie Gonzalez</t>
  </si>
  <si>
    <t>CUST11589</t>
  </si>
  <si>
    <t>Caroline Morales</t>
  </si>
  <si>
    <t>CUST11590</t>
  </si>
  <si>
    <t>David Davis</t>
  </si>
  <si>
    <t>CUST11591</t>
  </si>
  <si>
    <t>Travis Wilson</t>
  </si>
  <si>
    <t>CUST11592</t>
  </si>
  <si>
    <t>Jessica Mora</t>
  </si>
  <si>
    <t>CUST11593</t>
  </si>
  <si>
    <t>Michael Wilson</t>
  </si>
  <si>
    <t>CUST11594</t>
  </si>
  <si>
    <t>Cheryl Atkins</t>
  </si>
  <si>
    <t>CUST11595</t>
  </si>
  <si>
    <t>Donna Snyder</t>
  </si>
  <si>
    <t>CUST11596</t>
  </si>
  <si>
    <t>Scott Greene</t>
  </si>
  <si>
    <t>CUST11597</t>
  </si>
  <si>
    <t>Diane Byrd MD</t>
  </si>
  <si>
    <t>CUST11598</t>
  </si>
  <si>
    <t>Charles Roberts</t>
  </si>
  <si>
    <t>CUST11599</t>
  </si>
  <si>
    <t>Luke Solomon</t>
  </si>
  <si>
    <t>CUST11600</t>
  </si>
  <si>
    <t>Michael Ellis</t>
  </si>
  <si>
    <t>CUST11601</t>
  </si>
  <si>
    <t>Casey Morris</t>
  </si>
  <si>
    <t>CUST11602</t>
  </si>
  <si>
    <t>Melissa Reeves</t>
  </si>
  <si>
    <t>CUST11603</t>
  </si>
  <si>
    <t>Nancy Scott</t>
  </si>
  <si>
    <t>CUST11604</t>
  </si>
  <si>
    <t>Anthony Cook</t>
  </si>
  <si>
    <t>CUST11605</t>
  </si>
  <si>
    <t>Terry Barajas</t>
  </si>
  <si>
    <t>CUST11606</t>
  </si>
  <si>
    <t>Tracy George</t>
  </si>
  <si>
    <t>CUST11607</t>
  </si>
  <si>
    <t>Amber King</t>
  </si>
  <si>
    <t>CUST11608</t>
  </si>
  <si>
    <t>Elizabeth Foster</t>
  </si>
  <si>
    <t>CUST11609</t>
  </si>
  <si>
    <t>Walter Hansen</t>
  </si>
  <si>
    <t>CUST11610</t>
  </si>
  <si>
    <t>Debbie Gordon</t>
  </si>
  <si>
    <t>CUST11611</t>
  </si>
  <si>
    <t>Sherry Anderson</t>
  </si>
  <si>
    <t>CUST11612</t>
  </si>
  <si>
    <t>Joseph Thomas</t>
  </si>
  <si>
    <t>CUST11613</t>
  </si>
  <si>
    <t>Andrew Anderson</t>
  </si>
  <si>
    <t>CUST11614</t>
  </si>
  <si>
    <t>Sandy Adkins</t>
  </si>
  <si>
    <t>CUST11615</t>
  </si>
  <si>
    <t>CUST11616</t>
  </si>
  <si>
    <t>Pam Baker</t>
  </si>
  <si>
    <t>CUST11617</t>
  </si>
  <si>
    <t>Steven Stewart</t>
  </si>
  <si>
    <t>CUST11618</t>
  </si>
  <si>
    <t>Pamela Hernandez DVM</t>
  </si>
  <si>
    <t>CUST11619</t>
  </si>
  <si>
    <t>Rebecca Brown</t>
  </si>
  <si>
    <t>CUST11620</t>
  </si>
  <si>
    <t>David Johnson</t>
  </si>
  <si>
    <t>CUST11621</t>
  </si>
  <si>
    <t>Michael Graham</t>
  </si>
  <si>
    <t>CUST11622</t>
  </si>
  <si>
    <t>Tammy Williams MD</t>
  </si>
  <si>
    <t>CUST11623</t>
  </si>
  <si>
    <t>Karina Vasquez</t>
  </si>
  <si>
    <t>CUST11624</t>
  </si>
  <si>
    <t>Sharon Martinez</t>
  </si>
  <si>
    <t>CUST11625</t>
  </si>
  <si>
    <t>Sean White</t>
  </si>
  <si>
    <t>CUST11626</t>
  </si>
  <si>
    <t>Jordan Nelson</t>
  </si>
  <si>
    <t>CUST11627</t>
  </si>
  <si>
    <t>Laurie Silva</t>
  </si>
  <si>
    <t>CUST11628</t>
  </si>
  <si>
    <t>Kelly Duncan</t>
  </si>
  <si>
    <t>CUST11629</t>
  </si>
  <si>
    <t>Billy Tate</t>
  </si>
  <si>
    <t>CUST11630</t>
  </si>
  <si>
    <t>Stacy Johnson</t>
  </si>
  <si>
    <t>CUST11631</t>
  </si>
  <si>
    <t>Melanie Long</t>
  </si>
  <si>
    <t>CUST11632</t>
  </si>
  <si>
    <t>Tiffany Hood</t>
  </si>
  <si>
    <t>CUST11633</t>
  </si>
  <si>
    <t>Brad Rivas</t>
  </si>
  <si>
    <t>CUST11634</t>
  </si>
  <si>
    <t>Jordan Moses</t>
  </si>
  <si>
    <t>CUST11635</t>
  </si>
  <si>
    <t>Abigail Booker</t>
  </si>
  <si>
    <t>CUST11636</t>
  </si>
  <si>
    <t>Tiffany Nguyen</t>
  </si>
  <si>
    <t>CUST11637</t>
  </si>
  <si>
    <t>Morgan Bernard</t>
  </si>
  <si>
    <t>CUST11638</t>
  </si>
  <si>
    <t>Christine Williams</t>
  </si>
  <si>
    <t>CUST11639</t>
  </si>
  <si>
    <t>Erica Brown</t>
  </si>
  <si>
    <t>CUST11640</t>
  </si>
  <si>
    <t>Trevor James</t>
  </si>
  <si>
    <t>CUST11641</t>
  </si>
  <si>
    <t>Christopher Hanna</t>
  </si>
  <si>
    <t>CUST11642</t>
  </si>
  <si>
    <t>Ann Phelps</t>
  </si>
  <si>
    <t>CUST11643</t>
  </si>
  <si>
    <t>Richard Mitchell</t>
  </si>
  <si>
    <t>CUST11644</t>
  </si>
  <si>
    <t>Martha Martinez</t>
  </si>
  <si>
    <t>CUST11645</t>
  </si>
  <si>
    <t>Jeffrey Drake MD</t>
  </si>
  <si>
    <t>CUST11646</t>
  </si>
  <si>
    <t>Bonnie Wade</t>
  </si>
  <si>
    <t>CUST11647</t>
  </si>
  <si>
    <t>Kayla Burns</t>
  </si>
  <si>
    <t>policy_id</t>
  </si>
  <si>
    <t>product_type</t>
  </si>
  <si>
    <t>coverage_amount</t>
  </si>
  <si>
    <t>annual_premium</t>
  </si>
  <si>
    <t>policy_start_date</t>
  </si>
  <si>
    <t>policy_end_date</t>
  </si>
  <si>
    <t>agent_id</t>
  </si>
  <si>
    <t>status</t>
  </si>
  <si>
    <t>POL50000</t>
  </si>
  <si>
    <t>Whole</t>
  </si>
  <si>
    <t>AGT5097</t>
  </si>
  <si>
    <t>Lapsed</t>
  </si>
  <si>
    <t>POL50001</t>
  </si>
  <si>
    <t>Vehicle</t>
  </si>
  <si>
    <t>AGT5176</t>
  </si>
  <si>
    <t>Cancelled</t>
  </si>
  <si>
    <t>POL50002</t>
  </si>
  <si>
    <t>AGT5083</t>
  </si>
  <si>
    <t>POL50003</t>
  </si>
  <si>
    <t>Active</t>
  </si>
  <si>
    <t>POL50004</t>
  </si>
  <si>
    <t>Health</t>
  </si>
  <si>
    <t>AGT5007</t>
  </si>
  <si>
    <t>POL50005</t>
  </si>
  <si>
    <t>AGT5060</t>
  </si>
  <si>
    <t>POL50006</t>
  </si>
  <si>
    <t>Term</t>
  </si>
  <si>
    <t>AGT5256</t>
  </si>
  <si>
    <t>POL50007</t>
  </si>
  <si>
    <t>Property</t>
  </si>
  <si>
    <t>AGT5179</t>
  </si>
  <si>
    <t>POL50008</t>
  </si>
  <si>
    <t>AGT5110</t>
  </si>
  <si>
    <t>POL50009</t>
  </si>
  <si>
    <t>AGT5006</t>
  </si>
  <si>
    <t>POL50010</t>
  </si>
  <si>
    <t>AGT5102</t>
  </si>
  <si>
    <t>POL50011</t>
  </si>
  <si>
    <t>AGT5114</t>
  </si>
  <si>
    <t>POL50012</t>
  </si>
  <si>
    <t>AGT5035</t>
  </si>
  <si>
    <t>POL50013</t>
  </si>
  <si>
    <t>AGT5182</t>
  </si>
  <si>
    <t>POL50014</t>
  </si>
  <si>
    <t>AGT5198</t>
  </si>
  <si>
    <t>POL50015</t>
  </si>
  <si>
    <t>AGT5299</t>
  </si>
  <si>
    <t>POL50016</t>
  </si>
  <si>
    <t>AGT5107</t>
  </si>
  <si>
    <t>POL50017</t>
  </si>
  <si>
    <t>AGT5082</t>
  </si>
  <si>
    <t>POL50018</t>
  </si>
  <si>
    <t>AGT5246</t>
  </si>
  <si>
    <t>POL50019</t>
  </si>
  <si>
    <t>AGT5105</t>
  </si>
  <si>
    <t>POL50020</t>
  </si>
  <si>
    <t>AGT5189</t>
  </si>
  <si>
    <t>POL50021</t>
  </si>
  <si>
    <t>AGT5221</t>
  </si>
  <si>
    <t>POL50022</t>
  </si>
  <si>
    <t>AGT5263</t>
  </si>
  <si>
    <t>POL50023</t>
  </si>
  <si>
    <t>AGT5095</t>
  </si>
  <si>
    <t>POL50024</t>
  </si>
  <si>
    <t>AGT5186</t>
  </si>
  <si>
    <t>POL50025</t>
  </si>
  <si>
    <t>AGT5039</t>
  </si>
  <si>
    <t>POL50026</t>
  </si>
  <si>
    <t>AGT5233</t>
  </si>
  <si>
    <t>POL50027</t>
  </si>
  <si>
    <t>AGT5013</t>
  </si>
  <si>
    <t>POL50028</t>
  </si>
  <si>
    <t>AGT5208</t>
  </si>
  <si>
    <t>POL50029</t>
  </si>
  <si>
    <t>AGT5062</t>
  </si>
  <si>
    <t>POL50030</t>
  </si>
  <si>
    <t>AGT5138</t>
  </si>
  <si>
    <t>POL50031</t>
  </si>
  <si>
    <t>AGT5022</t>
  </si>
  <si>
    <t>POL50032</t>
  </si>
  <si>
    <t>AGT5206</t>
  </si>
  <si>
    <t>POL50033</t>
  </si>
  <si>
    <t>AGT5144</t>
  </si>
  <si>
    <t>POL50034</t>
  </si>
  <si>
    <t>AGT5199</t>
  </si>
  <si>
    <t>POL50035</t>
  </si>
  <si>
    <t>AGT5104</t>
  </si>
  <si>
    <t>POL50036</t>
  </si>
  <si>
    <t>AGT5002</t>
  </si>
  <si>
    <t>POL50037</t>
  </si>
  <si>
    <t>AGT5174</t>
  </si>
  <si>
    <t>POL50038</t>
  </si>
  <si>
    <t>AGT5209</t>
  </si>
  <si>
    <t>POL50039</t>
  </si>
  <si>
    <t>POL50040</t>
  </si>
  <si>
    <t>AGT5078</t>
  </si>
  <si>
    <t>POL50041</t>
  </si>
  <si>
    <t>AGT5214</t>
  </si>
  <si>
    <t>POL50042</t>
  </si>
  <si>
    <t>AGT5162</t>
  </si>
  <si>
    <t>POL50043</t>
  </si>
  <si>
    <t>AGT5063</t>
  </si>
  <si>
    <t>POL50044</t>
  </si>
  <si>
    <t>AGT5033</t>
  </si>
  <si>
    <t>POL50045</t>
  </si>
  <si>
    <t>POL50046</t>
  </si>
  <si>
    <t>POL50047</t>
  </si>
  <si>
    <t>POL50048</t>
  </si>
  <si>
    <t>AGT5004</t>
  </si>
  <si>
    <t>POL50049</t>
  </si>
  <si>
    <t>AGT5014</t>
  </si>
  <si>
    <t>POL50050</t>
  </si>
  <si>
    <t>AGT5047</t>
  </si>
  <si>
    <t>POL50051</t>
  </si>
  <si>
    <t>POL50052</t>
  </si>
  <si>
    <t>AGT5005</t>
  </si>
  <si>
    <t>POL50053</t>
  </si>
  <si>
    <t>AGT5188</t>
  </si>
  <si>
    <t>POL50054</t>
  </si>
  <si>
    <t>POL50055</t>
  </si>
  <si>
    <t>AGT5240</t>
  </si>
  <si>
    <t>POL50056</t>
  </si>
  <si>
    <t>AGT5167</t>
  </si>
  <si>
    <t>POL50057</t>
  </si>
  <si>
    <t>AGT5025</t>
  </si>
  <si>
    <t>POL50058</t>
  </si>
  <si>
    <t>AGT5120</t>
  </si>
  <si>
    <t>POL50059</t>
  </si>
  <si>
    <t>AGT5042</t>
  </si>
  <si>
    <t>POL50060</t>
  </si>
  <si>
    <t>AGT5294</t>
  </si>
  <si>
    <t>POL50061</t>
  </si>
  <si>
    <t>AGT5177</t>
  </si>
  <si>
    <t>POL50062</t>
  </si>
  <si>
    <t>AGT5242</t>
  </si>
  <si>
    <t>POL50063</t>
  </si>
  <si>
    <t>AGT5112</t>
  </si>
  <si>
    <t>POL50064</t>
  </si>
  <si>
    <t>AGT5044</t>
  </si>
  <si>
    <t>POL50065</t>
  </si>
  <si>
    <t>AGT5070</t>
  </si>
  <si>
    <t>POL50066</t>
  </si>
  <si>
    <t>AGT5125</t>
  </si>
  <si>
    <t>POL50067</t>
  </si>
  <si>
    <t>AGT5231</t>
  </si>
  <si>
    <t>POL50068</t>
  </si>
  <si>
    <t>AGT5129</t>
  </si>
  <si>
    <t>POL50069</t>
  </si>
  <si>
    <t>AGT5278</t>
  </si>
  <si>
    <t>POL50070</t>
  </si>
  <si>
    <t>AGT5108</t>
  </si>
  <si>
    <t>POL50071</t>
  </si>
  <si>
    <t>AGT5069</t>
  </si>
  <si>
    <t>POL50072</t>
  </si>
  <si>
    <t>AGT5148</t>
  </si>
  <si>
    <t>POL50073</t>
  </si>
  <si>
    <t>POL50074</t>
  </si>
  <si>
    <t>AGT5200</t>
  </si>
  <si>
    <t>POL50075</t>
  </si>
  <si>
    <t>AGT5030</t>
  </si>
  <si>
    <t>POL50076</t>
  </si>
  <si>
    <t>AGT5192</t>
  </si>
  <si>
    <t>POL50077</t>
  </si>
  <si>
    <t>POL50078</t>
  </si>
  <si>
    <t>POL50079</t>
  </si>
  <si>
    <t>AGT5183</t>
  </si>
  <si>
    <t>POL50080</t>
  </si>
  <si>
    <t>AGT5211</t>
  </si>
  <si>
    <t>POL50081</t>
  </si>
  <si>
    <t>POL50082</t>
  </si>
  <si>
    <t>AGT5086</t>
  </si>
  <si>
    <t>POL50083</t>
  </si>
  <si>
    <t>AGT5243</t>
  </si>
  <si>
    <t>POL50084</t>
  </si>
  <si>
    <t>AGT5250</t>
  </si>
  <si>
    <t>POL50085</t>
  </si>
  <si>
    <t>AGT5298</t>
  </si>
  <si>
    <t>POL50086</t>
  </si>
  <si>
    <t>AGT5289</t>
  </si>
  <si>
    <t>POL50087</t>
  </si>
  <si>
    <t>AGT5237</t>
  </si>
  <si>
    <t>POL50088</t>
  </si>
  <si>
    <t>AGT5088</t>
  </si>
  <si>
    <t>POL50089</t>
  </si>
  <si>
    <t>POL50090</t>
  </si>
  <si>
    <t>AGT5235</t>
  </si>
  <si>
    <t>POL50091</t>
  </si>
  <si>
    <t>AGT5087</t>
  </si>
  <si>
    <t>POL50092</t>
  </si>
  <si>
    <t>AGT5244</t>
  </si>
  <si>
    <t>POL50093</t>
  </si>
  <si>
    <t>AGT5210</t>
  </si>
  <si>
    <t>POL50094</t>
  </si>
  <si>
    <t>AGT5147</t>
  </si>
  <si>
    <t>POL50095</t>
  </si>
  <si>
    <t>AGT5258</t>
  </si>
  <si>
    <t>POL50096</t>
  </si>
  <si>
    <t>AGT5026</t>
  </si>
  <si>
    <t>POL50097</t>
  </si>
  <si>
    <t>AGT5205</t>
  </si>
  <si>
    <t>POL50098</t>
  </si>
  <si>
    <t>POL50099</t>
  </si>
  <si>
    <t>AGT5012</t>
  </si>
  <si>
    <t>POL50100</t>
  </si>
  <si>
    <t>AGT5122</t>
  </si>
  <si>
    <t>POL50101</t>
  </si>
  <si>
    <t>AGT5155</t>
  </si>
  <si>
    <t>POL50102</t>
  </si>
  <si>
    <t>POL50103</t>
  </si>
  <si>
    <t>POL50104</t>
  </si>
  <si>
    <t>AGT5187</t>
  </si>
  <si>
    <t>POL50105</t>
  </si>
  <si>
    <t>POL50106</t>
  </si>
  <si>
    <t>AGT5131</t>
  </si>
  <si>
    <t>POL50107</t>
  </si>
  <si>
    <t>POL50108</t>
  </si>
  <si>
    <t>POL50109</t>
  </si>
  <si>
    <t>AGT5223</t>
  </si>
  <si>
    <t>POL50110</t>
  </si>
  <si>
    <t>AGT5295</t>
  </si>
  <si>
    <t>POL50111</t>
  </si>
  <si>
    <t>POL50112</t>
  </si>
  <si>
    <t>AGT5073</t>
  </si>
  <si>
    <t>POL50113</t>
  </si>
  <si>
    <t>POL50114</t>
  </si>
  <si>
    <t>AGT5153</t>
  </si>
  <si>
    <t>POL50115</t>
  </si>
  <si>
    <t>AGT5041</t>
  </si>
  <si>
    <t>POL50116</t>
  </si>
  <si>
    <t>POL50117</t>
  </si>
  <si>
    <t>POL50118</t>
  </si>
  <si>
    <t>AGT5034</t>
  </si>
  <si>
    <t>POL50119</t>
  </si>
  <si>
    <t>AGT5139</t>
  </si>
  <si>
    <t>POL50120</t>
  </si>
  <si>
    <t>POL50121</t>
  </si>
  <si>
    <t>AGT5156</t>
  </si>
  <si>
    <t>POL50122</t>
  </si>
  <si>
    <t>AGT5194</t>
  </si>
  <si>
    <t>POL50123</t>
  </si>
  <si>
    <t>AGT5071</t>
  </si>
  <si>
    <t>POL50124</t>
  </si>
  <si>
    <t>POL50125</t>
  </si>
  <si>
    <t>AGT5213</t>
  </si>
  <si>
    <t>POL50126</t>
  </si>
  <si>
    <t>AGT5158</t>
  </si>
  <si>
    <t>POL50127</t>
  </si>
  <si>
    <t>POL50128</t>
  </si>
  <si>
    <t>AGT5286</t>
  </si>
  <si>
    <t>POL50129</t>
  </si>
  <si>
    <t>AGT5020</t>
  </si>
  <si>
    <t>POL50130</t>
  </si>
  <si>
    <t>AGT5273</t>
  </si>
  <si>
    <t>POL50131</t>
  </si>
  <si>
    <t>AGT5217</t>
  </si>
  <si>
    <t>POL50132</t>
  </si>
  <si>
    <t>POL50133</t>
  </si>
  <si>
    <t>AGT5076</t>
  </si>
  <si>
    <t>POL50134</t>
  </si>
  <si>
    <t>POL50135</t>
  </si>
  <si>
    <t>AGT5287</t>
  </si>
  <si>
    <t>POL50136</t>
  </si>
  <si>
    <t>POL50137</t>
  </si>
  <si>
    <t>AGT5077</t>
  </si>
  <si>
    <t>POL50138</t>
  </si>
  <si>
    <t>AGT5275</t>
  </si>
  <si>
    <t>POL50139</t>
  </si>
  <si>
    <t>POL50140</t>
  </si>
  <si>
    <t>POL50141</t>
  </si>
  <si>
    <t>AGT5249</t>
  </si>
  <si>
    <t>POL50142</t>
  </si>
  <si>
    <t>AGT5115</t>
  </si>
  <si>
    <t>POL50143</t>
  </si>
  <si>
    <t>POL50144</t>
  </si>
  <si>
    <t>AGT5265</t>
  </si>
  <si>
    <t>POL50145</t>
  </si>
  <si>
    <t>AGT5290</t>
  </si>
  <si>
    <t>POL50146</t>
  </si>
  <si>
    <t>AGT5113</t>
  </si>
  <si>
    <t>POL50147</t>
  </si>
  <si>
    <t>AGT5055</t>
  </si>
  <si>
    <t>POL50148</t>
  </si>
  <si>
    <t>AGT5081</t>
  </si>
  <si>
    <t>POL50149</t>
  </si>
  <si>
    <t>AGT5040</t>
  </si>
  <si>
    <t>POL50150</t>
  </si>
  <si>
    <t>POL50151</t>
  </si>
  <si>
    <t>POL50152</t>
  </si>
  <si>
    <t>AGT5106</t>
  </si>
  <si>
    <t>POL50153</t>
  </si>
  <si>
    <t>AGT5195</t>
  </si>
  <si>
    <t>POL50154</t>
  </si>
  <si>
    <t>POL50155</t>
  </si>
  <si>
    <t>AGT5003</t>
  </si>
  <si>
    <t>POL50156</t>
  </si>
  <si>
    <t>POL50157</t>
  </si>
  <si>
    <t>AGT5259</t>
  </si>
  <si>
    <t>POL50158</t>
  </si>
  <si>
    <t>AGT5238</t>
  </si>
  <si>
    <t>POL50159</t>
  </si>
  <si>
    <t>POL50160</t>
  </si>
  <si>
    <t>POL50161</t>
  </si>
  <si>
    <t>AGT5018</t>
  </si>
  <si>
    <t>POL50162</t>
  </si>
  <si>
    <t>POL50163</t>
  </si>
  <si>
    <t>AGT5137</t>
  </si>
  <si>
    <t>POL50164</t>
  </si>
  <si>
    <t>POL50165</t>
  </si>
  <si>
    <t>POL50166</t>
  </si>
  <si>
    <t>POL50167</t>
  </si>
  <si>
    <t>POL50168</t>
  </si>
  <si>
    <t>POL50169</t>
  </si>
  <si>
    <t>AGT5203</t>
  </si>
  <si>
    <t>POL50170</t>
  </si>
  <si>
    <t>POL50171</t>
  </si>
  <si>
    <t>AGT5225</t>
  </si>
  <si>
    <t>POL50172</t>
  </si>
  <si>
    <t>POL50173</t>
  </si>
  <si>
    <t>POL50174</t>
  </si>
  <si>
    <t>POL50175</t>
  </si>
  <si>
    <t>AGT5222</t>
  </si>
  <si>
    <t>POL50176</t>
  </si>
  <si>
    <t>AGT5260</t>
  </si>
  <si>
    <t>POL50177</t>
  </si>
  <si>
    <t>AGT5247</t>
  </si>
  <si>
    <t>POL50178</t>
  </si>
  <si>
    <t>AGT5128</t>
  </si>
  <si>
    <t>POL50179</t>
  </si>
  <si>
    <t>POL50180</t>
  </si>
  <si>
    <t>AGT5052</t>
  </si>
  <si>
    <t>POL50181</t>
  </si>
  <si>
    <t>POL50182</t>
  </si>
  <si>
    <t>AGT5058</t>
  </si>
  <si>
    <t>POL50183</t>
  </si>
  <si>
    <t>POL50184</t>
  </si>
  <si>
    <t>POL50185</t>
  </si>
  <si>
    <t>AGT5015</t>
  </si>
  <si>
    <t>POL50186</t>
  </si>
  <si>
    <t>AGT5280</t>
  </si>
  <si>
    <t>POL50187</t>
  </si>
  <si>
    <t>POL50188</t>
  </si>
  <si>
    <t>POL50189</t>
  </si>
  <si>
    <t>AGT5135</t>
  </si>
  <si>
    <t>POL50190</t>
  </si>
  <si>
    <t>AGT5023</t>
  </si>
  <si>
    <t>POL50191</t>
  </si>
  <si>
    <t>POL50192</t>
  </si>
  <si>
    <t>POL50193</t>
  </si>
  <si>
    <t>AGT5276</t>
  </si>
  <si>
    <t>POL50194</t>
  </si>
  <si>
    <t>AGT5196</t>
  </si>
  <si>
    <t>POL50195</t>
  </si>
  <si>
    <t>POL50196</t>
  </si>
  <si>
    <t>AGT5111</t>
  </si>
  <si>
    <t>POL50197</t>
  </si>
  <si>
    <t>AGT5268</t>
  </si>
  <si>
    <t>POL50198</t>
  </si>
  <si>
    <t>AGT5127</t>
  </si>
  <si>
    <t>POL50199</t>
  </si>
  <si>
    <t>POL50200</t>
  </si>
  <si>
    <t>AGT5101</t>
  </si>
  <si>
    <t>POL50201</t>
  </si>
  <si>
    <t>AGT5285</t>
  </si>
  <si>
    <t>POL50202</t>
  </si>
  <si>
    <t>POL50203</t>
  </si>
  <si>
    <t>AGT5143</t>
  </si>
  <si>
    <t>POL50204</t>
  </si>
  <si>
    <t>AGT5193</t>
  </si>
  <si>
    <t>POL50205</t>
  </si>
  <si>
    <t>AGT5166</t>
  </si>
  <si>
    <t>POL50206</t>
  </si>
  <si>
    <t>POL50207</t>
  </si>
  <si>
    <t>POL50208</t>
  </si>
  <si>
    <t>AGT5049</t>
  </si>
  <si>
    <t>POL50209</t>
  </si>
  <si>
    <t>POL50210</t>
  </si>
  <si>
    <t>POL50211</t>
  </si>
  <si>
    <t>AGT5291</t>
  </si>
  <si>
    <t>POL50212</t>
  </si>
  <si>
    <t>POL50213</t>
  </si>
  <si>
    <t>POL50214</t>
  </si>
  <si>
    <t>AGT5163</t>
  </si>
  <si>
    <t>POL50215</t>
  </si>
  <si>
    <t>POL50216</t>
  </si>
  <si>
    <t>POL50217</t>
  </si>
  <si>
    <t>POL50218</t>
  </si>
  <si>
    <t>AGT5046</t>
  </si>
  <si>
    <t>POL50219</t>
  </si>
  <si>
    <t>POL50220</t>
  </si>
  <si>
    <t>AGT5159</t>
  </si>
  <si>
    <t>POL50221</t>
  </si>
  <si>
    <t>POL50222</t>
  </si>
  <si>
    <t>POL50223</t>
  </si>
  <si>
    <t>AGT5048</t>
  </si>
  <si>
    <t>POL50224</t>
  </si>
  <si>
    <t>POL50225</t>
  </si>
  <si>
    <t>AGT5043</t>
  </si>
  <si>
    <t>POL50226</t>
  </si>
  <si>
    <t>POL50227</t>
  </si>
  <si>
    <t>AGT5094</t>
  </si>
  <si>
    <t>POL50228</t>
  </si>
  <si>
    <t>AGT5066</t>
  </si>
  <si>
    <t>POL50229</t>
  </si>
  <si>
    <t>POL50230</t>
  </si>
  <si>
    <t>POL50231</t>
  </si>
  <si>
    <t>AGT5227</t>
  </si>
  <si>
    <t>POL50232</t>
  </si>
  <si>
    <t>AGT5118</t>
  </si>
  <si>
    <t>POL50233</t>
  </si>
  <si>
    <t>AGT5084</t>
  </si>
  <si>
    <t>POL50234</t>
  </si>
  <si>
    <t>POL50235</t>
  </si>
  <si>
    <t>POL50236</t>
  </si>
  <si>
    <t>POL50237</t>
  </si>
  <si>
    <t>AGT5164</t>
  </si>
  <si>
    <t>POL50238</t>
  </si>
  <si>
    <t>POL50239</t>
  </si>
  <si>
    <t>POL50240</t>
  </si>
  <si>
    <t>AGT5274</t>
  </si>
  <si>
    <t>POL50241</t>
  </si>
  <si>
    <t>AGT5296</t>
  </si>
  <si>
    <t>POL50242</t>
  </si>
  <si>
    <t>POL50243</t>
  </si>
  <si>
    <t>POL50244</t>
  </si>
  <si>
    <t>AGT5262</t>
  </si>
  <si>
    <t>POL50245</t>
  </si>
  <si>
    <t>POL50246</t>
  </si>
  <si>
    <t>POL50247</t>
  </si>
  <si>
    <t>POL50248</t>
  </si>
  <si>
    <t>AGT5031</t>
  </si>
  <si>
    <t>POL50249</t>
  </si>
  <si>
    <t>POL50250</t>
  </si>
  <si>
    <t>POL50251</t>
  </si>
  <si>
    <t>AGT5085</t>
  </si>
  <si>
    <t>POL50252</t>
  </si>
  <si>
    <t>POL50253</t>
  </si>
  <si>
    <t>POL50254</t>
  </si>
  <si>
    <t>POL50255</t>
  </si>
  <si>
    <t>AGT5124</t>
  </si>
  <si>
    <t>POL50256</t>
  </si>
  <si>
    <t>AGT5117</t>
  </si>
  <si>
    <t>POL50257</t>
  </si>
  <si>
    <t>AGT5184</t>
  </si>
  <si>
    <t>POL50258</t>
  </si>
  <si>
    <t>AGT5283</t>
  </si>
  <si>
    <t>POL50259</t>
  </si>
  <si>
    <t>AGT5284</t>
  </si>
  <si>
    <t>POL50260</t>
  </si>
  <si>
    <t>POL50261</t>
  </si>
  <si>
    <t>AGT5099</t>
  </si>
  <si>
    <t>POL50262</t>
  </si>
  <si>
    <t>POL50263</t>
  </si>
  <si>
    <t>POL50264</t>
  </si>
  <si>
    <t>AGT5253</t>
  </si>
  <si>
    <t>POL50265</t>
  </si>
  <si>
    <t>AGT5261</t>
  </si>
  <si>
    <t>POL50266</t>
  </si>
  <si>
    <t>AGT5245</t>
  </si>
  <si>
    <t>POL50267</t>
  </si>
  <si>
    <t>AGT5228</t>
  </si>
  <si>
    <t>POL50268</t>
  </si>
  <si>
    <t>POL50269</t>
  </si>
  <si>
    <t>AGT5191</t>
  </si>
  <si>
    <t>POL50270</t>
  </si>
  <si>
    <t>POL50271</t>
  </si>
  <si>
    <t>AGT5116</t>
  </si>
  <si>
    <t>POL50272</t>
  </si>
  <si>
    <t>AGT5266</t>
  </si>
  <si>
    <t>POL50273</t>
  </si>
  <si>
    <t>AGT5190</t>
  </si>
  <si>
    <t>POL50274</t>
  </si>
  <si>
    <t>POL50275</t>
  </si>
  <si>
    <t>POL50276</t>
  </si>
  <si>
    <t>POL50277</t>
  </si>
  <si>
    <t>POL50278</t>
  </si>
  <si>
    <t>POL50279</t>
  </si>
  <si>
    <t>POL50280</t>
  </si>
  <si>
    <t>POL50281</t>
  </si>
  <si>
    <t>POL50282</t>
  </si>
  <si>
    <t>POL50283</t>
  </si>
  <si>
    <t>AGT5207</t>
  </si>
  <si>
    <t>POL50284</t>
  </si>
  <si>
    <t>POL50285</t>
  </si>
  <si>
    <t>AGT5121</t>
  </si>
  <si>
    <t>POL50286</t>
  </si>
  <si>
    <t>POL50287</t>
  </si>
  <si>
    <t>POL50288</t>
  </si>
  <si>
    <t>AGT5059</t>
  </si>
  <si>
    <t>POL50289</t>
  </si>
  <si>
    <t>AGT5169</t>
  </si>
  <si>
    <t>POL50290</t>
  </si>
  <si>
    <t>AGT5154</t>
  </si>
  <si>
    <t>POL50291</t>
  </si>
  <si>
    <t>AGT5093</t>
  </si>
  <si>
    <t>POL50292</t>
  </si>
  <si>
    <t>POL50293</t>
  </si>
  <si>
    <t>AGT5230</t>
  </si>
  <si>
    <t>POL50294</t>
  </si>
  <si>
    <t>AGT5202</t>
  </si>
  <si>
    <t>POL50295</t>
  </si>
  <si>
    <t>AGT5140</t>
  </si>
  <si>
    <t>POL50296</t>
  </si>
  <si>
    <t>AGT5181</t>
  </si>
  <si>
    <t>POL50297</t>
  </si>
  <si>
    <t>AGT5072</t>
  </si>
  <si>
    <t>POL50298</t>
  </si>
  <si>
    <t>AGT5149</t>
  </si>
  <si>
    <t>POL50299</t>
  </si>
  <si>
    <t>AGT5168</t>
  </si>
  <si>
    <t>POL50300</t>
  </si>
  <si>
    <t>AGT5075</t>
  </si>
  <si>
    <t>POL50301</t>
  </si>
  <si>
    <t>AGT5050</t>
  </si>
  <si>
    <t>POL50302</t>
  </si>
  <si>
    <t>AGT5157</t>
  </si>
  <si>
    <t>POL50303</t>
  </si>
  <si>
    <t>AGT5282</t>
  </si>
  <si>
    <t>POL50304</t>
  </si>
  <si>
    <t>POL50305</t>
  </si>
  <si>
    <t>AGT5270</t>
  </si>
  <si>
    <t>POL50306</t>
  </si>
  <si>
    <t>AGT5255</t>
  </si>
  <si>
    <t>POL50307</t>
  </si>
  <si>
    <t>POL50308</t>
  </si>
  <si>
    <t>POL50309</t>
  </si>
  <si>
    <t>AGT5123</t>
  </si>
  <si>
    <t>POL50310</t>
  </si>
  <si>
    <t>POL50311</t>
  </si>
  <si>
    <t>POL50312</t>
  </si>
  <si>
    <t>POL50313</t>
  </si>
  <si>
    <t>POL50314</t>
  </si>
  <si>
    <t>AGT5011</t>
  </si>
  <si>
    <t>POL50315</t>
  </si>
  <si>
    <t>AGT5229</t>
  </si>
  <si>
    <t>POL50316</t>
  </si>
  <si>
    <t>AGT5277</t>
  </si>
  <si>
    <t>POL50317</t>
  </si>
  <si>
    <t>POL50318</t>
  </si>
  <si>
    <t>AGT5297</t>
  </si>
  <si>
    <t>POL50319</t>
  </si>
  <si>
    <t>POL50320</t>
  </si>
  <si>
    <t>AGT5038</t>
  </si>
  <si>
    <t>POL50321</t>
  </si>
  <si>
    <t>POL50322</t>
  </si>
  <si>
    <t>POL50323</t>
  </si>
  <si>
    <t>POL50324</t>
  </si>
  <si>
    <t>POL50325</t>
  </si>
  <si>
    <t>AGT5171</t>
  </si>
  <si>
    <t>POL50326</t>
  </si>
  <si>
    <t>POL50327</t>
  </si>
  <si>
    <t>POL50328</t>
  </si>
  <si>
    <t>POL50329</t>
  </si>
  <si>
    <t>POL50330</t>
  </si>
  <si>
    <t>AGT5279</t>
  </si>
  <si>
    <t>POL50331</t>
  </si>
  <si>
    <t>POL50332</t>
  </si>
  <si>
    <t>POL50333</t>
  </si>
  <si>
    <t>AGT5161</t>
  </si>
  <si>
    <t>POL50334</t>
  </si>
  <si>
    <t>POL50335</t>
  </si>
  <si>
    <t>POL50336</t>
  </si>
  <si>
    <t>POL50337</t>
  </si>
  <si>
    <t>POL50338</t>
  </si>
  <si>
    <t>POL50339</t>
  </si>
  <si>
    <t>POL50340</t>
  </si>
  <si>
    <t>POL50341</t>
  </si>
  <si>
    <t>POL50342</t>
  </si>
  <si>
    <t>AGT5130</t>
  </si>
  <si>
    <t>POL50343</t>
  </si>
  <si>
    <t>POL50344</t>
  </si>
  <si>
    <t>POL50345</t>
  </si>
  <si>
    <t>POL50346</t>
  </si>
  <si>
    <t>POL50347</t>
  </si>
  <si>
    <t>POL50348</t>
  </si>
  <si>
    <t>POL50349</t>
  </si>
  <si>
    <t>AGT5027</t>
  </si>
  <si>
    <t>POL50350</t>
  </si>
  <si>
    <t>AGT5257</t>
  </si>
  <si>
    <t>POL50351</t>
  </si>
  <si>
    <t>POL50352</t>
  </si>
  <si>
    <t>AGT5000</t>
  </si>
  <si>
    <t>POL50353</t>
  </si>
  <si>
    <t>POL50354</t>
  </si>
  <si>
    <t>POL50355</t>
  </si>
  <si>
    <t>POL50356</t>
  </si>
  <si>
    <t>POL50357</t>
  </si>
  <si>
    <t>POL50358</t>
  </si>
  <si>
    <t>POL50359</t>
  </si>
  <si>
    <t>POL50360</t>
  </si>
  <si>
    <t>AGT5103</t>
  </si>
  <si>
    <t>POL50361</t>
  </si>
  <si>
    <t>POL50362</t>
  </si>
  <si>
    <t>AGT5008</t>
  </si>
  <si>
    <t>POL50363</t>
  </si>
  <si>
    <t>POL50364</t>
  </si>
  <si>
    <t>POL50365</t>
  </si>
  <si>
    <t>POL50366</t>
  </si>
  <si>
    <t>POL50367</t>
  </si>
  <si>
    <t>POL50368</t>
  </si>
  <si>
    <t>POL50369</t>
  </si>
  <si>
    <t>AGT5178</t>
  </si>
  <si>
    <t>POL50370</t>
  </si>
  <si>
    <t>POL50371</t>
  </si>
  <si>
    <t>POL50372</t>
  </si>
  <si>
    <t>POL50373</t>
  </si>
  <si>
    <t>POL50374</t>
  </si>
  <si>
    <t>POL50375</t>
  </si>
  <si>
    <t>POL50376</t>
  </si>
  <si>
    <t>POL50377</t>
  </si>
  <si>
    <t>AGT5269</t>
  </si>
  <si>
    <t>POL50378</t>
  </si>
  <si>
    <t>POL50379</t>
  </si>
  <si>
    <t>AGT5170</t>
  </si>
  <si>
    <t>POL50380</t>
  </si>
  <si>
    <t>POL50381</t>
  </si>
  <si>
    <t>AGT5079</t>
  </si>
  <si>
    <t>POL50382</t>
  </si>
  <si>
    <t>POL50383</t>
  </si>
  <si>
    <t>POL50384</t>
  </si>
  <si>
    <t>POL50385</t>
  </si>
  <si>
    <t>POL50386</t>
  </si>
  <si>
    <t>POL50387</t>
  </si>
  <si>
    <t>POL50388</t>
  </si>
  <si>
    <t>POL50389</t>
  </si>
  <si>
    <t>POL50390</t>
  </si>
  <si>
    <t>POL50391</t>
  </si>
  <si>
    <t>AGT5271</t>
  </si>
  <si>
    <t>POL50392</t>
  </si>
  <si>
    <t>POL50393</t>
  </si>
  <si>
    <t>POL50394</t>
  </si>
  <si>
    <t>POL50395</t>
  </si>
  <si>
    <t>POL50396</t>
  </si>
  <si>
    <t>POL50397</t>
  </si>
  <si>
    <t>POL50398</t>
  </si>
  <si>
    <t>AGT5272</t>
  </si>
  <si>
    <t>POL50399</t>
  </si>
  <si>
    <t>POL50400</t>
  </si>
  <si>
    <t>POL50401</t>
  </si>
  <si>
    <t>AGT5175</t>
  </si>
  <si>
    <t>POL50402</t>
  </si>
  <si>
    <t>POL50403</t>
  </si>
  <si>
    <t>POL50404</t>
  </si>
  <si>
    <t>AGT5197</t>
  </si>
  <si>
    <t>POL50405</t>
  </si>
  <si>
    <t>AGT5061</t>
  </si>
  <si>
    <t>POL50406</t>
  </si>
  <si>
    <t>POL50407</t>
  </si>
  <si>
    <t>POL50408</t>
  </si>
  <si>
    <t>POL50409</t>
  </si>
  <si>
    <t>POL50410</t>
  </si>
  <si>
    <t>POL50411</t>
  </si>
  <si>
    <t>POL50412</t>
  </si>
  <si>
    <t>POL50413</t>
  </si>
  <si>
    <t>POL50414</t>
  </si>
  <si>
    <t>POL50415</t>
  </si>
  <si>
    <t>POL50416</t>
  </si>
  <si>
    <t>POL50417</t>
  </si>
  <si>
    <t>POL50418</t>
  </si>
  <si>
    <t>POL50419</t>
  </si>
  <si>
    <t>POL50420</t>
  </si>
  <si>
    <t>POL50421</t>
  </si>
  <si>
    <t>AGT5146</t>
  </si>
  <si>
    <t>POL50422</t>
  </si>
  <si>
    <t>POL50423</t>
  </si>
  <si>
    <t>POL50424</t>
  </si>
  <si>
    <t>POL50425</t>
  </si>
  <si>
    <t>POL50426</t>
  </si>
  <si>
    <t>POL50427</t>
  </si>
  <si>
    <t>POL50428</t>
  </si>
  <si>
    <t>AGT5090</t>
  </si>
  <si>
    <t>POL50429</t>
  </si>
  <si>
    <t>AGT5224</t>
  </si>
  <si>
    <t>POL50430</t>
  </si>
  <si>
    <t>POL50431</t>
  </si>
  <si>
    <t>POL50432</t>
  </si>
  <si>
    <t>POL50433</t>
  </si>
  <si>
    <t>POL50434</t>
  </si>
  <si>
    <t>POL50435</t>
  </si>
  <si>
    <t>POL50436</t>
  </si>
  <si>
    <t>AGT5001</t>
  </si>
  <si>
    <t>POL50437</t>
  </si>
  <si>
    <t>POL50438</t>
  </si>
  <si>
    <t>AGT5165</t>
  </si>
  <si>
    <t>POL50439</t>
  </si>
  <si>
    <t>AGT5173</t>
  </si>
  <si>
    <t>POL50440</t>
  </si>
  <si>
    <t>POL50441</t>
  </si>
  <si>
    <t>POL50442</t>
  </si>
  <si>
    <t>POL50443</t>
  </si>
  <si>
    <t>POL50444</t>
  </si>
  <si>
    <t>POL50445</t>
  </si>
  <si>
    <t>POL50446</t>
  </si>
  <si>
    <t>POL50447</t>
  </si>
  <si>
    <t>AGT5132</t>
  </si>
  <si>
    <t>POL50448</t>
  </si>
  <si>
    <t>POL50449</t>
  </si>
  <si>
    <t>AGT5092</t>
  </si>
  <si>
    <t>POL50450</t>
  </si>
  <si>
    <t>POL50451</t>
  </si>
  <si>
    <t>AGT5151</t>
  </si>
  <si>
    <t>POL50452</t>
  </si>
  <si>
    <t>POL50453</t>
  </si>
  <si>
    <t>AGT5119</t>
  </si>
  <si>
    <t>POL50454</t>
  </si>
  <si>
    <t>POL50455</t>
  </si>
  <si>
    <t>POL50456</t>
  </si>
  <si>
    <t>POL50457</t>
  </si>
  <si>
    <t>AGT5152</t>
  </si>
  <si>
    <t>POL50458</t>
  </si>
  <si>
    <t>AGT5145</t>
  </si>
  <si>
    <t>POL50459</t>
  </si>
  <si>
    <t>POL50460</t>
  </si>
  <si>
    <t>POL50461</t>
  </si>
  <si>
    <t>POL50462</t>
  </si>
  <si>
    <t>POL50463</t>
  </si>
  <si>
    <t>POL50464</t>
  </si>
  <si>
    <t>POL50465</t>
  </si>
  <si>
    <t>POL50466</t>
  </si>
  <si>
    <t>POL50467</t>
  </si>
  <si>
    <t>POL50468</t>
  </si>
  <si>
    <t>AGT5091</t>
  </si>
  <si>
    <t>POL50469</t>
  </si>
  <si>
    <t>AGT5032</t>
  </si>
  <si>
    <t>POL50470</t>
  </si>
  <si>
    <t>POL50471</t>
  </si>
  <si>
    <t>POL50472</t>
  </si>
  <si>
    <t>AGT5089</t>
  </si>
  <si>
    <t>POL50473</t>
  </si>
  <si>
    <t>AGT5141</t>
  </si>
  <si>
    <t>POL50474</t>
  </si>
  <si>
    <t>POL50475</t>
  </si>
  <si>
    <t>POL50476</t>
  </si>
  <si>
    <t>POL50477</t>
  </si>
  <si>
    <t>POL50478</t>
  </si>
  <si>
    <t>POL50479</t>
  </si>
  <si>
    <t>AGT5201</t>
  </si>
  <si>
    <t>POL50480</t>
  </si>
  <si>
    <t>POL50481</t>
  </si>
  <si>
    <t>POL50482</t>
  </si>
  <si>
    <t>POL50483</t>
  </si>
  <si>
    <t>AGT5232</t>
  </si>
  <si>
    <t>POL50484</t>
  </si>
  <si>
    <t>POL50485</t>
  </si>
  <si>
    <t>POL50486</t>
  </si>
  <si>
    <t>POL50487</t>
  </si>
  <si>
    <t>POL50488</t>
  </si>
  <si>
    <t>POL50489</t>
  </si>
  <si>
    <t>AGT5185</t>
  </si>
  <si>
    <t>POL50490</t>
  </si>
  <si>
    <t>POL50491</t>
  </si>
  <si>
    <t>AGT5053</t>
  </si>
  <si>
    <t>POL50492</t>
  </si>
  <si>
    <t>POL50493</t>
  </si>
  <si>
    <t>AGT5016</t>
  </si>
  <si>
    <t>POL50494</t>
  </si>
  <si>
    <t>POL50495</t>
  </si>
  <si>
    <t>POL50496</t>
  </si>
  <si>
    <t>POL50497</t>
  </si>
  <si>
    <t>POL50498</t>
  </si>
  <si>
    <t>POL50499</t>
  </si>
  <si>
    <t>POL50500</t>
  </si>
  <si>
    <t>POL50501</t>
  </si>
  <si>
    <t>AGT5236</t>
  </si>
  <si>
    <t>POL50502</t>
  </si>
  <si>
    <t>POL50503</t>
  </si>
  <si>
    <t>POL50504</t>
  </si>
  <si>
    <t>POL50505</t>
  </si>
  <si>
    <t>POL50506</t>
  </si>
  <si>
    <t>POL50507</t>
  </si>
  <si>
    <t>AGT5068</t>
  </si>
  <si>
    <t>POL50508</t>
  </si>
  <si>
    <t>AGT5241</t>
  </si>
  <si>
    <t>POL50509</t>
  </si>
  <si>
    <t>POL50510</t>
  </si>
  <si>
    <t>POL50511</t>
  </si>
  <si>
    <t>POL50512</t>
  </si>
  <si>
    <t>POL50513</t>
  </si>
  <si>
    <t>POL50514</t>
  </si>
  <si>
    <t>POL50515</t>
  </si>
  <si>
    <t>POL50516</t>
  </si>
  <si>
    <t>POL50517</t>
  </si>
  <si>
    <t>POL50518</t>
  </si>
  <si>
    <t>AGT5142</t>
  </si>
  <si>
    <t>POL50519</t>
  </si>
  <si>
    <t>POL50520</t>
  </si>
  <si>
    <t>POL50521</t>
  </si>
  <si>
    <t>POL50522</t>
  </si>
  <si>
    <t>POL50523</t>
  </si>
  <si>
    <t>AGT5126</t>
  </si>
  <si>
    <t>POL50524</t>
  </si>
  <si>
    <t>AGT5017</t>
  </si>
  <si>
    <t>POL50525</t>
  </si>
  <si>
    <t>POL50526</t>
  </si>
  <si>
    <t>POL50527</t>
  </si>
  <si>
    <t>POL50528</t>
  </si>
  <si>
    <t>POL50529</t>
  </si>
  <si>
    <t>POL50530</t>
  </si>
  <si>
    <t>POL50531</t>
  </si>
  <si>
    <t>POL50532</t>
  </si>
  <si>
    <t>POL50533</t>
  </si>
  <si>
    <t>POL50534</t>
  </si>
  <si>
    <t>AGT5288</t>
  </si>
  <si>
    <t>POL50535</t>
  </si>
  <si>
    <t>POL50536</t>
  </si>
  <si>
    <t>POL50537</t>
  </si>
  <si>
    <t>POL50538</t>
  </si>
  <si>
    <t>POL50539</t>
  </si>
  <si>
    <t>POL50540</t>
  </si>
  <si>
    <t>POL50541</t>
  </si>
  <si>
    <t>POL50542</t>
  </si>
  <si>
    <t>POL50543</t>
  </si>
  <si>
    <t>AGT5281</t>
  </si>
  <si>
    <t>POL50544</t>
  </si>
  <si>
    <t>POL50545</t>
  </si>
  <si>
    <t>POL50546</t>
  </si>
  <si>
    <t>POL50547</t>
  </si>
  <si>
    <t>POL50548</t>
  </si>
  <si>
    <t>AGT5064</t>
  </si>
  <si>
    <t>POL50549</t>
  </si>
  <si>
    <t>POL50550</t>
  </si>
  <si>
    <t>POL50551</t>
  </si>
  <si>
    <t>POL50552</t>
  </si>
  <si>
    <t>POL50553</t>
  </si>
  <si>
    <t>POL50554</t>
  </si>
  <si>
    <t>POL50555</t>
  </si>
  <si>
    <t>POL50556</t>
  </si>
  <si>
    <t>POL50557</t>
  </si>
  <si>
    <t>AGT5267</t>
  </si>
  <si>
    <t>POL50558</t>
  </si>
  <si>
    <t>POL50559</t>
  </si>
  <si>
    <t>POL50560</t>
  </si>
  <si>
    <t>POL50561</t>
  </si>
  <si>
    <t>POL50562</t>
  </si>
  <si>
    <t>POL50563</t>
  </si>
  <si>
    <t>POL50564</t>
  </si>
  <si>
    <t>POL50565</t>
  </si>
  <si>
    <t>POL50566</t>
  </si>
  <si>
    <t>POL50567</t>
  </si>
  <si>
    <t>POL50568</t>
  </si>
  <si>
    <t>POL50569</t>
  </si>
  <si>
    <t>POL50570</t>
  </si>
  <si>
    <t>AGT5098</t>
  </si>
  <si>
    <t>POL50571</t>
  </si>
  <si>
    <t>POL50572</t>
  </si>
  <si>
    <t>POL50573</t>
  </si>
  <si>
    <t>POL50574</t>
  </si>
  <si>
    <t>POL50575</t>
  </si>
  <si>
    <t>POL50576</t>
  </si>
  <si>
    <t>POL50577</t>
  </si>
  <si>
    <t>POL50578</t>
  </si>
  <si>
    <t>POL50579</t>
  </si>
  <si>
    <t>POL50580</t>
  </si>
  <si>
    <t>POL50581</t>
  </si>
  <si>
    <t>POL50582</t>
  </si>
  <si>
    <t>POL50583</t>
  </si>
  <si>
    <t>POL50584</t>
  </si>
  <si>
    <t>POL50585</t>
  </si>
  <si>
    <t>POL50586</t>
  </si>
  <si>
    <t>POL50587</t>
  </si>
  <si>
    <t>POL50588</t>
  </si>
  <si>
    <t>POL50589</t>
  </si>
  <si>
    <t>POL50590</t>
  </si>
  <si>
    <t>POL50591</t>
  </si>
  <si>
    <t>AGT5028</t>
  </si>
  <si>
    <t>POL50592</t>
  </si>
  <si>
    <t>POL50593</t>
  </si>
  <si>
    <t>POL50594</t>
  </si>
  <si>
    <t>POL50595</t>
  </si>
  <si>
    <t>AGT5292</t>
  </si>
  <si>
    <t>POL50596</t>
  </si>
  <si>
    <t>AGT5080</t>
  </si>
  <si>
    <t>POL50597</t>
  </si>
  <si>
    <t>POL50598</t>
  </si>
  <si>
    <t>POL50599</t>
  </si>
  <si>
    <t>AGT5067</t>
  </si>
  <si>
    <t>POL50600</t>
  </si>
  <si>
    <t>POL50601</t>
  </si>
  <si>
    <t>POL50602</t>
  </si>
  <si>
    <t>POL50603</t>
  </si>
  <si>
    <t>POL50604</t>
  </si>
  <si>
    <t>POL50605</t>
  </si>
  <si>
    <t>POL50606</t>
  </si>
  <si>
    <t>AGT5216</t>
  </si>
  <si>
    <t>POL50607</t>
  </si>
  <si>
    <t>POL50608</t>
  </si>
  <si>
    <t>POL50609</t>
  </si>
  <si>
    <t>POL50610</t>
  </si>
  <si>
    <t>POL50611</t>
  </si>
  <si>
    <t>POL50612</t>
  </si>
  <si>
    <t>POL50613</t>
  </si>
  <si>
    <t>POL50614</t>
  </si>
  <si>
    <t>POL50615</t>
  </si>
  <si>
    <t>POL50616</t>
  </si>
  <si>
    <t>AGT5226</t>
  </si>
  <si>
    <t>POL50617</t>
  </si>
  <si>
    <t>POL50618</t>
  </si>
  <si>
    <t>POL50619</t>
  </si>
  <si>
    <t>POL50620</t>
  </si>
  <si>
    <t>POL50621</t>
  </si>
  <si>
    <t>POL50622</t>
  </si>
  <si>
    <t>POL50623</t>
  </si>
  <si>
    <t>POL50624</t>
  </si>
  <si>
    <t>POL50625</t>
  </si>
  <si>
    <t>POL50626</t>
  </si>
  <si>
    <t>POL50627</t>
  </si>
  <si>
    <t>POL50628</t>
  </si>
  <si>
    <t>POL50629</t>
  </si>
  <si>
    <t>POL50630</t>
  </si>
  <si>
    <t>POL50631</t>
  </si>
  <si>
    <t>POL50632</t>
  </si>
  <si>
    <t>POL50633</t>
  </si>
  <si>
    <t>POL50634</t>
  </si>
  <si>
    <t>POL50635</t>
  </si>
  <si>
    <t>POL50636</t>
  </si>
  <si>
    <t>POL50637</t>
  </si>
  <si>
    <t>AGT5293</t>
  </si>
  <si>
    <t>POL50638</t>
  </si>
  <si>
    <t>POL50639</t>
  </si>
  <si>
    <t>POL50640</t>
  </si>
  <si>
    <t>POL50641</t>
  </si>
  <si>
    <t>POL50642</t>
  </si>
  <si>
    <t>POL50643</t>
  </si>
  <si>
    <t>POL50644</t>
  </si>
  <si>
    <t>POL50645</t>
  </si>
  <si>
    <t>POL50646</t>
  </si>
  <si>
    <t>AGT5045</t>
  </si>
  <si>
    <t>POL50647</t>
  </si>
  <si>
    <t>POL50648</t>
  </si>
  <si>
    <t>POL50649</t>
  </si>
  <si>
    <t>POL50650</t>
  </si>
  <si>
    <t>POL50651</t>
  </si>
  <si>
    <t>POL50652</t>
  </si>
  <si>
    <t>POL50653</t>
  </si>
  <si>
    <t>POL50654</t>
  </si>
  <si>
    <t>POL50655</t>
  </si>
  <si>
    <t>AGT5010</t>
  </si>
  <si>
    <t>POL50656</t>
  </si>
  <si>
    <t>POL50657</t>
  </si>
  <si>
    <t>AGT5172</t>
  </si>
  <si>
    <t>POL50658</t>
  </si>
  <si>
    <t>POL50659</t>
  </si>
  <si>
    <t>POL50660</t>
  </si>
  <si>
    <t>POL50661</t>
  </si>
  <si>
    <t>POL50662</t>
  </si>
  <si>
    <t>POL50663</t>
  </si>
  <si>
    <t>POL50664</t>
  </si>
  <si>
    <t>POL50665</t>
  </si>
  <si>
    <t>POL50666</t>
  </si>
  <si>
    <t>POL50667</t>
  </si>
  <si>
    <t>POL50668</t>
  </si>
  <si>
    <t>POL50669</t>
  </si>
  <si>
    <t>POL50670</t>
  </si>
  <si>
    <t>POL50671</t>
  </si>
  <si>
    <t>POL50672</t>
  </si>
  <si>
    <t>POL50673</t>
  </si>
  <si>
    <t>POL50674</t>
  </si>
  <si>
    <t>POL50675</t>
  </si>
  <si>
    <t>POL50676</t>
  </si>
  <si>
    <t>POL50677</t>
  </si>
  <si>
    <t>POL50678</t>
  </si>
  <si>
    <t>POL50679</t>
  </si>
  <si>
    <t>POL50680</t>
  </si>
  <si>
    <t>POL50681</t>
  </si>
  <si>
    <t>POL50682</t>
  </si>
  <si>
    <t>POL50683</t>
  </si>
  <si>
    <t>POL50684</t>
  </si>
  <si>
    <t>POL50685</t>
  </si>
  <si>
    <t>POL50686</t>
  </si>
  <si>
    <t>AGT5054</t>
  </si>
  <si>
    <t>POL50687</t>
  </si>
  <si>
    <t>POL50688</t>
  </si>
  <si>
    <t>POL50689</t>
  </si>
  <si>
    <t>POL50690</t>
  </si>
  <si>
    <t>POL50691</t>
  </si>
  <si>
    <t>POL50692</t>
  </si>
  <si>
    <t>POL50693</t>
  </si>
  <si>
    <t>POL50694</t>
  </si>
  <si>
    <t>AGT5254</t>
  </si>
  <si>
    <t>POL50695</t>
  </si>
  <si>
    <t>POL50696</t>
  </si>
  <si>
    <t>POL50697</t>
  </si>
  <si>
    <t>POL50698</t>
  </si>
  <si>
    <t>POL50699</t>
  </si>
  <si>
    <t>POL50700</t>
  </si>
  <si>
    <t>POL50701</t>
  </si>
  <si>
    <t>POL50702</t>
  </si>
  <si>
    <t>POL50703</t>
  </si>
  <si>
    <t>POL50704</t>
  </si>
  <si>
    <t>POL50705</t>
  </si>
  <si>
    <t>POL50706</t>
  </si>
  <si>
    <t>AGT5051</t>
  </si>
  <si>
    <t>POL50707</t>
  </si>
  <si>
    <t>POL50708</t>
  </si>
  <si>
    <t>POL50709</t>
  </si>
  <si>
    <t>POL50710</t>
  </si>
  <si>
    <t>POL50711</t>
  </si>
  <si>
    <t>POL50712</t>
  </si>
  <si>
    <t>POL50713</t>
  </si>
  <si>
    <t>AGT5134</t>
  </si>
  <si>
    <t>POL50714</t>
  </si>
  <si>
    <t>POL50715</t>
  </si>
  <si>
    <t>AGT5218</t>
  </si>
  <si>
    <t>POL50716</t>
  </si>
  <si>
    <t>POL50717</t>
  </si>
  <si>
    <t>AGT5024</t>
  </si>
  <si>
    <t>POL50718</t>
  </si>
  <si>
    <t>AGT5219</t>
  </si>
  <si>
    <t>POL50719</t>
  </si>
  <si>
    <t>AGT5109</t>
  </si>
  <si>
    <t>POL50720</t>
  </si>
  <si>
    <t>POL50721</t>
  </si>
  <si>
    <t>POL50722</t>
  </si>
  <si>
    <t>POL50723</t>
  </si>
  <si>
    <t>POL50724</t>
  </si>
  <si>
    <t>POL50725</t>
  </si>
  <si>
    <t>POL50726</t>
  </si>
  <si>
    <t>POL50727</t>
  </si>
  <si>
    <t>POL50728</t>
  </si>
  <si>
    <t>POL50729</t>
  </si>
  <si>
    <t>POL50730</t>
  </si>
  <si>
    <t>POL50731</t>
  </si>
  <si>
    <t>POL50732</t>
  </si>
  <si>
    <t>POL50733</t>
  </si>
  <si>
    <t>POL50734</t>
  </si>
  <si>
    <t>POL50735</t>
  </si>
  <si>
    <t>POL50736</t>
  </si>
  <si>
    <t>POL50737</t>
  </si>
  <si>
    <t>POL50738</t>
  </si>
  <si>
    <t>POL50739</t>
  </si>
  <si>
    <t>POL50740</t>
  </si>
  <si>
    <t>POL50741</t>
  </si>
  <si>
    <t>AGT5100</t>
  </si>
  <si>
    <t>POL50742</t>
  </si>
  <si>
    <t>POL50743</t>
  </si>
  <si>
    <t>POL50744</t>
  </si>
  <si>
    <t>POL50745</t>
  </si>
  <si>
    <t>POL50746</t>
  </si>
  <si>
    <t>POL50747</t>
  </si>
  <si>
    <t>AGT5251</t>
  </si>
  <si>
    <t>POL50748</t>
  </si>
  <si>
    <t>POL50749</t>
  </si>
  <si>
    <t>POL50750</t>
  </si>
  <si>
    <t>POL50751</t>
  </si>
  <si>
    <t>POL50752</t>
  </si>
  <si>
    <t>POL50753</t>
  </si>
  <si>
    <t>POL50754</t>
  </si>
  <si>
    <t>POL50755</t>
  </si>
  <si>
    <t>POL50756</t>
  </si>
  <si>
    <t>POL50757</t>
  </si>
  <si>
    <t>POL50758</t>
  </si>
  <si>
    <t>POL50759</t>
  </si>
  <si>
    <t>POL50760</t>
  </si>
  <si>
    <t>POL50761</t>
  </si>
  <si>
    <t>POL50762</t>
  </si>
  <si>
    <t>POL50763</t>
  </si>
  <si>
    <t>POL50764</t>
  </si>
  <si>
    <t>POL50765</t>
  </si>
  <si>
    <t>POL50766</t>
  </si>
  <si>
    <t>POL50767</t>
  </si>
  <si>
    <t>POL50768</t>
  </si>
  <si>
    <t>POL50769</t>
  </si>
  <si>
    <t>POL50770</t>
  </si>
  <si>
    <t>POL50771</t>
  </si>
  <si>
    <t>POL50772</t>
  </si>
  <si>
    <t>POL50773</t>
  </si>
  <si>
    <t>AGT5009</t>
  </si>
  <si>
    <t>POL50774</t>
  </si>
  <si>
    <t>POL50775</t>
  </si>
  <si>
    <t>POL50776</t>
  </si>
  <si>
    <t>POL50777</t>
  </si>
  <si>
    <t>POL50778</t>
  </si>
  <si>
    <t>POL50779</t>
  </si>
  <si>
    <t>POL50780</t>
  </si>
  <si>
    <t>POL50781</t>
  </si>
  <si>
    <t>POL50782</t>
  </si>
  <si>
    <t>POL50783</t>
  </si>
  <si>
    <t>POL50784</t>
  </si>
  <si>
    <t>POL50785</t>
  </si>
  <si>
    <t>POL50786</t>
  </si>
  <si>
    <t>POL50787</t>
  </si>
  <si>
    <t>POL50788</t>
  </si>
  <si>
    <t>POL50789</t>
  </si>
  <si>
    <t>POL50790</t>
  </si>
  <si>
    <t>AGT5037</t>
  </si>
  <si>
    <t>POL50791</t>
  </si>
  <si>
    <t>POL50792</t>
  </si>
  <si>
    <t>AGT5057</t>
  </si>
  <si>
    <t>POL50793</t>
  </si>
  <si>
    <t>POL50794</t>
  </si>
  <si>
    <t>POL50795</t>
  </si>
  <si>
    <t>POL50796</t>
  </si>
  <si>
    <t>POL50797</t>
  </si>
  <si>
    <t>POL50798</t>
  </si>
  <si>
    <t>POL50799</t>
  </si>
  <si>
    <t>POL50800</t>
  </si>
  <si>
    <t>AGT5239</t>
  </si>
  <si>
    <t>POL50801</t>
  </si>
  <si>
    <t>POL50802</t>
  </si>
  <si>
    <t>POL50803</t>
  </si>
  <si>
    <t>POL50804</t>
  </si>
  <si>
    <t>POL50805</t>
  </si>
  <si>
    <t>POL50806</t>
  </si>
  <si>
    <t>POL50807</t>
  </si>
  <si>
    <t>POL50808</t>
  </si>
  <si>
    <t>POL50809</t>
  </si>
  <si>
    <t>POL50810</t>
  </si>
  <si>
    <t>POL50811</t>
  </si>
  <si>
    <t>POL50812</t>
  </si>
  <si>
    <t>POL50813</t>
  </si>
  <si>
    <t>POL50814</t>
  </si>
  <si>
    <t>POL50815</t>
  </si>
  <si>
    <t>POL50816</t>
  </si>
  <si>
    <t>POL50817</t>
  </si>
  <si>
    <t>POL50818</t>
  </si>
  <si>
    <t>POL50819</t>
  </si>
  <si>
    <t>POL50820</t>
  </si>
  <si>
    <t>POL50821</t>
  </si>
  <si>
    <t>POL50822</t>
  </si>
  <si>
    <t>POL50823</t>
  </si>
  <si>
    <t>POL50824</t>
  </si>
  <si>
    <t>POL50825</t>
  </si>
  <si>
    <t>POL50826</t>
  </si>
  <si>
    <t>POL50827</t>
  </si>
  <si>
    <t>POL50828</t>
  </si>
  <si>
    <t>POL50829</t>
  </si>
  <si>
    <t>POL50830</t>
  </si>
  <si>
    <t>POL50831</t>
  </si>
  <si>
    <t>POL50832</t>
  </si>
  <si>
    <t>POL50833</t>
  </si>
  <si>
    <t>POL50834</t>
  </si>
  <si>
    <t>POL50835</t>
  </si>
  <si>
    <t>POL50836</t>
  </si>
  <si>
    <t>POL50837</t>
  </si>
  <si>
    <t>AGT5215</t>
  </si>
  <si>
    <t>POL50838</t>
  </si>
  <si>
    <t>POL50839</t>
  </si>
  <si>
    <t>POL50840</t>
  </si>
  <si>
    <t>POL50841</t>
  </si>
  <si>
    <t>POL50842</t>
  </si>
  <si>
    <t>POL50843</t>
  </si>
  <si>
    <t>POL50844</t>
  </si>
  <si>
    <t>POL50845</t>
  </si>
  <si>
    <t>POL50846</t>
  </si>
  <si>
    <t>POL50847</t>
  </si>
  <si>
    <t>POL50848</t>
  </si>
  <si>
    <t>POL50849</t>
  </si>
  <si>
    <t>POL50850</t>
  </si>
  <si>
    <t>POL50851</t>
  </si>
  <si>
    <t>POL50852</t>
  </si>
  <si>
    <t>POL50853</t>
  </si>
  <si>
    <t>AGT5065</t>
  </si>
  <si>
    <t>POL50854</t>
  </si>
  <si>
    <t>POL50855</t>
  </si>
  <si>
    <t>POL50856</t>
  </si>
  <si>
    <t>POL50857</t>
  </si>
  <si>
    <t>POL50858</t>
  </si>
  <si>
    <t>POL50859</t>
  </si>
  <si>
    <t>POL50860</t>
  </si>
  <si>
    <t>POL50861</t>
  </si>
  <si>
    <t>POL50862</t>
  </si>
  <si>
    <t>POL50863</t>
  </si>
  <si>
    <t>POL50864</t>
  </si>
  <si>
    <t>POL50865</t>
  </si>
  <si>
    <t>POL50866</t>
  </si>
  <si>
    <t>AGT5220</t>
  </si>
  <si>
    <t>POL50867</t>
  </si>
  <si>
    <t>POL50868</t>
  </si>
  <si>
    <t>AGT5136</t>
  </si>
  <si>
    <t>POL50869</t>
  </si>
  <si>
    <t>POL50870</t>
  </si>
  <si>
    <t>POL50871</t>
  </si>
  <si>
    <t>POL50872</t>
  </si>
  <si>
    <t>POL50873</t>
  </si>
  <si>
    <t>POL50874</t>
  </si>
  <si>
    <t>POL50875</t>
  </si>
  <si>
    <t>POL50876</t>
  </si>
  <si>
    <t>POL50877</t>
  </si>
  <si>
    <t>POL50878</t>
  </si>
  <si>
    <t>POL50879</t>
  </si>
  <si>
    <t>POL50880</t>
  </si>
  <si>
    <t>POL50881</t>
  </si>
  <si>
    <t>POL50882</t>
  </si>
  <si>
    <t>POL50883</t>
  </si>
  <si>
    <t>POL50884</t>
  </si>
  <si>
    <t>POL50885</t>
  </si>
  <si>
    <t>POL50886</t>
  </si>
  <si>
    <t>POL50887</t>
  </si>
  <si>
    <t>POL50888</t>
  </si>
  <si>
    <t>POL50889</t>
  </si>
  <si>
    <t>POL50890</t>
  </si>
  <si>
    <t>POL50891</t>
  </si>
  <si>
    <t>POL50892</t>
  </si>
  <si>
    <t>POL50893</t>
  </si>
  <si>
    <t>POL50894</t>
  </si>
  <si>
    <t>POL50895</t>
  </si>
  <si>
    <t>POL50896</t>
  </si>
  <si>
    <t>POL50897</t>
  </si>
  <si>
    <t>POL50898</t>
  </si>
  <si>
    <t>POL50899</t>
  </si>
  <si>
    <t>POL50900</t>
  </si>
  <si>
    <t>AGT5248</t>
  </si>
  <si>
    <t>POL50901</t>
  </si>
  <si>
    <t>POL50902</t>
  </si>
  <si>
    <t>POL50903</t>
  </si>
  <si>
    <t>POL50904</t>
  </si>
  <si>
    <t>POL50905</t>
  </si>
  <si>
    <t>AGT5212</t>
  </si>
  <si>
    <t>POL50906</t>
  </si>
  <si>
    <t>POL50907</t>
  </si>
  <si>
    <t>POL50908</t>
  </si>
  <si>
    <t>POL50909</t>
  </si>
  <si>
    <t>POL50910</t>
  </si>
  <si>
    <t>POL50911</t>
  </si>
  <si>
    <t>AGT5021</t>
  </si>
  <si>
    <t>POL50912</t>
  </si>
  <si>
    <t>POL50913</t>
  </si>
  <si>
    <t>POL50914</t>
  </si>
  <si>
    <t>POL50915</t>
  </si>
  <si>
    <t>POL50916</t>
  </si>
  <si>
    <t>AGT5264</t>
  </si>
  <si>
    <t>POL50917</t>
  </si>
  <si>
    <t>POL50918</t>
  </si>
  <si>
    <t>POL50919</t>
  </si>
  <si>
    <t>POL50920</t>
  </si>
  <si>
    <t>POL50921</t>
  </si>
  <si>
    <t>POL50922</t>
  </si>
  <si>
    <t>POL50923</t>
  </si>
  <si>
    <t>POL50924</t>
  </si>
  <si>
    <t>POL50925</t>
  </si>
  <si>
    <t>POL50926</t>
  </si>
  <si>
    <t>POL50927</t>
  </si>
  <si>
    <t>POL50928</t>
  </si>
  <si>
    <t>POL50929</t>
  </si>
  <si>
    <t>POL50930</t>
  </si>
  <si>
    <t>AGT5074</t>
  </si>
  <si>
    <t>POL50931</t>
  </si>
  <si>
    <t>POL50932</t>
  </si>
  <si>
    <t>POL50933</t>
  </si>
  <si>
    <t>POL50934</t>
  </si>
  <si>
    <t>POL50935</t>
  </si>
  <si>
    <t>AGT5150</t>
  </si>
  <si>
    <t>POL50936</t>
  </si>
  <si>
    <t>POL50937</t>
  </si>
  <si>
    <t>AGT5204</t>
  </si>
  <si>
    <t>POL50938</t>
  </si>
  <si>
    <t>POL50939</t>
  </si>
  <si>
    <t>POL50940</t>
  </si>
  <si>
    <t>POL50941</t>
  </si>
  <si>
    <t>POL50942</t>
  </si>
  <si>
    <t>POL50943</t>
  </si>
  <si>
    <t>POL50944</t>
  </si>
  <si>
    <t>POL50945</t>
  </si>
  <si>
    <t>POL50946</t>
  </si>
  <si>
    <t>POL50947</t>
  </si>
  <si>
    <t>POL50948</t>
  </si>
  <si>
    <t>POL50949</t>
  </si>
  <si>
    <t>POL50950</t>
  </si>
  <si>
    <t>POL50951</t>
  </si>
  <si>
    <t>POL50952</t>
  </si>
  <si>
    <t>POL50953</t>
  </si>
  <si>
    <t>POL50954</t>
  </si>
  <si>
    <t>POL50955</t>
  </si>
  <si>
    <t>POL50956</t>
  </si>
  <si>
    <t>POL50957</t>
  </si>
  <si>
    <t>POL50958</t>
  </si>
  <si>
    <t>POL50959</t>
  </si>
  <si>
    <t>POL50960</t>
  </si>
  <si>
    <t>POL50961</t>
  </si>
  <si>
    <t>POL50962</t>
  </si>
  <si>
    <t>POL50963</t>
  </si>
  <si>
    <t>POL50964</t>
  </si>
  <si>
    <t>POL50965</t>
  </si>
  <si>
    <t>POL50966</t>
  </si>
  <si>
    <t>POL50967</t>
  </si>
  <si>
    <t>POL50968</t>
  </si>
  <si>
    <t>POL50969</t>
  </si>
  <si>
    <t>POL50970</t>
  </si>
  <si>
    <t>POL50971</t>
  </si>
  <si>
    <t>POL50972</t>
  </si>
  <si>
    <t>POL50973</t>
  </si>
  <si>
    <t>POL50974</t>
  </si>
  <si>
    <t>AGT5029</t>
  </si>
  <si>
    <t>POL50975</t>
  </si>
  <si>
    <t>POL50976</t>
  </si>
  <si>
    <t>POL50977</t>
  </si>
  <si>
    <t>POL50978</t>
  </si>
  <si>
    <t>POL50979</t>
  </si>
  <si>
    <t>POL50980</t>
  </si>
  <si>
    <t>POL50981</t>
  </si>
  <si>
    <t>POL50982</t>
  </si>
  <si>
    <t>POL50983</t>
  </si>
  <si>
    <t>POL50984</t>
  </si>
  <si>
    <t>POL50985</t>
  </si>
  <si>
    <t>POL50986</t>
  </si>
  <si>
    <t>POL50987</t>
  </si>
  <si>
    <t>POL50988</t>
  </si>
  <si>
    <t>POL50989</t>
  </si>
  <si>
    <t>POL50990</t>
  </si>
  <si>
    <t>POL50991</t>
  </si>
  <si>
    <t>POL50992</t>
  </si>
  <si>
    <t>POL50993</t>
  </si>
  <si>
    <t>POL50994</t>
  </si>
  <si>
    <t>POL50995</t>
  </si>
  <si>
    <t>POL50996</t>
  </si>
  <si>
    <t>POL50997</t>
  </si>
  <si>
    <t>POL50998</t>
  </si>
  <si>
    <t>POL50999</t>
  </si>
  <si>
    <t>POL51000</t>
  </si>
  <si>
    <t>POL51001</t>
  </si>
  <si>
    <t>POL51002</t>
  </si>
  <si>
    <t>POL51003</t>
  </si>
  <si>
    <t>POL51004</t>
  </si>
  <si>
    <t>POL51005</t>
  </si>
  <si>
    <t>POL51006</t>
  </si>
  <si>
    <t>POL51007</t>
  </si>
  <si>
    <t>POL51008</t>
  </si>
  <si>
    <t>POL51009</t>
  </si>
  <si>
    <t>POL51010</t>
  </si>
  <si>
    <t>POL51011</t>
  </si>
  <si>
    <t>POL51012</t>
  </si>
  <si>
    <t>AGT5019</t>
  </si>
  <si>
    <t>POL51013</t>
  </si>
  <si>
    <t>POL51014</t>
  </si>
  <si>
    <t>POL51015</t>
  </si>
  <si>
    <t>POL51016</t>
  </si>
  <si>
    <t>POL51017</t>
  </si>
  <si>
    <t>POL51018</t>
  </si>
  <si>
    <t>POL51019</t>
  </si>
  <si>
    <t>POL51020</t>
  </si>
  <si>
    <t>POL51021</t>
  </si>
  <si>
    <t>POL51022</t>
  </si>
  <si>
    <t>POL51023</t>
  </si>
  <si>
    <t>POL51024</t>
  </si>
  <si>
    <t>POL51025</t>
  </si>
  <si>
    <t>AGT5180</t>
  </si>
  <si>
    <t>POL51026</t>
  </si>
  <si>
    <t>AGT5234</t>
  </si>
  <si>
    <t>POL51027</t>
  </si>
  <si>
    <t>POL51028</t>
  </si>
  <si>
    <t>POL51029</t>
  </si>
  <si>
    <t>POL51030</t>
  </si>
  <si>
    <t>POL51031</t>
  </si>
  <si>
    <t>POL51032</t>
  </si>
  <si>
    <t>POL51033</t>
  </si>
  <si>
    <t>POL51034</t>
  </si>
  <si>
    <t>POL51035</t>
  </si>
  <si>
    <t>POL51036</t>
  </si>
  <si>
    <t>POL51037</t>
  </si>
  <si>
    <t>POL51038</t>
  </si>
  <si>
    <t>POL51039</t>
  </si>
  <si>
    <t>POL51040</t>
  </si>
  <si>
    <t>POL51041</t>
  </si>
  <si>
    <t>POL51042</t>
  </si>
  <si>
    <t>POL51043</t>
  </si>
  <si>
    <t>POL51044</t>
  </si>
  <si>
    <t>POL51045</t>
  </si>
  <si>
    <t>POL51046</t>
  </si>
  <si>
    <t>POL51047</t>
  </si>
  <si>
    <t>POL51048</t>
  </si>
  <si>
    <t>POL51049</t>
  </si>
  <si>
    <t>POL51050</t>
  </si>
  <si>
    <t>POL51051</t>
  </si>
  <si>
    <t>POL51052</t>
  </si>
  <si>
    <t>POL51053</t>
  </si>
  <si>
    <t>POL51054</t>
  </si>
  <si>
    <t>POL51055</t>
  </si>
  <si>
    <t>POL51056</t>
  </si>
  <si>
    <t>POL51057</t>
  </si>
  <si>
    <t>POL51058</t>
  </si>
  <si>
    <t>POL51059</t>
  </si>
  <si>
    <t>POL51060</t>
  </si>
  <si>
    <t>POL51061</t>
  </si>
  <si>
    <t>POL51062</t>
  </si>
  <si>
    <t>AGT5056</t>
  </si>
  <si>
    <t>POL51063</t>
  </si>
  <si>
    <t>POL51064</t>
  </si>
  <si>
    <t>POL51065</t>
  </si>
  <si>
    <t>POL51066</t>
  </si>
  <si>
    <t>POL51067</t>
  </si>
  <si>
    <t>POL51068</t>
  </si>
  <si>
    <t>POL51069</t>
  </si>
  <si>
    <t>POL51070</t>
  </si>
  <si>
    <t>POL51071</t>
  </si>
  <si>
    <t>POL51072</t>
  </si>
  <si>
    <t>POL51073</t>
  </si>
  <si>
    <t>POL51074</t>
  </si>
  <si>
    <t>POL51075</t>
  </si>
  <si>
    <t>POL51076</t>
  </si>
  <si>
    <t>POL51077</t>
  </si>
  <si>
    <t>POL51078</t>
  </si>
  <si>
    <t>POL51079</t>
  </si>
  <si>
    <t>POL51080</t>
  </si>
  <si>
    <t>POL51081</t>
  </si>
  <si>
    <t>POL51082</t>
  </si>
  <si>
    <t>POL51083</t>
  </si>
  <si>
    <t>POL51084</t>
  </si>
  <si>
    <t>POL51085</t>
  </si>
  <si>
    <t>POL51086</t>
  </si>
  <si>
    <t>AGT5036</t>
  </si>
  <si>
    <t>POL51087</t>
  </si>
  <si>
    <t>POL51088</t>
  </si>
  <si>
    <t>POL51089</t>
  </si>
  <si>
    <t>POL51090</t>
  </si>
  <si>
    <t>POL51091</t>
  </si>
  <si>
    <t>POL51092</t>
  </si>
  <si>
    <t>POL51093</t>
  </si>
  <si>
    <t>POL51094</t>
  </si>
  <si>
    <t>POL51095</t>
  </si>
  <si>
    <t>POL51096</t>
  </si>
  <si>
    <t>POL51097</t>
  </si>
  <si>
    <t>POL51098</t>
  </si>
  <si>
    <t>POL51099</t>
  </si>
  <si>
    <t>POL51100</t>
  </si>
  <si>
    <t>POL51101</t>
  </si>
  <si>
    <t>POL51102</t>
  </si>
  <si>
    <t>POL51103</t>
  </si>
  <si>
    <t>POL51104</t>
  </si>
  <si>
    <t>POL51105</t>
  </si>
  <si>
    <t>POL51106</t>
  </si>
  <si>
    <t>POL51107</t>
  </si>
  <si>
    <t>POL51108</t>
  </si>
  <si>
    <t>POL51109</t>
  </si>
  <si>
    <t>POL51110</t>
  </si>
  <si>
    <t>POL51111</t>
  </si>
  <si>
    <t>POL51112</t>
  </si>
  <si>
    <t>POL51113</t>
  </si>
  <si>
    <t>POL51114</t>
  </si>
  <si>
    <t>POL51115</t>
  </si>
  <si>
    <t>POL51116</t>
  </si>
  <si>
    <t>POL51117</t>
  </si>
  <si>
    <t>POL51118</t>
  </si>
  <si>
    <t>POL51119</t>
  </si>
  <si>
    <t>POL51120</t>
  </si>
  <si>
    <t>POL51121</t>
  </si>
  <si>
    <t>POL51122</t>
  </si>
  <si>
    <t>POL51123</t>
  </si>
  <si>
    <t>POL51124</t>
  </si>
  <si>
    <t>POL51125</t>
  </si>
  <si>
    <t>POL51126</t>
  </si>
  <si>
    <t>POL51127</t>
  </si>
  <si>
    <t>POL51128</t>
  </si>
  <si>
    <t>POL51129</t>
  </si>
  <si>
    <t>POL51130</t>
  </si>
  <si>
    <t>POL51131</t>
  </si>
  <si>
    <t>POL51132</t>
  </si>
  <si>
    <t>POL51133</t>
  </si>
  <si>
    <t>POL51134</t>
  </si>
  <si>
    <t>POL51135</t>
  </si>
  <si>
    <t>POL51136</t>
  </si>
  <si>
    <t>POL51137</t>
  </si>
  <si>
    <t>POL51138</t>
  </si>
  <si>
    <t>POL51139</t>
  </si>
  <si>
    <t>POL51140</t>
  </si>
  <si>
    <t>POL51141</t>
  </si>
  <si>
    <t>POL51142</t>
  </si>
  <si>
    <t>POL51143</t>
  </si>
  <si>
    <t>POL51144</t>
  </si>
  <si>
    <t>POL51145</t>
  </si>
  <si>
    <t>POL51146</t>
  </si>
  <si>
    <t>POL51147</t>
  </si>
  <si>
    <t>POL51148</t>
  </si>
  <si>
    <t>POL51149</t>
  </si>
  <si>
    <t>POL51150</t>
  </si>
  <si>
    <t>POL51151</t>
  </si>
  <si>
    <t>POL51152</t>
  </si>
  <si>
    <t>POL51153</t>
  </si>
  <si>
    <t>AGT5252</t>
  </si>
  <si>
    <t>POL51154</t>
  </si>
  <si>
    <t>POL51155</t>
  </si>
  <si>
    <t>POL51156</t>
  </si>
  <si>
    <t>POL51157</t>
  </si>
  <si>
    <t>POL51158</t>
  </si>
  <si>
    <t>POL51159</t>
  </si>
  <si>
    <t>POL51160</t>
  </si>
  <si>
    <t>POL51161</t>
  </si>
  <si>
    <t>POL51162</t>
  </si>
  <si>
    <t>POL51163</t>
  </si>
  <si>
    <t>POL51164</t>
  </si>
  <si>
    <t>POL51165</t>
  </si>
  <si>
    <t>POL51166</t>
  </si>
  <si>
    <t>POL51167</t>
  </si>
  <si>
    <t>POL51168</t>
  </si>
  <si>
    <t>POL51169</t>
  </si>
  <si>
    <t>POL51170</t>
  </si>
  <si>
    <t>POL51171</t>
  </si>
  <si>
    <t>POL51172</t>
  </si>
  <si>
    <t>POL51173</t>
  </si>
  <si>
    <t>POL51174</t>
  </si>
  <si>
    <t>POL51175</t>
  </si>
  <si>
    <t>POL51176</t>
  </si>
  <si>
    <t>POL51177</t>
  </si>
  <si>
    <t>POL51178</t>
  </si>
  <si>
    <t>POL51179</t>
  </si>
  <si>
    <t>POL51180</t>
  </si>
  <si>
    <t>POL51181</t>
  </si>
  <si>
    <t>POL51182</t>
  </si>
  <si>
    <t>POL51183</t>
  </si>
  <si>
    <t>POL51184</t>
  </si>
  <si>
    <t>POL51185</t>
  </si>
  <si>
    <t>POL51186</t>
  </si>
  <si>
    <t>POL51187</t>
  </si>
  <si>
    <t>POL51188</t>
  </si>
  <si>
    <t>POL51189</t>
  </si>
  <si>
    <t>POL51190</t>
  </si>
  <si>
    <t>POL51191</t>
  </si>
  <si>
    <t>POL51192</t>
  </si>
  <si>
    <t>POL51193</t>
  </si>
  <si>
    <t>POL51194</t>
  </si>
  <si>
    <t>POL51195</t>
  </si>
  <si>
    <t>POL51196</t>
  </si>
  <si>
    <t>POL51197</t>
  </si>
  <si>
    <t>POL51198</t>
  </si>
  <si>
    <t>POL51199</t>
  </si>
  <si>
    <t>POL51200</t>
  </si>
  <si>
    <t>POL51201</t>
  </si>
  <si>
    <t>POL51202</t>
  </si>
  <si>
    <t>POL51203</t>
  </si>
  <si>
    <t>AGT5096</t>
  </si>
  <si>
    <t>POL51204</t>
  </si>
  <si>
    <t>POL51205</t>
  </si>
  <si>
    <t>POL51206</t>
  </si>
  <si>
    <t>POL51207</t>
  </si>
  <si>
    <t>POL51208</t>
  </si>
  <si>
    <t>POL51209</t>
  </si>
  <si>
    <t>POL51210</t>
  </si>
  <si>
    <t>POL51211</t>
  </si>
  <si>
    <t>POL51212</t>
  </si>
  <si>
    <t>POL51213</t>
  </si>
  <si>
    <t>POL51214</t>
  </si>
  <si>
    <t>POL51215</t>
  </si>
  <si>
    <t>AGT5160</t>
  </si>
  <si>
    <t>POL51216</t>
  </si>
  <si>
    <t>POL51217</t>
  </si>
  <si>
    <t>POL51218</t>
  </si>
  <si>
    <t>POL51219</t>
  </si>
  <si>
    <t>POL51220</t>
  </si>
  <si>
    <t>POL51221</t>
  </si>
  <si>
    <t>POL51222</t>
  </si>
  <si>
    <t>POL51223</t>
  </si>
  <si>
    <t>POL51224</t>
  </si>
  <si>
    <t>POL51225</t>
  </si>
  <si>
    <t>POL51226</t>
  </si>
  <si>
    <t>POL51227</t>
  </si>
  <si>
    <t>POL51228</t>
  </si>
  <si>
    <t>POL51229</t>
  </si>
  <si>
    <t>POL51230</t>
  </si>
  <si>
    <t>POL51231</t>
  </si>
  <si>
    <t>POL51232</t>
  </si>
  <si>
    <t>POL51233</t>
  </si>
  <si>
    <t>POL51234</t>
  </si>
  <si>
    <t>POL51235</t>
  </si>
  <si>
    <t>POL51236</t>
  </si>
  <si>
    <t>POL51237</t>
  </si>
  <si>
    <t>POL51238</t>
  </si>
  <si>
    <t>POL51239</t>
  </si>
  <si>
    <t>POL51240</t>
  </si>
  <si>
    <t>POL51241</t>
  </si>
  <si>
    <t>POL51242</t>
  </si>
  <si>
    <t>POL51243</t>
  </si>
  <si>
    <t>POL51244</t>
  </si>
  <si>
    <t>POL51245</t>
  </si>
  <si>
    <t>POL51246</t>
  </si>
  <si>
    <t>POL51247</t>
  </si>
  <si>
    <t>POL51248</t>
  </si>
  <si>
    <t>POL51249</t>
  </si>
  <si>
    <t>POL51250</t>
  </si>
  <si>
    <t>POL51251</t>
  </si>
  <si>
    <t>POL51252</t>
  </si>
  <si>
    <t>POL51253</t>
  </si>
  <si>
    <t>POL51254</t>
  </si>
  <si>
    <t>POL51255</t>
  </si>
  <si>
    <t>POL51256</t>
  </si>
  <si>
    <t>POL51257</t>
  </si>
  <si>
    <t>POL51258</t>
  </si>
  <si>
    <t>POL51259</t>
  </si>
  <si>
    <t>POL51260</t>
  </si>
  <si>
    <t>POL51261</t>
  </si>
  <si>
    <t>POL51262</t>
  </si>
  <si>
    <t>POL51263</t>
  </si>
  <si>
    <t>POL51264</t>
  </si>
  <si>
    <t>POL51265</t>
  </si>
  <si>
    <t>POL51266</t>
  </si>
  <si>
    <t>POL51267</t>
  </si>
  <si>
    <t>POL51268</t>
  </si>
  <si>
    <t>POL51269</t>
  </si>
  <si>
    <t>POL51270</t>
  </si>
  <si>
    <t>POL51271</t>
  </si>
  <si>
    <t>POL51272</t>
  </si>
  <si>
    <t>POL51273</t>
  </si>
  <si>
    <t>POL51274</t>
  </si>
  <si>
    <t>POL51275</t>
  </si>
  <si>
    <t>POL51276</t>
  </si>
  <si>
    <t>POL51277</t>
  </si>
  <si>
    <t>POL51278</t>
  </si>
  <si>
    <t>POL51279</t>
  </si>
  <si>
    <t>POL51280</t>
  </si>
  <si>
    <t>POL51281</t>
  </si>
  <si>
    <t>POL51282</t>
  </si>
  <si>
    <t>POL51283</t>
  </si>
  <si>
    <t>POL51284</t>
  </si>
  <si>
    <t>POL51285</t>
  </si>
  <si>
    <t>POL51286</t>
  </si>
  <si>
    <t>POL51287</t>
  </si>
  <si>
    <t>POL51288</t>
  </si>
  <si>
    <t>POL51289</t>
  </si>
  <si>
    <t>POL51290</t>
  </si>
  <si>
    <t>POL51291</t>
  </si>
  <si>
    <t>POL51292</t>
  </si>
  <si>
    <t>POL51293</t>
  </si>
  <si>
    <t>POL51294</t>
  </si>
  <si>
    <t>POL51295</t>
  </si>
  <si>
    <t>POL51296</t>
  </si>
  <si>
    <t>POL51297</t>
  </si>
  <si>
    <t>POL51298</t>
  </si>
  <si>
    <t>POL51299</t>
  </si>
  <si>
    <t>POL51300</t>
  </si>
  <si>
    <t>POL51301</t>
  </si>
  <si>
    <t>POL51302</t>
  </si>
  <si>
    <t>POL51303</t>
  </si>
  <si>
    <t>POL51304</t>
  </si>
  <si>
    <t>POL51305</t>
  </si>
  <si>
    <t>POL51306</t>
  </si>
  <si>
    <t>POL51307</t>
  </si>
  <si>
    <t>POL51308</t>
  </si>
  <si>
    <t>POL51309</t>
  </si>
  <si>
    <t>POL51310</t>
  </si>
  <si>
    <t>POL51311</t>
  </si>
  <si>
    <t>POL51312</t>
  </si>
  <si>
    <t>POL51313</t>
  </si>
  <si>
    <t>POL51314</t>
  </si>
  <si>
    <t>POL51315</t>
  </si>
  <si>
    <t>POL51316</t>
  </si>
  <si>
    <t>POL51317</t>
  </si>
  <si>
    <t>POL51318</t>
  </si>
  <si>
    <t>POL51319</t>
  </si>
  <si>
    <t>POL51320</t>
  </si>
  <si>
    <t>POL51321</t>
  </si>
  <si>
    <t>POL51322</t>
  </si>
  <si>
    <t>POL51323</t>
  </si>
  <si>
    <t>POL51324</t>
  </si>
  <si>
    <t>POL51325</t>
  </si>
  <si>
    <t>POL51326</t>
  </si>
  <si>
    <t>POL51327</t>
  </si>
  <si>
    <t>POL51328</t>
  </si>
  <si>
    <t>POL51329</t>
  </si>
  <si>
    <t>POL51330</t>
  </si>
  <si>
    <t>POL51331</t>
  </si>
  <si>
    <t>POL51332</t>
  </si>
  <si>
    <t>POL51333</t>
  </si>
  <si>
    <t>POL51334</t>
  </si>
  <si>
    <t>POL51335</t>
  </si>
  <si>
    <t>POL51336</t>
  </si>
  <si>
    <t>POL51337</t>
  </si>
  <si>
    <t>POL51338</t>
  </si>
  <si>
    <t>POL51339</t>
  </si>
  <si>
    <t>POL51340</t>
  </si>
  <si>
    <t>POL51341</t>
  </si>
  <si>
    <t>POL51342</t>
  </si>
  <si>
    <t>POL51343</t>
  </si>
  <si>
    <t>POL51344</t>
  </si>
  <si>
    <t>POL51345</t>
  </si>
  <si>
    <t>POL51346</t>
  </si>
  <si>
    <t>POL51347</t>
  </si>
  <si>
    <t>POL51348</t>
  </si>
  <si>
    <t>POL51349</t>
  </si>
  <si>
    <t>POL51350</t>
  </si>
  <si>
    <t>POL51351</t>
  </si>
  <si>
    <t>POL51352</t>
  </si>
  <si>
    <t>POL51353</t>
  </si>
  <si>
    <t>POL51354</t>
  </si>
  <si>
    <t>POL51355</t>
  </si>
  <si>
    <t>POL51356</t>
  </si>
  <si>
    <t>POL51357</t>
  </si>
  <si>
    <t>POL51358</t>
  </si>
  <si>
    <t>POL51359</t>
  </si>
  <si>
    <t>POL51360</t>
  </si>
  <si>
    <t>POL51361</t>
  </si>
  <si>
    <t>POL51362</t>
  </si>
  <si>
    <t>POL51363</t>
  </si>
  <si>
    <t>POL51364</t>
  </si>
  <si>
    <t>POL51365</t>
  </si>
  <si>
    <t>POL51366</t>
  </si>
  <si>
    <t>POL51367</t>
  </si>
  <si>
    <t>POL51368</t>
  </si>
  <si>
    <t>POL51369</t>
  </si>
  <si>
    <t>POL51370</t>
  </si>
  <si>
    <t>POL51371</t>
  </si>
  <si>
    <t>POL51372</t>
  </si>
  <si>
    <t>POL51373</t>
  </si>
  <si>
    <t>POL51374</t>
  </si>
  <si>
    <t>POL51375</t>
  </si>
  <si>
    <t>POL51376</t>
  </si>
  <si>
    <t>POL51377</t>
  </si>
  <si>
    <t>POL51378</t>
  </si>
  <si>
    <t>POL51379</t>
  </si>
  <si>
    <t>POL51380</t>
  </si>
  <si>
    <t>POL51381</t>
  </si>
  <si>
    <t>POL51382</t>
  </si>
  <si>
    <t>POL51383</t>
  </si>
  <si>
    <t>POL51384</t>
  </si>
  <si>
    <t>POL51385</t>
  </si>
  <si>
    <t>POL51386</t>
  </si>
  <si>
    <t>POL51387</t>
  </si>
  <si>
    <t>POL51388</t>
  </si>
  <si>
    <t>POL51389</t>
  </si>
  <si>
    <t>POL51390</t>
  </si>
  <si>
    <t>POL51391</t>
  </si>
  <si>
    <t>POL51392</t>
  </si>
  <si>
    <t>POL51393</t>
  </si>
  <si>
    <t>POL51394</t>
  </si>
  <si>
    <t>POL51395</t>
  </si>
  <si>
    <t>POL51396</t>
  </si>
  <si>
    <t>POL51397</t>
  </si>
  <si>
    <t>POL51398</t>
  </si>
  <si>
    <t>POL51399</t>
  </si>
  <si>
    <t>POL51400</t>
  </si>
  <si>
    <t>POL51401</t>
  </si>
  <si>
    <t>POL51402</t>
  </si>
  <si>
    <t>POL51403</t>
  </si>
  <si>
    <t>POL51404</t>
  </si>
  <si>
    <t>POL51405</t>
  </si>
  <si>
    <t>POL51406</t>
  </si>
  <si>
    <t>POL51407</t>
  </si>
  <si>
    <t>POL51408</t>
  </si>
  <si>
    <t>POL51409</t>
  </si>
  <si>
    <t>POL51410</t>
  </si>
  <si>
    <t>POL51411</t>
  </si>
  <si>
    <t>POL51412</t>
  </si>
  <si>
    <t>POL51413</t>
  </si>
  <si>
    <t>POL51414</t>
  </si>
  <si>
    <t>POL51415</t>
  </si>
  <si>
    <t>POL51416</t>
  </si>
  <si>
    <t>POL51417</t>
  </si>
  <si>
    <t>POL51418</t>
  </si>
  <si>
    <t>POL51419</t>
  </si>
  <si>
    <t>POL51420</t>
  </si>
  <si>
    <t>POL51421</t>
  </si>
  <si>
    <t>POL51422</t>
  </si>
  <si>
    <t>POL51423</t>
  </si>
  <si>
    <t>POL51424</t>
  </si>
  <si>
    <t>POL51425</t>
  </si>
  <si>
    <t>POL51426</t>
  </si>
  <si>
    <t>POL51427</t>
  </si>
  <si>
    <t>POL51428</t>
  </si>
  <si>
    <t>POL51429</t>
  </si>
  <si>
    <t>POL51430</t>
  </si>
  <si>
    <t>POL51431</t>
  </si>
  <si>
    <t>POL51432</t>
  </si>
  <si>
    <t>POL51433</t>
  </si>
  <si>
    <t>POL51434</t>
  </si>
  <si>
    <t>POL51435</t>
  </si>
  <si>
    <t>POL51436</t>
  </si>
  <si>
    <t>POL51437</t>
  </si>
  <si>
    <t>POL51438</t>
  </si>
  <si>
    <t>POL51439</t>
  </si>
  <si>
    <t>POL51440</t>
  </si>
  <si>
    <t>POL51441</t>
  </si>
  <si>
    <t>POL51442</t>
  </si>
  <si>
    <t>POL51443</t>
  </si>
  <si>
    <t>POL51444</t>
  </si>
  <si>
    <t>POL51445</t>
  </si>
  <si>
    <t>POL51446</t>
  </si>
  <si>
    <t>POL51447</t>
  </si>
  <si>
    <t>POL51448</t>
  </si>
  <si>
    <t>POL51449</t>
  </si>
  <si>
    <t>POL51450</t>
  </si>
  <si>
    <t>POL51451</t>
  </si>
  <si>
    <t>POL51452</t>
  </si>
  <si>
    <t>POL51453</t>
  </si>
  <si>
    <t>POL51454</t>
  </si>
  <si>
    <t>POL51455</t>
  </si>
  <si>
    <t>POL51456</t>
  </si>
  <si>
    <t>POL51457</t>
  </si>
  <si>
    <t>POL51458</t>
  </si>
  <si>
    <t>POL51459</t>
  </si>
  <si>
    <t>POL51460</t>
  </si>
  <si>
    <t>POL51461</t>
  </si>
  <si>
    <t>POL51462</t>
  </si>
  <si>
    <t>POL51463</t>
  </si>
  <si>
    <t>POL51464</t>
  </si>
  <si>
    <t>POL51465</t>
  </si>
  <si>
    <t>POL51466</t>
  </si>
  <si>
    <t>POL51467</t>
  </si>
  <si>
    <t>POL51468</t>
  </si>
  <si>
    <t>POL51469</t>
  </si>
  <si>
    <t>POL51470</t>
  </si>
  <si>
    <t>POL51471</t>
  </si>
  <si>
    <t>POL51472</t>
  </si>
  <si>
    <t>POL51473</t>
  </si>
  <si>
    <t>POL51474</t>
  </si>
  <si>
    <t>POL51475</t>
  </si>
  <si>
    <t>POL51476</t>
  </si>
  <si>
    <t>POL51477</t>
  </si>
  <si>
    <t>POL51478</t>
  </si>
  <si>
    <t>POL51479</t>
  </si>
  <si>
    <t>POL51480</t>
  </si>
  <si>
    <t>POL51481</t>
  </si>
  <si>
    <t>POL51482</t>
  </si>
  <si>
    <t>POL51483</t>
  </si>
  <si>
    <t>POL51484</t>
  </si>
  <si>
    <t>POL51485</t>
  </si>
  <si>
    <t>POL51486</t>
  </si>
  <si>
    <t>POL51487</t>
  </si>
  <si>
    <t>POL51488</t>
  </si>
  <si>
    <t>POL51489</t>
  </si>
  <si>
    <t>POL51490</t>
  </si>
  <si>
    <t>POL51491</t>
  </si>
  <si>
    <t>POL51492</t>
  </si>
  <si>
    <t>POL51493</t>
  </si>
  <si>
    <t>POL51494</t>
  </si>
  <si>
    <t>POL51495</t>
  </si>
  <si>
    <t>POL51496</t>
  </si>
  <si>
    <t>POL51497</t>
  </si>
  <si>
    <t>POL51498</t>
  </si>
  <si>
    <t>POL51499</t>
  </si>
  <si>
    <t>POL51500</t>
  </si>
  <si>
    <t>POL51501</t>
  </si>
  <si>
    <t>POL51502</t>
  </si>
  <si>
    <t>POL51503</t>
  </si>
  <si>
    <t>POL51504</t>
  </si>
  <si>
    <t>POL51505</t>
  </si>
  <si>
    <t>POL51506</t>
  </si>
  <si>
    <t>POL51507</t>
  </si>
  <si>
    <t>POL51508</t>
  </si>
  <si>
    <t>POL51509</t>
  </si>
  <si>
    <t>POL51510</t>
  </si>
  <si>
    <t>POL51511</t>
  </si>
  <si>
    <t>POL51512</t>
  </si>
  <si>
    <t>POL51513</t>
  </si>
  <si>
    <t>POL51514</t>
  </si>
  <si>
    <t>POL51515</t>
  </si>
  <si>
    <t>POL51516</t>
  </si>
  <si>
    <t>POL51517</t>
  </si>
  <si>
    <t>POL51518</t>
  </si>
  <si>
    <t>POL51519</t>
  </si>
  <si>
    <t>POL51520</t>
  </si>
  <si>
    <t>POL51521</t>
  </si>
  <si>
    <t>POL51522</t>
  </si>
  <si>
    <t>POL51523</t>
  </si>
  <si>
    <t>POL51524</t>
  </si>
  <si>
    <t>POL51525</t>
  </si>
  <si>
    <t>POL51526</t>
  </si>
  <si>
    <t>POL51527</t>
  </si>
  <si>
    <t>POL51528</t>
  </si>
  <si>
    <t>POL51529</t>
  </si>
  <si>
    <t>POL51530</t>
  </si>
  <si>
    <t>POL51531</t>
  </si>
  <si>
    <t>POL51532</t>
  </si>
  <si>
    <t>POL51533</t>
  </si>
  <si>
    <t>POL51534</t>
  </si>
  <si>
    <t>POL51535</t>
  </si>
  <si>
    <t>POL51536</t>
  </si>
  <si>
    <t>POL51537</t>
  </si>
  <si>
    <t>POL51538</t>
  </si>
  <si>
    <t>POL51539</t>
  </si>
  <si>
    <t>POL51540</t>
  </si>
  <si>
    <t>POL51541</t>
  </si>
  <si>
    <t>POL51542</t>
  </si>
  <si>
    <t>POL51543</t>
  </si>
  <si>
    <t>POL51544</t>
  </si>
  <si>
    <t>POL51545</t>
  </si>
  <si>
    <t>POL51546</t>
  </si>
  <si>
    <t>POL51547</t>
  </si>
  <si>
    <t>POL51548</t>
  </si>
  <si>
    <t>POL51549</t>
  </si>
  <si>
    <t>POL51550</t>
  </si>
  <si>
    <t>POL51551</t>
  </si>
  <si>
    <t>POL51552</t>
  </si>
  <si>
    <t>POL51553</t>
  </si>
  <si>
    <t>POL51554</t>
  </si>
  <si>
    <t>POL51555</t>
  </si>
  <si>
    <t>POL51556</t>
  </si>
  <si>
    <t>POL51557</t>
  </si>
  <si>
    <t>POL51558</t>
  </si>
  <si>
    <t>POL51559</t>
  </si>
  <si>
    <t>POL51560</t>
  </si>
  <si>
    <t>POL51561</t>
  </si>
  <si>
    <t>POL51562</t>
  </si>
  <si>
    <t>POL51563</t>
  </si>
  <si>
    <t>POL51564</t>
  </si>
  <si>
    <t>POL51565</t>
  </si>
  <si>
    <t>POL51566</t>
  </si>
  <si>
    <t>POL51567</t>
  </si>
  <si>
    <t>POL51568</t>
  </si>
  <si>
    <t>POL51569</t>
  </si>
  <si>
    <t>POL51570</t>
  </si>
  <si>
    <t>POL51571</t>
  </si>
  <si>
    <t>POL51572</t>
  </si>
  <si>
    <t>POL51573</t>
  </si>
  <si>
    <t>POL51574</t>
  </si>
  <si>
    <t>POL51575</t>
  </si>
  <si>
    <t>POL51576</t>
  </si>
  <si>
    <t>POL51577</t>
  </si>
  <si>
    <t>POL51578</t>
  </si>
  <si>
    <t>POL51579</t>
  </si>
  <si>
    <t>POL51580</t>
  </si>
  <si>
    <t>POL51581</t>
  </si>
  <si>
    <t>POL51582</t>
  </si>
  <si>
    <t>POL51583</t>
  </si>
  <si>
    <t>POL51584</t>
  </si>
  <si>
    <t>POL51585</t>
  </si>
  <si>
    <t>POL51586</t>
  </si>
  <si>
    <t>POL51587</t>
  </si>
  <si>
    <t>POL51588</t>
  </si>
  <si>
    <t>POL51589</t>
  </si>
  <si>
    <t>POL51590</t>
  </si>
  <si>
    <t>POL51591</t>
  </si>
  <si>
    <t>POL51592</t>
  </si>
  <si>
    <t>POL51593</t>
  </si>
  <si>
    <t>POL51594</t>
  </si>
  <si>
    <t>POL51595</t>
  </si>
  <si>
    <t>POL51596</t>
  </si>
  <si>
    <t>POL51597</t>
  </si>
  <si>
    <t>POL51598</t>
  </si>
  <si>
    <t>POL51599</t>
  </si>
  <si>
    <t>POL51600</t>
  </si>
  <si>
    <t>POL51601</t>
  </si>
  <si>
    <t>POL51602</t>
  </si>
  <si>
    <t>POL51603</t>
  </si>
  <si>
    <t>POL51604</t>
  </si>
  <si>
    <t>POL51605</t>
  </si>
  <si>
    <t>POL51606</t>
  </si>
  <si>
    <t>POL51607</t>
  </si>
  <si>
    <t>POL51608</t>
  </si>
  <si>
    <t>POL51609</t>
  </si>
  <si>
    <t>POL51610</t>
  </si>
  <si>
    <t>POL51611</t>
  </si>
  <si>
    <t>POL51612</t>
  </si>
  <si>
    <t>POL51613</t>
  </si>
  <si>
    <t>POL51614</t>
  </si>
  <si>
    <t>POL51615</t>
  </si>
  <si>
    <t>POL51616</t>
  </si>
  <si>
    <t>POL51617</t>
  </si>
  <si>
    <t>POL51618</t>
  </si>
  <si>
    <t>POL51619</t>
  </si>
  <si>
    <t>POL51620</t>
  </si>
  <si>
    <t>POL51621</t>
  </si>
  <si>
    <t>POL51622</t>
  </si>
  <si>
    <t>POL51623</t>
  </si>
  <si>
    <t>POL51624</t>
  </si>
  <si>
    <t>POL51625</t>
  </si>
  <si>
    <t>POL51626</t>
  </si>
  <si>
    <t>POL51627</t>
  </si>
  <si>
    <t>POL51628</t>
  </si>
  <si>
    <t>POL51629</t>
  </si>
  <si>
    <t>POL51630</t>
  </si>
  <si>
    <t>POL51631</t>
  </si>
  <si>
    <t>POL51632</t>
  </si>
  <si>
    <t>POL51633</t>
  </si>
  <si>
    <t>POL51634</t>
  </si>
  <si>
    <t>POL51635</t>
  </si>
  <si>
    <t>POL51636</t>
  </si>
  <si>
    <t>POL51637</t>
  </si>
  <si>
    <t>POL51638</t>
  </si>
  <si>
    <t>POL51639</t>
  </si>
  <si>
    <t>POL51640</t>
  </si>
  <si>
    <t>POL51641</t>
  </si>
  <si>
    <t>POL51642</t>
  </si>
  <si>
    <t>POL51643</t>
  </si>
  <si>
    <t>POL51644</t>
  </si>
  <si>
    <t>POL51645</t>
  </si>
  <si>
    <t>POL51646</t>
  </si>
  <si>
    <t>POL51647</t>
  </si>
  <si>
    <t>POL51648</t>
  </si>
  <si>
    <t>POL51649</t>
  </si>
  <si>
    <t>POL51650</t>
  </si>
  <si>
    <t>POL51651</t>
  </si>
  <si>
    <t>POL51652</t>
  </si>
  <si>
    <t>POL51653</t>
  </si>
  <si>
    <t>POL51654</t>
  </si>
  <si>
    <t>POL51655</t>
  </si>
  <si>
    <t>POL51656</t>
  </si>
  <si>
    <t>POL51657</t>
  </si>
  <si>
    <t>POL51658</t>
  </si>
  <si>
    <t>POL51659</t>
  </si>
  <si>
    <t>POL51660</t>
  </si>
  <si>
    <t>POL51661</t>
  </si>
  <si>
    <t>POL51662</t>
  </si>
  <si>
    <t>POL51663</t>
  </si>
  <si>
    <t>POL51664</t>
  </si>
  <si>
    <t>POL51665</t>
  </si>
  <si>
    <t>POL51666</t>
  </si>
  <si>
    <t>POL51667</t>
  </si>
  <si>
    <t>POL51668</t>
  </si>
  <si>
    <t>POL51669</t>
  </si>
  <si>
    <t>POL51670</t>
  </si>
  <si>
    <t>POL51671</t>
  </si>
  <si>
    <t>POL51672</t>
  </si>
  <si>
    <t>POL51673</t>
  </si>
  <si>
    <t>POL51674</t>
  </si>
  <si>
    <t>POL51675</t>
  </si>
  <si>
    <t>POL51676</t>
  </si>
  <si>
    <t>POL51677</t>
  </si>
  <si>
    <t>POL51678</t>
  </si>
  <si>
    <t>POL51679</t>
  </si>
  <si>
    <t>POL51680</t>
  </si>
  <si>
    <t>POL51681</t>
  </si>
  <si>
    <t>POL51682</t>
  </si>
  <si>
    <t>POL51683</t>
  </si>
  <si>
    <t>POL51684</t>
  </si>
  <si>
    <t>POL51685</t>
  </si>
  <si>
    <t>POL51686</t>
  </si>
  <si>
    <t>POL51687</t>
  </si>
  <si>
    <t>POL51688</t>
  </si>
  <si>
    <t>POL51689</t>
  </si>
  <si>
    <t>POL51690</t>
  </si>
  <si>
    <t>POL51691</t>
  </si>
  <si>
    <t>POL51692</t>
  </si>
  <si>
    <t>POL51693</t>
  </si>
  <si>
    <t>POL51694</t>
  </si>
  <si>
    <t>POL51695</t>
  </si>
  <si>
    <t>POL51696</t>
  </si>
  <si>
    <t>POL51697</t>
  </si>
  <si>
    <t>POL51698</t>
  </si>
  <si>
    <t>POL51699</t>
  </si>
  <si>
    <t>POL51700</t>
  </si>
  <si>
    <t>POL51701</t>
  </si>
  <si>
    <t>POL51702</t>
  </si>
  <si>
    <t>POL51703</t>
  </si>
  <si>
    <t>POL51704</t>
  </si>
  <si>
    <t>POL51705</t>
  </si>
  <si>
    <t>POL51706</t>
  </si>
  <si>
    <t>POL51707</t>
  </si>
  <si>
    <t>POL51708</t>
  </si>
  <si>
    <t>POL51709</t>
  </si>
  <si>
    <t>POL51710</t>
  </si>
  <si>
    <t>POL51711</t>
  </si>
  <si>
    <t>POL51712</t>
  </si>
  <si>
    <t>POL51713</t>
  </si>
  <si>
    <t>POL51714</t>
  </si>
  <si>
    <t>POL51715</t>
  </si>
  <si>
    <t>POL51716</t>
  </si>
  <si>
    <t>POL51717</t>
  </si>
  <si>
    <t>POL51718</t>
  </si>
  <si>
    <t>POL51719</t>
  </si>
  <si>
    <t>POL51720</t>
  </si>
  <si>
    <t>POL51721</t>
  </si>
  <si>
    <t>POL51722</t>
  </si>
  <si>
    <t>POL51723</t>
  </si>
  <si>
    <t>POL51724</t>
  </si>
  <si>
    <t>POL51725</t>
  </si>
  <si>
    <t>POL51726</t>
  </si>
  <si>
    <t>POL51727</t>
  </si>
  <si>
    <t>POL51728</t>
  </si>
  <si>
    <t>POL51729</t>
  </si>
  <si>
    <t>POL51730</t>
  </si>
  <si>
    <t>POL51731</t>
  </si>
  <si>
    <t>POL51732</t>
  </si>
  <si>
    <t>POL51733</t>
  </si>
  <si>
    <t>POL51734</t>
  </si>
  <si>
    <t>POL51735</t>
  </si>
  <si>
    <t>POL51736</t>
  </si>
  <si>
    <t>POL51737</t>
  </si>
  <si>
    <t>POL51738</t>
  </si>
  <si>
    <t>POL51739</t>
  </si>
  <si>
    <t>POL51740</t>
  </si>
  <si>
    <t>POL51741</t>
  </si>
  <si>
    <t>POL51742</t>
  </si>
  <si>
    <t>POL51743</t>
  </si>
  <si>
    <t>POL51744</t>
  </si>
  <si>
    <t>POL51745</t>
  </si>
  <si>
    <t>POL51746</t>
  </si>
  <si>
    <t>POL51747</t>
  </si>
  <si>
    <t>POL51748</t>
  </si>
  <si>
    <t>POL51749</t>
  </si>
  <si>
    <t>POL51750</t>
  </si>
  <si>
    <t>POL51751</t>
  </si>
  <si>
    <t>POL51752</t>
  </si>
  <si>
    <t>POL51753</t>
  </si>
  <si>
    <t>POL51754</t>
  </si>
  <si>
    <t>POL51755</t>
  </si>
  <si>
    <t>POL51756</t>
  </si>
  <si>
    <t>POL51757</t>
  </si>
  <si>
    <t>POL51758</t>
  </si>
  <si>
    <t>POL51759</t>
  </si>
  <si>
    <t>POL51760</t>
  </si>
  <si>
    <t>POL51761</t>
  </si>
  <si>
    <t>POL51762</t>
  </si>
  <si>
    <t>POL51763</t>
  </si>
  <si>
    <t>POL51764</t>
  </si>
  <si>
    <t>POL51765</t>
  </si>
  <si>
    <t>POL51766</t>
  </si>
  <si>
    <t>POL51767</t>
  </si>
  <si>
    <t>POL51768</t>
  </si>
  <si>
    <t>POL51769</t>
  </si>
  <si>
    <t>POL51770</t>
  </si>
  <si>
    <t>POL51771</t>
  </si>
  <si>
    <t>POL51772</t>
  </si>
  <si>
    <t>POL51773</t>
  </si>
  <si>
    <t>POL51774</t>
  </si>
  <si>
    <t>POL51775</t>
  </si>
  <si>
    <t>AGT5133</t>
  </si>
  <si>
    <t>POL51776</t>
  </si>
  <si>
    <t>POL51777</t>
  </si>
  <si>
    <t>POL51778</t>
  </si>
  <si>
    <t>POL51779</t>
  </si>
  <si>
    <t>POL51780</t>
  </si>
  <si>
    <t>POL51781</t>
  </si>
  <si>
    <t>POL51782</t>
  </si>
  <si>
    <t>POL51783</t>
  </si>
  <si>
    <t>POL51784</t>
  </si>
  <si>
    <t>POL51785</t>
  </si>
  <si>
    <t>POL51786</t>
  </si>
  <si>
    <t>POL51787</t>
  </si>
  <si>
    <t>POL51788</t>
  </si>
  <si>
    <t>POL51789</t>
  </si>
  <si>
    <t>POL51790</t>
  </si>
  <si>
    <t>POL51791</t>
  </si>
  <si>
    <t>POL51792</t>
  </si>
  <si>
    <t>POL51793</t>
  </si>
  <si>
    <t>POL51794</t>
  </si>
  <si>
    <t>POL51795</t>
  </si>
  <si>
    <t>POL51796</t>
  </si>
  <si>
    <t>POL51797</t>
  </si>
  <si>
    <t>POL51798</t>
  </si>
  <si>
    <t>POL51799</t>
  </si>
  <si>
    <t>POL51800</t>
  </si>
  <si>
    <t>POL51801</t>
  </si>
  <si>
    <t>POL51802</t>
  </si>
  <si>
    <t>POL51803</t>
  </si>
  <si>
    <t>POL51804</t>
  </si>
  <si>
    <t>POL51805</t>
  </si>
  <si>
    <t>POL51806</t>
  </si>
  <si>
    <t>POL51807</t>
  </si>
  <si>
    <t>POL51808</t>
  </si>
  <si>
    <t>POL51809</t>
  </si>
  <si>
    <t>POL51810</t>
  </si>
  <si>
    <t>POL51811</t>
  </si>
  <si>
    <t>POL51812</t>
  </si>
  <si>
    <t>POL51813</t>
  </si>
  <si>
    <t>POL51814</t>
  </si>
  <si>
    <t>POL51815</t>
  </si>
  <si>
    <t>POL51816</t>
  </si>
  <si>
    <t>POL51817</t>
  </si>
  <si>
    <t>POL51818</t>
  </si>
  <si>
    <t>POL51819</t>
  </si>
  <si>
    <t>POL51820</t>
  </si>
  <si>
    <t>POL51821</t>
  </si>
  <si>
    <t>POL51822</t>
  </si>
  <si>
    <t>POL51823</t>
  </si>
  <si>
    <t>POL51824</t>
  </si>
  <si>
    <t>POL51825</t>
  </si>
  <si>
    <t>POL51826</t>
  </si>
  <si>
    <t>POL51827</t>
  </si>
  <si>
    <t>POL51828</t>
  </si>
  <si>
    <t>POL51829</t>
  </si>
  <si>
    <t>POL51830</t>
  </si>
  <si>
    <t>POL51831</t>
  </si>
  <si>
    <t>POL51832</t>
  </si>
  <si>
    <t>POL51833</t>
  </si>
  <si>
    <t>POL51834</t>
  </si>
  <si>
    <t>POL51835</t>
  </si>
  <si>
    <t>POL51836</t>
  </si>
  <si>
    <t>POL51837</t>
  </si>
  <si>
    <t>POL51838</t>
  </si>
  <si>
    <t>POL51839</t>
  </si>
  <si>
    <t>POL51840</t>
  </si>
  <si>
    <t>POL51841</t>
  </si>
  <si>
    <t>POL51842</t>
  </si>
  <si>
    <t>POL51843</t>
  </si>
  <si>
    <t>POL51844</t>
  </si>
  <si>
    <t>POL51845</t>
  </si>
  <si>
    <t>POL51846</t>
  </si>
  <si>
    <t>POL51847</t>
  </si>
  <si>
    <t>POL51848</t>
  </si>
  <si>
    <t>POL51849</t>
  </si>
  <si>
    <t>POL51850</t>
  </si>
  <si>
    <t>POL51851</t>
  </si>
  <si>
    <t>POL51852</t>
  </si>
  <si>
    <t>POL51853</t>
  </si>
  <si>
    <t>POL51854</t>
  </si>
  <si>
    <t>POL51855</t>
  </si>
  <si>
    <t>POL51856</t>
  </si>
  <si>
    <t>POL51857</t>
  </si>
  <si>
    <t>POL51858</t>
  </si>
  <si>
    <t>POL51859</t>
  </si>
  <si>
    <t>POL51860</t>
  </si>
  <si>
    <t>POL51861</t>
  </si>
  <si>
    <t>POL51862</t>
  </si>
  <si>
    <t>POL51863</t>
  </si>
  <si>
    <t>POL51864</t>
  </si>
  <si>
    <t>POL51865</t>
  </si>
  <si>
    <t>POL51866</t>
  </si>
  <si>
    <t>POL51867</t>
  </si>
  <si>
    <t>POL51868</t>
  </si>
  <si>
    <t>POL51869</t>
  </si>
  <si>
    <t>POL51870</t>
  </si>
  <si>
    <t>POL51871</t>
  </si>
  <si>
    <t>POL51872</t>
  </si>
  <si>
    <t>POL51873</t>
  </si>
  <si>
    <t>POL51874</t>
  </si>
  <si>
    <t>POL51875</t>
  </si>
  <si>
    <t>POL51876</t>
  </si>
  <si>
    <t>POL51877</t>
  </si>
  <si>
    <t>POL51878</t>
  </si>
  <si>
    <t>POL51879</t>
  </si>
  <si>
    <t>POL51880</t>
  </si>
  <si>
    <t>POL51881</t>
  </si>
  <si>
    <t>POL51882</t>
  </si>
  <si>
    <t>POL51883</t>
  </si>
  <si>
    <t>POL51884</t>
  </si>
  <si>
    <t>POL51885</t>
  </si>
  <si>
    <t>POL51886</t>
  </si>
  <si>
    <t>POL51887</t>
  </si>
  <si>
    <t>POL51888</t>
  </si>
  <si>
    <t>POL51889</t>
  </si>
  <si>
    <t>POL51890</t>
  </si>
  <si>
    <t>POL51891</t>
  </si>
  <si>
    <t>POL51892</t>
  </si>
  <si>
    <t>POL51893</t>
  </si>
  <si>
    <t>POL51894</t>
  </si>
  <si>
    <t>POL51895</t>
  </si>
  <si>
    <t>POL51896</t>
  </si>
  <si>
    <t>POL51897</t>
  </si>
  <si>
    <t>POL51898</t>
  </si>
  <si>
    <t>POL51899</t>
  </si>
  <si>
    <t>POL51900</t>
  </si>
  <si>
    <t>POL51901</t>
  </si>
  <si>
    <t>POL51902</t>
  </si>
  <si>
    <t>POL51903</t>
  </si>
  <si>
    <t>POL51904</t>
  </si>
  <si>
    <t>POL51905</t>
  </si>
  <si>
    <t>POL51906</t>
  </si>
  <si>
    <t>POL51907</t>
  </si>
  <si>
    <t>POL51908</t>
  </si>
  <si>
    <t>POL51909</t>
  </si>
  <si>
    <t>POL51910</t>
  </si>
  <si>
    <t>POL51911</t>
  </si>
  <si>
    <t>POL51912</t>
  </si>
  <si>
    <t>POL51913</t>
  </si>
  <si>
    <t>POL51914</t>
  </si>
  <si>
    <t>POL51915</t>
  </si>
  <si>
    <t>POL51916</t>
  </si>
  <si>
    <t>POL51917</t>
  </si>
  <si>
    <t>POL51918</t>
  </si>
  <si>
    <t>POL51919</t>
  </si>
  <si>
    <t>POL51920</t>
  </si>
  <si>
    <t>POL51921</t>
  </si>
  <si>
    <t>POL51922</t>
  </si>
  <si>
    <t>POL51923</t>
  </si>
  <si>
    <t>POL51924</t>
  </si>
  <si>
    <t>POL51925</t>
  </si>
  <si>
    <t>POL51926</t>
  </si>
  <si>
    <t>POL51927</t>
  </si>
  <si>
    <t>POL51928</t>
  </si>
  <si>
    <t>POL51929</t>
  </si>
  <si>
    <t>POL51930</t>
  </si>
  <si>
    <t>POL51931</t>
  </si>
  <si>
    <t>POL51932</t>
  </si>
  <si>
    <t>POL51933</t>
  </si>
  <si>
    <t>POL51934</t>
  </si>
  <si>
    <t>POL51935</t>
  </si>
  <si>
    <t>POL51936</t>
  </si>
  <si>
    <t>POL51937</t>
  </si>
  <si>
    <t>POL51938</t>
  </si>
  <si>
    <t>POL51939</t>
  </si>
  <si>
    <t>POL51940</t>
  </si>
  <si>
    <t>POL51941</t>
  </si>
  <si>
    <t>POL51942</t>
  </si>
  <si>
    <t>POL51943</t>
  </si>
  <si>
    <t>POL51944</t>
  </si>
  <si>
    <t>POL51945</t>
  </si>
  <si>
    <t>POL51946</t>
  </si>
  <si>
    <t>POL51947</t>
  </si>
  <si>
    <t>POL51948</t>
  </si>
  <si>
    <t>POL51949</t>
  </si>
  <si>
    <t>POL51950</t>
  </si>
  <si>
    <t>POL51951</t>
  </si>
  <si>
    <t>POL51952</t>
  </si>
  <si>
    <t>POL51953</t>
  </si>
  <si>
    <t>POL51954</t>
  </si>
  <si>
    <t>POL51955</t>
  </si>
  <si>
    <t>POL51956</t>
  </si>
  <si>
    <t>POL51957</t>
  </si>
  <si>
    <t>POL51958</t>
  </si>
  <si>
    <t>POL51959</t>
  </si>
  <si>
    <t>POL51960</t>
  </si>
  <si>
    <t>POL51961</t>
  </si>
  <si>
    <t>POL51962</t>
  </si>
  <si>
    <t>POL51963</t>
  </si>
  <si>
    <t>POL51964</t>
  </si>
  <si>
    <t>POL51965</t>
  </si>
  <si>
    <t>POL51966</t>
  </si>
  <si>
    <t>POL51967</t>
  </si>
  <si>
    <t>POL51968</t>
  </si>
  <si>
    <t>POL51969</t>
  </si>
  <si>
    <t>POL51970</t>
  </si>
  <si>
    <t>POL51971</t>
  </si>
  <si>
    <t>POL51972</t>
  </si>
  <si>
    <t>POL51973</t>
  </si>
  <si>
    <t>POL51974</t>
  </si>
  <si>
    <t>POL51975</t>
  </si>
  <si>
    <t>POL51976</t>
  </si>
  <si>
    <t>POL51977</t>
  </si>
  <si>
    <t>POL51978</t>
  </si>
  <si>
    <t>POL51979</t>
  </si>
  <si>
    <t>POL51980</t>
  </si>
  <si>
    <t>POL51981</t>
  </si>
  <si>
    <t>POL51982</t>
  </si>
  <si>
    <t>POL51983</t>
  </si>
  <si>
    <t>POL51984</t>
  </si>
  <si>
    <t>POL51985</t>
  </si>
  <si>
    <t>POL51986</t>
  </si>
  <si>
    <t>POL51987</t>
  </si>
  <si>
    <t>POL51988</t>
  </si>
  <si>
    <t>POL51989</t>
  </si>
  <si>
    <t>POL51990</t>
  </si>
  <si>
    <t>POL51991</t>
  </si>
  <si>
    <t>POL51992</t>
  </si>
  <si>
    <t>POL51993</t>
  </si>
  <si>
    <t>POL51994</t>
  </si>
  <si>
    <t>POL51995</t>
  </si>
  <si>
    <t>POL51996</t>
  </si>
  <si>
    <t>POL51997</t>
  </si>
  <si>
    <t>POL51998</t>
  </si>
  <si>
    <t>POL51999</t>
  </si>
  <si>
    <t>POL52000</t>
  </si>
  <si>
    <t>POL52001</t>
  </si>
  <si>
    <t>POL52002</t>
  </si>
  <si>
    <t>POL52003</t>
  </si>
  <si>
    <t>POL52004</t>
  </si>
  <si>
    <t>POL52005</t>
  </si>
  <si>
    <t>POL52006</t>
  </si>
  <si>
    <t>POL52007</t>
  </si>
  <si>
    <t>POL52008</t>
  </si>
  <si>
    <t>POL52009</t>
  </si>
  <si>
    <t>POL52010</t>
  </si>
  <si>
    <t>POL52011</t>
  </si>
  <si>
    <t>POL52012</t>
  </si>
  <si>
    <t>POL52013</t>
  </si>
  <si>
    <t>POL52014</t>
  </si>
  <si>
    <t>POL52015</t>
  </si>
  <si>
    <t>POL52016</t>
  </si>
  <si>
    <t>POL52017</t>
  </si>
  <si>
    <t>POL52018</t>
  </si>
  <si>
    <t>POL52019</t>
  </si>
  <si>
    <t>POL52020</t>
  </si>
  <si>
    <t>POL52021</t>
  </si>
  <si>
    <t>POL52022</t>
  </si>
  <si>
    <t>POL52023</t>
  </si>
  <si>
    <t>POL52024</t>
  </si>
  <si>
    <t>POL52025</t>
  </si>
  <si>
    <t>POL52026</t>
  </si>
  <si>
    <t>POL52027</t>
  </si>
  <si>
    <t>POL52028</t>
  </si>
  <si>
    <t>POL52029</t>
  </si>
  <si>
    <t>POL52030</t>
  </si>
  <si>
    <t>POL52031</t>
  </si>
  <si>
    <t>POL52032</t>
  </si>
  <si>
    <t>POL52033</t>
  </si>
  <si>
    <t>POL52034</t>
  </si>
  <si>
    <t>POL52035</t>
  </si>
  <si>
    <t>POL52036</t>
  </si>
  <si>
    <t>POL52037</t>
  </si>
  <si>
    <t>POL52038</t>
  </si>
  <si>
    <t>POL52039</t>
  </si>
  <si>
    <t>POL52040</t>
  </si>
  <si>
    <t>POL52041</t>
  </si>
  <si>
    <t>POL52042</t>
  </si>
  <si>
    <t>POL52043</t>
  </si>
  <si>
    <t>POL52044</t>
  </si>
  <si>
    <t>POL52045</t>
  </si>
  <si>
    <t>POL52046</t>
  </si>
  <si>
    <t>POL52047</t>
  </si>
  <si>
    <t>POL52048</t>
  </si>
  <si>
    <t>POL52049</t>
  </si>
  <si>
    <t>POL52050</t>
  </si>
  <si>
    <t>POL52051</t>
  </si>
  <si>
    <t>POL52052</t>
  </si>
  <si>
    <t>POL52053</t>
  </si>
  <si>
    <t>POL52054</t>
  </si>
  <si>
    <t>POL52055</t>
  </si>
  <si>
    <t>POL52056</t>
  </si>
  <si>
    <t>POL52057</t>
  </si>
  <si>
    <t>POL52058</t>
  </si>
  <si>
    <t>POL52059</t>
  </si>
  <si>
    <t>POL52060</t>
  </si>
  <si>
    <t>POL52061</t>
  </si>
  <si>
    <t>POL52062</t>
  </si>
  <si>
    <t>POL52063</t>
  </si>
  <si>
    <t>POL52064</t>
  </si>
  <si>
    <t>POL52065</t>
  </si>
  <si>
    <t>POL52066</t>
  </si>
  <si>
    <t>POL52067</t>
  </si>
  <si>
    <t>POL52068</t>
  </si>
  <si>
    <t>POL52069</t>
  </si>
  <si>
    <t>POL52070</t>
  </si>
  <si>
    <t>POL52071</t>
  </si>
  <si>
    <t>POL52072</t>
  </si>
  <si>
    <t>POL52073</t>
  </si>
  <si>
    <t>POL52074</t>
  </si>
  <si>
    <t>POL52075</t>
  </si>
  <si>
    <t>POL52076</t>
  </si>
  <si>
    <t>POL52077</t>
  </si>
  <si>
    <t>POL52078</t>
  </si>
  <si>
    <t>POL52079</t>
  </si>
  <si>
    <t>POL52080</t>
  </si>
  <si>
    <t>POL52081</t>
  </si>
  <si>
    <t>POL52082</t>
  </si>
  <si>
    <t>POL52083</t>
  </si>
  <si>
    <t>POL52084</t>
  </si>
  <si>
    <t>POL52085</t>
  </si>
  <si>
    <t>POL52086</t>
  </si>
  <si>
    <t>POL52087</t>
  </si>
  <si>
    <t>POL52088</t>
  </si>
  <si>
    <t>POL52089</t>
  </si>
  <si>
    <t>POL52090</t>
  </si>
  <si>
    <t>POL52091</t>
  </si>
  <si>
    <t>POL52092</t>
  </si>
  <si>
    <t>POL52093</t>
  </si>
  <si>
    <t>POL52094</t>
  </si>
  <si>
    <t>POL52095</t>
  </si>
  <si>
    <t>POL52096</t>
  </si>
  <si>
    <t>POL52097</t>
  </si>
  <si>
    <t>POL52098</t>
  </si>
  <si>
    <t>POL52099</t>
  </si>
  <si>
    <t>POL52100</t>
  </si>
  <si>
    <t>POL52101</t>
  </si>
  <si>
    <t>POL52102</t>
  </si>
  <si>
    <t>POL52103</t>
  </si>
  <si>
    <t>POL52104</t>
  </si>
  <si>
    <t>POL52105</t>
  </si>
  <si>
    <t>POL52106</t>
  </si>
  <si>
    <t>POL52107</t>
  </si>
  <si>
    <t>POL52108</t>
  </si>
  <si>
    <t>POL52109</t>
  </si>
  <si>
    <t>POL52110</t>
  </si>
  <si>
    <t>POL52111</t>
  </si>
  <si>
    <t>POL52112</t>
  </si>
  <si>
    <t>POL52113</t>
  </si>
  <si>
    <t>POL52114</t>
  </si>
  <si>
    <t>POL52115</t>
  </si>
  <si>
    <t>POL52116</t>
  </si>
  <si>
    <t>POL52117</t>
  </si>
  <si>
    <t>POL52118</t>
  </si>
  <si>
    <t>POL52119</t>
  </si>
  <si>
    <t>POL52120</t>
  </si>
  <si>
    <t>POL52121</t>
  </si>
  <si>
    <t>POL52122</t>
  </si>
  <si>
    <t>POL52123</t>
  </si>
  <si>
    <t>POL52124</t>
  </si>
  <si>
    <t>POL52125</t>
  </si>
  <si>
    <t>POL52126</t>
  </si>
  <si>
    <t>POL52127</t>
  </si>
  <si>
    <t>POL52128</t>
  </si>
  <si>
    <t>POL52129</t>
  </si>
  <si>
    <t>POL52130</t>
  </si>
  <si>
    <t>POL52131</t>
  </si>
  <si>
    <t>POL52132</t>
  </si>
  <si>
    <t>POL52133</t>
  </si>
  <si>
    <t>POL52134</t>
  </si>
  <si>
    <t>POL52135</t>
  </si>
  <si>
    <t>POL52136</t>
  </si>
  <si>
    <t>POL52137</t>
  </si>
  <si>
    <t>POL52138</t>
  </si>
  <si>
    <t>POL52139</t>
  </si>
  <si>
    <t>POL52140</t>
  </si>
  <si>
    <t>POL52141</t>
  </si>
  <si>
    <t>POL52142</t>
  </si>
  <si>
    <t>POL52143</t>
  </si>
  <si>
    <t>POL52144</t>
  </si>
  <si>
    <t>POL52145</t>
  </si>
  <si>
    <t>POL52146</t>
  </si>
  <si>
    <t>POL52147</t>
  </si>
  <si>
    <t>POL52148</t>
  </si>
  <si>
    <t>POL52149</t>
  </si>
  <si>
    <t>POL52150</t>
  </si>
  <si>
    <t>POL52151</t>
  </si>
  <si>
    <t>POL52152</t>
  </si>
  <si>
    <t>POL52153</t>
  </si>
  <si>
    <t>POL52154</t>
  </si>
  <si>
    <t>POL52155</t>
  </si>
  <si>
    <t>POL52156</t>
  </si>
  <si>
    <t>POL52157</t>
  </si>
  <si>
    <t>POL52158</t>
  </si>
  <si>
    <t>POL52159</t>
  </si>
  <si>
    <t>POL52160</t>
  </si>
  <si>
    <t>POL52161</t>
  </si>
  <si>
    <t>POL52162</t>
  </si>
  <si>
    <t>POL52163</t>
  </si>
  <si>
    <t>POL52164</t>
  </si>
  <si>
    <t>POL52165</t>
  </si>
  <si>
    <t>POL52166</t>
  </si>
  <si>
    <t>POL52167</t>
  </si>
  <si>
    <t>POL52168</t>
  </si>
  <si>
    <t>POL52169</t>
  </si>
  <si>
    <t>POL52170</t>
  </si>
  <si>
    <t>POL52171</t>
  </si>
  <si>
    <t>POL52172</t>
  </si>
  <si>
    <t>POL52173</t>
  </si>
  <si>
    <t>POL52174</t>
  </si>
  <si>
    <t>POL52175</t>
  </si>
  <si>
    <t>POL52176</t>
  </si>
  <si>
    <t>POL52177</t>
  </si>
  <si>
    <t>POL52178</t>
  </si>
  <si>
    <t>POL52179</t>
  </si>
  <si>
    <t>POL52180</t>
  </si>
  <si>
    <t>POL52181</t>
  </si>
  <si>
    <t>POL52182</t>
  </si>
  <si>
    <t>POL52183</t>
  </si>
  <si>
    <t>POL52184</t>
  </si>
  <si>
    <t>POL52185</t>
  </si>
  <si>
    <t>POL52186</t>
  </si>
  <si>
    <t>POL52187</t>
  </si>
  <si>
    <t>POL52188</t>
  </si>
  <si>
    <t>POL52189</t>
  </si>
  <si>
    <t>POL52190</t>
  </si>
  <si>
    <t>POL52191</t>
  </si>
  <si>
    <t>POL52192</t>
  </si>
  <si>
    <t>POL52193</t>
  </si>
  <si>
    <t>POL52194</t>
  </si>
  <si>
    <t>POL52195</t>
  </si>
  <si>
    <t>POL52196</t>
  </si>
  <si>
    <t>POL52197</t>
  </si>
  <si>
    <t>POL52198</t>
  </si>
  <si>
    <t>POL52199</t>
  </si>
  <si>
    <t>POL52200</t>
  </si>
  <si>
    <t>POL52201</t>
  </si>
  <si>
    <t>POL52202</t>
  </si>
  <si>
    <t>POL52203</t>
  </si>
  <si>
    <t>POL52204</t>
  </si>
  <si>
    <t>POL52205</t>
  </si>
  <si>
    <t>POL52206</t>
  </si>
  <si>
    <t>POL52207</t>
  </si>
  <si>
    <t>POL52208</t>
  </si>
  <si>
    <t>POL52209</t>
  </si>
  <si>
    <t>POL52210</t>
  </si>
  <si>
    <t>POL52211</t>
  </si>
  <si>
    <t>POL52212</t>
  </si>
  <si>
    <t>POL52213</t>
  </si>
  <si>
    <t>POL52214</t>
  </si>
  <si>
    <t>POL52215</t>
  </si>
  <si>
    <t>POL52216</t>
  </si>
  <si>
    <t>POL52217</t>
  </si>
  <si>
    <t>POL52218</t>
  </si>
  <si>
    <t>POL52219</t>
  </si>
  <si>
    <t>POL52220</t>
  </si>
  <si>
    <t>POL52221</t>
  </si>
  <si>
    <t>POL52222</t>
  </si>
  <si>
    <t>POL52223</t>
  </si>
  <si>
    <t>POL52224</t>
  </si>
  <si>
    <t>POL52225</t>
  </si>
  <si>
    <t>POL52226</t>
  </si>
  <si>
    <t>POL52227</t>
  </si>
  <si>
    <t>POL52228</t>
  </si>
  <si>
    <t>POL52229</t>
  </si>
  <si>
    <t>POL52230</t>
  </si>
  <si>
    <t>POL52231</t>
  </si>
  <si>
    <t>POL52232</t>
  </si>
  <si>
    <t>POL52233</t>
  </si>
  <si>
    <t>POL52234</t>
  </si>
  <si>
    <t>POL52235</t>
  </si>
  <si>
    <t>POL52236</t>
  </si>
  <si>
    <t>POL52237</t>
  </si>
  <si>
    <t>POL52238</t>
  </si>
  <si>
    <t>POL52239</t>
  </si>
  <si>
    <t>POL52240</t>
  </si>
  <si>
    <t>POL52241</t>
  </si>
  <si>
    <t>POL52242</t>
  </si>
  <si>
    <t>POL52243</t>
  </si>
  <si>
    <t>POL52244</t>
  </si>
  <si>
    <t>POL52245</t>
  </si>
  <si>
    <t>POL52246</t>
  </si>
  <si>
    <t>POL52247</t>
  </si>
  <si>
    <t>POL52248</t>
  </si>
  <si>
    <t>POL52249</t>
  </si>
  <si>
    <t>POL52250</t>
  </si>
  <si>
    <t>POL52251</t>
  </si>
  <si>
    <t>POL52252</t>
  </si>
  <si>
    <t>POL52253</t>
  </si>
  <si>
    <t>POL52254</t>
  </si>
  <si>
    <t>POL52255</t>
  </si>
  <si>
    <t>POL52256</t>
  </si>
  <si>
    <t>POL52257</t>
  </si>
  <si>
    <t>POL52258</t>
  </si>
  <si>
    <t>POL52259</t>
  </si>
  <si>
    <t>POL52260</t>
  </si>
  <si>
    <t>POL52261</t>
  </si>
  <si>
    <t>POL52262</t>
  </si>
  <si>
    <t>POL52263</t>
  </si>
  <si>
    <t>POL52264</t>
  </si>
  <si>
    <t>POL52265</t>
  </si>
  <si>
    <t>POL52266</t>
  </si>
  <si>
    <t>POL52267</t>
  </si>
  <si>
    <t>POL52268</t>
  </si>
  <si>
    <t>POL52269</t>
  </si>
  <si>
    <t>POL52270</t>
  </si>
  <si>
    <t>POL52271</t>
  </si>
  <si>
    <t>POL52272</t>
  </si>
  <si>
    <t>POL52273</t>
  </si>
  <si>
    <t>POL52274</t>
  </si>
  <si>
    <t>POL52275</t>
  </si>
  <si>
    <t>POL52276</t>
  </si>
  <si>
    <t>POL52277</t>
  </si>
  <si>
    <t>POL52278</t>
  </si>
  <si>
    <t>POL52279</t>
  </si>
  <si>
    <t>POL52280</t>
  </si>
  <si>
    <t>POL52281</t>
  </si>
  <si>
    <t>POL52282</t>
  </si>
  <si>
    <t>POL52283</t>
  </si>
  <si>
    <t>POL52284</t>
  </si>
  <si>
    <t>POL52285</t>
  </si>
  <si>
    <t>POL52286</t>
  </si>
  <si>
    <t>POL52287</t>
  </si>
  <si>
    <t>POL52288</t>
  </si>
  <si>
    <t>POL52289</t>
  </si>
  <si>
    <t>POL52290</t>
  </si>
  <si>
    <t>POL52291</t>
  </si>
  <si>
    <t>POL52292</t>
  </si>
  <si>
    <t>POL52293</t>
  </si>
  <si>
    <t>POL52294</t>
  </si>
  <si>
    <t>POL52295</t>
  </si>
  <si>
    <t>POL52296</t>
  </si>
  <si>
    <t>POL52297</t>
  </si>
  <si>
    <t>POL52298</t>
  </si>
  <si>
    <t>POL52299</t>
  </si>
  <si>
    <t>POL52300</t>
  </si>
  <si>
    <t>POL52301</t>
  </si>
  <si>
    <t>POL52302</t>
  </si>
  <si>
    <t>POL52303</t>
  </si>
  <si>
    <t>POL52304</t>
  </si>
  <si>
    <t>POL52305</t>
  </si>
  <si>
    <t>POL52306</t>
  </si>
  <si>
    <t>POL52307</t>
  </si>
  <si>
    <t>POL52308</t>
  </si>
  <si>
    <t>POL52309</t>
  </si>
  <si>
    <t>POL52310</t>
  </si>
  <si>
    <t>POL52311</t>
  </si>
  <si>
    <t>POL52312</t>
  </si>
  <si>
    <t>POL52313</t>
  </si>
  <si>
    <t>POL52314</t>
  </si>
  <si>
    <t>POL52315</t>
  </si>
  <si>
    <t>POL52316</t>
  </si>
  <si>
    <t>POL52317</t>
  </si>
  <si>
    <t>POL52318</t>
  </si>
  <si>
    <t>POL52319</t>
  </si>
  <si>
    <t>POL52320</t>
  </si>
  <si>
    <t>POL52321</t>
  </si>
  <si>
    <t>POL52322</t>
  </si>
  <si>
    <t>POL52323</t>
  </si>
  <si>
    <t>POL52324</t>
  </si>
  <si>
    <t>POL52325</t>
  </si>
  <si>
    <t>POL52326</t>
  </si>
  <si>
    <t>POL52327</t>
  </si>
  <si>
    <t>POL52328</t>
  </si>
  <si>
    <t>POL52329</t>
  </si>
  <si>
    <t>POL52330</t>
  </si>
  <si>
    <t>POL52331</t>
  </si>
  <si>
    <t>POL52332</t>
  </si>
  <si>
    <t>POL52333</t>
  </si>
  <si>
    <t>POL52334</t>
  </si>
  <si>
    <t>POL52335</t>
  </si>
  <si>
    <t>POL52336</t>
  </si>
  <si>
    <t>POL52337</t>
  </si>
  <si>
    <t>POL52338</t>
  </si>
  <si>
    <t>POL52339</t>
  </si>
  <si>
    <t>POL52340</t>
  </si>
  <si>
    <t>POL52341</t>
  </si>
  <si>
    <t>POL52342</t>
  </si>
  <si>
    <t>POL52343</t>
  </si>
  <si>
    <t>POL52344</t>
  </si>
  <si>
    <t>POL52345</t>
  </si>
  <si>
    <t>POL52346</t>
  </si>
  <si>
    <t>POL52347</t>
  </si>
  <si>
    <t>POL52348</t>
  </si>
  <si>
    <t>POL52349</t>
  </si>
  <si>
    <t>POL52350</t>
  </si>
  <si>
    <t>POL52351</t>
  </si>
  <si>
    <t>POL52352</t>
  </si>
  <si>
    <t>POL52353</t>
  </si>
  <si>
    <t>POL52354</t>
  </si>
  <si>
    <t>POL52355</t>
  </si>
  <si>
    <t>POL52356</t>
  </si>
  <si>
    <t>POL52357</t>
  </si>
  <si>
    <t>POL52358</t>
  </si>
  <si>
    <t>POL52359</t>
  </si>
  <si>
    <t>POL52360</t>
  </si>
  <si>
    <t>POL52361</t>
  </si>
  <si>
    <t>POL52362</t>
  </si>
  <si>
    <t>POL52363</t>
  </si>
  <si>
    <t>POL52364</t>
  </si>
  <si>
    <t>POL52365</t>
  </si>
  <si>
    <t>POL52366</t>
  </si>
  <si>
    <t>POL52367</t>
  </si>
  <si>
    <t>POL52368</t>
  </si>
  <si>
    <t>POL52369</t>
  </si>
  <si>
    <t>POL52370</t>
  </si>
  <si>
    <t>POL52371</t>
  </si>
  <si>
    <t>POL52372</t>
  </si>
  <si>
    <t>POL52373</t>
  </si>
  <si>
    <t>POL52374</t>
  </si>
  <si>
    <t>POL52375</t>
  </si>
  <si>
    <t>POL52376</t>
  </si>
  <si>
    <t>POL52377</t>
  </si>
  <si>
    <t>POL52378</t>
  </si>
  <si>
    <t>POL52379</t>
  </si>
  <si>
    <t>POL52380</t>
  </si>
  <si>
    <t>POL52381</t>
  </si>
  <si>
    <t>POL52382</t>
  </si>
  <si>
    <t>POL52383</t>
  </si>
  <si>
    <t>POL52384</t>
  </si>
  <si>
    <t>POL52385</t>
  </si>
  <si>
    <t>POL52386</t>
  </si>
  <si>
    <t>POL52387</t>
  </si>
  <si>
    <t>POL52388</t>
  </si>
  <si>
    <t>POL52389</t>
  </si>
  <si>
    <t>POL52390</t>
  </si>
  <si>
    <t>POL52391</t>
  </si>
  <si>
    <t>POL52392</t>
  </si>
  <si>
    <t>POL52393</t>
  </si>
  <si>
    <t>POL52394</t>
  </si>
  <si>
    <t>POL52395</t>
  </si>
  <si>
    <t>POL52396</t>
  </si>
  <si>
    <t>POL52397</t>
  </si>
  <si>
    <t>POL52398</t>
  </si>
  <si>
    <t>POL52399</t>
  </si>
  <si>
    <t>POL52400</t>
  </si>
  <si>
    <t>POL52401</t>
  </si>
  <si>
    <t>POL52402</t>
  </si>
  <si>
    <t>POL52403</t>
  </si>
  <si>
    <t>POL52404</t>
  </si>
  <si>
    <t>POL52405</t>
  </si>
  <si>
    <t>POL52406</t>
  </si>
  <si>
    <t>POL52407</t>
  </si>
  <si>
    <t>POL52408</t>
  </si>
  <si>
    <t>POL52409</t>
  </si>
  <si>
    <t>POL52410</t>
  </si>
  <si>
    <t>POL52411</t>
  </si>
  <si>
    <t>POL52412</t>
  </si>
  <si>
    <t>POL52413</t>
  </si>
  <si>
    <t>POL52414</t>
  </si>
  <si>
    <t>POL52415</t>
  </si>
  <si>
    <t>POL52416</t>
  </si>
  <si>
    <t>POL52417</t>
  </si>
  <si>
    <t>POL52418</t>
  </si>
  <si>
    <t>POL52419</t>
  </si>
  <si>
    <t>POL52420</t>
  </si>
  <si>
    <t>POL52421</t>
  </si>
  <si>
    <t>POL52422</t>
  </si>
  <si>
    <t>POL52423</t>
  </si>
  <si>
    <t>POL52424</t>
  </si>
  <si>
    <t>POL52425</t>
  </si>
  <si>
    <t>POL52426</t>
  </si>
  <si>
    <t>POL52427</t>
  </si>
  <si>
    <t>POL52428</t>
  </si>
  <si>
    <t>POL52429</t>
  </si>
  <si>
    <t>POL52430</t>
  </si>
  <si>
    <t>POL52431</t>
  </si>
  <si>
    <t>POL52432</t>
  </si>
  <si>
    <t>POL52433</t>
  </si>
  <si>
    <t>POL52434</t>
  </si>
  <si>
    <t>POL52435</t>
  </si>
  <si>
    <t>POL52436</t>
  </si>
  <si>
    <t>POL52437</t>
  </si>
  <si>
    <t>POL52438</t>
  </si>
  <si>
    <t>POL52439</t>
  </si>
  <si>
    <t>POL52440</t>
  </si>
  <si>
    <t>POL52441</t>
  </si>
  <si>
    <t>POL52442</t>
  </si>
  <si>
    <t>POL52443</t>
  </si>
  <si>
    <t>POL52444</t>
  </si>
  <si>
    <t>POL52445</t>
  </si>
  <si>
    <t>POL52446</t>
  </si>
  <si>
    <t>POL52447</t>
  </si>
  <si>
    <t>POL52448</t>
  </si>
  <si>
    <t>POL52449</t>
  </si>
  <si>
    <t>POL52450</t>
  </si>
  <si>
    <t>POL52451</t>
  </si>
  <si>
    <t>POL52452</t>
  </si>
  <si>
    <t>POL52453</t>
  </si>
  <si>
    <t>POL52454</t>
  </si>
  <si>
    <t>POL52455</t>
  </si>
  <si>
    <t>POL52456</t>
  </si>
  <si>
    <t>POL52457</t>
  </si>
  <si>
    <t>POL52458</t>
  </si>
  <si>
    <t>POL52459</t>
  </si>
  <si>
    <t>POL52460</t>
  </si>
  <si>
    <t>POL52461</t>
  </si>
  <si>
    <t>POL52462</t>
  </si>
  <si>
    <t>POL52463</t>
  </si>
  <si>
    <t>POL52464</t>
  </si>
  <si>
    <t>POL52465</t>
  </si>
  <si>
    <t>POL52466</t>
  </si>
  <si>
    <t>POL52467</t>
  </si>
  <si>
    <t>POL52468</t>
  </si>
  <si>
    <t>POL52469</t>
  </si>
  <si>
    <t>POL52470</t>
  </si>
  <si>
    <t>POL52471</t>
  </si>
  <si>
    <t>POL52472</t>
  </si>
  <si>
    <t>POL52473</t>
  </si>
  <si>
    <t>POL52474</t>
  </si>
  <si>
    <t>POL52475</t>
  </si>
  <si>
    <t>POL52476</t>
  </si>
  <si>
    <t>POL52477</t>
  </si>
  <si>
    <t>POL52478</t>
  </si>
  <si>
    <t>POL52479</t>
  </si>
  <si>
    <t>POL52480</t>
  </si>
  <si>
    <t>POL52481</t>
  </si>
  <si>
    <t>POL52482</t>
  </si>
  <si>
    <t>POL52483</t>
  </si>
  <si>
    <t>POL52484</t>
  </si>
  <si>
    <t>POL52485</t>
  </si>
  <si>
    <t>POL52486</t>
  </si>
  <si>
    <t>POL52487</t>
  </si>
  <si>
    <t>POL52488</t>
  </si>
  <si>
    <t>POL52489</t>
  </si>
  <si>
    <t>POL52490</t>
  </si>
  <si>
    <t>POL52491</t>
  </si>
  <si>
    <t>POL52492</t>
  </si>
  <si>
    <t>POL52493</t>
  </si>
  <si>
    <t>POL52494</t>
  </si>
  <si>
    <t>POL52495</t>
  </si>
  <si>
    <t>POL52496</t>
  </si>
  <si>
    <t>POL52497</t>
  </si>
  <si>
    <t>POL52498</t>
  </si>
  <si>
    <t>POL52499</t>
  </si>
  <si>
    <t>POL52500</t>
  </si>
  <si>
    <t>POL52501</t>
  </si>
  <si>
    <t>POL52502</t>
  </si>
  <si>
    <t>POL52503</t>
  </si>
  <si>
    <t>POL52504</t>
  </si>
  <si>
    <t>POL52505</t>
  </si>
  <si>
    <t>POL52506</t>
  </si>
  <si>
    <t>POL52507</t>
  </si>
  <si>
    <t>POL52508</t>
  </si>
  <si>
    <t>POL52509</t>
  </si>
  <si>
    <t>POL52510</t>
  </si>
  <si>
    <t>POL52511</t>
  </si>
  <si>
    <t>POL52512</t>
  </si>
  <si>
    <t>POL52513</t>
  </si>
  <si>
    <t>POL52514</t>
  </si>
  <si>
    <t>POL52515</t>
  </si>
  <si>
    <t>POL52516</t>
  </si>
  <si>
    <t>POL52517</t>
  </si>
  <si>
    <t>POL52518</t>
  </si>
  <si>
    <t>POL52519</t>
  </si>
  <si>
    <t>POL52520</t>
  </si>
  <si>
    <t>POL52521</t>
  </si>
  <si>
    <t>POL52522</t>
  </si>
  <si>
    <t>POL52523</t>
  </si>
  <si>
    <t>POL52524</t>
  </si>
  <si>
    <t>POL52525</t>
  </si>
  <si>
    <t>POL52526</t>
  </si>
  <si>
    <t>POL52527</t>
  </si>
  <si>
    <t>POL52528</t>
  </si>
  <si>
    <t>POL52529</t>
  </si>
  <si>
    <t>POL52530</t>
  </si>
  <si>
    <t>POL52531</t>
  </si>
  <si>
    <t>POL52532</t>
  </si>
  <si>
    <t>POL52533</t>
  </si>
  <si>
    <t>POL52534</t>
  </si>
  <si>
    <t>POL52535</t>
  </si>
  <si>
    <t>POL52536</t>
  </si>
  <si>
    <t>POL52537</t>
  </si>
  <si>
    <t>POL52538</t>
  </si>
  <si>
    <t>POL52539</t>
  </si>
  <si>
    <t>POL52540</t>
  </si>
  <si>
    <t>POL52541</t>
  </si>
  <si>
    <t>POL52542</t>
  </si>
  <si>
    <t>POL52543</t>
  </si>
  <si>
    <t>POL52544</t>
  </si>
  <si>
    <t>POL52545</t>
  </si>
  <si>
    <t>POL52546</t>
  </si>
  <si>
    <t>POL52547</t>
  </si>
  <si>
    <t>POL52548</t>
  </si>
  <si>
    <t>POL52549</t>
  </si>
  <si>
    <t>POL52550</t>
  </si>
  <si>
    <t>POL52551</t>
  </si>
  <si>
    <t>POL52552</t>
  </si>
  <si>
    <t>POL52553</t>
  </si>
  <si>
    <t>POL52554</t>
  </si>
  <si>
    <t>POL52555</t>
  </si>
  <si>
    <t>POL52556</t>
  </si>
  <si>
    <t>POL52557</t>
  </si>
  <si>
    <t>POL52558</t>
  </si>
  <si>
    <t>POL52559</t>
  </si>
  <si>
    <t>POL52560</t>
  </si>
  <si>
    <t>POL52561</t>
  </si>
  <si>
    <t>POL52562</t>
  </si>
  <si>
    <t>POL52563</t>
  </si>
  <si>
    <t>POL52564</t>
  </si>
  <si>
    <t>POL52565</t>
  </si>
  <si>
    <t>POL52566</t>
  </si>
  <si>
    <t>POL52567</t>
  </si>
  <si>
    <t>POL52568</t>
  </si>
  <si>
    <t>POL52569</t>
  </si>
  <si>
    <t>POL52570</t>
  </si>
  <si>
    <t>POL52571</t>
  </si>
  <si>
    <t>POL52572</t>
  </si>
  <si>
    <t>POL52573</t>
  </si>
  <si>
    <t>POL52574</t>
  </si>
  <si>
    <t>POL52575</t>
  </si>
  <si>
    <t>POL52576</t>
  </si>
  <si>
    <t>POL52577</t>
  </si>
  <si>
    <t>POL52578</t>
  </si>
  <si>
    <t>POL52579</t>
  </si>
  <si>
    <t>POL52580</t>
  </si>
  <si>
    <t>POL52581</t>
  </si>
  <si>
    <t>POL52582</t>
  </si>
  <si>
    <t>POL52583</t>
  </si>
  <si>
    <t>POL52584</t>
  </si>
  <si>
    <t>POL52585</t>
  </si>
  <si>
    <t>POL52586</t>
  </si>
  <si>
    <t>POL52587</t>
  </si>
  <si>
    <t>POL52588</t>
  </si>
  <si>
    <t>POL52589</t>
  </si>
  <si>
    <t>POL52590</t>
  </si>
  <si>
    <t>POL52591</t>
  </si>
  <si>
    <t>POL52592</t>
  </si>
  <si>
    <t>POL52593</t>
  </si>
  <si>
    <t>POL52594</t>
  </si>
  <si>
    <t>POL52595</t>
  </si>
  <si>
    <t>POL52596</t>
  </si>
  <si>
    <t>POL52597</t>
  </si>
  <si>
    <t>POL52598</t>
  </si>
  <si>
    <t>POL52599</t>
  </si>
  <si>
    <t>POL52600</t>
  </si>
  <si>
    <t>POL52601</t>
  </si>
  <si>
    <t>POL52602</t>
  </si>
  <si>
    <t>POL52603</t>
  </si>
  <si>
    <t>POL52604</t>
  </si>
  <si>
    <t>POL52605</t>
  </si>
  <si>
    <t>POL52606</t>
  </si>
  <si>
    <t>POL52607</t>
  </si>
  <si>
    <t>POL52608</t>
  </si>
  <si>
    <t>POL52609</t>
  </si>
  <si>
    <t>POL52610</t>
  </si>
  <si>
    <t>POL52611</t>
  </si>
  <si>
    <t>POL52612</t>
  </si>
  <si>
    <t>POL52613</t>
  </si>
  <si>
    <t>POL52614</t>
  </si>
  <si>
    <t>POL52615</t>
  </si>
  <si>
    <t>POL52616</t>
  </si>
  <si>
    <t>POL52617</t>
  </si>
  <si>
    <t>POL52618</t>
  </si>
  <si>
    <t>POL52619</t>
  </si>
  <si>
    <t>POL52620</t>
  </si>
  <si>
    <t>POL52621</t>
  </si>
  <si>
    <t>POL52622</t>
  </si>
  <si>
    <t>POL52623</t>
  </si>
  <si>
    <t>POL52624</t>
  </si>
  <si>
    <t>POL52625</t>
  </si>
  <si>
    <t>POL52626</t>
  </si>
  <si>
    <t>POL52627</t>
  </si>
  <si>
    <t>POL52628</t>
  </si>
  <si>
    <t>POL52629</t>
  </si>
  <si>
    <t>POL52630</t>
  </si>
  <si>
    <t>POL52631</t>
  </si>
  <si>
    <t>POL52632</t>
  </si>
  <si>
    <t>POL52633</t>
  </si>
  <si>
    <t>POL52634</t>
  </si>
  <si>
    <t>POL52635</t>
  </si>
  <si>
    <t>POL52636</t>
  </si>
  <si>
    <t>POL52637</t>
  </si>
  <si>
    <t>POL52638</t>
  </si>
  <si>
    <t>POL52639</t>
  </si>
  <si>
    <t>POL52640</t>
  </si>
  <si>
    <t>POL52641</t>
  </si>
  <si>
    <t>POL52642</t>
  </si>
  <si>
    <t>POL52643</t>
  </si>
  <si>
    <t>POL52644</t>
  </si>
  <si>
    <t>POL52645</t>
  </si>
  <si>
    <t>POL52646</t>
  </si>
  <si>
    <t>POL52647</t>
  </si>
  <si>
    <t>POL52648</t>
  </si>
  <si>
    <t>POL52649</t>
  </si>
  <si>
    <t>POL52650</t>
  </si>
  <si>
    <t>POL52651</t>
  </si>
  <si>
    <t>POL52652</t>
  </si>
  <si>
    <t>POL52653</t>
  </si>
  <si>
    <t>POL52654</t>
  </si>
  <si>
    <t>POL52655</t>
  </si>
  <si>
    <t>POL52656</t>
  </si>
  <si>
    <t>POL52657</t>
  </si>
  <si>
    <t>POL52658</t>
  </si>
  <si>
    <t>POL52659</t>
  </si>
  <si>
    <t>POL52660</t>
  </si>
  <si>
    <t>POL52661</t>
  </si>
  <si>
    <t>POL52662</t>
  </si>
  <si>
    <t>POL52663</t>
  </si>
  <si>
    <t>POL52664</t>
  </si>
  <si>
    <t>POL52665</t>
  </si>
  <si>
    <t>POL52666</t>
  </si>
  <si>
    <t>POL52667</t>
  </si>
  <si>
    <t>POL52668</t>
  </si>
  <si>
    <t>POL52669</t>
  </si>
  <si>
    <t>POL52670</t>
  </si>
  <si>
    <t>POL52671</t>
  </si>
  <si>
    <t>POL52672</t>
  </si>
  <si>
    <t>POL52673</t>
  </si>
  <si>
    <t>POL52674</t>
  </si>
  <si>
    <t>POL52675</t>
  </si>
  <si>
    <t>POL52676</t>
  </si>
  <si>
    <t>POL52677</t>
  </si>
  <si>
    <t>POL52678</t>
  </si>
  <si>
    <t>POL52679</t>
  </si>
  <si>
    <t>POL52680</t>
  </si>
  <si>
    <t>POL52681</t>
  </si>
  <si>
    <t>POL52682</t>
  </si>
  <si>
    <t>POL52683</t>
  </si>
  <si>
    <t>POL52684</t>
  </si>
  <si>
    <t>POL52685</t>
  </si>
  <si>
    <t>POL52686</t>
  </si>
  <si>
    <t>POL52687</t>
  </si>
  <si>
    <t>POL52688</t>
  </si>
  <si>
    <t>POL52689</t>
  </si>
  <si>
    <t>POL52690</t>
  </si>
  <si>
    <t>POL52691</t>
  </si>
  <si>
    <t>POL52692</t>
  </si>
  <si>
    <t>POL52693</t>
  </si>
  <si>
    <t>POL52694</t>
  </si>
  <si>
    <t>POL52695</t>
  </si>
  <si>
    <t>POL52696</t>
  </si>
  <si>
    <t>POL52697</t>
  </si>
  <si>
    <t>POL52698</t>
  </si>
  <si>
    <t>POL52699</t>
  </si>
  <si>
    <t>POL52700</t>
  </si>
  <si>
    <t>POL52701</t>
  </si>
  <si>
    <t>POL52702</t>
  </si>
  <si>
    <t>POL52703</t>
  </si>
  <si>
    <t>POL52704</t>
  </si>
  <si>
    <t>POL52705</t>
  </si>
  <si>
    <t>POL52706</t>
  </si>
  <si>
    <t>POL52707</t>
  </si>
  <si>
    <t>POL52708</t>
  </si>
  <si>
    <t>POL52709</t>
  </si>
  <si>
    <t>POL52710</t>
  </si>
  <si>
    <t>POL52711</t>
  </si>
  <si>
    <t>POL52712</t>
  </si>
  <si>
    <t>POL52713</t>
  </si>
  <si>
    <t>POL52714</t>
  </si>
  <si>
    <t>POL52715</t>
  </si>
  <si>
    <t>POL52716</t>
  </si>
  <si>
    <t>POL52717</t>
  </si>
  <si>
    <t>POL52718</t>
  </si>
  <si>
    <t>POL52719</t>
  </si>
  <si>
    <t>POL52720</t>
  </si>
  <si>
    <t>POL52721</t>
  </si>
  <si>
    <t>POL52722</t>
  </si>
  <si>
    <t>POL52723</t>
  </si>
  <si>
    <t>POL52724</t>
  </si>
  <si>
    <t>POL52725</t>
  </si>
  <si>
    <t>POL52726</t>
  </si>
  <si>
    <t>POL52727</t>
  </si>
  <si>
    <t>POL52728</t>
  </si>
  <si>
    <t>POL52729</t>
  </si>
  <si>
    <t>POL52730</t>
  </si>
  <si>
    <t>POL52731</t>
  </si>
  <si>
    <t>POL52732</t>
  </si>
  <si>
    <t>POL52733</t>
  </si>
  <si>
    <t>POL52734</t>
  </si>
  <si>
    <t>POL52735</t>
  </si>
  <si>
    <t>POL52736</t>
  </si>
  <si>
    <t>POL52737</t>
  </si>
  <si>
    <t>POL52738</t>
  </si>
  <si>
    <t>POL52739</t>
  </si>
  <si>
    <t>POL52740</t>
  </si>
  <si>
    <t>POL52741</t>
  </si>
  <si>
    <t>POL52742</t>
  </si>
  <si>
    <t>POL52743</t>
  </si>
  <si>
    <t>POL52744</t>
  </si>
  <si>
    <t>POL52745</t>
  </si>
  <si>
    <t>POL52746</t>
  </si>
  <si>
    <t>POL52747</t>
  </si>
  <si>
    <t>POL52748</t>
  </si>
  <si>
    <t>POL52749</t>
  </si>
  <si>
    <t>POL52750</t>
  </si>
  <si>
    <t>POL52751</t>
  </si>
  <si>
    <t>POL52752</t>
  </si>
  <si>
    <t>POL52753</t>
  </si>
  <si>
    <t>POL52754</t>
  </si>
  <si>
    <t>POL52755</t>
  </si>
  <si>
    <t>POL52756</t>
  </si>
  <si>
    <t>POL52757</t>
  </si>
  <si>
    <t>POL52758</t>
  </si>
  <si>
    <t>POL52759</t>
  </si>
  <si>
    <t>POL52760</t>
  </si>
  <si>
    <t>POL52761</t>
  </si>
  <si>
    <t>POL52762</t>
  </si>
  <si>
    <t>POL52763</t>
  </si>
  <si>
    <t>POL52764</t>
  </si>
  <si>
    <t>POL52765</t>
  </si>
  <si>
    <t>POL52766</t>
  </si>
  <si>
    <t>POL52767</t>
  </si>
  <si>
    <t>POL52768</t>
  </si>
  <si>
    <t>POL52769</t>
  </si>
  <si>
    <t>POL52770</t>
  </si>
  <si>
    <t>POL52771</t>
  </si>
  <si>
    <t>POL52772</t>
  </si>
  <si>
    <t>POL52773</t>
  </si>
  <si>
    <t>POL52774</t>
  </si>
  <si>
    <t>POL52775</t>
  </si>
  <si>
    <t>POL52776</t>
  </si>
  <si>
    <t>POL52777</t>
  </si>
  <si>
    <t>POL52778</t>
  </si>
  <si>
    <t>POL52779</t>
  </si>
  <si>
    <t>POL52780</t>
  </si>
  <si>
    <t>POL52781</t>
  </si>
  <si>
    <t>POL52782</t>
  </si>
  <si>
    <t>POL52783</t>
  </si>
  <si>
    <t>POL52784</t>
  </si>
  <si>
    <t>POL52785</t>
  </si>
  <si>
    <t>POL52786</t>
  </si>
  <si>
    <t>POL52787</t>
  </si>
  <si>
    <t>POL52788</t>
  </si>
  <si>
    <t>POL52789</t>
  </si>
  <si>
    <t>POL52790</t>
  </si>
  <si>
    <t>POL52791</t>
  </si>
  <si>
    <t>POL52792</t>
  </si>
  <si>
    <t>POL52793</t>
  </si>
  <si>
    <t>POL52794</t>
  </si>
  <si>
    <t>POL52795</t>
  </si>
  <si>
    <t>POL52796</t>
  </si>
  <si>
    <t>POL52797</t>
  </si>
  <si>
    <t>POL52798</t>
  </si>
  <si>
    <t>POL52799</t>
  </si>
  <si>
    <t>POL52800</t>
  </si>
  <si>
    <t>POL52801</t>
  </si>
  <si>
    <t>POL52802</t>
  </si>
  <si>
    <t>POL52803</t>
  </si>
  <si>
    <t>POL52804</t>
  </si>
  <si>
    <t>POL52805</t>
  </si>
  <si>
    <t>POL52806</t>
  </si>
  <si>
    <t>POL52807</t>
  </si>
  <si>
    <t>POL52808</t>
  </si>
  <si>
    <t>POL52809</t>
  </si>
  <si>
    <t>POL52810</t>
  </si>
  <si>
    <t>POL52811</t>
  </si>
  <si>
    <t>POL52812</t>
  </si>
  <si>
    <t>POL52813</t>
  </si>
  <si>
    <t>POL52814</t>
  </si>
  <si>
    <t>POL52815</t>
  </si>
  <si>
    <t>POL52816</t>
  </si>
  <si>
    <t>POL52817</t>
  </si>
  <si>
    <t>POL52818</t>
  </si>
  <si>
    <t>POL52819</t>
  </si>
  <si>
    <t>POL52820</t>
  </si>
  <si>
    <t>POL52821</t>
  </si>
  <si>
    <t>POL52822</t>
  </si>
  <si>
    <t>POL52823</t>
  </si>
  <si>
    <t>POL52824</t>
  </si>
  <si>
    <t>POL52825</t>
  </si>
  <si>
    <t>POL52826</t>
  </si>
  <si>
    <t>POL52827</t>
  </si>
  <si>
    <t>claim_id</t>
  </si>
  <si>
    <t>claim_date</t>
  </si>
  <si>
    <t>claim_amount</t>
  </si>
  <si>
    <t>claim_status</t>
  </si>
  <si>
    <t>claim_type</t>
  </si>
  <si>
    <t>fraud_flag</t>
  </si>
  <si>
    <t>days_to_process</t>
  </si>
  <si>
    <t>CLM70000</t>
  </si>
  <si>
    <t>Pending</t>
  </si>
  <si>
    <t>Death</t>
  </si>
  <si>
    <t>CLM70001</t>
  </si>
  <si>
    <t>Approved</t>
  </si>
  <si>
    <t>Other</t>
  </si>
  <si>
    <t>CLM70002</t>
  </si>
  <si>
    <t>CLM70003</t>
  </si>
  <si>
    <t>Rejected</t>
  </si>
  <si>
    <t>CLM70004</t>
  </si>
  <si>
    <t>Hospital</t>
  </si>
  <si>
    <t>CLM70005</t>
  </si>
  <si>
    <t>CLM70006</t>
  </si>
  <si>
    <t>CLM70007</t>
  </si>
  <si>
    <t>Theft</t>
  </si>
  <si>
    <t>CLM70008</t>
  </si>
  <si>
    <t>CLM70009</t>
  </si>
  <si>
    <t>CLM70010</t>
  </si>
  <si>
    <t>CLM70011</t>
  </si>
  <si>
    <t>CLM70012</t>
  </si>
  <si>
    <t>CLM70013</t>
  </si>
  <si>
    <t>CLM70014</t>
  </si>
  <si>
    <t>CLM70015</t>
  </si>
  <si>
    <t>CLM70016</t>
  </si>
  <si>
    <t>CLM70017</t>
  </si>
  <si>
    <t>Accident</t>
  </si>
  <si>
    <t>CLM70018</t>
  </si>
  <si>
    <t>CLM70019</t>
  </si>
  <si>
    <t>CLM70020</t>
  </si>
  <si>
    <t>CLM70021</t>
  </si>
  <si>
    <t>CLM70022</t>
  </si>
  <si>
    <t>CLM70023</t>
  </si>
  <si>
    <t>CLM70024</t>
  </si>
  <si>
    <t>CLM70025</t>
  </si>
  <si>
    <t>CLM70026</t>
  </si>
  <si>
    <t>CLM70027</t>
  </si>
  <si>
    <t>CLM70028</t>
  </si>
  <si>
    <t>CLM70029</t>
  </si>
  <si>
    <t>CLM70030</t>
  </si>
  <si>
    <t>CLM70031</t>
  </si>
  <si>
    <t>CLM70032</t>
  </si>
  <si>
    <t>CLM70033</t>
  </si>
  <si>
    <t>CLM70034</t>
  </si>
  <si>
    <t>CLM70035</t>
  </si>
  <si>
    <t>CLM70036</t>
  </si>
  <si>
    <t>CLM70037</t>
  </si>
  <si>
    <t>CLM70038</t>
  </si>
  <si>
    <t>CLM70039</t>
  </si>
  <si>
    <t>CLM70040</t>
  </si>
  <si>
    <t>CLM70041</t>
  </si>
  <si>
    <t>CLM70042</t>
  </si>
  <si>
    <t>CLM70043</t>
  </si>
  <si>
    <t>CLM70044</t>
  </si>
  <si>
    <t>CLM70045</t>
  </si>
  <si>
    <t>CLM70046</t>
  </si>
  <si>
    <t>CLM70047</t>
  </si>
  <si>
    <t>CLM70048</t>
  </si>
  <si>
    <t>CLM70049</t>
  </si>
  <si>
    <t>CLM70050</t>
  </si>
  <si>
    <t>CLM70051</t>
  </si>
  <si>
    <t>CLM70052</t>
  </si>
  <si>
    <t>CLM70053</t>
  </si>
  <si>
    <t>CLM70054</t>
  </si>
  <si>
    <t>CLM70055</t>
  </si>
  <si>
    <t>CLM70056</t>
  </si>
  <si>
    <t>CLM70057</t>
  </si>
  <si>
    <t>CLM70058</t>
  </si>
  <si>
    <t>CLM70059</t>
  </si>
  <si>
    <t>CLM70060</t>
  </si>
  <si>
    <t>CLM70061</t>
  </si>
  <si>
    <t>CLM70062</t>
  </si>
  <si>
    <t>CLM70063</t>
  </si>
  <si>
    <t>CLM70064</t>
  </si>
  <si>
    <t>CLM70065</t>
  </si>
  <si>
    <t>CLM70066</t>
  </si>
  <si>
    <t>CLM70067</t>
  </si>
  <si>
    <t>CLM70068</t>
  </si>
  <si>
    <t>CLM70069</t>
  </si>
  <si>
    <t>CLM70070</t>
  </si>
  <si>
    <t>CLM70071</t>
  </si>
  <si>
    <t>CLM70072</t>
  </si>
  <si>
    <t>CLM70073</t>
  </si>
  <si>
    <t>CLM70074</t>
  </si>
  <si>
    <t>CLM70075</t>
  </si>
  <si>
    <t>CLM70076</t>
  </si>
  <si>
    <t>CLM70077</t>
  </si>
  <si>
    <t>CLM70078</t>
  </si>
  <si>
    <t>CLM70079</t>
  </si>
  <si>
    <t>CLM70080</t>
  </si>
  <si>
    <t>CLM70081</t>
  </si>
  <si>
    <t>CLM70082</t>
  </si>
  <si>
    <t>CLM70083</t>
  </si>
  <si>
    <t>CLM70084</t>
  </si>
  <si>
    <t>CLM70085</t>
  </si>
  <si>
    <t>CLM70086</t>
  </si>
  <si>
    <t>CLM70087</t>
  </si>
  <si>
    <t>CLM70088</t>
  </si>
  <si>
    <t>CLM70089</t>
  </si>
  <si>
    <t>CLM70090</t>
  </si>
  <si>
    <t>CLM70091</t>
  </si>
  <si>
    <t>CLM70092</t>
  </si>
  <si>
    <t>CLM70093</t>
  </si>
  <si>
    <t>CLM70094</t>
  </si>
  <si>
    <t>CLM70095</t>
  </si>
  <si>
    <t>CLM70096</t>
  </si>
  <si>
    <t>CLM70097</t>
  </si>
  <si>
    <t>CLM70098</t>
  </si>
  <si>
    <t>CLM70099</t>
  </si>
  <si>
    <t>CLM70100</t>
  </si>
  <si>
    <t>CLM70101</t>
  </si>
  <si>
    <t>CLM70102</t>
  </si>
  <si>
    <t>CLM70103</t>
  </si>
  <si>
    <t>CLM70104</t>
  </si>
  <si>
    <t>CLM70105</t>
  </si>
  <si>
    <t>CLM70106</t>
  </si>
  <si>
    <t>CLM70107</t>
  </si>
  <si>
    <t>CLM70108</t>
  </si>
  <si>
    <t>CLM70109</t>
  </si>
  <si>
    <t>CLM70110</t>
  </si>
  <si>
    <t>CLM70111</t>
  </si>
  <si>
    <t>CLM70112</t>
  </si>
  <si>
    <t>CLM70113</t>
  </si>
  <si>
    <t>CLM70114</t>
  </si>
  <si>
    <t>CLM70115</t>
  </si>
  <si>
    <t>CLM70116</t>
  </si>
  <si>
    <t>CLM70117</t>
  </si>
  <si>
    <t>CLM70118</t>
  </si>
  <si>
    <t>CLM70119</t>
  </si>
  <si>
    <t>CLM70120</t>
  </si>
  <si>
    <t>CLM70121</t>
  </si>
  <si>
    <t>CLM70122</t>
  </si>
  <si>
    <t>CLM70123</t>
  </si>
  <si>
    <t>CLM70124</t>
  </si>
  <si>
    <t>CLM70125</t>
  </si>
  <si>
    <t>CLM70126</t>
  </si>
  <si>
    <t>CLM70127</t>
  </si>
  <si>
    <t>CLM70128</t>
  </si>
  <si>
    <t>CLM70129</t>
  </si>
  <si>
    <t>CLM70130</t>
  </si>
  <si>
    <t>CLM70131</t>
  </si>
  <si>
    <t>CLM70132</t>
  </si>
  <si>
    <t>CLM70133</t>
  </si>
  <si>
    <t>CLM70134</t>
  </si>
  <si>
    <t>CLM70135</t>
  </si>
  <si>
    <t>CLM70136</t>
  </si>
  <si>
    <t>CLM70137</t>
  </si>
  <si>
    <t>CLM70138</t>
  </si>
  <si>
    <t>CLM70139</t>
  </si>
  <si>
    <t>CLM70140</t>
  </si>
  <si>
    <t>CLM70141</t>
  </si>
  <si>
    <t>CLM70142</t>
  </si>
  <si>
    <t>CLM70143</t>
  </si>
  <si>
    <t>CLM70144</t>
  </si>
  <si>
    <t>CLM70145</t>
  </si>
  <si>
    <t>CLM70146</t>
  </si>
  <si>
    <t>CLM70147</t>
  </si>
  <si>
    <t>CLM70148</t>
  </si>
  <si>
    <t>CLM70149</t>
  </si>
  <si>
    <t>CLM70150</t>
  </si>
  <si>
    <t>CLM70151</t>
  </si>
  <si>
    <t>CLM70152</t>
  </si>
  <si>
    <t>CLM70153</t>
  </si>
  <si>
    <t>CLM70154</t>
  </si>
  <si>
    <t>CLM70155</t>
  </si>
  <si>
    <t>CLM70156</t>
  </si>
  <si>
    <t>CLM70157</t>
  </si>
  <si>
    <t>CLM70158</t>
  </si>
  <si>
    <t>CLM70159</t>
  </si>
  <si>
    <t>CLM70160</t>
  </si>
  <si>
    <t>CLM70161</t>
  </si>
  <si>
    <t>CLM70162</t>
  </si>
  <si>
    <t>CLM70163</t>
  </si>
  <si>
    <t>CLM70164</t>
  </si>
  <si>
    <t>CLM70165</t>
  </si>
  <si>
    <t>CLM70166</t>
  </si>
  <si>
    <t>CLM70167</t>
  </si>
  <si>
    <t>CLM70168</t>
  </si>
  <si>
    <t>CLM70169</t>
  </si>
  <si>
    <t>CLM70170</t>
  </si>
  <si>
    <t>CLM70171</t>
  </si>
  <si>
    <t>CLM70172</t>
  </si>
  <si>
    <t>CLM70173</t>
  </si>
  <si>
    <t>CLM70174</t>
  </si>
  <si>
    <t>CLM70175</t>
  </si>
  <si>
    <t>CLM70176</t>
  </si>
  <si>
    <t>CLM70177</t>
  </si>
  <si>
    <t>CLM70178</t>
  </si>
  <si>
    <t>CLM70179</t>
  </si>
  <si>
    <t>CLM70180</t>
  </si>
  <si>
    <t>CLM70181</t>
  </si>
  <si>
    <t>CLM70182</t>
  </si>
  <si>
    <t>CLM70183</t>
  </si>
  <si>
    <t>CLM70184</t>
  </si>
  <si>
    <t>CLM70185</t>
  </si>
  <si>
    <t>CLM70186</t>
  </si>
  <si>
    <t>CLM70187</t>
  </si>
  <si>
    <t>CLM70188</t>
  </si>
  <si>
    <t>CLM70189</t>
  </si>
  <si>
    <t>CLM70190</t>
  </si>
  <si>
    <t>CLM70191</t>
  </si>
  <si>
    <t>CLM70192</t>
  </si>
  <si>
    <t>CLM70193</t>
  </si>
  <si>
    <t>CLM70194</t>
  </si>
  <si>
    <t>CLM70195</t>
  </si>
  <si>
    <t>CLM70196</t>
  </si>
  <si>
    <t>CLM70197</t>
  </si>
  <si>
    <t>CLM70198</t>
  </si>
  <si>
    <t>CLM70199</t>
  </si>
  <si>
    <t>CLM70200</t>
  </si>
  <si>
    <t>CLM70201</t>
  </si>
  <si>
    <t>CLM70202</t>
  </si>
  <si>
    <t>CLM70203</t>
  </si>
  <si>
    <t>CLM70204</t>
  </si>
  <si>
    <t>CLM70205</t>
  </si>
  <si>
    <t>CLM70206</t>
  </si>
  <si>
    <t>CLM70207</t>
  </si>
  <si>
    <t>CLM70208</t>
  </si>
  <si>
    <t>CLM70209</t>
  </si>
  <si>
    <t>CLM70210</t>
  </si>
  <si>
    <t>CLM70211</t>
  </si>
  <si>
    <t>CLM70212</t>
  </si>
  <si>
    <t>CLM70213</t>
  </si>
  <si>
    <t>CLM70214</t>
  </si>
  <si>
    <t>CLM70215</t>
  </si>
  <si>
    <t>CLM70216</t>
  </si>
  <si>
    <t>CLM70217</t>
  </si>
  <si>
    <t>CLM70218</t>
  </si>
  <si>
    <t>CLM70219</t>
  </si>
  <si>
    <t>CLM70220</t>
  </si>
  <si>
    <t>CLM70221</t>
  </si>
  <si>
    <t>CLM70222</t>
  </si>
  <si>
    <t>CLM70223</t>
  </si>
  <si>
    <t>CLM70224</t>
  </si>
  <si>
    <t>CLM70225</t>
  </si>
  <si>
    <t>CLM70226</t>
  </si>
  <si>
    <t>CLM70227</t>
  </si>
  <si>
    <t>CLM70228</t>
  </si>
  <si>
    <t>CLM70229</t>
  </si>
  <si>
    <t>CLM70230</t>
  </si>
  <si>
    <t>CLM70231</t>
  </si>
  <si>
    <t>CLM70232</t>
  </si>
  <si>
    <t>CLM70233</t>
  </si>
  <si>
    <t>CLM70234</t>
  </si>
  <si>
    <t>CLM70235</t>
  </si>
  <si>
    <t>CLM70236</t>
  </si>
  <si>
    <t>CLM70237</t>
  </si>
  <si>
    <t>CLM70238</t>
  </si>
  <si>
    <t>CLM70239</t>
  </si>
  <si>
    <t>CLM70240</t>
  </si>
  <si>
    <t>CLM70241</t>
  </si>
  <si>
    <t>CLM70242</t>
  </si>
  <si>
    <t>CLM70243</t>
  </si>
  <si>
    <t>CLM70244</t>
  </si>
  <si>
    <t>CLM70245</t>
  </si>
  <si>
    <t>CLM70246</t>
  </si>
  <si>
    <t>CLM70247</t>
  </si>
  <si>
    <t>CLM70248</t>
  </si>
  <si>
    <t>CLM70249</t>
  </si>
  <si>
    <t>CLM70250</t>
  </si>
  <si>
    <t>CLM70251</t>
  </si>
  <si>
    <t>CLM70252</t>
  </si>
  <si>
    <t>CLM70253</t>
  </si>
  <si>
    <t>CLM70254</t>
  </si>
  <si>
    <t>CLM70255</t>
  </si>
  <si>
    <t>CLM70256</t>
  </si>
  <si>
    <t>CLM70257</t>
  </si>
  <si>
    <t>CLM70258</t>
  </si>
  <si>
    <t>CLM70259</t>
  </si>
  <si>
    <t>CLM70260</t>
  </si>
  <si>
    <t>CLM70261</t>
  </si>
  <si>
    <t>CLM70262</t>
  </si>
  <si>
    <t>CLM70263</t>
  </si>
  <si>
    <t>CLM70264</t>
  </si>
  <si>
    <t>CLM70265</t>
  </si>
  <si>
    <t>CLM70266</t>
  </si>
  <si>
    <t>CLM70267</t>
  </si>
  <si>
    <t>CLM70268</t>
  </si>
  <si>
    <t>CLM70269</t>
  </si>
  <si>
    <t>CLM70270</t>
  </si>
  <si>
    <t>CLM70271</t>
  </si>
  <si>
    <t>CLM70272</t>
  </si>
  <si>
    <t>CLM70273</t>
  </si>
  <si>
    <t>CLM70274</t>
  </si>
  <si>
    <t>CLM70275</t>
  </si>
  <si>
    <t>CLM70276</t>
  </si>
  <si>
    <t>CLM70277</t>
  </si>
  <si>
    <t>CLM70278</t>
  </si>
  <si>
    <t>CLM70279</t>
  </si>
  <si>
    <t>CLM70280</t>
  </si>
  <si>
    <t>CLM70281</t>
  </si>
  <si>
    <t>CLM70282</t>
  </si>
  <si>
    <t>CLM70283</t>
  </si>
  <si>
    <t>CLM70284</t>
  </si>
  <si>
    <t>CLM70285</t>
  </si>
  <si>
    <t>CLM70286</t>
  </si>
  <si>
    <t>CLM70287</t>
  </si>
  <si>
    <t>CLM70288</t>
  </si>
  <si>
    <t>CLM70289</t>
  </si>
  <si>
    <t>CLM70290</t>
  </si>
  <si>
    <t>CLM70291</t>
  </si>
  <si>
    <t>CLM70292</t>
  </si>
  <si>
    <t>CLM70293</t>
  </si>
  <si>
    <t>CLM70294</t>
  </si>
  <si>
    <t>CLM70295</t>
  </si>
  <si>
    <t>CLM70296</t>
  </si>
  <si>
    <t>CLM70297</t>
  </si>
  <si>
    <t>CLM70298</t>
  </si>
  <si>
    <t>CLM70299</t>
  </si>
  <si>
    <t>CLM70300</t>
  </si>
  <si>
    <t>CLM70301</t>
  </si>
  <si>
    <t>CLM70302</t>
  </si>
  <si>
    <t>CLM70303</t>
  </si>
  <si>
    <t>CLM70304</t>
  </si>
  <si>
    <t>CLM70305</t>
  </si>
  <si>
    <t>CLM70306</t>
  </si>
  <si>
    <t>CLM70307</t>
  </si>
  <si>
    <t>CLM70308</t>
  </si>
  <si>
    <t>CLM70309</t>
  </si>
  <si>
    <t>CLM70310</t>
  </si>
  <si>
    <t>CLM70311</t>
  </si>
  <si>
    <t>CLM70312</t>
  </si>
  <si>
    <t>CLM70313</t>
  </si>
  <si>
    <t>CLM70314</t>
  </si>
  <si>
    <t>CLM70315</t>
  </si>
  <si>
    <t>CLM70316</t>
  </si>
  <si>
    <t>CLM70317</t>
  </si>
  <si>
    <t>CLM70318</t>
  </si>
  <si>
    <t>CLM70319</t>
  </si>
  <si>
    <t>CLM70320</t>
  </si>
  <si>
    <t>CLM70321</t>
  </si>
  <si>
    <t>CLM70322</t>
  </si>
  <si>
    <t>CLM70323</t>
  </si>
  <si>
    <t>CLM70324</t>
  </si>
  <si>
    <t>CLM70325</t>
  </si>
  <si>
    <t>CLM70326</t>
  </si>
  <si>
    <t>CLM70327</t>
  </si>
  <si>
    <t>CLM70328</t>
  </si>
  <si>
    <t>CLM70329</t>
  </si>
  <si>
    <t>CLM70330</t>
  </si>
  <si>
    <t>CLM70331</t>
  </si>
  <si>
    <t>CLM70332</t>
  </si>
  <si>
    <t>CLM70333</t>
  </si>
  <si>
    <t>CLM70334</t>
  </si>
  <si>
    <t>CLM70335</t>
  </si>
  <si>
    <t>CLM70336</t>
  </si>
  <si>
    <t>CLM70337</t>
  </si>
  <si>
    <t>CLM70338</t>
  </si>
  <si>
    <t>CLM70339</t>
  </si>
  <si>
    <t>CLM70340</t>
  </si>
  <si>
    <t>CLM70341</t>
  </si>
  <si>
    <t>CLM70342</t>
  </si>
  <si>
    <t>CLM70343</t>
  </si>
  <si>
    <t>CLM70344</t>
  </si>
  <si>
    <t>CLM70345</t>
  </si>
  <si>
    <t>CLM70346</t>
  </si>
  <si>
    <t>CLM70347</t>
  </si>
  <si>
    <t>CLM70348</t>
  </si>
  <si>
    <t>CLM70349</t>
  </si>
  <si>
    <t>CLM70350</t>
  </si>
  <si>
    <t>CLM70351</t>
  </si>
  <si>
    <t>CLM70352</t>
  </si>
  <si>
    <t>CLM70353</t>
  </si>
  <si>
    <t>CLM70354</t>
  </si>
  <si>
    <t>CLM70355</t>
  </si>
  <si>
    <t>CLM70356</t>
  </si>
  <si>
    <t>CLM70357</t>
  </si>
  <si>
    <t>CLM70358</t>
  </si>
  <si>
    <t>CLM70359</t>
  </si>
  <si>
    <t>CLM70360</t>
  </si>
  <si>
    <t>CLM70361</t>
  </si>
  <si>
    <t>CLM70362</t>
  </si>
  <si>
    <t>CLM70363</t>
  </si>
  <si>
    <t>CLM70364</t>
  </si>
  <si>
    <t>CLM70365</t>
  </si>
  <si>
    <t>CLM70366</t>
  </si>
  <si>
    <t>CLM70367</t>
  </si>
  <si>
    <t>CLM70368</t>
  </si>
  <si>
    <t>CLM70369</t>
  </si>
  <si>
    <t>CLM70370</t>
  </si>
  <si>
    <t>CLM70371</t>
  </si>
  <si>
    <t>CLM70372</t>
  </si>
  <si>
    <t>CLM70373</t>
  </si>
  <si>
    <t>CLM70374</t>
  </si>
  <si>
    <t>CLM70375</t>
  </si>
  <si>
    <t>CLM70376</t>
  </si>
  <si>
    <t>CLM70377</t>
  </si>
  <si>
    <t>CLM70378</t>
  </si>
  <si>
    <t>CLM70379</t>
  </si>
  <si>
    <t>CLM70380</t>
  </si>
  <si>
    <t>CLM70381</t>
  </si>
  <si>
    <t>CLM70382</t>
  </si>
  <si>
    <t>CLM70383</t>
  </si>
  <si>
    <t>CLM70384</t>
  </si>
  <si>
    <t>CLM70385</t>
  </si>
  <si>
    <t>CLM70386</t>
  </si>
  <si>
    <t>CLM70387</t>
  </si>
  <si>
    <t>CLM70388</t>
  </si>
  <si>
    <t>CLM70389</t>
  </si>
  <si>
    <t>CLM70390</t>
  </si>
  <si>
    <t>CLM70391</t>
  </si>
  <si>
    <t>CLM70392</t>
  </si>
  <si>
    <t>CLM70393</t>
  </si>
  <si>
    <t>CLM70394</t>
  </si>
  <si>
    <t>CLM70395</t>
  </si>
  <si>
    <t>CLM70396</t>
  </si>
  <si>
    <t>CLM70397</t>
  </si>
  <si>
    <t>CLM70398</t>
  </si>
  <si>
    <t>CLM70399</t>
  </si>
  <si>
    <t>CLM70400</t>
  </si>
  <si>
    <t>CLM70401</t>
  </si>
  <si>
    <t>CLM70402</t>
  </si>
  <si>
    <t>CLM70403</t>
  </si>
  <si>
    <t>CLM70404</t>
  </si>
  <si>
    <t>CLM70405</t>
  </si>
  <si>
    <t>CLM70406</t>
  </si>
  <si>
    <t>CLM70407</t>
  </si>
  <si>
    <t>CLM70408</t>
  </si>
  <si>
    <t>CLM70409</t>
  </si>
  <si>
    <t>CLM70410</t>
  </si>
  <si>
    <t>CLM70411</t>
  </si>
  <si>
    <t>CLM70412</t>
  </si>
  <si>
    <t>CLM70413</t>
  </si>
  <si>
    <t>CLM70414</t>
  </si>
  <si>
    <t>CLM70415</t>
  </si>
  <si>
    <t>CLM70416</t>
  </si>
  <si>
    <t>CLM70417</t>
  </si>
  <si>
    <t>CLM70418</t>
  </si>
  <si>
    <t>CLM70419</t>
  </si>
  <si>
    <t>CLM70420</t>
  </si>
  <si>
    <t>CLM70421</t>
  </si>
  <si>
    <t>CLM70422</t>
  </si>
  <si>
    <t>CLM70423</t>
  </si>
  <si>
    <t>CLM70424</t>
  </si>
  <si>
    <t>CLM70425</t>
  </si>
  <si>
    <t>CLM70426</t>
  </si>
  <si>
    <t>CLM70427</t>
  </si>
  <si>
    <t>CLM70428</t>
  </si>
  <si>
    <t>CLM70429</t>
  </si>
  <si>
    <t>CLM70430</t>
  </si>
  <si>
    <t>CLM70431</t>
  </si>
  <si>
    <t>CLM70432</t>
  </si>
  <si>
    <t>CLM70433</t>
  </si>
  <si>
    <t>CLM70434</t>
  </si>
  <si>
    <t>CLM70435</t>
  </si>
  <si>
    <t>CLM70436</t>
  </si>
  <si>
    <t>CLM70437</t>
  </si>
  <si>
    <t>CLM70438</t>
  </si>
  <si>
    <t>CLM70439</t>
  </si>
  <si>
    <t>CLM70440</t>
  </si>
  <si>
    <t>CLM70441</t>
  </si>
  <si>
    <t>CLM70442</t>
  </si>
  <si>
    <t>CLM70443</t>
  </si>
  <si>
    <t>CLM70444</t>
  </si>
  <si>
    <t>CLM70445</t>
  </si>
  <si>
    <t>CLM70446</t>
  </si>
  <si>
    <t>CLM70447</t>
  </si>
  <si>
    <t>CLM70448</t>
  </si>
  <si>
    <t>CLM70449</t>
  </si>
  <si>
    <t>CLM70450</t>
  </si>
  <si>
    <t>CLM70451</t>
  </si>
  <si>
    <t>CLM70452</t>
  </si>
  <si>
    <t>CLM70453</t>
  </si>
  <si>
    <t>CLM70454</t>
  </si>
  <si>
    <t>CLM70455</t>
  </si>
  <si>
    <t>CLM70456</t>
  </si>
  <si>
    <t>CLM70457</t>
  </si>
  <si>
    <t>CLM70458</t>
  </si>
  <si>
    <t>CLM70459</t>
  </si>
  <si>
    <t>CLM70460</t>
  </si>
  <si>
    <t>CLM70461</t>
  </si>
  <si>
    <t>CLM70462</t>
  </si>
  <si>
    <t>CLM70463</t>
  </si>
  <si>
    <t>CLM70464</t>
  </si>
  <si>
    <t>CLM70465</t>
  </si>
  <si>
    <t>CLM70466</t>
  </si>
  <si>
    <t>CLM70467</t>
  </si>
  <si>
    <t>CLM70468</t>
  </si>
  <si>
    <t>CLM70469</t>
  </si>
  <si>
    <t>CLM70470</t>
  </si>
  <si>
    <t>CLM70471</t>
  </si>
  <si>
    <t>CLM70472</t>
  </si>
  <si>
    <t>CLM70473</t>
  </si>
  <si>
    <t>CLM70474</t>
  </si>
  <si>
    <t>CLM70475</t>
  </si>
  <si>
    <t>CLM70476</t>
  </si>
  <si>
    <t>CLM70477</t>
  </si>
  <si>
    <t>CLM70478</t>
  </si>
  <si>
    <t>CLM70479</t>
  </si>
  <si>
    <t>CLM70480</t>
  </si>
  <si>
    <t>CLM70481</t>
  </si>
  <si>
    <t>CLM70482</t>
  </si>
  <si>
    <t>CLM70483</t>
  </si>
  <si>
    <t>CLM70484</t>
  </si>
  <si>
    <t>CLM70485</t>
  </si>
  <si>
    <t>CLM70486</t>
  </si>
  <si>
    <t>CLM70487</t>
  </si>
  <si>
    <t>CLM70488</t>
  </si>
  <si>
    <t>CLM70489</t>
  </si>
  <si>
    <t>CLM70490</t>
  </si>
  <si>
    <t>CLM70491</t>
  </si>
  <si>
    <t>CLM70492</t>
  </si>
  <si>
    <t>CLM70493</t>
  </si>
  <si>
    <t>CLM70494</t>
  </si>
  <si>
    <t>CLM70495</t>
  </si>
  <si>
    <t>CLM70496</t>
  </si>
  <si>
    <t>CLM70497</t>
  </si>
  <si>
    <t>CLM70498</t>
  </si>
  <si>
    <t>CLM70499</t>
  </si>
  <si>
    <t>CLM70500</t>
  </si>
  <si>
    <t>CLM70501</t>
  </si>
  <si>
    <t>CLM70502</t>
  </si>
  <si>
    <t>CLM70503</t>
  </si>
  <si>
    <t>CLM70504</t>
  </si>
  <si>
    <t>CLM70505</t>
  </si>
  <si>
    <t>CLM70506</t>
  </si>
  <si>
    <t>CLM70507</t>
  </si>
  <si>
    <t>CLM70508</t>
  </si>
  <si>
    <t>CLM70509</t>
  </si>
  <si>
    <t>CLM70510</t>
  </si>
  <si>
    <t>CLM70511</t>
  </si>
  <si>
    <t>CLM70512</t>
  </si>
  <si>
    <t>CLM70513</t>
  </si>
  <si>
    <t>CLM70514</t>
  </si>
  <si>
    <t>CLM70515</t>
  </si>
  <si>
    <t>CLM70516</t>
  </si>
  <si>
    <t>CLM70517</t>
  </si>
  <si>
    <t>CLM70518</t>
  </si>
  <si>
    <t>CLM70519</t>
  </si>
  <si>
    <t>CLM70520</t>
  </si>
  <si>
    <t>CLM70521</t>
  </si>
  <si>
    <t>CLM70522</t>
  </si>
  <si>
    <t>CLM70523</t>
  </si>
  <si>
    <t>CLM70524</t>
  </si>
  <si>
    <t>CLM70525</t>
  </si>
  <si>
    <t>CLM70526</t>
  </si>
  <si>
    <t>CLM70527</t>
  </si>
  <si>
    <t>CLM70528</t>
  </si>
  <si>
    <t>CLM70529</t>
  </si>
  <si>
    <t>CLM70530</t>
  </si>
  <si>
    <t>CLM70531</t>
  </si>
  <si>
    <t>CLM70532</t>
  </si>
  <si>
    <t>CLM70533</t>
  </si>
  <si>
    <t>CLM70534</t>
  </si>
  <si>
    <t>CLM70535</t>
  </si>
  <si>
    <t>CLM70536</t>
  </si>
  <si>
    <t>CLM70537</t>
  </si>
  <si>
    <t>CLM70538</t>
  </si>
  <si>
    <t>CLM70539</t>
  </si>
  <si>
    <t>CLM70540</t>
  </si>
  <si>
    <t>CLM70541</t>
  </si>
  <si>
    <t>CLM70542</t>
  </si>
  <si>
    <t>CLM70543</t>
  </si>
  <si>
    <t>CLM70544</t>
  </si>
  <si>
    <t>CLM70545</t>
  </si>
  <si>
    <t>CLM70546</t>
  </si>
  <si>
    <t>CLM70547</t>
  </si>
  <si>
    <t>CLM70548</t>
  </si>
  <si>
    <t>CLM70549</t>
  </si>
  <si>
    <t>CLM70550</t>
  </si>
  <si>
    <t>CLM70551</t>
  </si>
  <si>
    <t>CLM70552</t>
  </si>
  <si>
    <t>CLM70553</t>
  </si>
  <si>
    <t>CLM70554</t>
  </si>
  <si>
    <t>CLM70555</t>
  </si>
  <si>
    <t>CLM70556</t>
  </si>
  <si>
    <t>CLM70557</t>
  </si>
  <si>
    <t>CLM70558</t>
  </si>
  <si>
    <t>CLM70559</t>
  </si>
  <si>
    <t>CLM70560</t>
  </si>
  <si>
    <t>CLM70561</t>
  </si>
  <si>
    <t>CLM70562</t>
  </si>
  <si>
    <t>CLM70563</t>
  </si>
  <si>
    <t>CLM70564</t>
  </si>
  <si>
    <t>CLM70565</t>
  </si>
  <si>
    <t>CLM70566</t>
  </si>
  <si>
    <t>CLM70567</t>
  </si>
  <si>
    <t>CLM70568</t>
  </si>
  <si>
    <t>CLM70569</t>
  </si>
  <si>
    <t>CLM70570</t>
  </si>
  <si>
    <t>CLM70571</t>
  </si>
  <si>
    <t>CLM70572</t>
  </si>
  <si>
    <t>CLM70573</t>
  </si>
  <si>
    <t>CLM70574</t>
  </si>
  <si>
    <t>CLM70575</t>
  </si>
  <si>
    <t>CLM70576</t>
  </si>
  <si>
    <t>CLM70577</t>
  </si>
  <si>
    <t>CLM70578</t>
  </si>
  <si>
    <t>CLM70579</t>
  </si>
  <si>
    <t>CLM70580</t>
  </si>
  <si>
    <t>CLM70581</t>
  </si>
  <si>
    <t>CLM70582</t>
  </si>
  <si>
    <t>CLM70583</t>
  </si>
  <si>
    <t>CLM70584</t>
  </si>
  <si>
    <t>CLM70585</t>
  </si>
  <si>
    <t>CLM70586</t>
  </si>
  <si>
    <t>CLM70587</t>
  </si>
  <si>
    <t>CLM70588</t>
  </si>
  <si>
    <t>CLM70589</t>
  </si>
  <si>
    <t>CLM70590</t>
  </si>
  <si>
    <t>CLM70591</t>
  </si>
  <si>
    <t>CLM70592</t>
  </si>
  <si>
    <t>CLM70593</t>
  </si>
  <si>
    <t>CLM70594</t>
  </si>
  <si>
    <t>CLM70595</t>
  </si>
  <si>
    <t>CLM70596</t>
  </si>
  <si>
    <t>CLM70597</t>
  </si>
  <si>
    <t>CLM70598</t>
  </si>
  <si>
    <t>CLM70599</t>
  </si>
  <si>
    <t>CLM70600</t>
  </si>
  <si>
    <t>CLM70601</t>
  </si>
  <si>
    <t>CLM70602</t>
  </si>
  <si>
    <t>CLM70603</t>
  </si>
  <si>
    <t>CLM70604</t>
  </si>
  <si>
    <t>CLM70605</t>
  </si>
  <si>
    <t>CLM70606</t>
  </si>
  <si>
    <t>CLM70607</t>
  </si>
  <si>
    <t>CLM70608</t>
  </si>
  <si>
    <t>CLM70609</t>
  </si>
  <si>
    <t>CLM70610</t>
  </si>
  <si>
    <t>CLM70611</t>
  </si>
  <si>
    <t>CLM70612</t>
  </si>
  <si>
    <t>CLM70613</t>
  </si>
  <si>
    <t>CLM70614</t>
  </si>
  <si>
    <t>CLM70615</t>
  </si>
  <si>
    <t>CLM70616</t>
  </si>
  <si>
    <t>CLM70617</t>
  </si>
  <si>
    <t>CLM70618</t>
  </si>
  <si>
    <t>CLM70619</t>
  </si>
  <si>
    <t>CLM70620</t>
  </si>
  <si>
    <t>CLM70621</t>
  </si>
  <si>
    <t>CLM70622</t>
  </si>
  <si>
    <t>CLM70623</t>
  </si>
  <si>
    <t>CLM70624</t>
  </si>
  <si>
    <t>CLM70625</t>
  </si>
  <si>
    <t>CLM70626</t>
  </si>
  <si>
    <t>CLM70627</t>
  </si>
  <si>
    <t>CLM70628</t>
  </si>
  <si>
    <t>CLM70629</t>
  </si>
  <si>
    <t>CLM70630</t>
  </si>
  <si>
    <t>CLM70631</t>
  </si>
  <si>
    <t>CLM70632</t>
  </si>
  <si>
    <t>CLM70633</t>
  </si>
  <si>
    <t>CLM70634</t>
  </si>
  <si>
    <t>CLM70635</t>
  </si>
  <si>
    <t>CLM70636</t>
  </si>
  <si>
    <t>CLM70637</t>
  </si>
  <si>
    <t>CLM70638</t>
  </si>
  <si>
    <t>CLM70639</t>
  </si>
  <si>
    <t>CLM70640</t>
  </si>
  <si>
    <t>CLM70641</t>
  </si>
  <si>
    <t>CLM70642</t>
  </si>
  <si>
    <t>CLM70643</t>
  </si>
  <si>
    <t>CLM70644</t>
  </si>
  <si>
    <t>CLM70645</t>
  </si>
  <si>
    <t>CLM70646</t>
  </si>
  <si>
    <t>CLM70647</t>
  </si>
  <si>
    <t>CLM70648</t>
  </si>
  <si>
    <t>CLM70649</t>
  </si>
  <si>
    <t>CLM70650</t>
  </si>
  <si>
    <t>CLM70651</t>
  </si>
  <si>
    <t>CLM70652</t>
  </si>
  <si>
    <t>CLM70653</t>
  </si>
  <si>
    <t>CLM70654</t>
  </si>
  <si>
    <t>CLM70655</t>
  </si>
  <si>
    <t>CLM70656</t>
  </si>
  <si>
    <t>CLM70657</t>
  </si>
  <si>
    <t>CLM70658</t>
  </si>
  <si>
    <t>CLM70659</t>
  </si>
  <si>
    <t>CLM70660</t>
  </si>
  <si>
    <t>CLM70661</t>
  </si>
  <si>
    <t>CLM70662</t>
  </si>
  <si>
    <t>CLM70663</t>
  </si>
  <si>
    <t>CLM70664</t>
  </si>
  <si>
    <t>CLM70665</t>
  </si>
  <si>
    <t>CLM70666</t>
  </si>
  <si>
    <t>CLM70667</t>
  </si>
  <si>
    <t>CLM70668</t>
  </si>
  <si>
    <t>CLM70669</t>
  </si>
  <si>
    <t>CLM70670</t>
  </si>
  <si>
    <t>CLM70671</t>
  </si>
  <si>
    <t>CLM70672</t>
  </si>
  <si>
    <t>CLM70673</t>
  </si>
  <si>
    <t>CLM70674</t>
  </si>
  <si>
    <t>CLM70675</t>
  </si>
  <si>
    <t>CLM70676</t>
  </si>
  <si>
    <t>CLM70677</t>
  </si>
  <si>
    <t>CLM70678</t>
  </si>
  <si>
    <t>CLM70679</t>
  </si>
  <si>
    <t>CLM70680</t>
  </si>
  <si>
    <t>CLM70681</t>
  </si>
  <si>
    <t>CLM70682</t>
  </si>
  <si>
    <t>CLM70683</t>
  </si>
  <si>
    <t>CLM70684</t>
  </si>
  <si>
    <t>CLM70685</t>
  </si>
  <si>
    <t>CLM70686</t>
  </si>
  <si>
    <t>CLM70687</t>
  </si>
  <si>
    <t>CLM70688</t>
  </si>
  <si>
    <t>CLM70689</t>
  </si>
  <si>
    <t>CLM70690</t>
  </si>
  <si>
    <t>CLM70691</t>
  </si>
  <si>
    <t>CLM70692</t>
  </si>
  <si>
    <t>CLM70693</t>
  </si>
  <si>
    <t>CLM70694</t>
  </si>
  <si>
    <t>CLM70695</t>
  </si>
  <si>
    <t>CLM70696</t>
  </si>
  <si>
    <t>CLM70697</t>
  </si>
  <si>
    <t>CLM70698</t>
  </si>
  <si>
    <t>CLM70699</t>
  </si>
  <si>
    <t>CLM70700</t>
  </si>
  <si>
    <t>CLM70701</t>
  </si>
  <si>
    <t>CLM70702</t>
  </si>
  <si>
    <t>CLM70703</t>
  </si>
  <si>
    <t>CLM70704</t>
  </si>
  <si>
    <t>CLM70705</t>
  </si>
  <si>
    <t>CLM70706</t>
  </si>
  <si>
    <t>CLM70707</t>
  </si>
  <si>
    <t>CLM70708</t>
  </si>
  <si>
    <t>CLM70709</t>
  </si>
  <si>
    <t>CLM70710</t>
  </si>
  <si>
    <t>CLM70711</t>
  </si>
  <si>
    <t>CLM70712</t>
  </si>
  <si>
    <t>CLM70713</t>
  </si>
  <si>
    <t>CLM70714</t>
  </si>
  <si>
    <t>CLM70715</t>
  </si>
  <si>
    <t>CLM70716</t>
  </si>
  <si>
    <t>CLM70717</t>
  </si>
  <si>
    <t>CLM70718</t>
  </si>
  <si>
    <t>CLM70719</t>
  </si>
  <si>
    <t>CLM70720</t>
  </si>
  <si>
    <t>CLM70721</t>
  </si>
  <si>
    <t>CLM70722</t>
  </si>
  <si>
    <t>CLM70723</t>
  </si>
  <si>
    <t>CLM70724</t>
  </si>
  <si>
    <t>CLM70725</t>
  </si>
  <si>
    <t>CLM70726</t>
  </si>
  <si>
    <t>CLM70727</t>
  </si>
  <si>
    <t>CLM70728</t>
  </si>
  <si>
    <t>CLM70729</t>
  </si>
  <si>
    <t>CLM70730</t>
  </si>
  <si>
    <t>CLM70731</t>
  </si>
  <si>
    <t>CLM70732</t>
  </si>
  <si>
    <t>CLM70733</t>
  </si>
  <si>
    <t>CLM70734</t>
  </si>
  <si>
    <t>CLM70735</t>
  </si>
  <si>
    <t>CLM70736</t>
  </si>
  <si>
    <t>CLM70737</t>
  </si>
  <si>
    <t>CLM70738</t>
  </si>
  <si>
    <t>CLM70739</t>
  </si>
  <si>
    <t>CLM70740</t>
  </si>
  <si>
    <t>CLM70741</t>
  </si>
  <si>
    <t>CLM70742</t>
  </si>
  <si>
    <t>CLM70743</t>
  </si>
  <si>
    <t>CLM70744</t>
  </si>
  <si>
    <t>CLM70745</t>
  </si>
  <si>
    <t>CLM70746</t>
  </si>
  <si>
    <t>CLM70747</t>
  </si>
  <si>
    <t>CLM70748</t>
  </si>
  <si>
    <t>CLM70749</t>
  </si>
  <si>
    <t>CLM70750</t>
  </si>
  <si>
    <t>CLM70751</t>
  </si>
  <si>
    <t>CLM70752</t>
  </si>
  <si>
    <t>CLM70753</t>
  </si>
  <si>
    <t>CLM70754</t>
  </si>
  <si>
    <t>CLM70755</t>
  </si>
  <si>
    <t>CLM70756</t>
  </si>
  <si>
    <t>CLM70757</t>
  </si>
  <si>
    <t>CLM70758</t>
  </si>
  <si>
    <t>CLM70759</t>
  </si>
  <si>
    <t>CLM70760</t>
  </si>
  <si>
    <t>CLM70761</t>
  </si>
  <si>
    <t>CLM70762</t>
  </si>
  <si>
    <t>CLM70763</t>
  </si>
  <si>
    <t>CLM70764</t>
  </si>
  <si>
    <t>CLM70765</t>
  </si>
  <si>
    <t>CLM70766</t>
  </si>
  <si>
    <t>CLM70767</t>
  </si>
  <si>
    <t>CLM70768</t>
  </si>
  <si>
    <t>CLM70769</t>
  </si>
  <si>
    <t>CLM70770</t>
  </si>
  <si>
    <t>CLM70771</t>
  </si>
  <si>
    <t>CLM70772</t>
  </si>
  <si>
    <t>CLM70773</t>
  </si>
  <si>
    <t>CLM70774</t>
  </si>
  <si>
    <t>CLM70775</t>
  </si>
  <si>
    <t>CLM70776</t>
  </si>
  <si>
    <t>CLM70777</t>
  </si>
  <si>
    <t>CLM70778</t>
  </si>
  <si>
    <t>CLM70779</t>
  </si>
  <si>
    <t>CLM70780</t>
  </si>
  <si>
    <t>CLM70781</t>
  </si>
  <si>
    <t>CLM70782</t>
  </si>
  <si>
    <t>CLM70783</t>
  </si>
  <si>
    <t>CLM70784</t>
  </si>
  <si>
    <t>CLM70785</t>
  </si>
  <si>
    <t>CLM70786</t>
  </si>
  <si>
    <t>CLM70787</t>
  </si>
  <si>
    <t>CLM70788</t>
  </si>
  <si>
    <t>CLM70789</t>
  </si>
  <si>
    <t>CLM70790</t>
  </si>
  <si>
    <t>CLM70791</t>
  </si>
  <si>
    <t>CLM70792</t>
  </si>
  <si>
    <t>CLM70793</t>
  </si>
  <si>
    <t>CLM70794</t>
  </si>
  <si>
    <t>CLM70795</t>
  </si>
  <si>
    <t>CLM70796</t>
  </si>
  <si>
    <t>CLM70797</t>
  </si>
  <si>
    <t>CLM70798</t>
  </si>
  <si>
    <t>CLM70799</t>
  </si>
  <si>
    <t>CLM70800</t>
  </si>
  <si>
    <t>CLM70801</t>
  </si>
  <si>
    <t>CLM70802</t>
  </si>
  <si>
    <t>CLM70803</t>
  </si>
  <si>
    <t>CLM70804</t>
  </si>
  <si>
    <t>CLM70805</t>
  </si>
  <si>
    <t>CLM70806</t>
  </si>
  <si>
    <t>CLM70807</t>
  </si>
  <si>
    <t>CLM70808</t>
  </si>
  <si>
    <t>CLM70809</t>
  </si>
  <si>
    <t>CLM70810</t>
  </si>
  <si>
    <t>CLM70811</t>
  </si>
  <si>
    <t>CLM70812</t>
  </si>
  <si>
    <t>CLM70813</t>
  </si>
  <si>
    <t>CLM70814</t>
  </si>
  <si>
    <t>CLM70815</t>
  </si>
  <si>
    <t>CLM70816</t>
  </si>
  <si>
    <t>CLM70817</t>
  </si>
  <si>
    <t>CLM70818</t>
  </si>
  <si>
    <t>CLM70819</t>
  </si>
  <si>
    <t>CLM70820</t>
  </si>
  <si>
    <t>CLM70821</t>
  </si>
  <si>
    <t>CLM70822</t>
  </si>
  <si>
    <t>CLM70823</t>
  </si>
  <si>
    <t>CLM70824</t>
  </si>
  <si>
    <t>CLM70825</t>
  </si>
  <si>
    <t>CLM70826</t>
  </si>
  <si>
    <t>CLM70827</t>
  </si>
  <si>
    <t>CLM70828</t>
  </si>
  <si>
    <t>CLM70829</t>
  </si>
  <si>
    <t>CLM70830</t>
  </si>
  <si>
    <t>CLM70831</t>
  </si>
  <si>
    <t>CLM70832</t>
  </si>
  <si>
    <t>CLM70833</t>
  </si>
  <si>
    <t>CLM70834</t>
  </si>
  <si>
    <t>CLM70835</t>
  </si>
  <si>
    <t>CLM70836</t>
  </si>
  <si>
    <t>CLM70837</t>
  </si>
  <si>
    <t>CLM70838</t>
  </si>
  <si>
    <t>CLM70839</t>
  </si>
  <si>
    <t>CLM70840</t>
  </si>
  <si>
    <t>CLM70841</t>
  </si>
  <si>
    <t>CLM70842</t>
  </si>
  <si>
    <t>CLM70843</t>
  </si>
  <si>
    <t>CLM70844</t>
  </si>
  <si>
    <t>CLM70845</t>
  </si>
  <si>
    <t>CLM70846</t>
  </si>
  <si>
    <t>CLM70847</t>
  </si>
  <si>
    <t>CLM70848</t>
  </si>
  <si>
    <t>CLM70849</t>
  </si>
  <si>
    <t>CLM70850</t>
  </si>
  <si>
    <t>CLM70851</t>
  </si>
  <si>
    <t>CLM70852</t>
  </si>
  <si>
    <t>CLM70853</t>
  </si>
  <si>
    <t>CLM70854</t>
  </si>
  <si>
    <t>CLM70855</t>
  </si>
  <si>
    <t>CLM70856</t>
  </si>
  <si>
    <t>CLM70857</t>
  </si>
  <si>
    <t>CLM70858</t>
  </si>
  <si>
    <t>CLM70859</t>
  </si>
  <si>
    <t>CLM70860</t>
  </si>
  <si>
    <t>CLM70861</t>
  </si>
  <si>
    <t>CLM70862</t>
  </si>
  <si>
    <t>CLM70863</t>
  </si>
  <si>
    <t>CLM70864</t>
  </si>
  <si>
    <t>CLM70865</t>
  </si>
  <si>
    <t>CLM70866</t>
  </si>
  <si>
    <t>CLM70867</t>
  </si>
  <si>
    <t>CLM70868</t>
  </si>
  <si>
    <t>CLM70869</t>
  </si>
  <si>
    <t>CLM70870</t>
  </si>
  <si>
    <t>CLM70871</t>
  </si>
  <si>
    <t>CLM70872</t>
  </si>
  <si>
    <t>CLM70873</t>
  </si>
  <si>
    <t>CLM70874</t>
  </si>
  <si>
    <t>CLM70875</t>
  </si>
  <si>
    <t>CLM70876</t>
  </si>
  <si>
    <t>CLM70877</t>
  </si>
  <si>
    <t>CLM70878</t>
  </si>
  <si>
    <t>CLM70879</t>
  </si>
  <si>
    <t>CLM70880</t>
  </si>
  <si>
    <t>CLM70881</t>
  </si>
  <si>
    <t>CLM70882</t>
  </si>
  <si>
    <t>CLM70883</t>
  </si>
  <si>
    <t>CLM70884</t>
  </si>
  <si>
    <t>CLM70885</t>
  </si>
  <si>
    <t>CLM70886</t>
  </si>
  <si>
    <t>CLM70887</t>
  </si>
  <si>
    <t>CLM70888</t>
  </si>
  <si>
    <t>CLM70889</t>
  </si>
  <si>
    <t>CLM70890</t>
  </si>
  <si>
    <t>CLM70891</t>
  </si>
  <si>
    <t>CLM70892</t>
  </si>
  <si>
    <t>CLM70893</t>
  </si>
  <si>
    <t>CLM70894</t>
  </si>
  <si>
    <t>CLM70895</t>
  </si>
  <si>
    <t>CLM70896</t>
  </si>
  <si>
    <t>CLM70897</t>
  </si>
  <si>
    <t>CLM70898</t>
  </si>
  <si>
    <t>CLM70899</t>
  </si>
  <si>
    <t>CLM70900</t>
  </si>
  <si>
    <t>CLM70901</t>
  </si>
  <si>
    <t>CLM70902</t>
  </si>
  <si>
    <t>CLM70903</t>
  </si>
  <si>
    <t>CLM70904</t>
  </si>
  <si>
    <t>CLM70905</t>
  </si>
  <si>
    <t>CLM70906</t>
  </si>
  <si>
    <t>CLM70907</t>
  </si>
  <si>
    <t>CLM70908</t>
  </si>
  <si>
    <t>CLM70909</t>
  </si>
  <si>
    <t>CLM70910</t>
  </si>
  <si>
    <t>CLM70911</t>
  </si>
  <si>
    <t>CLM70912</t>
  </si>
  <si>
    <t>CLM70913</t>
  </si>
  <si>
    <t>CLM70914</t>
  </si>
  <si>
    <t>CLM70915</t>
  </si>
  <si>
    <t>CLM70916</t>
  </si>
  <si>
    <t>CLM70917</t>
  </si>
  <si>
    <t>CLM70918</t>
  </si>
  <si>
    <t>CLM70919</t>
  </si>
  <si>
    <t>CLM70920</t>
  </si>
  <si>
    <t>CLM70921</t>
  </si>
  <si>
    <t>CLM70922</t>
  </si>
  <si>
    <t>CLM70923</t>
  </si>
  <si>
    <t>CLM70924</t>
  </si>
  <si>
    <t>CLM70925</t>
  </si>
  <si>
    <t>CLM70926</t>
  </si>
  <si>
    <t>CLM70927</t>
  </si>
  <si>
    <t>CLM70928</t>
  </si>
  <si>
    <t>CLM70929</t>
  </si>
  <si>
    <t>CLM70930</t>
  </si>
  <si>
    <t>CLM70931</t>
  </si>
  <si>
    <t>CLM70932</t>
  </si>
  <si>
    <t>CLM70933</t>
  </si>
  <si>
    <t>CLM70934</t>
  </si>
  <si>
    <t>CLM70935</t>
  </si>
  <si>
    <t>CLM70936</t>
  </si>
  <si>
    <t>CLM70937</t>
  </si>
  <si>
    <t>CLM70938</t>
  </si>
  <si>
    <t>CLM70939</t>
  </si>
  <si>
    <t>CLM70940</t>
  </si>
  <si>
    <t>CLM70941</t>
  </si>
  <si>
    <t>CLM70942</t>
  </si>
  <si>
    <t>CLM70943</t>
  </si>
  <si>
    <t>CLM70944</t>
  </si>
  <si>
    <t>CLM70945</t>
  </si>
  <si>
    <t>CLM70946</t>
  </si>
  <si>
    <t>CLM70947</t>
  </si>
  <si>
    <t>CLM70948</t>
  </si>
  <si>
    <t>CLM70949</t>
  </si>
  <si>
    <t>CLM70950</t>
  </si>
  <si>
    <t>CLM70951</t>
  </si>
  <si>
    <t>CLM70952</t>
  </si>
  <si>
    <t>CLM70953</t>
  </si>
  <si>
    <t>CLM70954</t>
  </si>
  <si>
    <t>CLM70955</t>
  </si>
  <si>
    <t>CLM70956</t>
  </si>
  <si>
    <t>CLM70957</t>
  </si>
  <si>
    <t>CLM70958</t>
  </si>
  <si>
    <t>CLM70959</t>
  </si>
  <si>
    <t>CLM70960</t>
  </si>
  <si>
    <t>CLM70961</t>
  </si>
  <si>
    <t>CLM70962</t>
  </si>
  <si>
    <t>CLM70963</t>
  </si>
  <si>
    <t>CLM70964</t>
  </si>
  <si>
    <t>CLM70965</t>
  </si>
  <si>
    <t>CLM70966</t>
  </si>
  <si>
    <t>CLM70967</t>
  </si>
  <si>
    <t>CLM70968</t>
  </si>
  <si>
    <t>CLM70969</t>
  </si>
  <si>
    <t>CLM70970</t>
  </si>
  <si>
    <t>CLM70971</t>
  </si>
  <si>
    <t>CLM70972</t>
  </si>
  <si>
    <t>CLM70973</t>
  </si>
  <si>
    <t>CLM70974</t>
  </si>
  <si>
    <t>CLM70975</t>
  </si>
  <si>
    <t>CLM70976</t>
  </si>
  <si>
    <t>CLM70977</t>
  </si>
  <si>
    <t>CLM70978</t>
  </si>
  <si>
    <t>CLM70979</t>
  </si>
  <si>
    <t>CLM70980</t>
  </si>
  <si>
    <t>CLM70981</t>
  </si>
  <si>
    <t>CLM70982</t>
  </si>
  <si>
    <t>CLM70983</t>
  </si>
  <si>
    <t>CLM70984</t>
  </si>
  <si>
    <t>CLM70985</t>
  </si>
  <si>
    <t>CLM70986</t>
  </si>
  <si>
    <t>CLM70987</t>
  </si>
  <si>
    <t>CLM70988</t>
  </si>
  <si>
    <t>CLM70989</t>
  </si>
  <si>
    <t>CLM70990</t>
  </si>
  <si>
    <t>CLM70991</t>
  </si>
  <si>
    <t>CLM70992</t>
  </si>
  <si>
    <t>CLM70993</t>
  </si>
  <si>
    <t>CLM70994</t>
  </si>
  <si>
    <t>CLM70995</t>
  </si>
  <si>
    <t>CLM70996</t>
  </si>
  <si>
    <t>CLM70997</t>
  </si>
  <si>
    <t>CLM70998</t>
  </si>
  <si>
    <t>CLM70999</t>
  </si>
  <si>
    <t>CLM71000</t>
  </si>
  <si>
    <t>CLM71001</t>
  </si>
  <si>
    <t>CLM71002</t>
  </si>
  <si>
    <t>CLM71003</t>
  </si>
  <si>
    <t>CLM71004</t>
  </si>
  <si>
    <t>CLM71005</t>
  </si>
  <si>
    <t>CLM71006</t>
  </si>
  <si>
    <t>CLM71007</t>
  </si>
  <si>
    <t>CLM71008</t>
  </si>
  <si>
    <t>CLM71009</t>
  </si>
  <si>
    <t>CLM71010</t>
  </si>
  <si>
    <t>CLM71011</t>
  </si>
  <si>
    <t>CLM71012</t>
  </si>
  <si>
    <t>CLM71013</t>
  </si>
  <si>
    <t>CLM71014</t>
  </si>
  <si>
    <t>CLM71015</t>
  </si>
  <si>
    <t>CLM71016</t>
  </si>
  <si>
    <t>CLM71017</t>
  </si>
  <si>
    <t>CLM71018</t>
  </si>
  <si>
    <t>CLM71019</t>
  </si>
  <si>
    <t>CLM71020</t>
  </si>
  <si>
    <t>CLM71021</t>
  </si>
  <si>
    <t>CLM71022</t>
  </si>
  <si>
    <t>CLM71023</t>
  </si>
  <si>
    <t>CLM71024</t>
  </si>
  <si>
    <t>CLM71025</t>
  </si>
  <si>
    <t>CLM71026</t>
  </si>
  <si>
    <t>CLM71027</t>
  </si>
  <si>
    <t>CLM71028</t>
  </si>
  <si>
    <t>CLM71029</t>
  </si>
  <si>
    <t>CLM71030</t>
  </si>
  <si>
    <t>CLM71031</t>
  </si>
  <si>
    <t>CLM71032</t>
  </si>
  <si>
    <t>CLM71033</t>
  </si>
  <si>
    <t>CLM71034</t>
  </si>
  <si>
    <t>CLM71035</t>
  </si>
  <si>
    <t>CLM71036</t>
  </si>
  <si>
    <t>CLM71037</t>
  </si>
  <si>
    <t>CLM71038</t>
  </si>
  <si>
    <t>CLM71039</t>
  </si>
  <si>
    <t>CLM71040</t>
  </si>
  <si>
    <t>CLM71041</t>
  </si>
  <si>
    <t>CLM71042</t>
  </si>
  <si>
    <t>CLM71043</t>
  </si>
  <si>
    <t>CLM71044</t>
  </si>
  <si>
    <t>CLM71045</t>
  </si>
  <si>
    <t>CLM71046</t>
  </si>
  <si>
    <t>CLM71047</t>
  </si>
  <si>
    <t>CLM71048</t>
  </si>
  <si>
    <t>CLM71049</t>
  </si>
  <si>
    <t>CLM71050</t>
  </si>
  <si>
    <t>CLM71051</t>
  </si>
  <si>
    <t>CLM71052</t>
  </si>
  <si>
    <t>CLM71053</t>
  </si>
  <si>
    <t>CLM71054</t>
  </si>
  <si>
    <t>CLM71055</t>
  </si>
  <si>
    <t>CLM71056</t>
  </si>
  <si>
    <t>CLM71057</t>
  </si>
  <si>
    <t>CLM71058</t>
  </si>
  <si>
    <t>CLM71059</t>
  </si>
  <si>
    <t>CLM71060</t>
  </si>
  <si>
    <t>CLM71061</t>
  </si>
  <si>
    <t>CLM71062</t>
  </si>
  <si>
    <t>CLM71063</t>
  </si>
  <si>
    <t>CLM71064</t>
  </si>
  <si>
    <t>CLM71065</t>
  </si>
  <si>
    <t>CLM71066</t>
  </si>
  <si>
    <t>CLM71067</t>
  </si>
  <si>
    <t>CLM71068</t>
  </si>
  <si>
    <t>CLM71069</t>
  </si>
  <si>
    <t>CLM71070</t>
  </si>
  <si>
    <t>CLM71071</t>
  </si>
  <si>
    <t>CLM71072</t>
  </si>
  <si>
    <t>CLM71073</t>
  </si>
  <si>
    <t>CLM71074</t>
  </si>
  <si>
    <t>CLM71075</t>
  </si>
  <si>
    <t>CLM71076</t>
  </si>
  <si>
    <t>CLM71077</t>
  </si>
  <si>
    <t>CLM71078</t>
  </si>
  <si>
    <t>CLM71079</t>
  </si>
  <si>
    <t>CLM71080</t>
  </si>
  <si>
    <t>CLM71081</t>
  </si>
  <si>
    <t>CLM71082</t>
  </si>
  <si>
    <t>CLM71083</t>
  </si>
  <si>
    <t>CLM71084</t>
  </si>
  <si>
    <t>CLM71085</t>
  </si>
  <si>
    <t>CLM71086</t>
  </si>
  <si>
    <t>CLM71087</t>
  </si>
  <si>
    <t>CLM71088</t>
  </si>
  <si>
    <t>CLM71089</t>
  </si>
  <si>
    <t>CLM71090</t>
  </si>
  <si>
    <t>CLM71091</t>
  </si>
  <si>
    <t>CLM71092</t>
  </si>
  <si>
    <t>CLM71093</t>
  </si>
  <si>
    <t>CLM71094</t>
  </si>
  <si>
    <t>CLM71095</t>
  </si>
  <si>
    <t>CLM71096</t>
  </si>
  <si>
    <t>CLM71097</t>
  </si>
  <si>
    <t>CLM71098</t>
  </si>
  <si>
    <t>CLM71099</t>
  </si>
  <si>
    <t>CLM71100</t>
  </si>
  <si>
    <t>CLM71101</t>
  </si>
  <si>
    <t>CLM71102</t>
  </si>
  <si>
    <t>CLM71103</t>
  </si>
  <si>
    <t>CLM71104</t>
  </si>
  <si>
    <t>CLM71105</t>
  </si>
  <si>
    <t>CLM71106</t>
  </si>
  <si>
    <t>CLM71107</t>
  </si>
  <si>
    <t>CLM71108</t>
  </si>
  <si>
    <t>CLM71109</t>
  </si>
  <si>
    <t>CLM71110</t>
  </si>
  <si>
    <t>CLM71111</t>
  </si>
  <si>
    <t>CLM71112</t>
  </si>
  <si>
    <t>CLM71113</t>
  </si>
  <si>
    <t>CLM71114</t>
  </si>
  <si>
    <t>CLM71115</t>
  </si>
  <si>
    <t>CLM71116</t>
  </si>
  <si>
    <t>CLM71117</t>
  </si>
  <si>
    <t>CLM71118</t>
  </si>
  <si>
    <t>CLM71119</t>
  </si>
  <si>
    <t>CLM71120</t>
  </si>
  <si>
    <t>CLM71121</t>
  </si>
  <si>
    <t>CLM71122</t>
  </si>
  <si>
    <t>CLM71123</t>
  </si>
  <si>
    <t>CLM71124</t>
  </si>
  <si>
    <t>CLM71125</t>
  </si>
  <si>
    <t>CLM71126</t>
  </si>
  <si>
    <t>CLM71127</t>
  </si>
  <si>
    <t>CLM71128</t>
  </si>
  <si>
    <t>CLM71129</t>
  </si>
  <si>
    <t>CLM71130</t>
  </si>
  <si>
    <t>CLM71131</t>
  </si>
  <si>
    <t>CLM71132</t>
  </si>
  <si>
    <t>CLM71133</t>
  </si>
  <si>
    <t>CLM71134</t>
  </si>
  <si>
    <t>CLM71135</t>
  </si>
  <si>
    <t>CLM71136</t>
  </si>
  <si>
    <t>CLM71137</t>
  </si>
  <si>
    <t>CLM71138</t>
  </si>
  <si>
    <t>CLM71139</t>
  </si>
  <si>
    <t>CLM71140</t>
  </si>
  <si>
    <t>CLM71141</t>
  </si>
  <si>
    <t>CLM71142</t>
  </si>
  <si>
    <t>CLM71143</t>
  </si>
  <si>
    <t>CLM71144</t>
  </si>
  <si>
    <t>CLM71145</t>
  </si>
  <si>
    <t>CLM71146</t>
  </si>
  <si>
    <t>CLM71147</t>
  </si>
  <si>
    <t>CLM71148</t>
  </si>
  <si>
    <t>CLM71149</t>
  </si>
  <si>
    <t>CLM71150</t>
  </si>
  <si>
    <t>CLM71151</t>
  </si>
  <si>
    <t>CLM71152</t>
  </si>
  <si>
    <t>CLM71153</t>
  </si>
  <si>
    <t>CLM71154</t>
  </si>
  <si>
    <t>CLM71155</t>
  </si>
  <si>
    <t>CLM71156</t>
  </si>
  <si>
    <t>CLM71157</t>
  </si>
  <si>
    <t>CLM71158</t>
  </si>
  <si>
    <t>CLM71159</t>
  </si>
  <si>
    <t>CLM71160</t>
  </si>
  <si>
    <t>CLM71161</t>
  </si>
  <si>
    <t>CLM71162</t>
  </si>
  <si>
    <t>CLM71163</t>
  </si>
  <si>
    <t>CLM71164</t>
  </si>
  <si>
    <t>CLM71165</t>
  </si>
  <si>
    <t>CLM71166</t>
  </si>
  <si>
    <t>CLM71167</t>
  </si>
  <si>
    <t>CLM71168</t>
  </si>
  <si>
    <t>CLM71169</t>
  </si>
  <si>
    <t>CLM71170</t>
  </si>
  <si>
    <t>CLM71171</t>
  </si>
  <si>
    <t>CLM71172</t>
  </si>
  <si>
    <t>CLM71173</t>
  </si>
  <si>
    <t>CLM71174</t>
  </si>
  <si>
    <t>CLM71175</t>
  </si>
  <si>
    <t>CLM71176</t>
  </si>
  <si>
    <t>CLM71177</t>
  </si>
  <si>
    <t>CLM71178</t>
  </si>
  <si>
    <t>CLM71179</t>
  </si>
  <si>
    <t>CLM71180</t>
  </si>
  <si>
    <t>CLM71181</t>
  </si>
  <si>
    <t>CLM71182</t>
  </si>
  <si>
    <t>CLM71183</t>
  </si>
  <si>
    <t>CLM71184</t>
  </si>
  <si>
    <t>CLM71185</t>
  </si>
  <si>
    <t>CLM71186</t>
  </si>
  <si>
    <t>CLM71187</t>
  </si>
  <si>
    <t>CLM71188</t>
  </si>
  <si>
    <t>CLM71189</t>
  </si>
  <si>
    <t>CLM71190</t>
  </si>
  <si>
    <t>CLM71191</t>
  </si>
  <si>
    <t>CLM71192</t>
  </si>
  <si>
    <t>CLM71193</t>
  </si>
  <si>
    <t>CLM71194</t>
  </si>
  <si>
    <t>CLM71195</t>
  </si>
  <si>
    <t>CLM71196</t>
  </si>
  <si>
    <t>CLM71197</t>
  </si>
  <si>
    <t>CLM71198</t>
  </si>
  <si>
    <t>CLM71199</t>
  </si>
  <si>
    <t>CLM71200</t>
  </si>
  <si>
    <t>CLM71201</t>
  </si>
  <si>
    <t>CLM71202</t>
  </si>
  <si>
    <t>CLM71203</t>
  </si>
  <si>
    <t>CLM71204</t>
  </si>
  <si>
    <t>CLM71205</t>
  </si>
  <si>
    <t>CLM71206</t>
  </si>
  <si>
    <t>CLM71207</t>
  </si>
  <si>
    <t>CLM71208</t>
  </si>
  <si>
    <t>CLM71209</t>
  </si>
  <si>
    <t>CLM71210</t>
  </si>
  <si>
    <t>CLM71211</t>
  </si>
  <si>
    <t>CLM71212</t>
  </si>
  <si>
    <t>CLM71213</t>
  </si>
  <si>
    <t>CLM71214</t>
  </si>
  <si>
    <t>CLM71215</t>
  </si>
  <si>
    <t>CLM71216</t>
  </si>
  <si>
    <t>CLM71217</t>
  </si>
  <si>
    <t>CLM71218</t>
  </si>
  <si>
    <t>CLM71219</t>
  </si>
  <si>
    <t>CLM71220</t>
  </si>
  <si>
    <t>CLM71221</t>
  </si>
  <si>
    <t>CLM71222</t>
  </si>
  <si>
    <t>CLM71223</t>
  </si>
  <si>
    <t>CLM71224</t>
  </si>
  <si>
    <t>CLM71225</t>
  </si>
  <si>
    <t>CLM71226</t>
  </si>
  <si>
    <t>CLM71227</t>
  </si>
  <si>
    <t>CLM71228</t>
  </si>
  <si>
    <t>CLM71229</t>
  </si>
  <si>
    <t>CLM71230</t>
  </si>
  <si>
    <t>CLM71231</t>
  </si>
  <si>
    <t>CLM71232</t>
  </si>
  <si>
    <t>CLM71233</t>
  </si>
  <si>
    <t>CLM71234</t>
  </si>
  <si>
    <t>CLM71235</t>
  </si>
  <si>
    <t>CLM71236</t>
  </si>
  <si>
    <t>CLM71237</t>
  </si>
  <si>
    <t>CLM71238</t>
  </si>
  <si>
    <t>CLM71239</t>
  </si>
  <si>
    <t>CLM71240</t>
  </si>
  <si>
    <t>CLM71241</t>
  </si>
  <si>
    <t>CLM71242</t>
  </si>
  <si>
    <t>CLM71243</t>
  </si>
  <si>
    <t>CLM71244</t>
  </si>
  <si>
    <t>CLM71245</t>
  </si>
  <si>
    <t>CLM71246</t>
  </si>
  <si>
    <t>CLM71247</t>
  </si>
  <si>
    <t>CLM71248</t>
  </si>
  <si>
    <t>CLM71249</t>
  </si>
  <si>
    <t>CLM71250</t>
  </si>
  <si>
    <t>CLM71251</t>
  </si>
  <si>
    <t>CLM71252</t>
  </si>
  <si>
    <t>CLM71253</t>
  </si>
  <si>
    <t>CLM71254</t>
  </si>
  <si>
    <t>CLM71255</t>
  </si>
  <si>
    <t>CLM71256</t>
  </si>
  <si>
    <t>CLM71257</t>
  </si>
  <si>
    <t>CLM71258</t>
  </si>
  <si>
    <t>CLM71259</t>
  </si>
  <si>
    <t>CLM71260</t>
  </si>
  <si>
    <t>CLM71261</t>
  </si>
  <si>
    <t>CLM71262</t>
  </si>
  <si>
    <t>CLM71263</t>
  </si>
  <si>
    <t>CLM71264</t>
  </si>
  <si>
    <t>CLM71265</t>
  </si>
  <si>
    <t>CLM71266</t>
  </si>
  <si>
    <t>CLM71267</t>
  </si>
  <si>
    <t>CLM71268</t>
  </si>
  <si>
    <t>CLM71269</t>
  </si>
  <si>
    <t>CLM71270</t>
  </si>
  <si>
    <t>CLM71271</t>
  </si>
  <si>
    <t>CLM71272</t>
  </si>
  <si>
    <t>CLM71273</t>
  </si>
  <si>
    <t>CLM71274</t>
  </si>
  <si>
    <t>CLM71275</t>
  </si>
  <si>
    <t>CLM71276</t>
  </si>
  <si>
    <t>CLM71277</t>
  </si>
  <si>
    <t>CLM71278</t>
  </si>
  <si>
    <t>CLM71279</t>
  </si>
  <si>
    <t>CLM71280</t>
  </si>
  <si>
    <t>CLM71281</t>
  </si>
  <si>
    <t>CLM71282</t>
  </si>
  <si>
    <t>CLM71283</t>
  </si>
  <si>
    <t>CLM71284</t>
  </si>
  <si>
    <t>CLM71285</t>
  </si>
  <si>
    <t>CLM71286</t>
  </si>
  <si>
    <t>CLM71287</t>
  </si>
  <si>
    <t>CLM71288</t>
  </si>
  <si>
    <t>CLM71289</t>
  </si>
  <si>
    <t>CLM71290</t>
  </si>
  <si>
    <t>CLM71291</t>
  </si>
  <si>
    <t>CLM71292</t>
  </si>
  <si>
    <t>CLM71293</t>
  </si>
  <si>
    <t>CLM71294</t>
  </si>
  <si>
    <t>CLM71295</t>
  </si>
  <si>
    <t>CLM71296</t>
  </si>
  <si>
    <t>CLM71297</t>
  </si>
  <si>
    <t>CLM71298</t>
  </si>
  <si>
    <t>CLM71299</t>
  </si>
  <si>
    <t>CLM71300</t>
  </si>
  <si>
    <t>CLM71301</t>
  </si>
  <si>
    <t>CLM71302</t>
  </si>
  <si>
    <t>CLM71303</t>
  </si>
  <si>
    <t>CLM71304</t>
  </si>
  <si>
    <t>CLM71305</t>
  </si>
  <si>
    <t>CLM71306</t>
  </si>
  <si>
    <t>CLM71307</t>
  </si>
  <si>
    <t>CLM71308</t>
  </si>
  <si>
    <t>CLM71309</t>
  </si>
  <si>
    <t>CLM71310</t>
  </si>
  <si>
    <t>CLM71311</t>
  </si>
  <si>
    <t>CLM71312</t>
  </si>
  <si>
    <t>CLM71313</t>
  </si>
  <si>
    <t>CLM71314</t>
  </si>
  <si>
    <t>CLM71315</t>
  </si>
  <si>
    <t>CLM71316</t>
  </si>
  <si>
    <t>CLM71317</t>
  </si>
  <si>
    <t>CLM71318</t>
  </si>
  <si>
    <t>CLM71319</t>
  </si>
  <si>
    <t>CLM71320</t>
  </si>
  <si>
    <t>CLM71321</t>
  </si>
  <si>
    <t>CLM71322</t>
  </si>
  <si>
    <t>CLM71323</t>
  </si>
  <si>
    <t>CLM71324</t>
  </si>
  <si>
    <t>CLM71325</t>
  </si>
  <si>
    <t>CLM71326</t>
  </si>
  <si>
    <t>CLM71327</t>
  </si>
  <si>
    <t>CLM71328</t>
  </si>
  <si>
    <t>CLM71329</t>
  </si>
  <si>
    <t>CLM71330</t>
  </si>
  <si>
    <t>CLM71331</t>
  </si>
  <si>
    <t>CLM71332</t>
  </si>
  <si>
    <t>CLM71333</t>
  </si>
  <si>
    <t>CLM71334</t>
  </si>
  <si>
    <t>CLM71335</t>
  </si>
  <si>
    <t>CLM71336</t>
  </si>
  <si>
    <t>CLM71337</t>
  </si>
  <si>
    <t>CLM71338</t>
  </si>
  <si>
    <t>CLM71339</t>
  </si>
  <si>
    <t>CLM71340</t>
  </si>
  <si>
    <t>CLM71341</t>
  </si>
  <si>
    <t>CLM71342</t>
  </si>
  <si>
    <t>CLM71343</t>
  </si>
  <si>
    <t>CLM71344</t>
  </si>
  <si>
    <t>CLM71345</t>
  </si>
  <si>
    <t>CLM71346</t>
  </si>
  <si>
    <t>CLM71347</t>
  </si>
  <si>
    <t>CLM71348</t>
  </si>
  <si>
    <t>CLM71349</t>
  </si>
  <si>
    <t>CLM71350</t>
  </si>
  <si>
    <t>CLM71351</t>
  </si>
  <si>
    <t>CLM71352</t>
  </si>
  <si>
    <t>CLM71353</t>
  </si>
  <si>
    <t>CLM71354</t>
  </si>
  <si>
    <t>CLM71355</t>
  </si>
  <si>
    <t>CLM71356</t>
  </si>
  <si>
    <t>CLM71357</t>
  </si>
  <si>
    <t>CLM71358</t>
  </si>
  <si>
    <t>CLM71359</t>
  </si>
  <si>
    <t>CLM71360</t>
  </si>
  <si>
    <t>CLM71361</t>
  </si>
  <si>
    <t>CLM71362</t>
  </si>
  <si>
    <t>CLM71363</t>
  </si>
  <si>
    <t>CLM71364</t>
  </si>
  <si>
    <t>CLM71365</t>
  </si>
  <si>
    <t>CLM71366</t>
  </si>
  <si>
    <t>CLM71367</t>
  </si>
  <si>
    <t>CLM71368</t>
  </si>
  <si>
    <t>CLM71369</t>
  </si>
  <si>
    <t>CLM71370</t>
  </si>
  <si>
    <t>CLM71371</t>
  </si>
  <si>
    <t>CLM71372</t>
  </si>
  <si>
    <t>CLM71373</t>
  </si>
  <si>
    <t>CLM71374</t>
  </si>
  <si>
    <t>CLM71375</t>
  </si>
  <si>
    <t>CLM71376</t>
  </si>
  <si>
    <t>CLM71377</t>
  </si>
  <si>
    <t>CLM71378</t>
  </si>
  <si>
    <t>CLM71379</t>
  </si>
  <si>
    <t>CLM71380</t>
  </si>
  <si>
    <t>CLM71381</t>
  </si>
  <si>
    <t>CLM71382</t>
  </si>
  <si>
    <t>CLM71383</t>
  </si>
  <si>
    <t>CLM71384</t>
  </si>
  <si>
    <t>CLM71385</t>
  </si>
  <si>
    <t>CLM71386</t>
  </si>
  <si>
    <t>CLM71387</t>
  </si>
  <si>
    <t>CLM71388</t>
  </si>
  <si>
    <t>CLM71389</t>
  </si>
  <si>
    <t>CLM71390</t>
  </si>
  <si>
    <t>CLM71391</t>
  </si>
  <si>
    <t>CLM71392</t>
  </si>
  <si>
    <t>CLM71393</t>
  </si>
  <si>
    <t>CLM71394</t>
  </si>
  <si>
    <t>CLM71395</t>
  </si>
  <si>
    <t>CLM71396</t>
  </si>
  <si>
    <t>CLM71397</t>
  </si>
  <si>
    <t>CLM71398</t>
  </si>
  <si>
    <t>CLM71399</t>
  </si>
  <si>
    <t>CLM71400</t>
  </si>
  <si>
    <t>CLM71401</t>
  </si>
  <si>
    <t>CLM71402</t>
  </si>
  <si>
    <t>CLM71403</t>
  </si>
  <si>
    <t>CLM71404</t>
  </si>
  <si>
    <t>CLM71405</t>
  </si>
  <si>
    <t>feedback_id</t>
  </si>
  <si>
    <t>date_submitted</t>
  </si>
  <si>
    <t>feedback_text</t>
  </si>
  <si>
    <t>satisfaction_score</t>
  </si>
  <si>
    <t>contacted_agent</t>
  </si>
  <si>
    <t>referred_claim</t>
  </si>
  <si>
    <t>FDB80000</t>
  </si>
  <si>
    <t>Had to wait too long for claim approval.</t>
  </si>
  <si>
    <t>FDB80001</t>
  </si>
  <si>
    <t>Need more clarity on policy coverage.</t>
  </si>
  <si>
    <t>FDB80002</t>
  </si>
  <si>
    <t>The mobile app experience was intuitive.</t>
  </si>
  <si>
    <t>FDB80003</t>
  </si>
  <si>
    <t>CUST99230</t>
  </si>
  <si>
    <t>Claim process could be faster.</t>
  </si>
  <si>
    <t>FDB80004</t>
  </si>
  <si>
    <t>CUST99154</t>
  </si>
  <si>
    <t>Frustrated with repeated documentation requests.</t>
  </si>
  <si>
    <t>FDB80005</t>
  </si>
  <si>
    <t>Excellent customer service support.</t>
  </si>
  <si>
    <t>FDB80006</t>
  </si>
  <si>
    <t>FDB80007</t>
  </si>
  <si>
    <t>CUST99218</t>
  </si>
  <si>
    <t>FDB80008</t>
  </si>
  <si>
    <t>CUST99270</t>
  </si>
  <si>
    <t>FDB80009</t>
  </si>
  <si>
    <t>The agent was helpful and explained everything.</t>
  </si>
  <si>
    <t>FDB80010</t>
  </si>
  <si>
    <t>CUST99089</t>
  </si>
  <si>
    <t>I'm not happy with the premium charged.</t>
  </si>
  <si>
    <t>FDB80011</t>
  </si>
  <si>
    <t>CUST99136</t>
  </si>
  <si>
    <t>FDB80012</t>
  </si>
  <si>
    <t>FDB80013</t>
  </si>
  <si>
    <t>FDB80014</t>
  </si>
  <si>
    <t>CUST99098</t>
  </si>
  <si>
    <t>Very satisfied with the claim process.</t>
  </si>
  <si>
    <t>FDB80015</t>
  </si>
  <si>
    <t>CUST99113</t>
  </si>
  <si>
    <t>FDB80016</t>
  </si>
  <si>
    <t>CUST99036</t>
  </si>
  <si>
    <t>FDB80017</t>
  </si>
  <si>
    <t>Smooth experience with no issues.</t>
  </si>
  <si>
    <t>FDB80018</t>
  </si>
  <si>
    <t>CUST99101</t>
  </si>
  <si>
    <t>FDB80019</t>
  </si>
  <si>
    <t>FDB80020</t>
  </si>
  <si>
    <t>FDB80021</t>
  </si>
  <si>
    <t>FDB80022</t>
  </si>
  <si>
    <t>FDB80023</t>
  </si>
  <si>
    <t>FDB80024</t>
  </si>
  <si>
    <t>CUST99202</t>
  </si>
  <si>
    <t>FDB80025</t>
  </si>
  <si>
    <t>CUST99211</t>
  </si>
  <si>
    <t>FDB80026</t>
  </si>
  <si>
    <t>FDB80027</t>
  </si>
  <si>
    <t>FDB80028</t>
  </si>
  <si>
    <t>FDB80029</t>
  </si>
  <si>
    <t>CUST99096</t>
  </si>
  <si>
    <t>FDB80030</t>
  </si>
  <si>
    <t>CUST99158</t>
  </si>
  <si>
    <t>FDB80031</t>
  </si>
  <si>
    <t>FDB80032</t>
  </si>
  <si>
    <t>CUST99026</t>
  </si>
  <si>
    <t>FDB80033</t>
  </si>
  <si>
    <t>FDB80034</t>
  </si>
  <si>
    <t>FDB80035</t>
  </si>
  <si>
    <t>CUST99055</t>
  </si>
  <si>
    <t>FDB80036</t>
  </si>
  <si>
    <t>FDB80037</t>
  </si>
  <si>
    <t>FDB80038</t>
  </si>
  <si>
    <t>FDB80039</t>
  </si>
  <si>
    <t>FDB80040</t>
  </si>
  <si>
    <t>FDB80041</t>
  </si>
  <si>
    <t>FDB80042</t>
  </si>
  <si>
    <t>FDB80043</t>
  </si>
  <si>
    <t>FDB80044</t>
  </si>
  <si>
    <t>FDB80045</t>
  </si>
  <si>
    <t>FDB80046</t>
  </si>
  <si>
    <t>CUST99318</t>
  </si>
  <si>
    <t>FDB80047</t>
  </si>
  <si>
    <t>FDB80048</t>
  </si>
  <si>
    <t>CUST99192</t>
  </si>
  <si>
    <t>FDB80049</t>
  </si>
  <si>
    <t>FDB80050</t>
  </si>
  <si>
    <t>FDB80051</t>
  </si>
  <si>
    <t>FDB80052</t>
  </si>
  <si>
    <t>FDB80053</t>
  </si>
  <si>
    <t>CUST99082</t>
  </si>
  <si>
    <t>FDB80054</t>
  </si>
  <si>
    <t>FDB80055</t>
  </si>
  <si>
    <t>CUST99305</t>
  </si>
  <si>
    <t>FDB80056</t>
  </si>
  <si>
    <t>FDB80057</t>
  </si>
  <si>
    <t>FDB80058</t>
  </si>
  <si>
    <t>FDB80059</t>
  </si>
  <si>
    <t>CUST99030</t>
  </si>
  <si>
    <t>FDB80060</t>
  </si>
  <si>
    <t>FDB80061</t>
  </si>
  <si>
    <t>FDB80062</t>
  </si>
  <si>
    <t>FDB80063</t>
  </si>
  <si>
    <t>CUST99066</t>
  </si>
  <si>
    <t>FDB80064</t>
  </si>
  <si>
    <t>CUST99204</t>
  </si>
  <si>
    <t>FDB80065</t>
  </si>
  <si>
    <t>FDB80066</t>
  </si>
  <si>
    <t>CUST99005</t>
  </si>
  <si>
    <t>FDB80067</t>
  </si>
  <si>
    <t>FDB80068</t>
  </si>
  <si>
    <t>CUST99207</t>
  </si>
  <si>
    <t>FDB80069</t>
  </si>
  <si>
    <t>FDB80070</t>
  </si>
  <si>
    <t>FDB80071</t>
  </si>
  <si>
    <t>FDB80072</t>
  </si>
  <si>
    <t>FDB80073</t>
  </si>
  <si>
    <t>FDB80074</t>
  </si>
  <si>
    <t>FDB80075</t>
  </si>
  <si>
    <t>FDB80076</t>
  </si>
  <si>
    <t>FDB80077</t>
  </si>
  <si>
    <t>FDB80078</t>
  </si>
  <si>
    <t>FDB80079</t>
  </si>
  <si>
    <t>FDB80080</t>
  </si>
  <si>
    <t>FDB80081</t>
  </si>
  <si>
    <t>CUST99213</t>
  </si>
  <si>
    <t>FDB80082</t>
  </si>
  <si>
    <t>FDB80083</t>
  </si>
  <si>
    <t>CUST99073</t>
  </si>
  <si>
    <t>FDB80084</t>
  </si>
  <si>
    <t>FDB80085</t>
  </si>
  <si>
    <t>FDB80086</t>
  </si>
  <si>
    <t>FDB80087</t>
  </si>
  <si>
    <t>FDB80088</t>
  </si>
  <si>
    <t>FDB80089</t>
  </si>
  <si>
    <t>FDB80090</t>
  </si>
  <si>
    <t>CUST99140</t>
  </si>
  <si>
    <t>FDB80091</t>
  </si>
  <si>
    <t>FDB80092</t>
  </si>
  <si>
    <t>FDB80093</t>
  </si>
  <si>
    <t>FDB80094</t>
  </si>
  <si>
    <t>CUST99263</t>
  </si>
  <si>
    <t>FDB80095</t>
  </si>
  <si>
    <t>FDB80096</t>
  </si>
  <si>
    <t>CUST99308</t>
  </si>
  <si>
    <t>FDB80097</t>
  </si>
  <si>
    <t>CUST99331</t>
  </si>
  <si>
    <t>FDB80098</t>
  </si>
  <si>
    <t>CUST99254</t>
  </si>
  <si>
    <t>FDB80099</t>
  </si>
  <si>
    <t>FDB80100</t>
  </si>
  <si>
    <t>FDB80101</t>
  </si>
  <si>
    <t>FDB80102</t>
  </si>
  <si>
    <t>FDB80103</t>
  </si>
  <si>
    <t>FDB80104</t>
  </si>
  <si>
    <t>CUST99022</t>
  </si>
  <si>
    <t>FDB80105</t>
  </si>
  <si>
    <t>FDB80106</t>
  </si>
  <si>
    <t>CUST99041</t>
  </si>
  <si>
    <t>FDB80107</t>
  </si>
  <si>
    <t>FDB80108</t>
  </si>
  <si>
    <t>FDB80109</t>
  </si>
  <si>
    <t>FDB80110</t>
  </si>
  <si>
    <t>FDB80111</t>
  </si>
  <si>
    <t>CUST99272</t>
  </si>
  <si>
    <t>FDB80112</t>
  </si>
  <si>
    <t>FDB80113</t>
  </si>
  <si>
    <t>FDB80114</t>
  </si>
  <si>
    <t>FDB80115</t>
  </si>
  <si>
    <t>FDB80116</t>
  </si>
  <si>
    <t>FDB80117</t>
  </si>
  <si>
    <t>CUST99052</t>
  </si>
  <si>
    <t>FDB80118</t>
  </si>
  <si>
    <t>FDB80119</t>
  </si>
  <si>
    <t>FDB80120</t>
  </si>
  <si>
    <t>FDB80121</t>
  </si>
  <si>
    <t>CUST99344</t>
  </si>
  <si>
    <t>FDB80122</t>
  </si>
  <si>
    <t>FDB80123</t>
  </si>
  <si>
    <t>CUST99261</t>
  </si>
  <si>
    <t>FDB80124</t>
  </si>
  <si>
    <t>CUST99195</t>
  </si>
  <si>
    <t>FDB80125</t>
  </si>
  <si>
    <t>CUST99072</t>
  </si>
  <si>
    <t>FDB80126</t>
  </si>
  <si>
    <t>CUST99176</t>
  </si>
  <si>
    <t>FDB80127</t>
  </si>
  <si>
    <t>FDB80128</t>
  </si>
  <si>
    <t>FDB80129</t>
  </si>
  <si>
    <t>FDB80130</t>
  </si>
  <si>
    <t>FDB80131</t>
  </si>
  <si>
    <t>FDB80132</t>
  </si>
  <si>
    <t>FDB80133</t>
  </si>
  <si>
    <t>CUST99250</t>
  </si>
  <si>
    <t>FDB80134</t>
  </si>
  <si>
    <t>CUST99045</t>
  </si>
  <si>
    <t>FDB80135</t>
  </si>
  <si>
    <t>FDB80136</t>
  </si>
  <si>
    <t>FDB80137</t>
  </si>
  <si>
    <t>FDB80138</t>
  </si>
  <si>
    <t>FDB80139</t>
  </si>
  <si>
    <t>FDB80140</t>
  </si>
  <si>
    <t>FDB80141</t>
  </si>
  <si>
    <t>CUST99214</t>
  </si>
  <si>
    <t>FDB80142</t>
  </si>
  <si>
    <t>CUST99249</t>
  </si>
  <si>
    <t>FDB80143</t>
  </si>
  <si>
    <t>FDB80144</t>
  </si>
  <si>
    <t>CUST99180</t>
  </si>
  <si>
    <t>FDB80145</t>
  </si>
  <si>
    <t>FDB80146</t>
  </si>
  <si>
    <t>FDB80147</t>
  </si>
  <si>
    <t>FDB80148</t>
  </si>
  <si>
    <t>FDB80149</t>
  </si>
  <si>
    <t>FDB80150</t>
  </si>
  <si>
    <t>CUST99166</t>
  </si>
  <si>
    <t>FDB80151</t>
  </si>
  <si>
    <t>FDB80152</t>
  </si>
  <si>
    <t>FDB80153</t>
  </si>
  <si>
    <t>FDB80154</t>
  </si>
  <si>
    <t>FDB80155</t>
  </si>
  <si>
    <t>FDB80156</t>
  </si>
  <si>
    <t>FDB80157</t>
  </si>
  <si>
    <t>FDB80158</t>
  </si>
  <si>
    <t>FDB80159</t>
  </si>
  <si>
    <t>CUST99258</t>
  </si>
  <si>
    <t>FDB80160</t>
  </si>
  <si>
    <t>FDB80161</t>
  </si>
  <si>
    <t>CUST99277</t>
  </si>
  <si>
    <t>FDB80162</t>
  </si>
  <si>
    <t>FDB80163</t>
  </si>
  <si>
    <t>CUST99302</t>
  </si>
  <si>
    <t>FDB80164</t>
  </si>
  <si>
    <t>CUST99061</t>
  </si>
  <si>
    <t>FDB80165</t>
  </si>
  <si>
    <t>CUST99170</t>
  </si>
  <si>
    <t>FDB80166</t>
  </si>
  <si>
    <t>CUST99083</t>
  </si>
  <si>
    <t>FDB80167</t>
  </si>
  <si>
    <t>CUST99317</t>
  </si>
  <si>
    <t>FDB80168</t>
  </si>
  <si>
    <t>FDB80169</t>
  </si>
  <si>
    <t>CUST99328</t>
  </si>
  <si>
    <t>FDB80170</t>
  </si>
  <si>
    <t>FDB80171</t>
  </si>
  <si>
    <t>FDB80172</t>
  </si>
  <si>
    <t>FDB80173</t>
  </si>
  <si>
    <t>CUST99367</t>
  </si>
  <si>
    <t>FDB80174</t>
  </si>
  <si>
    <t>CUST99117</t>
  </si>
  <si>
    <t>FDB80175</t>
  </si>
  <si>
    <t>CUST99093</t>
  </si>
  <si>
    <t>FDB80176</t>
  </si>
  <si>
    <t>CUST99253</t>
  </si>
  <si>
    <t>FDB80177</t>
  </si>
  <si>
    <t>FDB80178</t>
  </si>
  <si>
    <t>FDB80179</t>
  </si>
  <si>
    <t>CUST99340</t>
  </si>
  <si>
    <t>FDB80180</t>
  </si>
  <si>
    <t>FDB80181</t>
  </si>
  <si>
    <t>FDB80182</t>
  </si>
  <si>
    <t>FDB80183</t>
  </si>
  <si>
    <t>FDB80184</t>
  </si>
  <si>
    <t>FDB80185</t>
  </si>
  <si>
    <t>FDB80186</t>
  </si>
  <si>
    <t>FDB80187</t>
  </si>
  <si>
    <t>FDB80188</t>
  </si>
  <si>
    <t>CUST99341</t>
  </si>
  <si>
    <t>FDB80189</t>
  </si>
  <si>
    <t>FDB80190</t>
  </si>
  <si>
    <t>CUST99029</t>
  </si>
  <si>
    <t>FDB80191</t>
  </si>
  <si>
    <t>FDB80192</t>
  </si>
  <si>
    <t>FDB80193</t>
  </si>
  <si>
    <t>CUST99271</t>
  </si>
  <si>
    <t>FDB80194</t>
  </si>
  <si>
    <t>FDB80195</t>
  </si>
  <si>
    <t>FDB80196</t>
  </si>
  <si>
    <t>CUST99348</t>
  </si>
  <si>
    <t>FDB80197</t>
  </si>
  <si>
    <t>CUST99130</t>
  </si>
  <si>
    <t>FDB80198</t>
  </si>
  <si>
    <t>CUST99358</t>
  </si>
  <si>
    <t>FDB80199</t>
  </si>
  <si>
    <t>FDB80200</t>
  </si>
  <si>
    <t>FDB80201</t>
  </si>
  <si>
    <t>FDB80202</t>
  </si>
  <si>
    <t>CUST99069</t>
  </si>
  <si>
    <t>FDB80203</t>
  </si>
  <si>
    <t>FDB80204</t>
  </si>
  <si>
    <t>FDB80205</t>
  </si>
  <si>
    <t>FDB80206</t>
  </si>
  <si>
    <t>CUST99133</t>
  </si>
  <si>
    <t>FDB80207</t>
  </si>
  <si>
    <t>FDB80208</t>
  </si>
  <si>
    <t>CUST99291</t>
  </si>
  <si>
    <t>FDB80209</t>
  </si>
  <si>
    <t>CUST99217</t>
  </si>
  <si>
    <t>FDB80210</t>
  </si>
  <si>
    <t>FDB80211</t>
  </si>
  <si>
    <t>FDB80212</t>
  </si>
  <si>
    <t>FDB80213</t>
  </si>
  <si>
    <t>FDB80214</t>
  </si>
  <si>
    <t>CUST99181</t>
  </si>
  <si>
    <t>FDB80215</t>
  </si>
  <si>
    <t>FDB80216</t>
  </si>
  <si>
    <t>FDB80217</t>
  </si>
  <si>
    <t>FDB80218</t>
  </si>
  <si>
    <t>FDB80219</t>
  </si>
  <si>
    <t>CUST99280</t>
  </si>
  <si>
    <t>FDB80220</t>
  </si>
  <si>
    <t>FDB80221</t>
  </si>
  <si>
    <t>FDB80222</t>
  </si>
  <si>
    <t>CUST99050</t>
  </si>
  <si>
    <t>FDB80223</t>
  </si>
  <si>
    <t>CUST99186</t>
  </si>
  <si>
    <t>FDB80224</t>
  </si>
  <si>
    <t>FDB80225</t>
  </si>
  <si>
    <t>FDB80226</t>
  </si>
  <si>
    <t>CUST99208</t>
  </si>
  <si>
    <t>FDB80227</t>
  </si>
  <si>
    <t>FDB80228</t>
  </si>
  <si>
    <t>CUST99001</t>
  </si>
  <si>
    <t>FDB80229</t>
  </si>
  <si>
    <t>CUST99219</t>
  </si>
  <si>
    <t>FDB80230</t>
  </si>
  <si>
    <t>CUST99163</t>
  </si>
  <si>
    <t>FDB80231</t>
  </si>
  <si>
    <t>CUST99266</t>
  </si>
  <si>
    <t>FDB80232</t>
  </si>
  <si>
    <t>CUST99183</t>
  </si>
  <si>
    <t>FDB80233</t>
  </si>
  <si>
    <t>FDB80234</t>
  </si>
  <si>
    <t>FDB80235</t>
  </si>
  <si>
    <t>CUST99157</t>
  </si>
  <si>
    <t>FDB80236</t>
  </si>
  <si>
    <t>CUST99268</t>
  </si>
  <si>
    <t>FDB80237</t>
  </si>
  <si>
    <t>CUST99105</t>
  </si>
  <si>
    <t>FDB80238</t>
  </si>
  <si>
    <t>FDB80239</t>
  </si>
  <si>
    <t>CUST99075</t>
  </si>
  <si>
    <t>FDB80240</t>
  </si>
  <si>
    <t>FDB80241</t>
  </si>
  <si>
    <t>CUST99004</t>
  </si>
  <si>
    <t>FDB80242</t>
  </si>
  <si>
    <t>CUST99245</t>
  </si>
  <si>
    <t>FDB80243</t>
  </si>
  <si>
    <t>FDB80244</t>
  </si>
  <si>
    <t>FDB80245</t>
  </si>
  <si>
    <t>FDB80246</t>
  </si>
  <si>
    <t>FDB80247</t>
  </si>
  <si>
    <t>FDB80248</t>
  </si>
  <si>
    <t>FDB80249</t>
  </si>
  <si>
    <t>CUST99327</t>
  </si>
  <si>
    <t>FDB80250</t>
  </si>
  <si>
    <t>FDB80251</t>
  </si>
  <si>
    <t>FDB80252</t>
  </si>
  <si>
    <t>CUST99046</t>
  </si>
  <si>
    <t>FDB80253</t>
  </si>
  <si>
    <t>FDB80254</t>
  </si>
  <si>
    <t>FDB80255</t>
  </si>
  <si>
    <t>CUST99173</t>
  </si>
  <si>
    <t>FDB80256</t>
  </si>
  <si>
    <t>FDB80257</t>
  </si>
  <si>
    <t>FDB80258</t>
  </si>
  <si>
    <t>CUST99104</t>
  </si>
  <si>
    <t>FDB80259</t>
  </si>
  <si>
    <t>FDB80260</t>
  </si>
  <si>
    <t>FDB80261</t>
  </si>
  <si>
    <t>FDB80262</t>
  </si>
  <si>
    <t>CUST99333</t>
  </si>
  <si>
    <t>FDB80263</t>
  </si>
  <si>
    <t>FDB80264</t>
  </si>
  <si>
    <t>FDB80265</t>
  </si>
  <si>
    <t>CUST99128</t>
  </si>
  <si>
    <t>FDB80266</t>
  </si>
  <si>
    <t>FDB80267</t>
  </si>
  <si>
    <t>FDB80268</t>
  </si>
  <si>
    <t>CUST99047</t>
  </si>
  <si>
    <t>FDB80269</t>
  </si>
  <si>
    <t>FDB80270</t>
  </si>
  <si>
    <t>FDB80271</t>
  </si>
  <si>
    <t>FDB80272</t>
  </si>
  <si>
    <t>CUST99368</t>
  </si>
  <si>
    <t>FDB80273</t>
  </si>
  <si>
    <t>FDB80274</t>
  </si>
  <si>
    <t>FDB80275</t>
  </si>
  <si>
    <t>FDB80276</t>
  </si>
  <si>
    <t>CUST99139</t>
  </si>
  <si>
    <t>FDB80277</t>
  </si>
  <si>
    <t>FDB80278</t>
  </si>
  <si>
    <t>FDB80279</t>
  </si>
  <si>
    <t>FDB80280</t>
  </si>
  <si>
    <t>FDB80281</t>
  </si>
  <si>
    <t>FDB80282</t>
  </si>
  <si>
    <t>CUST99127</t>
  </si>
  <si>
    <t>FDB80283</t>
  </si>
  <si>
    <t>FDB80284</t>
  </si>
  <si>
    <t>FDB80285</t>
  </si>
  <si>
    <t>FDB80286</t>
  </si>
  <si>
    <t>CUST99012</t>
  </si>
  <si>
    <t>FDB80287</t>
  </si>
  <si>
    <t>FDB80288</t>
  </si>
  <si>
    <t>FDB80289</t>
  </si>
  <si>
    <t>CUST99147</t>
  </si>
  <si>
    <t>FDB80290</t>
  </si>
  <si>
    <t>FDB80291</t>
  </si>
  <si>
    <t>FDB80292</t>
  </si>
  <si>
    <t>FDB80293</t>
  </si>
  <si>
    <t>CUST99144</t>
  </si>
  <si>
    <t>FDB80294</t>
  </si>
  <si>
    <t>FDB80295</t>
  </si>
  <si>
    <t>FDB80296</t>
  </si>
  <si>
    <t>CUST99330</t>
  </si>
  <si>
    <t>FDB80297</t>
  </si>
  <si>
    <t>FDB80298</t>
  </si>
  <si>
    <t>FDB80299</t>
  </si>
  <si>
    <t>FDB80300</t>
  </si>
  <si>
    <t>FDB80301</t>
  </si>
  <si>
    <t>CUST99316</t>
  </si>
  <si>
    <t>FDB80302</t>
  </si>
  <si>
    <t>FDB80303</t>
  </si>
  <si>
    <t>FDB80304</t>
  </si>
  <si>
    <t>FDB80305</t>
  </si>
  <si>
    <t>CUST99224</t>
  </si>
  <si>
    <t>FDB80306</t>
  </si>
  <si>
    <t>FDB80307</t>
  </si>
  <si>
    <t>FDB80308</t>
  </si>
  <si>
    <t>FDB80309</t>
  </si>
  <si>
    <t>FDB80310</t>
  </si>
  <si>
    <t>FDB80311</t>
  </si>
  <si>
    <t>CUST99193</t>
  </si>
  <si>
    <t>FDB80312</t>
  </si>
  <si>
    <t>CUST99289</t>
  </si>
  <si>
    <t>FDB80313</t>
  </si>
  <si>
    <t>FDB80314</t>
  </si>
  <si>
    <t>FDB80315</t>
  </si>
  <si>
    <t>CUST99332</t>
  </si>
  <si>
    <t>FDB80316</t>
  </si>
  <si>
    <t>FDB80317</t>
  </si>
  <si>
    <t>FDB80318</t>
  </si>
  <si>
    <t>CUST99199</t>
  </si>
  <si>
    <t>FDB80319</t>
  </si>
  <si>
    <t>FDB80320</t>
  </si>
  <si>
    <t>FDB80321</t>
  </si>
  <si>
    <t>FDB80322</t>
  </si>
  <si>
    <t>FDB80323</t>
  </si>
  <si>
    <t>FDB80324</t>
  </si>
  <si>
    <t>FDB80325</t>
  </si>
  <si>
    <t>CUST99169</t>
  </si>
  <si>
    <t>FDB80326</t>
  </si>
  <si>
    <t>CUST99205</t>
  </si>
  <si>
    <t>FDB80327</t>
  </si>
  <si>
    <t>FDB80328</t>
  </si>
  <si>
    <t>FDB80329</t>
  </si>
  <si>
    <t>FDB80330</t>
  </si>
  <si>
    <t>FDB80331</t>
  </si>
  <si>
    <t>FDB80332</t>
  </si>
  <si>
    <t>CUST99232</t>
  </si>
  <si>
    <t>FDB80333</t>
  </si>
  <si>
    <t>FDB80334</t>
  </si>
  <si>
    <t>FDB80335</t>
  </si>
  <si>
    <t>FDB80336</t>
  </si>
  <si>
    <t>FDB80337</t>
  </si>
  <si>
    <t>CUST99339</t>
  </si>
  <si>
    <t>FDB80338</t>
  </si>
  <si>
    <t>CUST99024</t>
  </si>
  <si>
    <t>FDB80339</t>
  </si>
  <si>
    <t>FDB80340</t>
  </si>
  <si>
    <t>CUST99060</t>
  </si>
  <si>
    <t>FDB80341</t>
  </si>
  <si>
    <t>CUST99079</t>
  </si>
  <si>
    <t>FDB80342</t>
  </si>
  <si>
    <t>FDB80343</t>
  </si>
  <si>
    <t>CUST99132</t>
  </si>
  <si>
    <t>FDB80344</t>
  </si>
  <si>
    <t>FDB80345</t>
  </si>
  <si>
    <t>CUST99148</t>
  </si>
  <si>
    <t>FDB80346</t>
  </si>
  <si>
    <t>FDB80347</t>
  </si>
  <si>
    <t>FDB80348</t>
  </si>
  <si>
    <t>FDB80349</t>
  </si>
  <si>
    <t>FDB80350</t>
  </si>
  <si>
    <t>FDB80351</t>
  </si>
  <si>
    <t>FDB80352</t>
  </si>
  <si>
    <t>FDB80353</t>
  </si>
  <si>
    <t>FDB80354</t>
  </si>
  <si>
    <t>FDB80355</t>
  </si>
  <si>
    <t>FDB80356</t>
  </si>
  <si>
    <t>FDB80357</t>
  </si>
  <si>
    <t>FDB80358</t>
  </si>
  <si>
    <t>FDB80359</t>
  </si>
  <si>
    <t>CUST99087</t>
  </si>
  <si>
    <t>FDB80360</t>
  </si>
  <si>
    <t>CUST99222</t>
  </si>
  <si>
    <t>FDB80361</t>
  </si>
  <si>
    <t>FDB80362</t>
  </si>
  <si>
    <t>CUST99313</t>
  </si>
  <si>
    <t>FDB80363</t>
  </si>
  <si>
    <t>FDB80364</t>
  </si>
  <si>
    <t>CUST99220</t>
  </si>
  <si>
    <t>FDB80365</t>
  </si>
  <si>
    <t>CUST99056</t>
  </si>
  <si>
    <t>FDB80366</t>
  </si>
  <si>
    <t>FDB80367</t>
  </si>
  <si>
    <t>FDB80368</t>
  </si>
  <si>
    <t>CUST99137</t>
  </si>
  <si>
    <t>FDB80369</t>
  </si>
  <si>
    <t>FDB80370</t>
  </si>
  <si>
    <t>CUST99155</t>
  </si>
  <si>
    <t>FDB80371</t>
  </si>
  <si>
    <t>CUST99171</t>
  </si>
  <si>
    <t>FDB80372</t>
  </si>
  <si>
    <t>FDB80373</t>
  </si>
  <si>
    <t>FDB80374</t>
  </si>
  <si>
    <t>CUST99295</t>
  </si>
  <si>
    <t>FDB80375</t>
  </si>
  <si>
    <t>CUST99094</t>
  </si>
  <si>
    <t>FDB80376</t>
  </si>
  <si>
    <t>FDB80377</t>
  </si>
  <si>
    <t>FDB80378</t>
  </si>
  <si>
    <t>FDB80379</t>
  </si>
  <si>
    <t>CUST99275</t>
  </si>
  <si>
    <t>FDB80380</t>
  </si>
  <si>
    <t>FDB80381</t>
  </si>
  <si>
    <t>FDB80382</t>
  </si>
  <si>
    <t>FDB80383</t>
  </si>
  <si>
    <t>FDB80384</t>
  </si>
  <si>
    <t>CUST99365</t>
  </si>
  <si>
    <t>FDB80385</t>
  </si>
  <si>
    <t>FDB80386</t>
  </si>
  <si>
    <t>CUST99338</t>
  </si>
  <si>
    <t>FDB80387</t>
  </si>
  <si>
    <t>CUST99326</t>
  </si>
  <si>
    <t>FDB80388</t>
  </si>
  <si>
    <t>FDB80389</t>
  </si>
  <si>
    <t>FDB80390</t>
  </si>
  <si>
    <t>FDB80391</t>
  </si>
  <si>
    <t>FDB80392</t>
  </si>
  <si>
    <t>CUST99063</t>
  </si>
  <si>
    <t>FDB80393</t>
  </si>
  <si>
    <t>CUST99143</t>
  </si>
  <si>
    <t>FDB80394</t>
  </si>
  <si>
    <t>FDB80395</t>
  </si>
  <si>
    <t>FDB80396</t>
  </si>
  <si>
    <t>CUST99123</t>
  </si>
  <si>
    <t>FDB80397</t>
  </si>
  <si>
    <t>CUST99188</t>
  </si>
  <si>
    <t>FDB80398</t>
  </si>
  <si>
    <t>FDB80399</t>
  </si>
  <si>
    <t>FDB80400</t>
  </si>
  <si>
    <t>FDB80401</t>
  </si>
  <si>
    <t>FDB80402</t>
  </si>
  <si>
    <t>FDB80403</t>
  </si>
  <si>
    <t>CUST99067</t>
  </si>
  <si>
    <t>FDB80404</t>
  </si>
  <si>
    <t>FDB80405</t>
  </si>
  <si>
    <t>CUST99322</t>
  </si>
  <si>
    <t>FDB80406</t>
  </si>
  <si>
    <t>FDB80407</t>
  </si>
  <si>
    <t>FDB80408</t>
  </si>
  <si>
    <t>FDB80409</t>
  </si>
  <si>
    <t>FDB80410</t>
  </si>
  <si>
    <t>FDB80411</t>
  </si>
  <si>
    <t>CUST99299</t>
  </si>
  <si>
    <t>FDB80412</t>
  </si>
  <si>
    <t>CUST99329</t>
  </si>
  <si>
    <t>FDB80413</t>
  </si>
  <si>
    <t>FDB80414</t>
  </si>
  <si>
    <t>CUST99353</t>
  </si>
  <si>
    <t>FDB80415</t>
  </si>
  <si>
    <t>FDB80416</t>
  </si>
  <si>
    <t>FDB80417</t>
  </si>
  <si>
    <t>FDB80418</t>
  </si>
  <si>
    <t>FDB80419</t>
  </si>
  <si>
    <t>CUST99129</t>
  </si>
  <si>
    <t>FDB80420</t>
  </si>
  <si>
    <t>FDB80421</t>
  </si>
  <si>
    <t>FDB80422</t>
  </si>
  <si>
    <t>CUST99319</t>
  </si>
  <si>
    <t>FDB80423</t>
  </si>
  <si>
    <t>CUST99095</t>
  </si>
  <si>
    <t>FDB80424</t>
  </si>
  <si>
    <t>CUST99264</t>
  </si>
  <si>
    <t>FDB80425</t>
  </si>
  <si>
    <t>FDB80426</t>
  </si>
  <si>
    <t>FDB80427</t>
  </si>
  <si>
    <t>CUST99234</t>
  </si>
  <si>
    <t>FDB80428</t>
  </si>
  <si>
    <t>FDB80429</t>
  </si>
  <si>
    <t>CUST99109</t>
  </si>
  <si>
    <t>FDB80430</t>
  </si>
  <si>
    <t>FDB80431</t>
  </si>
  <si>
    <t>FDB80432</t>
  </si>
  <si>
    <t>FDB80433</t>
  </si>
  <si>
    <t>FDB80434</t>
  </si>
  <si>
    <t>FDB80435</t>
  </si>
  <si>
    <t>CUST99164</t>
  </si>
  <si>
    <t>FDB80436</t>
  </si>
  <si>
    <t>FDB80437</t>
  </si>
  <si>
    <t>CUST99068</t>
  </si>
  <si>
    <t>FDB80438</t>
  </si>
  <si>
    <t>CUST99242</t>
  </si>
  <si>
    <t>FDB80439</t>
  </si>
  <si>
    <t>FDB80440</t>
  </si>
  <si>
    <t>FDB80441</t>
  </si>
  <si>
    <t>CUST99223</t>
  </si>
  <si>
    <t>FDB80442</t>
  </si>
  <si>
    <t>CUST99077</t>
  </si>
  <si>
    <t>FDB80443</t>
  </si>
  <si>
    <t>FDB80444</t>
  </si>
  <si>
    <t>FDB80445</t>
  </si>
  <si>
    <t>FDB80446</t>
  </si>
  <si>
    <t>CUST99226</t>
  </si>
  <si>
    <t>FDB80447</t>
  </si>
  <si>
    <t>FDB80448</t>
  </si>
  <si>
    <t>FDB80449</t>
  </si>
  <si>
    <t>FDB80450</t>
  </si>
  <si>
    <t>FDB80451</t>
  </si>
  <si>
    <t>FDB80452</t>
  </si>
  <si>
    <t>CUST99115</t>
  </si>
  <si>
    <t>FDB80453</t>
  </si>
  <si>
    <t>FDB80454</t>
  </si>
  <si>
    <t>CUST99119</t>
  </si>
  <si>
    <t>FDB80455</t>
  </si>
  <si>
    <t>FDB80456</t>
  </si>
  <si>
    <t>FDB80457</t>
  </si>
  <si>
    <t>CUST99088</t>
  </si>
  <si>
    <t>FDB80458</t>
  </si>
  <si>
    <t>CUST99010</t>
  </si>
  <si>
    <t>FDB80459</t>
  </si>
  <si>
    <t>CUST99168</t>
  </si>
  <si>
    <t>FDB80460</t>
  </si>
  <si>
    <t>CUST99282</t>
  </si>
  <si>
    <t>FDB80461</t>
  </si>
  <si>
    <t>FDB80462</t>
  </si>
  <si>
    <t>FDB80463</t>
  </si>
  <si>
    <t>FDB80464</t>
  </si>
  <si>
    <t>CUST99135</t>
  </si>
  <si>
    <t>FDB80465</t>
  </si>
  <si>
    <t>FDB80466</t>
  </si>
  <si>
    <t>CUST99300</t>
  </si>
  <si>
    <t>FDB80467</t>
  </si>
  <si>
    <t>CUST99102</t>
  </si>
  <si>
    <t>FDB80468</t>
  </si>
  <si>
    <t>FDB80469</t>
  </si>
  <si>
    <t>FDB80470</t>
  </si>
  <si>
    <t>FDB80471</t>
  </si>
  <si>
    <t>FDB80472</t>
  </si>
  <si>
    <t>FDB80473</t>
  </si>
  <si>
    <t>CUST99162</t>
  </si>
  <si>
    <t>FDB80474</t>
  </si>
  <si>
    <t>CUST99165</t>
  </si>
  <si>
    <t>FDB80475</t>
  </si>
  <si>
    <t>CUST99287</t>
  </si>
  <si>
    <t>FDB80476</t>
  </si>
  <si>
    <t>FDB80477</t>
  </si>
  <si>
    <t>FDB80478</t>
  </si>
  <si>
    <t>CUST99111</t>
  </si>
  <si>
    <t>FDB80479</t>
  </si>
  <si>
    <t>FDB80480</t>
  </si>
  <si>
    <t>FDB80481</t>
  </si>
  <si>
    <t>FDB80482</t>
  </si>
  <si>
    <t>FDB80483</t>
  </si>
  <si>
    <t>FDB80484</t>
  </si>
  <si>
    <t>CUST99283</t>
  </si>
  <si>
    <t>FDB80485</t>
  </si>
  <si>
    <t>CUST99292</t>
  </si>
  <si>
    <t>FDB80486</t>
  </si>
  <si>
    <t>FDB80487</t>
  </si>
  <si>
    <t>FDB80488</t>
  </si>
  <si>
    <t>FDB80489</t>
  </si>
  <si>
    <t>FDB80490</t>
  </si>
  <si>
    <t>FDB80491</t>
  </si>
  <si>
    <t>FDB80492</t>
  </si>
  <si>
    <t>FDB80493</t>
  </si>
  <si>
    <t>FDB80494</t>
  </si>
  <si>
    <t>FDB80495</t>
  </si>
  <si>
    <t>FDB80496</t>
  </si>
  <si>
    <t>CUST99059</t>
  </si>
  <si>
    <t>FDB80497</t>
  </si>
  <si>
    <t>CUST99201</t>
  </si>
  <si>
    <t>FDB80498</t>
  </si>
  <si>
    <t>FDB80499</t>
  </si>
  <si>
    <t>CUST99246</t>
  </si>
  <si>
    <t>FDB80500</t>
  </si>
  <si>
    <t>FDB80501</t>
  </si>
  <si>
    <t>CUST99034</t>
  </si>
  <si>
    <t>FDB80502</t>
  </si>
  <si>
    <t>CUST99078</t>
  </si>
  <si>
    <t>FDB80503</t>
  </si>
  <si>
    <t>CUST99152</t>
  </si>
  <si>
    <t>FDB80504</t>
  </si>
  <si>
    <t>CUST99131</t>
  </si>
  <si>
    <t>FDB80505</t>
  </si>
  <si>
    <t>FDB80506</t>
  </si>
  <si>
    <t>CUST99355</t>
  </si>
  <si>
    <t>FDB80507</t>
  </si>
  <si>
    <t>FDB80508</t>
  </si>
  <si>
    <t>CUST99276</t>
  </si>
  <si>
    <t>FDB80509</t>
  </si>
  <si>
    <t>FDB80510</t>
  </si>
  <si>
    <t>CUST99053</t>
  </si>
  <si>
    <t>FDB80511</t>
  </si>
  <si>
    <t>FDB80512</t>
  </si>
  <si>
    <t>FDB80513</t>
  </si>
  <si>
    <t>FDB80514</t>
  </si>
  <si>
    <t>CUST99265</t>
  </si>
  <si>
    <t>FDB80515</t>
  </si>
  <si>
    <t>CUST99346</t>
  </si>
  <si>
    <t>FDB80516</t>
  </si>
  <si>
    <t>CUST99364</t>
  </si>
  <si>
    <t>FDB80517</t>
  </si>
  <si>
    <t>CUST99301</t>
  </si>
  <si>
    <t>FDB80518</t>
  </si>
  <si>
    <t>CUST99177</t>
  </si>
  <si>
    <t>FDB80519</t>
  </si>
  <si>
    <t>CUST99321</t>
  </si>
  <si>
    <t>FDB80520</t>
  </si>
  <si>
    <t>FDB80521</t>
  </si>
  <si>
    <t>FDB80522</t>
  </si>
  <si>
    <t>FDB80523</t>
  </si>
  <si>
    <t>FDB80524</t>
  </si>
  <si>
    <t>FDB80525</t>
  </si>
  <si>
    <t>FDB80526</t>
  </si>
  <si>
    <t>FDB80527</t>
  </si>
  <si>
    <t>CUST99033</t>
  </si>
  <si>
    <t>FDB80528</t>
  </si>
  <si>
    <t>CUST99324</t>
  </si>
  <si>
    <t>FDB80529</t>
  </si>
  <si>
    <t>CUST99354</t>
  </si>
  <si>
    <t>FDB80530</t>
  </si>
  <si>
    <t>CUST99198</t>
  </si>
  <si>
    <t>FDB80531</t>
  </si>
  <si>
    <t>CUST99259</t>
  </si>
  <si>
    <t>FDB80532</t>
  </si>
  <si>
    <t>CUST99051</t>
  </si>
  <si>
    <t>FDB80533</t>
  </si>
  <si>
    <t>FDB80534</t>
  </si>
  <si>
    <t>FDB80535</t>
  </si>
  <si>
    <t>FDB80536</t>
  </si>
  <si>
    <t>CUST99031</t>
  </si>
  <si>
    <t>FDB80537</t>
  </si>
  <si>
    <t>CUST99320</t>
  </si>
  <si>
    <t>FDB80538</t>
  </si>
  <si>
    <t>FDB80539</t>
  </si>
  <si>
    <t>FDB80540</t>
  </si>
  <si>
    <t>FDB80541</t>
  </si>
  <si>
    <t>FDB80542</t>
  </si>
  <si>
    <t>CUST99121</t>
  </si>
  <si>
    <t>FDB80543</t>
  </si>
  <si>
    <t>CUST99107</t>
  </si>
  <si>
    <t>FDB80544</t>
  </si>
  <si>
    <t>CUST99032</t>
  </si>
  <si>
    <t>FDB80545</t>
  </si>
  <si>
    <t>FDB80546</t>
  </si>
  <si>
    <t>CUST99013</t>
  </si>
  <si>
    <t>FDB80547</t>
  </si>
  <si>
    <t>FDB80548</t>
  </si>
  <si>
    <t>FDB80549</t>
  </si>
  <si>
    <t>FDB80550</t>
  </si>
  <si>
    <t>CUST99260</t>
  </si>
  <si>
    <t>FDB80551</t>
  </si>
  <si>
    <t>CUST99278</t>
  </si>
  <si>
    <t>FDB80552</t>
  </si>
  <si>
    <t>FDB80553</t>
  </si>
  <si>
    <t>CUST99149</t>
  </si>
  <si>
    <t>FDB80554</t>
  </si>
  <si>
    <t>FDB80555</t>
  </si>
  <si>
    <t>FDB80556</t>
  </si>
  <si>
    <t>CUST99160</t>
  </si>
  <si>
    <t>FDB80557</t>
  </si>
  <si>
    <t>CUST99361</t>
  </si>
  <si>
    <t>FDB80558</t>
  </si>
  <si>
    <t>FDB80559</t>
  </si>
  <si>
    <t>FDB80560</t>
  </si>
  <si>
    <t>CUST99233</t>
  </si>
  <si>
    <t>FDB80561</t>
  </si>
  <si>
    <t>CUST99325</t>
  </si>
  <si>
    <t>FDB80562</t>
  </si>
  <si>
    <t>CUST99221</t>
  </si>
  <si>
    <t>FDB80563</t>
  </si>
  <si>
    <t>FDB80564</t>
  </si>
  <si>
    <t>CUST99314</t>
  </si>
  <si>
    <t>FDB80565</t>
  </si>
  <si>
    <t>FDB80566</t>
  </si>
  <si>
    <t>CUST99016</t>
  </si>
  <si>
    <t>FDB80567</t>
  </si>
  <si>
    <t>FDB80568</t>
  </si>
  <si>
    <t>FDB80569</t>
  </si>
  <si>
    <t>FDB80570</t>
  </si>
  <si>
    <t>FDB80571</t>
  </si>
  <si>
    <t>CUST99215</t>
  </si>
  <si>
    <t>FDB80572</t>
  </si>
  <si>
    <t>FDB80573</t>
  </si>
  <si>
    <t>CUST99062</t>
  </si>
  <si>
    <t>FDB80574</t>
  </si>
  <si>
    <t>CUST99293</t>
  </si>
  <si>
    <t>FDB80575</t>
  </si>
  <si>
    <t>CUST99323</t>
  </si>
  <si>
    <t>FDB80576</t>
  </si>
  <si>
    <t>CUST99003</t>
  </si>
  <si>
    <t>FDB80577</t>
  </si>
  <si>
    <t>FDB80578</t>
  </si>
  <si>
    <t>FDB80579</t>
  </si>
  <si>
    <t>FDB80580</t>
  </si>
  <si>
    <t>FDB80581</t>
  </si>
  <si>
    <t>FDB80582</t>
  </si>
  <si>
    <t>CUST99048</t>
  </si>
  <si>
    <t>FDB80583</t>
  </si>
  <si>
    <t>FDB80584</t>
  </si>
  <si>
    <t>CUST99150</t>
  </si>
  <si>
    <t>FDB80585</t>
  </si>
  <si>
    <t>FDB80586</t>
  </si>
  <si>
    <t>FDB80587</t>
  </si>
  <si>
    <t>FDB80588</t>
  </si>
  <si>
    <t>FDB80589</t>
  </si>
  <si>
    <t>CUST99108</t>
  </si>
  <si>
    <t>FDB80590</t>
  </si>
  <si>
    <t>FDB80591</t>
  </si>
  <si>
    <t>CUST99174</t>
  </si>
  <si>
    <t>FDB80592</t>
  </si>
  <si>
    <t>FDB80593</t>
  </si>
  <si>
    <t>CUST99019</t>
  </si>
  <si>
    <t>FDB80594</t>
  </si>
  <si>
    <t>CUST99007</t>
  </si>
  <si>
    <t>FDB80595</t>
  </si>
  <si>
    <t>CUST99182</t>
  </si>
  <si>
    <t>FDB80596</t>
  </si>
  <si>
    <t>FDB80597</t>
  </si>
  <si>
    <t>FDB80598</t>
  </si>
  <si>
    <t>FDB80599</t>
  </si>
  <si>
    <t>FDB80600</t>
  </si>
  <si>
    <t>FDB80601</t>
  </si>
  <si>
    <t>CUST99126</t>
  </si>
  <si>
    <t>FDB80602</t>
  </si>
  <si>
    <t>FDB80603</t>
  </si>
  <si>
    <t>FDB80604</t>
  </si>
  <si>
    <t>CUST99070</t>
  </si>
  <si>
    <t>FDB80605</t>
  </si>
  <si>
    <t>FDB80606</t>
  </si>
  <si>
    <t>FDB80607</t>
  </si>
  <si>
    <t>FDB80608</t>
  </si>
  <si>
    <t>CUST99256</t>
  </si>
  <si>
    <t>FDB80609</t>
  </si>
  <si>
    <t>CUST99255</t>
  </si>
  <si>
    <t>FDB80610</t>
  </si>
  <si>
    <t>CUST99025</t>
  </si>
  <si>
    <t>FDB80611</t>
  </si>
  <si>
    <t>CUST99236</t>
  </si>
  <si>
    <t>FDB80612</t>
  </si>
  <si>
    <t>FDB80613</t>
  </si>
  <si>
    <t>CUST99172</t>
  </si>
  <si>
    <t>FDB80614</t>
  </si>
  <si>
    <t>CUST99334</t>
  </si>
  <si>
    <t>FDB80615</t>
  </si>
  <si>
    <t>CUST99187</t>
  </si>
  <si>
    <t>FDB80616</t>
  </si>
  <si>
    <t>CUST99106</t>
  </si>
  <si>
    <t>FDB80617</t>
  </si>
  <si>
    <t>FDB80618</t>
  </si>
  <si>
    <t>FDB80619</t>
  </si>
  <si>
    <t>FDB80620</t>
  </si>
  <si>
    <t>FDB80621</t>
  </si>
  <si>
    <t>CUST99360</t>
  </si>
  <si>
    <t>FDB80622</t>
  </si>
  <si>
    <t>FDB80623</t>
  </si>
  <si>
    <t>CUST99288</t>
  </si>
  <si>
    <t>FDB80624</t>
  </si>
  <si>
    <t>FDB80625</t>
  </si>
  <si>
    <t>FDB80626</t>
  </si>
  <si>
    <t>CUST99200</t>
  </si>
  <si>
    <t>FDB80627</t>
  </si>
  <si>
    <t>FDB80628</t>
  </si>
  <si>
    <t>CUST99124</t>
  </si>
  <si>
    <t>FDB80629</t>
  </si>
  <si>
    <t>CUST99303</t>
  </si>
  <si>
    <t>FDB80630</t>
  </si>
  <si>
    <t>FDB80631</t>
  </si>
  <si>
    <t>CUST99040</t>
  </si>
  <si>
    <t>FDB80632</t>
  </si>
  <si>
    <t>FDB80633</t>
  </si>
  <si>
    <t>CUST99015</t>
  </si>
  <si>
    <t>FDB80634</t>
  </si>
  <si>
    <t>FDB80635</t>
  </si>
  <si>
    <t>FDB80636</t>
  </si>
  <si>
    <t>CUST99035</t>
  </si>
  <si>
    <t>FDB80637</t>
  </si>
  <si>
    <t>FDB80638</t>
  </si>
  <si>
    <t>CUST99099</t>
  </si>
  <si>
    <t>FDB80639</t>
  </si>
  <si>
    <t>CUST99194</t>
  </si>
  <si>
    <t>FDB80640</t>
  </si>
  <si>
    <t>CUST99247</t>
  </si>
  <si>
    <t>FDB80641</t>
  </si>
  <si>
    <t>CUST99110</t>
  </si>
  <si>
    <t>FDB80642</t>
  </si>
  <si>
    <t>FDB80643</t>
  </si>
  <si>
    <t>FDB80644</t>
  </si>
  <si>
    <t>CUST99178</t>
  </si>
  <si>
    <t>FDB80645</t>
  </si>
  <si>
    <t>FDB80646</t>
  </si>
  <si>
    <t>CUST99021</t>
  </si>
  <si>
    <t>FDB80647</t>
  </si>
  <si>
    <t>FDB80648</t>
  </si>
  <si>
    <t>FDB80649</t>
  </si>
  <si>
    <t>FDB80650</t>
  </si>
  <si>
    <t>FDB80651</t>
  </si>
  <si>
    <t>FDB80652</t>
  </si>
  <si>
    <t>CUST99065</t>
  </si>
  <si>
    <t>FDB80653</t>
  </si>
  <si>
    <t>FDB80654</t>
  </si>
  <si>
    <t>FDB80655</t>
  </si>
  <si>
    <t>FDB80656</t>
  </si>
  <si>
    <t>FDB80657</t>
  </si>
  <si>
    <t>CUST99085</t>
  </si>
  <si>
    <t>FDB80658</t>
  </si>
  <si>
    <t>CUST99037</t>
  </si>
  <si>
    <t>FDB80659</t>
  </si>
  <si>
    <t>FDB80660</t>
  </si>
  <si>
    <t>CUST99044</t>
  </si>
  <si>
    <t>FDB80661</t>
  </si>
  <si>
    <t>FDB80662</t>
  </si>
  <si>
    <t>FDB80663</t>
  </si>
  <si>
    <t>FDB80664</t>
  </si>
  <si>
    <t>FDB80665</t>
  </si>
  <si>
    <t>FDB80666</t>
  </si>
  <si>
    <t>CUST99363</t>
  </si>
  <si>
    <t>FDB80667</t>
  </si>
  <si>
    <t>FDB80668</t>
  </si>
  <si>
    <t>CUST99239</t>
  </si>
  <si>
    <t>FDB80669</t>
  </si>
  <si>
    <t>CUST99229</t>
  </si>
  <si>
    <t>FDB80670</t>
  </si>
  <si>
    <t>FDB80671</t>
  </si>
  <si>
    <t>CUST99216</t>
  </si>
  <si>
    <t>FDB80672</t>
  </si>
  <si>
    <t>FDB80673</t>
  </si>
  <si>
    <t>FDB80674</t>
  </si>
  <si>
    <t>FDB80675</t>
  </si>
  <si>
    <t>FDB80676</t>
  </si>
  <si>
    <t>CUST99014</t>
  </si>
  <si>
    <t>FDB80677</t>
  </si>
  <si>
    <t>CUST99335</t>
  </si>
  <si>
    <t>FDB80678</t>
  </si>
  <si>
    <t>FDB80679</t>
  </si>
  <si>
    <t>CUST99042</t>
  </si>
  <si>
    <t>FDB80680</t>
  </si>
  <si>
    <t>FDB80681</t>
  </si>
  <si>
    <t>FDB80682</t>
  </si>
  <si>
    <t>FDB80683</t>
  </si>
  <si>
    <t>CUST99297</t>
  </si>
  <si>
    <t>FDB80684</t>
  </si>
  <si>
    <t>FDB80685</t>
  </si>
  <si>
    <t>CUST99244</t>
  </si>
  <si>
    <t>FDB80686</t>
  </si>
  <si>
    <t>FDB80687</t>
  </si>
  <si>
    <t>CUST99359</t>
  </si>
  <si>
    <t>FDB80688</t>
  </si>
  <si>
    <t>CUST99243</t>
  </si>
  <si>
    <t>FDB80689</t>
  </si>
  <si>
    <t>FDB80690</t>
  </si>
  <si>
    <t>FDB80691</t>
  </si>
  <si>
    <t>CUST99281</t>
  </si>
  <si>
    <t>FDB80692</t>
  </si>
  <si>
    <t>FDB80693</t>
  </si>
  <si>
    <t>FDB80694</t>
  </si>
  <si>
    <t>CUST99134</t>
  </si>
  <si>
    <t>FDB80695</t>
  </si>
  <si>
    <t>CUST99191</t>
  </si>
  <si>
    <t>FDB80696</t>
  </si>
  <si>
    <t>CUST99262</t>
  </si>
  <si>
    <t>FDB80697</t>
  </si>
  <si>
    <t>CUST99306</t>
  </si>
  <si>
    <t>FDB80698</t>
  </si>
  <si>
    <t>CUST99156</t>
  </si>
  <si>
    <t>FDB80699</t>
  </si>
  <si>
    <t>FDB80700</t>
  </si>
  <si>
    <t>CUST99237</t>
  </si>
  <si>
    <t>FDB80701</t>
  </si>
  <si>
    <t>FDB80702</t>
  </si>
  <si>
    <t>FDB80703</t>
  </si>
  <si>
    <t>FDB80704</t>
  </si>
  <si>
    <t>FDB80705</t>
  </si>
  <si>
    <t>CUST99311</t>
  </si>
  <si>
    <t>FDB80706</t>
  </si>
  <si>
    <t>FDB80707</t>
  </si>
  <si>
    <t>FDB80708</t>
  </si>
  <si>
    <t>CUST99210</t>
  </si>
  <si>
    <t>FDB80709</t>
  </si>
  <si>
    <t>FDB80710</t>
  </si>
  <si>
    <t>CUST99286</t>
  </si>
  <si>
    <t>FDB80711</t>
  </si>
  <si>
    <t>CUST99228</t>
  </si>
  <si>
    <t>FDB80712</t>
  </si>
  <si>
    <t>FDB80713</t>
  </si>
  <si>
    <t>FDB80714</t>
  </si>
  <si>
    <t>FDB80715</t>
  </si>
  <si>
    <t>CUST99307</t>
  </si>
  <si>
    <t>FDB80716</t>
  </si>
  <si>
    <t>FDB80717</t>
  </si>
  <si>
    <t>FDB80718</t>
  </si>
  <si>
    <t>CUST99043</t>
  </si>
  <si>
    <t>FDB80719</t>
  </si>
  <si>
    <t>FDB80720</t>
  </si>
  <si>
    <t>FDB80721</t>
  </si>
  <si>
    <t>FDB80722</t>
  </si>
  <si>
    <t>FDB80723</t>
  </si>
  <si>
    <t>CUST99114</t>
  </si>
  <si>
    <t>FDB80724</t>
  </si>
  <si>
    <t>CUST99161</t>
  </si>
  <si>
    <t>FDB80725</t>
  </si>
  <si>
    <t>FDB80726</t>
  </si>
  <si>
    <t>FDB80727</t>
  </si>
  <si>
    <t>FDB80728</t>
  </si>
  <si>
    <t>FDB80729</t>
  </si>
  <si>
    <t>FDB80730</t>
  </si>
  <si>
    <t>CUST99057</t>
  </si>
  <si>
    <t>FDB80731</t>
  </si>
  <si>
    <t>CUST99185</t>
  </si>
  <si>
    <t>FDB80732</t>
  </si>
  <si>
    <t>FDB80733</t>
  </si>
  <si>
    <t>FDB80734</t>
  </si>
  <si>
    <t>FDB80735</t>
  </si>
  <si>
    <t>FDB80736</t>
  </si>
  <si>
    <t>CUST99225</t>
  </si>
  <si>
    <t>FDB80737</t>
  </si>
  <si>
    <t>FDB80738</t>
  </si>
  <si>
    <t>CUST99145</t>
  </si>
  <si>
    <t>FDB80739</t>
  </si>
  <si>
    <t>CUST99356</t>
  </si>
  <si>
    <t>FDB80740</t>
  </si>
  <si>
    <t>FDB80741</t>
  </si>
  <si>
    <t>CUST99125</t>
  </si>
  <si>
    <t>FDB80742</t>
  </si>
  <si>
    <t>FDB80743</t>
  </si>
  <si>
    <t>CUST99279</t>
  </si>
  <si>
    <t>FDB80744</t>
  </si>
  <si>
    <t>CUST99349</t>
  </si>
  <si>
    <t>FDB80745</t>
  </si>
  <si>
    <t>FDB80746</t>
  </si>
  <si>
    <t>FDB80747</t>
  </si>
  <si>
    <t>FDB80748</t>
  </si>
  <si>
    <t>CUST99008</t>
  </si>
  <si>
    <t>FDB80749</t>
  </si>
  <si>
    <t>CUST99227</t>
  </si>
  <si>
    <t>FDB80750</t>
  </si>
  <si>
    <t>FDB80751</t>
  </si>
  <si>
    <t>CUST99146</t>
  </si>
  <si>
    <t>FDB80752</t>
  </si>
  <si>
    <t>FDB80753</t>
  </si>
  <si>
    <t>FDB80754</t>
  </si>
  <si>
    <t>CUST99267</t>
  </si>
  <si>
    <t>FDB80755</t>
  </si>
  <si>
    <t>CUST99017</t>
  </si>
  <si>
    <t>FDB80756</t>
  </si>
  <si>
    <t>FDB80757</t>
  </si>
  <si>
    <t>FDB80758</t>
  </si>
  <si>
    <t>FDB80759</t>
  </si>
  <si>
    <t>FDB80760</t>
  </si>
  <si>
    <t>FDB80761</t>
  </si>
  <si>
    <t>CUST99206</t>
  </si>
  <si>
    <t>FDB80762</t>
  </si>
  <si>
    <t>FDB80763</t>
  </si>
  <si>
    <t>FDB80764</t>
  </si>
  <si>
    <t>FDB80765</t>
  </si>
  <si>
    <t>CUST99274</t>
  </si>
  <si>
    <t>FDB80766</t>
  </si>
  <si>
    <t>FDB80767</t>
  </si>
  <si>
    <t>FDB80768</t>
  </si>
  <si>
    <t>CUST99151</t>
  </si>
  <si>
    <t>FDB80769</t>
  </si>
  <si>
    <t>FDB80770</t>
  </si>
  <si>
    <t>FDB80771</t>
  </si>
  <si>
    <t>FDB80772</t>
  </si>
  <si>
    <t>CUST99038</t>
  </si>
  <si>
    <t>FDB80773</t>
  </si>
  <si>
    <t>FDB80774</t>
  </si>
  <si>
    <t>CUST99118</t>
  </si>
  <si>
    <t>FDB80775</t>
  </si>
  <si>
    <t>CUST99116</t>
  </si>
  <si>
    <t>FDB80776</t>
  </si>
  <si>
    <t>FDB80777</t>
  </si>
  <si>
    <t>FDB80778</t>
  </si>
  <si>
    <t>CUST99315</t>
  </si>
  <si>
    <t>FDB80779</t>
  </si>
  <si>
    <t>CUST99084</t>
  </si>
  <si>
    <t>FDB80780</t>
  </si>
  <si>
    <t>FDB80781</t>
  </si>
  <si>
    <t>FDB80782</t>
  </si>
  <si>
    <t>FDB80783</t>
  </si>
  <si>
    <t>CUST99074</t>
  </si>
  <si>
    <t>FDB80784</t>
  </si>
  <si>
    <t>FDB80785</t>
  </si>
  <si>
    <t>FDB80786</t>
  </si>
  <si>
    <t>FDB80787</t>
  </si>
  <si>
    <t>FDB80788</t>
  </si>
  <si>
    <t>FDB80789</t>
  </si>
  <si>
    <t>FDB80790</t>
  </si>
  <si>
    <t>CUST99000</t>
  </si>
  <si>
    <t>FDB80791</t>
  </si>
  <si>
    <t>FDB80792</t>
  </si>
  <si>
    <t>FDB80793</t>
  </si>
  <si>
    <t>FDB80794</t>
  </si>
  <si>
    <t>FDB80795</t>
  </si>
  <si>
    <t>CUST99081</t>
  </si>
  <si>
    <t>FDB80796</t>
  </si>
  <si>
    <t>FDB80797</t>
  </si>
  <si>
    <t>FDB80798</t>
  </si>
  <si>
    <t>FDB80799</t>
  </si>
  <si>
    <t>FDB80800</t>
  </si>
  <si>
    <t>FDB80801</t>
  </si>
  <si>
    <t>CUST99103</t>
  </si>
  <si>
    <t>FDB80802</t>
  </si>
  <si>
    <t>FDB80803</t>
  </si>
  <si>
    <t>FDB80804</t>
  </si>
  <si>
    <t>FDB80805</t>
  </si>
  <si>
    <t>CUST99179</t>
  </si>
  <si>
    <t>FDB80806</t>
  </si>
  <si>
    <t>CUST99064</t>
  </si>
  <si>
    <t>FDB80807</t>
  </si>
  <si>
    <t>CUST99212</t>
  </si>
  <si>
    <t>FDB80808</t>
  </si>
  <si>
    <t>CUST99231</t>
  </si>
  <si>
    <t>FDB80809</t>
  </si>
  <si>
    <t>FDB80810</t>
  </si>
  <si>
    <t>FDB80811</t>
  </si>
  <si>
    <t>CUST99141</t>
  </si>
  <si>
    <t>FDB80812</t>
  </si>
  <si>
    <t>CUST99197</t>
  </si>
  <si>
    <t>FDB80813</t>
  </si>
  <si>
    <t>CUST99362</t>
  </si>
  <si>
    <t>FDB80814</t>
  </si>
  <si>
    <t>FDB80815</t>
  </si>
  <si>
    <t>CUST99011</t>
  </si>
  <si>
    <t>FDB80816</t>
  </si>
  <si>
    <t>FDB80817</t>
  </si>
  <si>
    <t>FDB80818</t>
  </si>
  <si>
    <t>FDB80819</t>
  </si>
  <si>
    <t>FDB80820</t>
  </si>
  <si>
    <t>CUST99294</t>
  </si>
  <si>
    <t>FDB80821</t>
  </si>
  <si>
    <t>CUST99269</t>
  </si>
  <si>
    <t>FDB80822</t>
  </si>
  <si>
    <t>FDB80823</t>
  </si>
  <si>
    <t>CUST99241</t>
  </si>
  <si>
    <t>FDB80824</t>
  </si>
  <si>
    <t>FDB80825</t>
  </si>
  <si>
    <t>FDB80826</t>
  </si>
  <si>
    <t>FDB80827</t>
  </si>
  <si>
    <t>FDB80828</t>
  </si>
  <si>
    <t>FDB80829</t>
  </si>
  <si>
    <t>FDB80830</t>
  </si>
  <si>
    <t>FDB80831</t>
  </si>
  <si>
    <t>FDB80832</t>
  </si>
  <si>
    <t>CUST99240</t>
  </si>
  <si>
    <t>FDB80833</t>
  </si>
  <si>
    <t>FDB80834</t>
  </si>
  <si>
    <t>FDB80835</t>
  </si>
  <si>
    <t>FDB80836</t>
  </si>
  <si>
    <t>CUST99352</t>
  </si>
  <si>
    <t>FDB80837</t>
  </si>
  <si>
    <t>FDB80838</t>
  </si>
  <si>
    <t>CUST99350</t>
  </si>
  <si>
    <t>FDB80839</t>
  </si>
  <si>
    <t>CUST99342</t>
  </si>
  <si>
    <t>FDB80840</t>
  </si>
  <si>
    <t>FDB80841</t>
  </si>
  <si>
    <t>FDB80842</t>
  </si>
  <si>
    <t>FDB80843</t>
  </si>
  <si>
    <t>CUST99190</t>
  </si>
  <si>
    <t>FDB80844</t>
  </si>
  <si>
    <t>CUST99310</t>
  </si>
  <si>
    <t>FDB80845</t>
  </si>
  <si>
    <t>FDB80846</t>
  </si>
  <si>
    <t>FDB80847</t>
  </si>
  <si>
    <t>FDB80848</t>
  </si>
  <si>
    <t>FDB80849</t>
  </si>
  <si>
    <t>FDB80850</t>
  </si>
  <si>
    <t>CUST99336</t>
  </si>
  <si>
    <t>FDB80851</t>
  </si>
  <si>
    <t>FDB80852</t>
  </si>
  <si>
    <t>CUST99112</t>
  </si>
  <si>
    <t>FDB80853</t>
  </si>
  <si>
    <t>CUST99248</t>
  </si>
  <si>
    <t>FDB80854</t>
  </si>
  <si>
    <t>CUST99209</t>
  </si>
  <si>
    <t>FDB80855</t>
  </si>
  <si>
    <t>FDB80856</t>
  </si>
  <si>
    <t>FDB80857</t>
  </si>
  <si>
    <t>CUST99345</t>
  </si>
  <si>
    <t>FDB80858</t>
  </si>
  <si>
    <t>FDB80859</t>
  </si>
  <si>
    <t>CUST99257</t>
  </si>
  <si>
    <t>FDB80860</t>
  </si>
  <si>
    <t>CUST99009</t>
  </si>
  <si>
    <t>FDB80861</t>
  </si>
  <si>
    <t>CUST99002</t>
  </si>
  <si>
    <t>FDB80862</t>
  </si>
  <si>
    <t>CUST99090</t>
  </si>
  <si>
    <t>FDB80863</t>
  </si>
  <si>
    <t>FDB80864</t>
  </si>
  <si>
    <t>FDB80865</t>
  </si>
  <si>
    <t>CUST99290</t>
  </si>
  <si>
    <t>FDB80866</t>
  </si>
  <si>
    <t>FDB80867</t>
  </si>
  <si>
    <t>FDB80868</t>
  </si>
  <si>
    <t>CUST99153</t>
  </si>
  <si>
    <t>FDB80869</t>
  </si>
  <si>
    <t>FDB80870</t>
  </si>
  <si>
    <t>FDB80871</t>
  </si>
  <si>
    <t>FDB80872</t>
  </si>
  <si>
    <t>FDB80873</t>
  </si>
  <si>
    <t>CUST99006</t>
  </si>
  <si>
    <t>FDB80874</t>
  </si>
  <si>
    <t>CUST99351</t>
  </si>
  <si>
    <t>FDB80875</t>
  </si>
  <si>
    <t>CUST99184</t>
  </si>
  <si>
    <t>FDB80876</t>
  </si>
  <si>
    <t>FDB80877</t>
  </si>
  <si>
    <t>CUST99284</t>
  </si>
  <si>
    <t>FDB80878</t>
  </si>
  <si>
    <t>FDB80879</t>
  </si>
  <si>
    <t>FDB80880</t>
  </si>
  <si>
    <t>CUST99273</t>
  </si>
  <si>
    <t>FDB80881</t>
  </si>
  <si>
    <t>FDB80882</t>
  </si>
  <si>
    <t>FDB80883</t>
  </si>
  <si>
    <t>FDB80884</t>
  </si>
  <si>
    <t>CUST99071</t>
  </si>
  <si>
    <t>FDB80885</t>
  </si>
  <si>
    <t>FDB80886</t>
  </si>
  <si>
    <t>FDB80887</t>
  </si>
  <si>
    <t>FDB80888</t>
  </si>
  <si>
    <t>FDB80889</t>
  </si>
  <si>
    <t>CUST99091</t>
  </si>
  <si>
    <t>FDB80890</t>
  </si>
  <si>
    <t>FDB80891</t>
  </si>
  <si>
    <t>FDB80892</t>
  </si>
  <si>
    <t>CUST99054</t>
  </si>
  <si>
    <t>FDB80893</t>
  </si>
  <si>
    <t>FDB80894</t>
  </si>
  <si>
    <t>FDB80895</t>
  </si>
  <si>
    <t>FDB80896</t>
  </si>
  <si>
    <t>FDB80897</t>
  </si>
  <si>
    <t>FDB80898</t>
  </si>
  <si>
    <t>CUST99120</t>
  </si>
  <si>
    <t>FDB80899</t>
  </si>
  <si>
    <t>FDB80900</t>
  </si>
  <si>
    <t>FDB80901</t>
  </si>
  <si>
    <t>FDB80902</t>
  </si>
  <si>
    <t>FDB80903</t>
  </si>
  <si>
    <t>FDB80904</t>
  </si>
  <si>
    <t>CUST99058</t>
  </si>
  <si>
    <t>FDB80905</t>
  </si>
  <si>
    <t>FDB80906</t>
  </si>
  <si>
    <t>FDB80907</t>
  </si>
  <si>
    <t>FDB80908</t>
  </si>
  <si>
    <t>CUST99312</t>
  </si>
  <si>
    <t>FDB80909</t>
  </si>
  <si>
    <t>CUST99357</t>
  </si>
  <si>
    <t>FDB80910</t>
  </si>
  <si>
    <t>FDB80911</t>
  </si>
  <si>
    <t>CUST99138</t>
  </si>
  <si>
    <t>FDB80912</t>
  </si>
  <si>
    <t>FDB80913</t>
  </si>
  <si>
    <t>CUST99309</t>
  </si>
  <si>
    <t>FDB80914</t>
  </si>
  <si>
    <t>FDB80915</t>
  </si>
  <si>
    <t>FDB80916</t>
  </si>
  <si>
    <t>FDB80917</t>
  </si>
  <si>
    <t>CUST99020</t>
  </si>
  <si>
    <t>FDB80918</t>
  </si>
  <si>
    <t>FDB80919</t>
  </si>
  <si>
    <t>FDB80920</t>
  </si>
  <si>
    <t>CUST99298</t>
  </si>
  <si>
    <t>FDB80921</t>
  </si>
  <si>
    <t>FDB80922</t>
  </si>
  <si>
    <t>FDB80923</t>
  </si>
  <si>
    <t>FDB80924</t>
  </si>
  <si>
    <t>FDB80925</t>
  </si>
  <si>
    <t>CUST99086</t>
  </si>
  <si>
    <t>FDB80926</t>
  </si>
  <si>
    <t>CUST99189</t>
  </si>
  <si>
    <t>FDB80927</t>
  </si>
  <si>
    <t>FDB80928</t>
  </si>
  <si>
    <t>FDB80929</t>
  </si>
  <si>
    <t>FDB80930</t>
  </si>
  <si>
    <t>CUST99142</t>
  </si>
  <si>
    <t>FDB80931</t>
  </si>
  <si>
    <t>CUST99304</t>
  </si>
  <si>
    <t>FDB80932</t>
  </si>
  <si>
    <t>CUST99159</t>
  </si>
  <si>
    <t>FDB80933</t>
  </si>
  <si>
    <t>FDB80934</t>
  </si>
  <si>
    <t>FDB80935</t>
  </si>
  <si>
    <t>FDB80936</t>
  </si>
  <si>
    <t>FDB80937</t>
  </si>
  <si>
    <t>CUST99018</t>
  </si>
  <si>
    <t>FDB80938</t>
  </si>
  <si>
    <t>CUST99092</t>
  </si>
  <si>
    <t>FDB80939</t>
  </si>
  <si>
    <t>FDB80940</t>
  </si>
  <si>
    <t>FDB80941</t>
  </si>
  <si>
    <t>FDB80942</t>
  </si>
  <si>
    <t>CUST99097</t>
  </si>
  <si>
    <t>FDB80943</t>
  </si>
  <si>
    <t>FDB80944</t>
  </si>
  <si>
    <t>FDB80945</t>
  </si>
  <si>
    <t>FDB80946</t>
  </si>
  <si>
    <t>FDB80947</t>
  </si>
  <si>
    <t>CUST99039</t>
  </si>
  <si>
    <t>FDB80948</t>
  </si>
  <si>
    <t>FDB80949</t>
  </si>
  <si>
    <t>CUST99235</t>
  </si>
  <si>
    <t>FDB80950</t>
  </si>
  <si>
    <t>CUST99337</t>
  </si>
  <si>
    <t>FDB80951</t>
  </si>
  <si>
    <t>CUST99251</t>
  </si>
  <si>
    <t>FDB80952</t>
  </si>
  <si>
    <t>FDB80953</t>
  </si>
  <si>
    <t>CUST99080</t>
  </si>
  <si>
    <t>FDB80954</t>
  </si>
  <si>
    <t>CUST99122</t>
  </si>
  <si>
    <t>FDB80955</t>
  </si>
  <si>
    <t>FDB80956</t>
  </si>
  <si>
    <t>CUST99252</t>
  </si>
  <si>
    <t>FDB80957</t>
  </si>
  <si>
    <t>CUST99027</t>
  </si>
  <si>
    <t>FDB80958</t>
  </si>
  <si>
    <t>CUST99203</t>
  </si>
  <si>
    <t>FDB80959</t>
  </si>
  <si>
    <t>CUST99100</t>
  </si>
  <si>
    <t>FDB80960</t>
  </si>
  <si>
    <t>FDB80961</t>
  </si>
  <si>
    <t>FDB80962</t>
  </si>
  <si>
    <t>FDB80963</t>
  </si>
  <si>
    <t>CUST99343</t>
  </si>
  <si>
    <t>FDB80964</t>
  </si>
  <si>
    <t>CUST99175</t>
  </si>
  <si>
    <t>FDB80965</t>
  </si>
  <si>
    <t>CUST99347</t>
  </si>
  <si>
    <t>FDB80966</t>
  </si>
  <si>
    <t>FDB80967</t>
  </si>
  <si>
    <t>FDB80968</t>
  </si>
  <si>
    <t>CUST99296</t>
  </si>
  <si>
    <t>FDB80969</t>
  </si>
  <si>
    <t>FDB80970</t>
  </si>
  <si>
    <t>FDB80971</t>
  </si>
  <si>
    <t>FDB80972</t>
  </si>
  <si>
    <t>FDB80973</t>
  </si>
  <si>
    <t>FDB80974</t>
  </si>
  <si>
    <t>FDB80975</t>
  </si>
  <si>
    <t>FDB80976</t>
  </si>
  <si>
    <t>CUST99023</t>
  </si>
  <si>
    <t>FDB80977</t>
  </si>
  <si>
    <t>FDB80978</t>
  </si>
  <si>
    <t>FDB80979</t>
  </si>
  <si>
    <t>FDB80980</t>
  </si>
  <si>
    <t>FDB80981</t>
  </si>
  <si>
    <t>CUST99028</t>
  </si>
  <si>
    <t>FDB80982</t>
  </si>
  <si>
    <t>FDB80983</t>
  </si>
  <si>
    <t>FDB80984</t>
  </si>
  <si>
    <t>CUST99366</t>
  </si>
  <si>
    <t>FDB80985</t>
  </si>
  <si>
    <t>CUST99167</t>
  </si>
  <si>
    <t>FDB80986</t>
  </si>
  <si>
    <t>CUST99049</t>
  </si>
  <si>
    <t>FDB80987</t>
  </si>
  <si>
    <t>FDB80988</t>
  </si>
  <si>
    <t>FDB80989</t>
  </si>
  <si>
    <t>CUST99196</t>
  </si>
  <si>
    <t>FDB80990</t>
  </si>
  <si>
    <t>CUST99076</t>
  </si>
  <si>
    <t>FDB80991</t>
  </si>
  <si>
    <t>FDB80992</t>
  </si>
  <si>
    <t>FDB80993</t>
  </si>
  <si>
    <t>FDB80994</t>
  </si>
  <si>
    <t>FDB80995</t>
  </si>
  <si>
    <t>FDB80996</t>
  </si>
  <si>
    <t>CUST99238</t>
  </si>
  <si>
    <t>FDB80997</t>
  </si>
  <si>
    <t>FDB80998</t>
  </si>
  <si>
    <t>CUST99285</t>
  </si>
  <si>
    <t>FDB80999</t>
  </si>
  <si>
    <t>join_date</t>
  </si>
  <si>
    <t>total_policies_sold</t>
  </si>
  <si>
    <t>lapsed_policies</t>
  </si>
  <si>
    <t>avg_premium_sold</t>
  </si>
  <si>
    <t>fraud_association</t>
  </si>
  <si>
    <t>AegisLife Insurance - Data Validation and Cleaning Workbook</t>
  </si>
  <si>
    <t>Data preparation for the risk_analytics_main database.</t>
  </si>
  <si>
    <t>Purpose:</t>
  </si>
  <si>
    <t>Before any of the five source tables were loaded into MySQL, they were checked here for the usual real-world issues -- inconsistent category spelling, wrong data types, orphaned foreign keys, and invalid date ranges. Every issue found, its scope , and the fix applied is logged in Data_Quality_Log.</t>
  </si>
  <si>
    <t>Sheets:</t>
  </si>
  <si>
    <t>Data_Quality_Log</t>
  </si>
  <si>
    <t>List of every inconsistency found, its suggested fix, and % of rows affected.</t>
  </si>
  <si>
    <t>Customer_Master</t>
  </si>
  <si>
    <t>1,648 customers, gender &amp; region typos standardized.</t>
  </si>
  <si>
    <t>Policy_Details</t>
  </si>
  <si>
    <t>2.828 policies, product_type typos standardized.</t>
  </si>
  <si>
    <t>Inconsistency in policy start &amp; end date flagged.</t>
  </si>
  <si>
    <t>Claim_History</t>
  </si>
  <si>
    <t>1,406 claims, typos in claim_status standardized.</t>
  </si>
  <si>
    <t>Agent_Info</t>
  </si>
  <si>
    <t>300 agents.</t>
  </si>
  <si>
    <t>Customer_Feedback_Surveys</t>
  </si>
  <si>
    <t>369 feedbacks are orphan no customer record exists(no customer_id match).</t>
  </si>
  <si>
    <t>Data Quality Log:</t>
  </si>
  <si>
    <t>Every inconsistency found across all five source tables , before cleaning.</t>
  </si>
  <si>
    <t>Table</t>
  </si>
  <si>
    <t>Column</t>
  </si>
  <si>
    <t>Issue_Type</t>
  </si>
  <si>
    <t>Suggested_Action</t>
  </si>
  <si>
    <t>Rows_Affected</t>
  </si>
  <si>
    <t>Percentage of Total</t>
  </si>
  <si>
    <t>Inconsistent categories (typo/case)</t>
  </si>
  <si>
    <t>Standardize to Male/Female using Find &amp; Select</t>
  </si>
  <si>
    <t>Inconsistent categories (typo)</t>
  </si>
  <si>
    <t>Standardize region spelling using Find &amp; Select</t>
  </si>
  <si>
    <t>Standardize spelling using Find &amp; Select</t>
  </si>
  <si>
    <t>policy_start_date, policy_end_date</t>
  </si>
  <si>
    <t>Zero duration (policy end the same day it starts)</t>
  </si>
  <si>
    <t>Flagged for manual correction</t>
  </si>
  <si>
    <t>Customer_Feddback_Surveys</t>
  </si>
  <si>
    <t>Orphan/Anonymous feedbacks (No linked customers)</t>
  </si>
  <si>
    <t>Exclude from customer level joins</t>
  </si>
  <si>
    <t>Orphan FK check(Policy_Details -&gt; Customer_Master)</t>
  </si>
  <si>
    <t>None found - FK Integrity OK</t>
  </si>
  <si>
    <t>Orphan FK check(Policy_Details -&gt; Agent_Info)</t>
  </si>
  <si>
    <t>Orphan FK check(Claim_History, Policy_Details)</t>
  </si>
  <si>
    <t>Post cleaning validation</t>
  </si>
  <si>
    <t>Gender values outside Male, Female</t>
  </si>
  <si>
    <t>Region values outside North, East, South, West, North-East, Central</t>
  </si>
  <si>
    <t xml:space="preserve">Product type values outside Health, Property, Term, Vehicle, Whole </t>
  </si>
  <si>
    <t>Policies with start_date = end_date</t>
  </si>
  <si>
    <t>Claim status values outside Pending, Approved, Rejected</t>
  </si>
  <si>
    <t>feedback_type</t>
  </si>
  <si>
    <t>Cleaning summary</t>
  </si>
  <si>
    <t>Total feedbacks</t>
  </si>
  <si>
    <t>Valid feedbacks</t>
  </si>
  <si>
    <t>Orphan feedbacks</t>
  </si>
  <si>
    <t>validation_status_customer_master</t>
  </si>
  <si>
    <t>validation_status_agent_info</t>
  </si>
  <si>
    <t>validation_status_policy_details</t>
  </si>
  <si>
    <t>Duplicate customer_ids</t>
  </si>
  <si>
    <t>Duplicate policy_ids</t>
  </si>
  <si>
    <t>Duplicate claim_ids</t>
  </si>
  <si>
    <t>Validation Check</t>
  </si>
  <si>
    <t>Duplicate agent_ids</t>
  </si>
  <si>
    <t>Duplicate feedback_ids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</si>
</sst>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4" tint="-0.249977111117893"/>
      <name val="Aptos Display"/>
      <family val="2"/>
      <scheme val="major"/>
    </font>
    <font>
      <b/>
      <sz val="11"/>
      <color theme="0"/>
      <name val="Arial Black"/>
      <family val="2"/>
    </font>
    <font>
      <b/>
      <sz val="11"/>
      <color theme="4" tint="-0.249977111117893"/>
      <name val="Arial Black"/>
      <family val="2"/>
    </font>
    <font>
      <sz val="12"/>
      <color theme="1"/>
      <name val="Calibri"/>
      <family val="2"/>
    </font>
    <font>
      <sz val="11"/>
      <color theme="4" tint="-0.249977111117893"/>
      <name val="Arial Black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FFEEB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2" fillId="3" borderId="13" xfId="0" applyFont="1" applyFill="1" applyBorder="1"/>
    <xf numFmtId="0" fontId="2" fillId="3" borderId="14" xfId="0" applyFont="1" applyFill="1" applyBorder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10" fontId="0" fillId="0" borderId="0" xfId="1" applyNumberFormat="1" applyFont="1"/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0" fontId="8" fillId="4" borderId="4" xfId="1" applyNumberFormat="1" applyFont="1" applyFill="1" applyBorder="1" applyAlignment="1">
      <alignment horizontal="center" vertical="center"/>
    </xf>
    <xf numFmtId="0" fontId="9" fillId="0" borderId="5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9" fillId="5" borderId="1" xfId="0" applyFont="1" applyFill="1" applyBorder="1"/>
    <xf numFmtId="10" fontId="9" fillId="0" borderId="6" xfId="1" applyNumberFormat="1" applyFont="1" applyBorder="1"/>
    <xf numFmtId="0" fontId="9" fillId="6" borderId="1" xfId="0" applyFont="1" applyFill="1" applyBorder="1"/>
    <xf numFmtId="0" fontId="9" fillId="0" borderId="7" xfId="0" applyFont="1" applyBorder="1"/>
    <xf numFmtId="0" fontId="9" fillId="0" borderId="8" xfId="0" applyFont="1" applyBorder="1"/>
    <xf numFmtId="0" fontId="9" fillId="0" borderId="8" xfId="0" applyFont="1" applyBorder="1" applyAlignment="1">
      <alignment horizontal="left"/>
    </xf>
    <xf numFmtId="0" fontId="9" fillId="6" borderId="8" xfId="0" applyFont="1" applyFill="1" applyBorder="1"/>
    <xf numFmtId="10" fontId="9" fillId="0" borderId="9" xfId="1" applyNumberFormat="1" applyFont="1" applyBorder="1"/>
    <xf numFmtId="0" fontId="2" fillId="3" borderId="0" xfId="0" applyFont="1" applyFill="1"/>
    <xf numFmtId="0" fontId="2" fillId="3" borderId="2" xfId="0" applyFont="1" applyFill="1" applyBorder="1"/>
    <xf numFmtId="0" fontId="2" fillId="3" borderId="4" xfId="0" applyFont="1" applyFill="1" applyBorder="1"/>
    <xf numFmtId="0" fontId="0" fillId="0" borderId="6" xfId="0" applyBorder="1"/>
    <xf numFmtId="0" fontId="0" fillId="0" borderId="9" xfId="0" applyBorder="1"/>
    <xf numFmtId="164" fontId="2" fillId="3" borderId="15" xfId="0" applyNumberFormat="1" applyFont="1" applyFill="1" applyBorder="1"/>
    <xf numFmtId="164" fontId="0" fillId="0" borderId="12" xfId="0" applyNumberFormat="1" applyBorder="1"/>
    <xf numFmtId="164" fontId="0" fillId="0" borderId="6" xfId="0" applyNumberFormat="1" applyBorder="1"/>
    <xf numFmtId="164" fontId="0" fillId="0" borderId="9" xfId="0" applyNumberFormat="1" applyBorder="1"/>
    <xf numFmtId="164" fontId="0" fillId="0" borderId="0" xfId="0" applyNumberFormat="1"/>
    <xf numFmtId="164" fontId="2" fillId="3" borderId="14" xfId="0" applyNumberFormat="1" applyFont="1" applyFill="1" applyBorder="1"/>
    <xf numFmtId="164" fontId="0" fillId="0" borderId="11" xfId="0" applyNumberFormat="1" applyBorder="1"/>
    <xf numFmtId="164" fontId="0" fillId="0" borderId="1" xfId="0" applyNumberFormat="1" applyBorder="1"/>
    <xf numFmtId="0" fontId="0" fillId="7" borderId="5" xfId="0" applyFill="1" applyBorder="1"/>
    <xf numFmtId="0" fontId="0" fillId="7" borderId="6" xfId="0" applyFill="1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Normal" xfId="0" builtinId="0"/>
    <cellStyle name="Percent" xfId="1" builtinId="5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7D7D"/>
        </patternFill>
      </fill>
    </dxf>
    <dxf>
      <fill>
        <patternFill patternType="solid">
          <fgColor rgb="FFFF7D7D"/>
          <bgColor rgb="FF000000"/>
        </patternFill>
      </fill>
    </dxf>
  </dxfs>
  <tableStyles count="0" defaultTableStyle="TableStyleMedium2" defaultPivotStyle="PivotStyleLight16"/>
  <colors>
    <mruColors>
      <color rgb="FFB3DFBF"/>
      <color rgb="FFFBA7A9"/>
      <color rgb="FFFFEEB9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EF3F-1631-4CF4-9B0C-836A082C7EA6}">
  <dimension ref="B1:E17"/>
  <sheetViews>
    <sheetView showGridLines="0" topLeftCell="B6" zoomScaleNormal="100" workbookViewId="0">
      <selection activeCell="C19" sqref="C19"/>
    </sheetView>
  </sheetViews>
  <sheetFormatPr defaultRowHeight="14.4" x14ac:dyDescent="0.3"/>
  <cols>
    <col min="2" max="2" width="32.77734375" customWidth="1"/>
    <col min="3" max="3" width="78.44140625" bestFit="1" customWidth="1"/>
    <col min="5" max="5" width="8.77734375" customWidth="1"/>
  </cols>
  <sheetData>
    <row r="1" spans="2:5" ht="25.8" x14ac:dyDescent="0.5">
      <c r="B1" s="44" t="s">
        <v>9260</v>
      </c>
      <c r="C1" s="44"/>
    </row>
    <row r="2" spans="2:5" x14ac:dyDescent="0.3">
      <c r="B2" s="45" t="s">
        <v>9261</v>
      </c>
      <c r="C2" s="45"/>
    </row>
    <row r="3" spans="2:5" x14ac:dyDescent="0.3">
      <c r="B3" s="9"/>
      <c r="C3" s="9"/>
      <c r="E3" s="10"/>
    </row>
    <row r="4" spans="2:5" ht="17.399999999999999" x14ac:dyDescent="0.3">
      <c r="B4" s="46" t="s">
        <v>9262</v>
      </c>
      <c r="C4" s="46"/>
    </row>
    <row r="5" spans="2:5" ht="46.2" customHeight="1" x14ac:dyDescent="0.3">
      <c r="B5" s="47" t="s">
        <v>9263</v>
      </c>
      <c r="C5" s="47"/>
    </row>
    <row r="9" spans="2:5" ht="17.399999999999999" x14ac:dyDescent="0.3">
      <c r="B9" s="46" t="s">
        <v>9264</v>
      </c>
      <c r="C9" s="46"/>
    </row>
    <row r="10" spans="2:5" ht="27.6" customHeight="1" x14ac:dyDescent="0.45">
      <c r="B10" s="11" t="s">
        <v>9265</v>
      </c>
      <c r="C10" s="12" t="s">
        <v>9266</v>
      </c>
    </row>
    <row r="11" spans="2:5" ht="27.6" customHeight="1" x14ac:dyDescent="0.45">
      <c r="B11" s="11" t="s">
        <v>9267</v>
      </c>
      <c r="C11" s="12" t="s">
        <v>9268</v>
      </c>
    </row>
    <row r="12" spans="2:5" ht="21" customHeight="1" x14ac:dyDescent="0.45">
      <c r="B12" s="11" t="s">
        <v>9269</v>
      </c>
      <c r="C12" s="12" t="s">
        <v>9270</v>
      </c>
    </row>
    <row r="13" spans="2:5" ht="18.600000000000001" customHeight="1" x14ac:dyDescent="0.45">
      <c r="B13" s="11"/>
      <c r="C13" s="12" t="s">
        <v>9271</v>
      </c>
    </row>
    <row r="14" spans="2:5" ht="27.6" customHeight="1" x14ac:dyDescent="0.45">
      <c r="B14" s="11" t="s">
        <v>9272</v>
      </c>
      <c r="C14" s="12" t="s">
        <v>9273</v>
      </c>
    </row>
    <row r="15" spans="2:5" ht="27.6" customHeight="1" x14ac:dyDescent="0.45">
      <c r="B15" s="11" t="s">
        <v>9274</v>
      </c>
      <c r="C15" s="12" t="s">
        <v>9275</v>
      </c>
    </row>
    <row r="16" spans="2:5" ht="22.8" customHeight="1" x14ac:dyDescent="0.45">
      <c r="B16" s="11" t="s">
        <v>9276</v>
      </c>
      <c r="C16" s="12" t="s">
        <v>9277</v>
      </c>
    </row>
    <row r="17" spans="3:3" ht="15.6" x14ac:dyDescent="0.3">
      <c r="C17" s="12"/>
    </row>
  </sheetData>
  <mergeCells count="5">
    <mergeCell ref="B1:C1"/>
    <mergeCell ref="B2:C2"/>
    <mergeCell ref="B4:C4"/>
    <mergeCell ref="B5:C5"/>
    <mergeCell ref="B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86B44-E41E-4F3E-813E-B9BAC61043D3}">
  <dimension ref="A1:F13"/>
  <sheetViews>
    <sheetView showGridLines="0" zoomScale="110" zoomScaleNormal="110" workbookViewId="0">
      <selection activeCell="F13" sqref="F13"/>
    </sheetView>
  </sheetViews>
  <sheetFormatPr defaultRowHeight="14.4" x14ac:dyDescent="0.3"/>
  <cols>
    <col min="1" max="1" width="25.33203125" bestFit="1" customWidth="1"/>
    <col min="2" max="2" width="30.44140625" customWidth="1"/>
    <col min="3" max="3" width="47.21875" customWidth="1"/>
    <col min="4" max="4" width="42.109375" bestFit="1" customWidth="1"/>
    <col min="5" max="5" width="20.109375" customWidth="1"/>
    <col min="6" max="6" width="20.109375" style="14" bestFit="1" customWidth="1"/>
  </cols>
  <sheetData>
    <row r="1" spans="1:6" ht="17.399999999999999" customHeight="1" x14ac:dyDescent="0.45">
      <c r="A1" s="13" t="s">
        <v>9278</v>
      </c>
    </row>
    <row r="2" spans="1:6" ht="17.399999999999999" customHeight="1" x14ac:dyDescent="0.3">
      <c r="A2" t="s">
        <v>9279</v>
      </c>
    </row>
    <row r="3" spans="1:6" ht="17.399999999999999" customHeight="1" thickBot="1" x14ac:dyDescent="0.35"/>
    <row r="4" spans="1:6" ht="16.8" customHeight="1" x14ac:dyDescent="0.3">
      <c r="A4" s="15" t="s">
        <v>9280</v>
      </c>
      <c r="B4" s="16" t="s">
        <v>9281</v>
      </c>
      <c r="C4" s="16" t="s">
        <v>9282</v>
      </c>
      <c r="D4" s="16" t="s">
        <v>9283</v>
      </c>
      <c r="E4" s="16" t="s">
        <v>9284</v>
      </c>
      <c r="F4" s="17" t="s">
        <v>9285</v>
      </c>
    </row>
    <row r="5" spans="1:6" ht="16.8" customHeight="1" x14ac:dyDescent="0.3">
      <c r="A5" s="18" t="s">
        <v>9267</v>
      </c>
      <c r="B5" s="19" t="s">
        <v>3</v>
      </c>
      <c r="C5" s="20" t="s">
        <v>9286</v>
      </c>
      <c r="D5" s="19" t="s">
        <v>9287</v>
      </c>
      <c r="E5" s="21">
        <v>11</v>
      </c>
      <c r="F5" s="22">
        <f xml:space="preserve"> (E5 /COUNTA(customer_master!A2:A1649))</f>
        <v>6.6747572815533977E-3</v>
      </c>
    </row>
    <row r="6" spans="1:6" ht="16.8" customHeight="1" x14ac:dyDescent="0.3">
      <c r="A6" s="18" t="s">
        <v>9267</v>
      </c>
      <c r="B6" s="19" t="s">
        <v>6</v>
      </c>
      <c r="C6" s="20" t="s">
        <v>9288</v>
      </c>
      <c r="D6" s="19" t="s">
        <v>9289</v>
      </c>
      <c r="E6" s="21">
        <v>10</v>
      </c>
      <c r="F6" s="22">
        <f xml:space="preserve"> (E6 / COUNTA(customer_master!A2:A1649))</f>
        <v>6.0679611650485436E-3</v>
      </c>
    </row>
    <row r="7" spans="1:6" ht="16.8" customHeight="1" x14ac:dyDescent="0.3">
      <c r="A7" s="18" t="s">
        <v>9269</v>
      </c>
      <c r="B7" s="19" t="s">
        <v>3306</v>
      </c>
      <c r="C7" s="20" t="s">
        <v>9288</v>
      </c>
      <c r="D7" s="19" t="s">
        <v>9290</v>
      </c>
      <c r="E7" s="21">
        <v>4</v>
      </c>
      <c r="F7" s="22">
        <f>(E7 / COUNTA(policy_details!A2:A2829))</f>
        <v>1.4144271570014145E-3</v>
      </c>
    </row>
    <row r="8" spans="1:6" ht="16.8" customHeight="1" x14ac:dyDescent="0.3">
      <c r="A8" s="18" t="s">
        <v>9269</v>
      </c>
      <c r="B8" s="19" t="s">
        <v>9291</v>
      </c>
      <c r="C8" s="20" t="s">
        <v>9292</v>
      </c>
      <c r="D8" s="19" t="s">
        <v>9293</v>
      </c>
      <c r="E8" s="21">
        <v>2</v>
      </c>
      <c r="F8" s="22">
        <f>(E8/COUNTA(policy_details!A2:A2829))</f>
        <v>7.0721357850070724E-4</v>
      </c>
    </row>
    <row r="9" spans="1:6" ht="16.8" customHeight="1" x14ac:dyDescent="0.3">
      <c r="A9" s="18" t="s">
        <v>9272</v>
      </c>
      <c r="B9" s="19" t="s">
        <v>6452</v>
      </c>
      <c r="C9" s="20" t="s">
        <v>9288</v>
      </c>
      <c r="D9" s="19" t="s">
        <v>9290</v>
      </c>
      <c r="E9" s="21">
        <v>6</v>
      </c>
      <c r="F9" s="22">
        <f>(E9 / COUNTA(claim_history!A2:A1407))</f>
        <v>4.2674253200568994E-3</v>
      </c>
    </row>
    <row r="10" spans="1:6" ht="16.8" customHeight="1" x14ac:dyDescent="0.3">
      <c r="A10" s="18" t="s">
        <v>9294</v>
      </c>
      <c r="B10" s="19" t="s">
        <v>0</v>
      </c>
      <c r="C10" s="20" t="s">
        <v>9295</v>
      </c>
      <c r="D10" s="19" t="s">
        <v>9296</v>
      </c>
      <c r="E10" s="21">
        <f>COUNTIF(customer_feedback_surveys!H2:H1001, "Orphan")</f>
        <v>369</v>
      </c>
      <c r="F10" s="22">
        <f>(E10 / COUNTA(customer_feedback_surveys!A2:A1001))</f>
        <v>0.36899999999999999</v>
      </c>
    </row>
    <row r="11" spans="1:6" ht="16.8" customHeight="1" x14ac:dyDescent="0.3">
      <c r="A11" s="18" t="s">
        <v>9269</v>
      </c>
      <c r="B11" s="19" t="s">
        <v>0</v>
      </c>
      <c r="C11" s="20" t="s">
        <v>9297</v>
      </c>
      <c r="D11" s="19" t="s">
        <v>9298</v>
      </c>
      <c r="E11" s="23">
        <v>0</v>
      </c>
      <c r="F11" s="22">
        <f>(E11 / COUNTA(policy_details!A2:A2829))</f>
        <v>0</v>
      </c>
    </row>
    <row r="12" spans="1:6" ht="16.8" customHeight="1" x14ac:dyDescent="0.3">
      <c r="A12" s="18" t="s">
        <v>9269</v>
      </c>
      <c r="B12" s="19" t="s">
        <v>3311</v>
      </c>
      <c r="C12" s="20" t="s">
        <v>9299</v>
      </c>
      <c r="D12" s="19" t="s">
        <v>9298</v>
      </c>
      <c r="E12" s="23">
        <v>0</v>
      </c>
      <c r="F12" s="22">
        <f>(E12 / COUNTA(policy_details!A2:A2829))</f>
        <v>0</v>
      </c>
    </row>
    <row r="13" spans="1:6" ht="16.8" customHeight="1" thickBot="1" x14ac:dyDescent="0.35">
      <c r="A13" s="24" t="s">
        <v>9272</v>
      </c>
      <c r="B13" s="25" t="s">
        <v>3305</v>
      </c>
      <c r="C13" s="26" t="s">
        <v>9300</v>
      </c>
      <c r="D13" s="25" t="s">
        <v>9298</v>
      </c>
      <c r="E13" s="27">
        <v>0</v>
      </c>
      <c r="F13" s="28">
        <f>(E13 / COUNTA(claim_history!A2:A1407))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8C4E-9A9C-4878-AF50-F4CA7D07F58E}">
  <dimension ref="A1:O1649"/>
  <sheetViews>
    <sheetView topLeftCell="A1625" workbookViewId="0">
      <selection activeCell="N8" sqref="N8"/>
    </sheetView>
  </sheetViews>
  <sheetFormatPr defaultRowHeight="14.4" x14ac:dyDescent="0.3"/>
  <cols>
    <col min="1" max="1" width="13.5546875" bestFit="1" customWidth="1"/>
    <col min="2" max="2" width="23.109375" bestFit="1" customWidth="1"/>
    <col min="3" max="3" width="6.109375" bestFit="1" customWidth="1"/>
    <col min="4" max="4" width="8.88671875" bestFit="1" customWidth="1"/>
    <col min="5" max="5" width="15.33203125" bestFit="1" customWidth="1"/>
    <col min="6" max="6" width="12.5546875" bestFit="1" customWidth="1"/>
    <col min="7" max="7" width="9.6640625" bestFit="1" customWidth="1"/>
    <col min="8" max="8" width="16.21875" bestFit="1" customWidth="1"/>
    <col min="9" max="9" width="19.6640625" bestFit="1" customWidth="1"/>
    <col min="10" max="10" width="11.6640625" bestFit="1" customWidth="1"/>
    <col min="11" max="11" width="13" style="38" bestFit="1" customWidth="1"/>
    <col min="14" max="14" width="55.33203125" bestFit="1" customWidth="1"/>
  </cols>
  <sheetData>
    <row r="1" spans="1:15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34" t="s">
        <v>10</v>
      </c>
      <c r="N1" s="30" t="s">
        <v>9301</v>
      </c>
      <c r="O1" s="31"/>
    </row>
    <row r="2" spans="1:15" x14ac:dyDescent="0.3">
      <c r="A2" s="5" t="s">
        <v>11</v>
      </c>
      <c r="B2" s="6" t="s">
        <v>12</v>
      </c>
      <c r="C2" s="6">
        <v>23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17</v>
      </c>
      <c r="J2" s="6">
        <v>0.22</v>
      </c>
      <c r="K2" s="35">
        <v>45478</v>
      </c>
      <c r="N2" s="2" t="s">
        <v>9302</v>
      </c>
      <c r="O2" s="32">
        <f>COUNTIFS(D2:D1649, "&lt;&gt;Male", D2:D1649, "&lt;&gt;Female")</f>
        <v>0</v>
      </c>
    </row>
    <row r="3" spans="1:15" x14ac:dyDescent="0.3">
      <c r="A3" s="2" t="s">
        <v>18</v>
      </c>
      <c r="B3" s="1" t="s">
        <v>19</v>
      </c>
      <c r="C3" s="1">
        <v>66</v>
      </c>
      <c r="D3" s="1" t="s">
        <v>20</v>
      </c>
      <c r="E3" s="1" t="s">
        <v>21</v>
      </c>
      <c r="F3" s="1" t="s">
        <v>15</v>
      </c>
      <c r="G3" s="1" t="s">
        <v>22</v>
      </c>
      <c r="H3" s="1" t="s">
        <v>17</v>
      </c>
      <c r="I3" s="1" t="s">
        <v>17</v>
      </c>
      <c r="J3" s="1">
        <v>0.3</v>
      </c>
      <c r="K3" s="36">
        <v>44131</v>
      </c>
      <c r="N3" s="2" t="s">
        <v>9303</v>
      </c>
      <c r="O3" s="32" cm="1">
        <f t="array" ref="O3">SUMPRODUCT(--ISNA(MATCH(G2:G1649,{"North","West","South","North-East","Central","East"},0)))</f>
        <v>0</v>
      </c>
    </row>
    <row r="4" spans="1:15" ht="15" thickBot="1" x14ac:dyDescent="0.35">
      <c r="A4" s="2" t="s">
        <v>23</v>
      </c>
      <c r="B4" s="1" t="s">
        <v>24</v>
      </c>
      <c r="C4" s="1">
        <v>59</v>
      </c>
      <c r="D4" s="1" t="s">
        <v>13</v>
      </c>
      <c r="E4" s="1" t="s">
        <v>21</v>
      </c>
      <c r="F4" s="1" t="s">
        <v>15</v>
      </c>
      <c r="G4" s="1" t="s">
        <v>25</v>
      </c>
      <c r="H4" s="1" t="s">
        <v>17</v>
      </c>
      <c r="I4" s="1" t="s">
        <v>17</v>
      </c>
      <c r="J4" s="1">
        <v>0.11</v>
      </c>
      <c r="K4" s="36">
        <v>44679</v>
      </c>
      <c r="N4" s="3" t="s">
        <v>9315</v>
      </c>
      <c r="O4" s="33" cm="1">
        <f t="array" ref="O4">SUMPRODUCT(--(COUNTIF(A2:A1649, A2:A1649) &gt; 1))</f>
        <v>0</v>
      </c>
    </row>
    <row r="5" spans="1:15" x14ac:dyDescent="0.3">
      <c r="A5" s="2" t="s">
        <v>26</v>
      </c>
      <c r="B5" s="1" t="s">
        <v>27</v>
      </c>
      <c r="C5" s="1">
        <v>45</v>
      </c>
      <c r="D5" s="1" t="s">
        <v>20</v>
      </c>
      <c r="E5" s="1" t="s">
        <v>28</v>
      </c>
      <c r="F5" s="1" t="s">
        <v>29</v>
      </c>
      <c r="G5" s="1" t="s">
        <v>25</v>
      </c>
      <c r="H5" s="1" t="s">
        <v>30</v>
      </c>
      <c r="I5" s="1" t="s">
        <v>17</v>
      </c>
      <c r="J5" s="1">
        <v>0.32</v>
      </c>
      <c r="K5" s="36">
        <v>44566</v>
      </c>
    </row>
    <row r="6" spans="1:15" x14ac:dyDescent="0.3">
      <c r="A6" s="2" t="s">
        <v>31</v>
      </c>
      <c r="B6" s="1" t="s">
        <v>32</v>
      </c>
      <c r="C6" s="1">
        <v>45</v>
      </c>
      <c r="D6" s="1" t="s">
        <v>13</v>
      </c>
      <c r="E6" s="1" t="s">
        <v>33</v>
      </c>
      <c r="F6" s="1" t="s">
        <v>29</v>
      </c>
      <c r="G6" s="1" t="s">
        <v>25</v>
      </c>
      <c r="H6" s="1" t="s">
        <v>30</v>
      </c>
      <c r="I6" s="1" t="s">
        <v>17</v>
      </c>
      <c r="J6" s="1">
        <v>0.45</v>
      </c>
      <c r="K6" s="36">
        <v>45691</v>
      </c>
    </row>
    <row r="7" spans="1:15" x14ac:dyDescent="0.3">
      <c r="A7" s="2" t="s">
        <v>34</v>
      </c>
      <c r="B7" s="1" t="s">
        <v>35</v>
      </c>
      <c r="C7" s="1">
        <v>72</v>
      </c>
      <c r="D7" s="1" t="s">
        <v>20</v>
      </c>
      <c r="E7" s="1" t="s">
        <v>14</v>
      </c>
      <c r="F7" s="1" t="s">
        <v>29</v>
      </c>
      <c r="G7" s="1" t="s">
        <v>25</v>
      </c>
      <c r="H7" s="1" t="s">
        <v>17</v>
      </c>
      <c r="I7" s="1" t="s">
        <v>30</v>
      </c>
      <c r="J7" s="1">
        <v>0.49</v>
      </c>
      <c r="K7" s="36">
        <v>45560</v>
      </c>
    </row>
    <row r="8" spans="1:15" x14ac:dyDescent="0.3">
      <c r="A8" s="2" t="s">
        <v>36</v>
      </c>
      <c r="B8" s="1" t="s">
        <v>37</v>
      </c>
      <c r="C8" s="1">
        <v>23</v>
      </c>
      <c r="D8" s="1" t="s">
        <v>13</v>
      </c>
      <c r="E8" s="1" t="s">
        <v>21</v>
      </c>
      <c r="F8" s="1" t="s">
        <v>29</v>
      </c>
      <c r="G8" s="1" t="s">
        <v>38</v>
      </c>
      <c r="H8" s="1" t="s">
        <v>17</v>
      </c>
      <c r="I8" s="1" t="s">
        <v>17</v>
      </c>
      <c r="J8" s="1">
        <v>0.27</v>
      </c>
      <c r="K8" s="36">
        <v>46032</v>
      </c>
    </row>
    <row r="9" spans="1:15" x14ac:dyDescent="0.3">
      <c r="A9" s="2" t="s">
        <v>39</v>
      </c>
      <c r="B9" s="1" t="s">
        <v>40</v>
      </c>
      <c r="C9" s="1">
        <v>61</v>
      </c>
      <c r="D9" s="1" t="s">
        <v>13</v>
      </c>
      <c r="E9" s="1" t="s">
        <v>21</v>
      </c>
      <c r="F9" s="1" t="s">
        <v>15</v>
      </c>
      <c r="G9" s="1" t="s">
        <v>38</v>
      </c>
      <c r="H9" s="1" t="s">
        <v>17</v>
      </c>
      <c r="I9" s="1" t="s">
        <v>30</v>
      </c>
      <c r="J9" s="1">
        <v>0.48</v>
      </c>
      <c r="K9" s="36">
        <v>44267</v>
      </c>
    </row>
    <row r="10" spans="1:15" x14ac:dyDescent="0.3">
      <c r="A10" s="2" t="s">
        <v>41</v>
      </c>
      <c r="B10" s="1" t="s">
        <v>42</v>
      </c>
      <c r="C10" s="1">
        <v>30</v>
      </c>
      <c r="D10" s="1" t="s">
        <v>20</v>
      </c>
      <c r="E10" s="1" t="s">
        <v>21</v>
      </c>
      <c r="F10" s="1" t="s">
        <v>29</v>
      </c>
      <c r="G10" s="1" t="s">
        <v>43</v>
      </c>
      <c r="H10" s="1" t="s">
        <v>17</v>
      </c>
      <c r="I10" s="1" t="s">
        <v>17</v>
      </c>
      <c r="J10" s="1">
        <v>0.21</v>
      </c>
      <c r="K10" s="36">
        <v>45001</v>
      </c>
    </row>
    <row r="11" spans="1:15" x14ac:dyDescent="0.3">
      <c r="A11" s="2" t="s">
        <v>44</v>
      </c>
      <c r="B11" s="1" t="s">
        <v>45</v>
      </c>
      <c r="C11" s="1">
        <v>23</v>
      </c>
      <c r="D11" s="1" t="s">
        <v>13</v>
      </c>
      <c r="E11" s="1" t="s">
        <v>21</v>
      </c>
      <c r="F11" s="1" t="s">
        <v>46</v>
      </c>
      <c r="G11" s="1" t="s">
        <v>47</v>
      </c>
      <c r="H11" s="1" t="s">
        <v>17</v>
      </c>
      <c r="I11" s="1" t="s">
        <v>17</v>
      </c>
      <c r="J11" s="1">
        <v>0.28000000000000003</v>
      </c>
      <c r="K11" s="36">
        <v>44142</v>
      </c>
    </row>
    <row r="12" spans="1:15" x14ac:dyDescent="0.3">
      <c r="A12" s="2" t="s">
        <v>48</v>
      </c>
      <c r="B12" s="1" t="s">
        <v>49</v>
      </c>
      <c r="C12" s="1">
        <v>51</v>
      </c>
      <c r="D12" s="1" t="s">
        <v>13</v>
      </c>
      <c r="E12" s="1" t="s">
        <v>33</v>
      </c>
      <c r="F12" s="1" t="s">
        <v>29</v>
      </c>
      <c r="G12" s="1" t="s">
        <v>43</v>
      </c>
      <c r="H12" s="1" t="s">
        <v>30</v>
      </c>
      <c r="I12" s="1" t="s">
        <v>17</v>
      </c>
      <c r="J12" s="1">
        <v>0.36</v>
      </c>
      <c r="K12" s="36">
        <v>44556</v>
      </c>
    </row>
    <row r="13" spans="1:15" x14ac:dyDescent="0.3">
      <c r="A13" s="2" t="s">
        <v>50</v>
      </c>
      <c r="B13" s="1" t="s">
        <v>51</v>
      </c>
      <c r="C13" s="1">
        <v>79</v>
      </c>
      <c r="D13" s="1" t="s">
        <v>13</v>
      </c>
      <c r="E13" s="1" t="s">
        <v>21</v>
      </c>
      <c r="F13" s="1" t="s">
        <v>15</v>
      </c>
      <c r="G13" s="1" t="s">
        <v>16</v>
      </c>
      <c r="H13" s="1" t="s">
        <v>17</v>
      </c>
      <c r="I13" s="1" t="s">
        <v>17</v>
      </c>
      <c r="J13" s="1">
        <v>0.28999999999999998</v>
      </c>
      <c r="K13" s="36">
        <v>45184</v>
      </c>
    </row>
    <row r="14" spans="1:15" x14ac:dyDescent="0.3">
      <c r="A14" s="2" t="s">
        <v>52</v>
      </c>
      <c r="B14" s="1" t="s">
        <v>53</v>
      </c>
      <c r="C14" s="1">
        <v>64</v>
      </c>
      <c r="D14" s="1" t="s">
        <v>13</v>
      </c>
      <c r="E14" s="1" t="s">
        <v>21</v>
      </c>
      <c r="F14" s="1" t="s">
        <v>15</v>
      </c>
      <c r="G14" s="1" t="s">
        <v>47</v>
      </c>
      <c r="H14" s="1" t="s">
        <v>17</v>
      </c>
      <c r="I14" s="1" t="s">
        <v>30</v>
      </c>
      <c r="J14" s="1">
        <v>0.39</v>
      </c>
      <c r="K14" s="36">
        <v>44135</v>
      </c>
    </row>
    <row r="15" spans="1:15" x14ac:dyDescent="0.3">
      <c r="A15" s="2" t="s">
        <v>54</v>
      </c>
      <c r="B15" s="1" t="s">
        <v>55</v>
      </c>
      <c r="C15" s="1">
        <v>65</v>
      </c>
      <c r="D15" s="1" t="s">
        <v>13</v>
      </c>
      <c r="E15" s="1" t="s">
        <v>14</v>
      </c>
      <c r="F15" s="1" t="s">
        <v>46</v>
      </c>
      <c r="G15" s="1" t="s">
        <v>47</v>
      </c>
      <c r="H15" s="1" t="s">
        <v>17</v>
      </c>
      <c r="I15" s="1" t="s">
        <v>30</v>
      </c>
      <c r="J15" s="1">
        <v>0.51</v>
      </c>
      <c r="K15" s="36">
        <v>44512</v>
      </c>
    </row>
    <row r="16" spans="1:15" x14ac:dyDescent="0.3">
      <c r="A16" s="2" t="s">
        <v>56</v>
      </c>
      <c r="B16" s="1" t="s">
        <v>57</v>
      </c>
      <c r="C16" s="1">
        <v>63</v>
      </c>
      <c r="D16" s="1" t="s">
        <v>20</v>
      </c>
      <c r="E16" s="1" t="s">
        <v>33</v>
      </c>
      <c r="F16" s="1" t="s">
        <v>46</v>
      </c>
      <c r="G16" s="1" t="s">
        <v>22</v>
      </c>
      <c r="H16" s="1" t="s">
        <v>17</v>
      </c>
      <c r="I16" s="1" t="s">
        <v>30</v>
      </c>
      <c r="J16" s="1">
        <v>0.52</v>
      </c>
      <c r="K16" s="36">
        <v>45501</v>
      </c>
    </row>
    <row r="17" spans="1:11" x14ac:dyDescent="0.3">
      <c r="A17" s="2" t="s">
        <v>58</v>
      </c>
      <c r="B17" s="1" t="s">
        <v>59</v>
      </c>
      <c r="C17" s="1">
        <v>67</v>
      </c>
      <c r="D17" s="1" t="s">
        <v>13</v>
      </c>
      <c r="E17" s="1" t="s">
        <v>14</v>
      </c>
      <c r="F17" s="1" t="s">
        <v>15</v>
      </c>
      <c r="G17" s="1" t="s">
        <v>38</v>
      </c>
      <c r="H17" s="1" t="s">
        <v>17</v>
      </c>
      <c r="I17" s="1" t="s">
        <v>30</v>
      </c>
      <c r="J17" s="1">
        <v>0.51</v>
      </c>
      <c r="K17" s="36">
        <v>45271</v>
      </c>
    </row>
    <row r="18" spans="1:11" x14ac:dyDescent="0.3">
      <c r="A18" s="2" t="s">
        <v>60</v>
      </c>
      <c r="B18" s="1" t="s">
        <v>61</v>
      </c>
      <c r="C18" s="1">
        <v>50</v>
      </c>
      <c r="D18" s="1" t="s">
        <v>20</v>
      </c>
      <c r="E18" s="1" t="s">
        <v>21</v>
      </c>
      <c r="F18" s="1" t="s">
        <v>62</v>
      </c>
      <c r="G18" s="1" t="s">
        <v>25</v>
      </c>
      <c r="H18" s="1" t="s">
        <v>30</v>
      </c>
      <c r="I18" s="1" t="s">
        <v>17</v>
      </c>
      <c r="J18" s="1">
        <v>0.36</v>
      </c>
      <c r="K18" s="36">
        <v>44560</v>
      </c>
    </row>
    <row r="19" spans="1:11" x14ac:dyDescent="0.3">
      <c r="A19" s="2" t="s">
        <v>63</v>
      </c>
      <c r="B19" s="1" t="s">
        <v>64</v>
      </c>
      <c r="C19" s="1">
        <v>26</v>
      </c>
      <c r="D19" s="1" t="s">
        <v>13</v>
      </c>
      <c r="E19" s="1" t="s">
        <v>33</v>
      </c>
      <c r="F19" s="1" t="s">
        <v>46</v>
      </c>
      <c r="G19" s="1" t="s">
        <v>25</v>
      </c>
      <c r="H19" s="1" t="s">
        <v>17</v>
      </c>
      <c r="I19" s="1" t="s">
        <v>17</v>
      </c>
      <c r="J19" s="1">
        <v>0.14000000000000001</v>
      </c>
      <c r="K19" s="36">
        <v>45368</v>
      </c>
    </row>
    <row r="20" spans="1:11" x14ac:dyDescent="0.3">
      <c r="A20" s="2" t="s">
        <v>65</v>
      </c>
      <c r="B20" s="1" t="s">
        <v>66</v>
      </c>
      <c r="C20" s="1">
        <v>70</v>
      </c>
      <c r="D20" s="1" t="s">
        <v>13</v>
      </c>
      <c r="E20" s="1" t="s">
        <v>14</v>
      </c>
      <c r="F20" s="1" t="s">
        <v>29</v>
      </c>
      <c r="G20" s="1" t="s">
        <v>25</v>
      </c>
      <c r="H20" s="1" t="s">
        <v>17</v>
      </c>
      <c r="I20" s="1" t="s">
        <v>17</v>
      </c>
      <c r="J20" s="1">
        <v>0.36</v>
      </c>
      <c r="K20" s="36">
        <v>45851</v>
      </c>
    </row>
    <row r="21" spans="1:11" x14ac:dyDescent="0.3">
      <c r="A21" s="2" t="s">
        <v>67</v>
      </c>
      <c r="B21" s="1" t="s">
        <v>68</v>
      </c>
      <c r="C21" s="1">
        <v>46</v>
      </c>
      <c r="D21" s="1" t="s">
        <v>20</v>
      </c>
      <c r="E21" s="1" t="s">
        <v>21</v>
      </c>
      <c r="F21" s="1" t="s">
        <v>46</v>
      </c>
      <c r="G21" s="1" t="s">
        <v>16</v>
      </c>
      <c r="H21" s="1" t="s">
        <v>17</v>
      </c>
      <c r="I21" s="1" t="s">
        <v>17</v>
      </c>
      <c r="J21" s="1">
        <v>0.23</v>
      </c>
      <c r="K21" s="36">
        <v>44091</v>
      </c>
    </row>
    <row r="22" spans="1:11" x14ac:dyDescent="0.3">
      <c r="A22" s="2" t="s">
        <v>69</v>
      </c>
      <c r="B22" s="1" t="s">
        <v>70</v>
      </c>
      <c r="C22" s="1">
        <v>49</v>
      </c>
      <c r="D22" s="1" t="s">
        <v>20</v>
      </c>
      <c r="E22" s="1" t="s">
        <v>33</v>
      </c>
      <c r="F22" s="1" t="s">
        <v>29</v>
      </c>
      <c r="G22" s="1" t="s">
        <v>22</v>
      </c>
      <c r="H22" s="1" t="s">
        <v>30</v>
      </c>
      <c r="I22" s="1" t="s">
        <v>30</v>
      </c>
      <c r="J22" s="1">
        <v>0.55000000000000004</v>
      </c>
      <c r="K22" s="36">
        <v>45843</v>
      </c>
    </row>
    <row r="23" spans="1:11" x14ac:dyDescent="0.3">
      <c r="A23" s="2" t="s">
        <v>71</v>
      </c>
      <c r="B23" s="1" t="s">
        <v>72</v>
      </c>
      <c r="C23" s="1">
        <v>41</v>
      </c>
      <c r="D23" s="1" t="s">
        <v>13</v>
      </c>
      <c r="E23" s="1" t="s">
        <v>28</v>
      </c>
      <c r="F23" s="1" t="s">
        <v>15</v>
      </c>
      <c r="G23" s="1" t="s">
        <v>25</v>
      </c>
      <c r="H23" s="1" t="s">
        <v>17</v>
      </c>
      <c r="I23" s="1" t="s">
        <v>17</v>
      </c>
      <c r="J23" s="1">
        <v>0.16</v>
      </c>
      <c r="K23" s="36">
        <v>45607</v>
      </c>
    </row>
    <row r="24" spans="1:11" x14ac:dyDescent="0.3">
      <c r="A24" s="2" t="s">
        <v>73</v>
      </c>
      <c r="B24" s="1" t="s">
        <v>74</v>
      </c>
      <c r="C24" s="1">
        <v>29</v>
      </c>
      <c r="D24" s="1" t="s">
        <v>20</v>
      </c>
      <c r="E24" s="1" t="s">
        <v>33</v>
      </c>
      <c r="F24" s="1" t="s">
        <v>15</v>
      </c>
      <c r="G24" s="1" t="s">
        <v>43</v>
      </c>
      <c r="H24" s="1" t="s">
        <v>17</v>
      </c>
      <c r="I24" s="1" t="s">
        <v>30</v>
      </c>
      <c r="J24" s="1">
        <v>0.38</v>
      </c>
      <c r="K24" s="36">
        <v>44822</v>
      </c>
    </row>
    <row r="25" spans="1:11" x14ac:dyDescent="0.3">
      <c r="A25" s="2" t="s">
        <v>75</v>
      </c>
      <c r="B25" s="1" t="s">
        <v>76</v>
      </c>
      <c r="C25" s="1">
        <v>76</v>
      </c>
      <c r="D25" s="1" t="s">
        <v>13</v>
      </c>
      <c r="E25" s="1" t="s">
        <v>21</v>
      </c>
      <c r="F25" s="1" t="s">
        <v>46</v>
      </c>
      <c r="G25" s="1" t="s">
        <v>38</v>
      </c>
      <c r="H25" s="1" t="s">
        <v>17</v>
      </c>
      <c r="I25" s="1" t="s">
        <v>30</v>
      </c>
      <c r="J25" s="1">
        <v>0.36</v>
      </c>
      <c r="K25" s="36">
        <v>44417</v>
      </c>
    </row>
    <row r="26" spans="1:11" x14ac:dyDescent="0.3">
      <c r="A26" s="2" t="s">
        <v>77</v>
      </c>
      <c r="B26" s="1" t="s">
        <v>78</v>
      </c>
      <c r="C26" s="1">
        <v>67</v>
      </c>
      <c r="D26" s="1" t="s">
        <v>20</v>
      </c>
      <c r="E26" s="1" t="s">
        <v>14</v>
      </c>
      <c r="F26" s="1" t="s">
        <v>29</v>
      </c>
      <c r="G26" s="1" t="s">
        <v>22</v>
      </c>
      <c r="H26" s="1" t="s">
        <v>17</v>
      </c>
      <c r="I26" s="1" t="s">
        <v>30</v>
      </c>
      <c r="J26" s="1">
        <v>0.47</v>
      </c>
      <c r="K26" s="36">
        <v>46175</v>
      </c>
    </row>
    <row r="27" spans="1:11" x14ac:dyDescent="0.3">
      <c r="A27" s="2" t="s">
        <v>79</v>
      </c>
      <c r="B27" s="1" t="s">
        <v>80</v>
      </c>
      <c r="C27" s="1">
        <v>58</v>
      </c>
      <c r="D27" s="1" t="s">
        <v>13</v>
      </c>
      <c r="E27" s="1" t="s">
        <v>33</v>
      </c>
      <c r="F27" s="1" t="s">
        <v>62</v>
      </c>
      <c r="G27" s="1" t="s">
        <v>43</v>
      </c>
      <c r="H27" s="1" t="s">
        <v>17</v>
      </c>
      <c r="I27" s="1" t="s">
        <v>30</v>
      </c>
      <c r="J27" s="1">
        <v>0.51</v>
      </c>
      <c r="K27" s="36">
        <v>44814</v>
      </c>
    </row>
    <row r="28" spans="1:11" x14ac:dyDescent="0.3">
      <c r="A28" s="2" t="s">
        <v>81</v>
      </c>
      <c r="B28" s="1" t="s">
        <v>82</v>
      </c>
      <c r="C28" s="1">
        <v>43</v>
      </c>
      <c r="D28" s="1" t="s">
        <v>20</v>
      </c>
      <c r="E28" s="1" t="s">
        <v>28</v>
      </c>
      <c r="F28" s="1" t="s">
        <v>46</v>
      </c>
      <c r="G28" s="1" t="s">
        <v>43</v>
      </c>
      <c r="H28" s="1" t="s">
        <v>17</v>
      </c>
      <c r="I28" s="1" t="s">
        <v>30</v>
      </c>
      <c r="J28" s="1">
        <v>0.45</v>
      </c>
      <c r="K28" s="36">
        <v>44280</v>
      </c>
    </row>
    <row r="29" spans="1:11" x14ac:dyDescent="0.3">
      <c r="A29" s="2" t="s">
        <v>83</v>
      </c>
      <c r="B29" s="1" t="s">
        <v>84</v>
      </c>
      <c r="C29" s="1">
        <v>69</v>
      </c>
      <c r="D29" s="1" t="s">
        <v>20</v>
      </c>
      <c r="E29" s="1" t="s">
        <v>28</v>
      </c>
      <c r="F29" s="1" t="s">
        <v>46</v>
      </c>
      <c r="G29" s="1" t="s">
        <v>43</v>
      </c>
      <c r="H29" s="1" t="s">
        <v>17</v>
      </c>
      <c r="I29" s="1" t="s">
        <v>17</v>
      </c>
      <c r="J29" s="1">
        <v>0.32</v>
      </c>
      <c r="K29" s="36">
        <v>44289</v>
      </c>
    </row>
    <row r="30" spans="1:11" x14ac:dyDescent="0.3">
      <c r="A30" s="2" t="s">
        <v>85</v>
      </c>
      <c r="B30" s="1" t="s">
        <v>86</v>
      </c>
      <c r="C30" s="1">
        <v>52</v>
      </c>
      <c r="D30" s="1" t="s">
        <v>13</v>
      </c>
      <c r="E30" s="1" t="s">
        <v>28</v>
      </c>
      <c r="F30" s="1" t="s">
        <v>62</v>
      </c>
      <c r="G30" s="1" t="s">
        <v>47</v>
      </c>
      <c r="H30" s="1" t="s">
        <v>30</v>
      </c>
      <c r="I30" s="1" t="s">
        <v>30</v>
      </c>
      <c r="J30" s="1">
        <v>0.45</v>
      </c>
      <c r="K30" s="36">
        <v>45934</v>
      </c>
    </row>
    <row r="31" spans="1:11" x14ac:dyDescent="0.3">
      <c r="A31" s="2" t="s">
        <v>87</v>
      </c>
      <c r="B31" s="1" t="s">
        <v>88</v>
      </c>
      <c r="C31" s="1">
        <v>45</v>
      </c>
      <c r="D31" s="1" t="s">
        <v>13</v>
      </c>
      <c r="E31" s="1" t="s">
        <v>28</v>
      </c>
      <c r="F31" s="1" t="s">
        <v>29</v>
      </c>
      <c r="G31" s="1" t="s">
        <v>22</v>
      </c>
      <c r="H31" s="1" t="s">
        <v>17</v>
      </c>
      <c r="I31" s="1" t="s">
        <v>17</v>
      </c>
      <c r="J31" s="1">
        <v>0.21</v>
      </c>
      <c r="K31" s="36">
        <v>45400</v>
      </c>
    </row>
    <row r="32" spans="1:11" x14ac:dyDescent="0.3">
      <c r="A32" s="2" t="s">
        <v>89</v>
      </c>
      <c r="B32" s="1" t="s">
        <v>90</v>
      </c>
      <c r="C32" s="1">
        <v>46</v>
      </c>
      <c r="D32" s="1" t="s">
        <v>20</v>
      </c>
      <c r="E32" s="1" t="s">
        <v>33</v>
      </c>
      <c r="F32" s="1" t="s">
        <v>46</v>
      </c>
      <c r="G32" s="1" t="s">
        <v>38</v>
      </c>
      <c r="H32" s="1" t="s">
        <v>17</v>
      </c>
      <c r="I32" s="1" t="s">
        <v>30</v>
      </c>
      <c r="J32" s="1">
        <v>0.48</v>
      </c>
      <c r="K32" s="36">
        <v>45846</v>
      </c>
    </row>
    <row r="33" spans="1:11" x14ac:dyDescent="0.3">
      <c r="A33" s="2" t="s">
        <v>91</v>
      </c>
      <c r="B33" s="1" t="s">
        <v>92</v>
      </c>
      <c r="C33" s="1">
        <v>32</v>
      </c>
      <c r="D33" s="1" t="s">
        <v>20</v>
      </c>
      <c r="E33" s="1" t="s">
        <v>33</v>
      </c>
      <c r="F33" s="1" t="s">
        <v>46</v>
      </c>
      <c r="G33" s="1" t="s">
        <v>43</v>
      </c>
      <c r="H33" s="1" t="s">
        <v>17</v>
      </c>
      <c r="I33" s="1" t="s">
        <v>17</v>
      </c>
      <c r="J33" s="1">
        <v>0.15</v>
      </c>
      <c r="K33" s="36">
        <v>45676</v>
      </c>
    </row>
    <row r="34" spans="1:11" x14ac:dyDescent="0.3">
      <c r="A34" s="2" t="s">
        <v>93</v>
      </c>
      <c r="B34" s="1" t="s">
        <v>94</v>
      </c>
      <c r="C34" s="1">
        <v>23</v>
      </c>
      <c r="D34" s="1" t="s">
        <v>13</v>
      </c>
      <c r="E34" s="1" t="s">
        <v>33</v>
      </c>
      <c r="F34" s="1" t="s">
        <v>62</v>
      </c>
      <c r="G34" s="1" t="s">
        <v>16</v>
      </c>
      <c r="H34" s="1" t="s">
        <v>17</v>
      </c>
      <c r="I34" s="1" t="s">
        <v>17</v>
      </c>
      <c r="J34" s="1">
        <v>0.25</v>
      </c>
      <c r="K34" s="36">
        <v>45252</v>
      </c>
    </row>
    <row r="35" spans="1:11" x14ac:dyDescent="0.3">
      <c r="A35" s="2" t="s">
        <v>95</v>
      </c>
      <c r="B35" s="1" t="s">
        <v>96</v>
      </c>
      <c r="C35" s="1">
        <v>52</v>
      </c>
      <c r="D35" s="1" t="s">
        <v>13</v>
      </c>
      <c r="E35" s="1" t="s">
        <v>33</v>
      </c>
      <c r="F35" s="1" t="s">
        <v>46</v>
      </c>
      <c r="G35" s="1" t="s">
        <v>47</v>
      </c>
      <c r="H35" s="1" t="s">
        <v>30</v>
      </c>
      <c r="I35" s="1" t="s">
        <v>17</v>
      </c>
      <c r="J35" s="1">
        <v>0.46</v>
      </c>
      <c r="K35" s="36">
        <v>46210</v>
      </c>
    </row>
    <row r="36" spans="1:11" x14ac:dyDescent="0.3">
      <c r="A36" s="2" t="s">
        <v>97</v>
      </c>
      <c r="B36" s="1" t="s">
        <v>98</v>
      </c>
      <c r="C36" s="1">
        <v>73</v>
      </c>
      <c r="D36" s="1" t="s">
        <v>20</v>
      </c>
      <c r="E36" s="1" t="s">
        <v>33</v>
      </c>
      <c r="F36" s="1" t="s">
        <v>15</v>
      </c>
      <c r="G36" s="1" t="s">
        <v>38</v>
      </c>
      <c r="H36" s="1" t="s">
        <v>17</v>
      </c>
      <c r="I36" s="1" t="s">
        <v>17</v>
      </c>
      <c r="J36" s="1">
        <v>0.32</v>
      </c>
      <c r="K36" s="36">
        <v>44906</v>
      </c>
    </row>
    <row r="37" spans="1:11" x14ac:dyDescent="0.3">
      <c r="A37" s="2" t="s">
        <v>99</v>
      </c>
      <c r="B37" s="1" t="s">
        <v>100</v>
      </c>
      <c r="C37" s="1">
        <v>22</v>
      </c>
      <c r="D37" s="1" t="s">
        <v>13</v>
      </c>
      <c r="E37" s="1" t="s">
        <v>21</v>
      </c>
      <c r="F37" s="1" t="s">
        <v>46</v>
      </c>
      <c r="G37" s="1" t="s">
        <v>25</v>
      </c>
      <c r="H37" s="1" t="s">
        <v>17</v>
      </c>
      <c r="I37" s="1" t="s">
        <v>30</v>
      </c>
      <c r="J37" s="1">
        <v>0.55000000000000004</v>
      </c>
      <c r="K37" s="36">
        <v>45287</v>
      </c>
    </row>
    <row r="38" spans="1:11" x14ac:dyDescent="0.3">
      <c r="A38" s="2" t="s">
        <v>101</v>
      </c>
      <c r="B38" s="1" t="s">
        <v>102</v>
      </c>
      <c r="C38" s="1">
        <v>72</v>
      </c>
      <c r="D38" s="1" t="s">
        <v>13</v>
      </c>
      <c r="E38" s="1" t="s">
        <v>28</v>
      </c>
      <c r="F38" s="1" t="s">
        <v>15</v>
      </c>
      <c r="G38" s="1" t="s">
        <v>25</v>
      </c>
      <c r="H38" s="1" t="s">
        <v>17</v>
      </c>
      <c r="I38" s="1" t="s">
        <v>17</v>
      </c>
      <c r="J38" s="1">
        <v>0.24</v>
      </c>
      <c r="K38" s="36">
        <v>45895</v>
      </c>
    </row>
    <row r="39" spans="1:11" x14ac:dyDescent="0.3">
      <c r="A39" s="2" t="s">
        <v>103</v>
      </c>
      <c r="B39" s="1" t="s">
        <v>104</v>
      </c>
      <c r="C39" s="1">
        <v>70</v>
      </c>
      <c r="D39" s="1" t="s">
        <v>13</v>
      </c>
      <c r="E39" s="1" t="s">
        <v>21</v>
      </c>
      <c r="F39" s="1" t="s">
        <v>62</v>
      </c>
      <c r="G39" s="1" t="s">
        <v>43</v>
      </c>
      <c r="H39" s="1" t="s">
        <v>17</v>
      </c>
      <c r="I39" s="1" t="s">
        <v>30</v>
      </c>
      <c r="J39" s="1">
        <v>0.37</v>
      </c>
      <c r="K39" s="36">
        <v>45432</v>
      </c>
    </row>
    <row r="40" spans="1:11" x14ac:dyDescent="0.3">
      <c r="A40" s="2" t="s">
        <v>105</v>
      </c>
      <c r="B40" s="1" t="s">
        <v>106</v>
      </c>
      <c r="C40" s="1">
        <v>35</v>
      </c>
      <c r="D40" s="1" t="s">
        <v>13</v>
      </c>
      <c r="E40" s="1" t="s">
        <v>14</v>
      </c>
      <c r="F40" s="1" t="s">
        <v>15</v>
      </c>
      <c r="G40" s="1" t="s">
        <v>43</v>
      </c>
      <c r="H40" s="1" t="s">
        <v>17</v>
      </c>
      <c r="I40" s="1" t="s">
        <v>17</v>
      </c>
      <c r="J40" s="1">
        <v>0.27</v>
      </c>
      <c r="K40" s="36">
        <v>45965</v>
      </c>
    </row>
    <row r="41" spans="1:11" x14ac:dyDescent="0.3">
      <c r="A41" s="2" t="s">
        <v>107</v>
      </c>
      <c r="B41" s="1" t="s">
        <v>108</v>
      </c>
      <c r="C41" s="1">
        <v>57</v>
      </c>
      <c r="D41" s="1" t="s">
        <v>13</v>
      </c>
      <c r="E41" s="1" t="s">
        <v>14</v>
      </c>
      <c r="F41" s="1" t="s">
        <v>15</v>
      </c>
      <c r="G41" s="1" t="s">
        <v>25</v>
      </c>
      <c r="H41" s="1" t="s">
        <v>17</v>
      </c>
      <c r="I41" s="1" t="s">
        <v>30</v>
      </c>
      <c r="J41" s="1">
        <v>0.36</v>
      </c>
      <c r="K41" s="36">
        <v>45342</v>
      </c>
    </row>
    <row r="42" spans="1:11" x14ac:dyDescent="0.3">
      <c r="A42" s="2" t="s">
        <v>109</v>
      </c>
      <c r="B42" s="1" t="s">
        <v>110</v>
      </c>
      <c r="C42" s="1">
        <v>28</v>
      </c>
      <c r="D42" s="1" t="s">
        <v>20</v>
      </c>
      <c r="E42" s="1" t="s">
        <v>28</v>
      </c>
      <c r="F42" s="1" t="s">
        <v>15</v>
      </c>
      <c r="G42" s="1" t="s">
        <v>25</v>
      </c>
      <c r="H42" s="1" t="s">
        <v>30</v>
      </c>
      <c r="I42" s="1" t="s">
        <v>17</v>
      </c>
      <c r="J42" s="1">
        <v>0.37</v>
      </c>
      <c r="K42" s="36">
        <v>45621</v>
      </c>
    </row>
    <row r="43" spans="1:11" x14ac:dyDescent="0.3">
      <c r="A43" s="2" t="s">
        <v>111</v>
      </c>
      <c r="B43" s="1" t="s">
        <v>112</v>
      </c>
      <c r="C43" s="1">
        <v>65</v>
      </c>
      <c r="D43" s="1" t="s">
        <v>13</v>
      </c>
      <c r="E43" s="1" t="s">
        <v>21</v>
      </c>
      <c r="F43" s="1" t="s">
        <v>62</v>
      </c>
      <c r="G43" s="1" t="s">
        <v>25</v>
      </c>
      <c r="H43" s="1" t="s">
        <v>30</v>
      </c>
      <c r="I43" s="1" t="s">
        <v>30</v>
      </c>
      <c r="J43" s="1">
        <v>0.61</v>
      </c>
      <c r="K43" s="36">
        <v>44177</v>
      </c>
    </row>
    <row r="44" spans="1:11" x14ac:dyDescent="0.3">
      <c r="A44" s="2" t="s">
        <v>113</v>
      </c>
      <c r="B44" s="1" t="s">
        <v>114</v>
      </c>
      <c r="C44" s="1">
        <v>62</v>
      </c>
      <c r="D44" s="1" t="s">
        <v>13</v>
      </c>
      <c r="E44" s="1" t="s">
        <v>14</v>
      </c>
      <c r="F44" s="1" t="s">
        <v>46</v>
      </c>
      <c r="G44" s="1" t="s">
        <v>43</v>
      </c>
      <c r="H44" s="1" t="s">
        <v>17</v>
      </c>
      <c r="I44" s="1" t="s">
        <v>17</v>
      </c>
      <c r="J44" s="1">
        <v>0.34</v>
      </c>
      <c r="K44" s="36">
        <v>44576</v>
      </c>
    </row>
    <row r="45" spans="1:11" x14ac:dyDescent="0.3">
      <c r="A45" s="2" t="s">
        <v>115</v>
      </c>
      <c r="B45" s="1" t="s">
        <v>116</v>
      </c>
      <c r="C45" s="1">
        <v>40</v>
      </c>
      <c r="D45" s="1" t="s">
        <v>13</v>
      </c>
      <c r="E45" s="1" t="s">
        <v>14</v>
      </c>
      <c r="F45" s="1" t="s">
        <v>46</v>
      </c>
      <c r="G45" s="1" t="s">
        <v>22</v>
      </c>
      <c r="H45" s="1" t="s">
        <v>17</v>
      </c>
      <c r="I45" s="1" t="s">
        <v>17</v>
      </c>
      <c r="J45" s="1">
        <v>0.24</v>
      </c>
      <c r="K45" s="36">
        <v>44711</v>
      </c>
    </row>
    <row r="46" spans="1:11" x14ac:dyDescent="0.3">
      <c r="A46" s="2" t="s">
        <v>117</v>
      </c>
      <c r="B46" s="1" t="s">
        <v>118</v>
      </c>
      <c r="C46" s="1">
        <v>22</v>
      </c>
      <c r="D46" s="1" t="s">
        <v>20</v>
      </c>
      <c r="E46" s="1" t="s">
        <v>21</v>
      </c>
      <c r="F46" s="1" t="s">
        <v>46</v>
      </c>
      <c r="G46" s="1" t="s">
        <v>25</v>
      </c>
      <c r="H46" s="1" t="s">
        <v>30</v>
      </c>
      <c r="I46" s="1" t="s">
        <v>17</v>
      </c>
      <c r="J46" s="1">
        <v>0.46</v>
      </c>
      <c r="K46" s="36">
        <v>44251</v>
      </c>
    </row>
    <row r="47" spans="1:11" x14ac:dyDescent="0.3">
      <c r="A47" s="2" t="s">
        <v>119</v>
      </c>
      <c r="B47" s="1" t="s">
        <v>120</v>
      </c>
      <c r="C47" s="1">
        <v>79</v>
      </c>
      <c r="D47" s="1" t="s">
        <v>20</v>
      </c>
      <c r="E47" s="1" t="s">
        <v>21</v>
      </c>
      <c r="F47" s="1" t="s">
        <v>29</v>
      </c>
      <c r="G47" s="1" t="s">
        <v>25</v>
      </c>
      <c r="H47" s="1" t="s">
        <v>17</v>
      </c>
      <c r="I47" s="1" t="s">
        <v>30</v>
      </c>
      <c r="J47" s="1">
        <v>0.41</v>
      </c>
      <c r="K47" s="36">
        <v>44587</v>
      </c>
    </row>
    <row r="48" spans="1:11" x14ac:dyDescent="0.3">
      <c r="A48" s="2" t="s">
        <v>121</v>
      </c>
      <c r="B48" s="1" t="s">
        <v>122</v>
      </c>
      <c r="C48" s="1">
        <v>46</v>
      </c>
      <c r="D48" s="1" t="s">
        <v>13</v>
      </c>
      <c r="E48" s="1" t="s">
        <v>14</v>
      </c>
      <c r="F48" s="1" t="s">
        <v>62</v>
      </c>
      <c r="G48" s="1" t="s">
        <v>38</v>
      </c>
      <c r="H48" s="1" t="s">
        <v>17</v>
      </c>
      <c r="I48" s="1" t="s">
        <v>30</v>
      </c>
      <c r="J48" s="1">
        <v>0.42</v>
      </c>
      <c r="K48" s="36">
        <v>44298</v>
      </c>
    </row>
    <row r="49" spans="1:11" x14ac:dyDescent="0.3">
      <c r="A49" s="2" t="s">
        <v>123</v>
      </c>
      <c r="B49" s="1" t="s">
        <v>124</v>
      </c>
      <c r="C49" s="1">
        <v>74</v>
      </c>
      <c r="D49" s="1" t="s">
        <v>20</v>
      </c>
      <c r="E49" s="1" t="s">
        <v>28</v>
      </c>
      <c r="F49" s="1" t="s">
        <v>46</v>
      </c>
      <c r="G49" s="1" t="s">
        <v>25</v>
      </c>
      <c r="H49" s="1" t="s">
        <v>17</v>
      </c>
      <c r="I49" s="1" t="s">
        <v>30</v>
      </c>
      <c r="J49" s="1">
        <v>0.67</v>
      </c>
      <c r="K49" s="36">
        <v>44686</v>
      </c>
    </row>
    <row r="50" spans="1:11" x14ac:dyDescent="0.3">
      <c r="A50" s="2" t="s">
        <v>125</v>
      </c>
      <c r="B50" s="1" t="s">
        <v>126</v>
      </c>
      <c r="C50" s="1">
        <v>60</v>
      </c>
      <c r="D50" s="1" t="s">
        <v>13</v>
      </c>
      <c r="E50" s="1" t="s">
        <v>14</v>
      </c>
      <c r="F50" s="1" t="s">
        <v>15</v>
      </c>
      <c r="G50" s="1" t="s">
        <v>22</v>
      </c>
      <c r="H50" s="1" t="s">
        <v>30</v>
      </c>
      <c r="I50" s="1" t="s">
        <v>17</v>
      </c>
      <c r="J50" s="1">
        <v>0.5</v>
      </c>
      <c r="K50" s="36">
        <v>45470</v>
      </c>
    </row>
    <row r="51" spans="1:11" x14ac:dyDescent="0.3">
      <c r="A51" s="2" t="s">
        <v>127</v>
      </c>
      <c r="B51" s="1" t="s">
        <v>128</v>
      </c>
      <c r="C51" s="1">
        <v>67</v>
      </c>
      <c r="D51" s="1" t="s">
        <v>20</v>
      </c>
      <c r="E51" s="1" t="s">
        <v>28</v>
      </c>
      <c r="F51" s="1" t="s">
        <v>15</v>
      </c>
      <c r="G51" s="1" t="s">
        <v>38</v>
      </c>
      <c r="H51" s="1" t="s">
        <v>17</v>
      </c>
      <c r="I51" s="1" t="s">
        <v>30</v>
      </c>
      <c r="J51" s="1">
        <v>0.44</v>
      </c>
      <c r="K51" s="36">
        <v>44876</v>
      </c>
    </row>
    <row r="52" spans="1:11" x14ac:dyDescent="0.3">
      <c r="A52" s="2" t="s">
        <v>129</v>
      </c>
      <c r="B52" s="1" t="s">
        <v>130</v>
      </c>
      <c r="C52" s="1">
        <v>65</v>
      </c>
      <c r="D52" s="1" t="s">
        <v>13</v>
      </c>
      <c r="E52" s="1" t="s">
        <v>33</v>
      </c>
      <c r="F52" s="1" t="s">
        <v>46</v>
      </c>
      <c r="G52" s="1" t="s">
        <v>47</v>
      </c>
      <c r="H52" s="1" t="s">
        <v>17</v>
      </c>
      <c r="I52" s="1" t="s">
        <v>17</v>
      </c>
      <c r="J52" s="1">
        <v>0.2</v>
      </c>
      <c r="K52" s="36">
        <v>44888</v>
      </c>
    </row>
    <row r="53" spans="1:11" x14ac:dyDescent="0.3">
      <c r="A53" s="2" t="s">
        <v>131</v>
      </c>
      <c r="B53" s="1" t="s">
        <v>132</v>
      </c>
      <c r="C53" s="1">
        <v>30</v>
      </c>
      <c r="D53" s="1" t="s">
        <v>13</v>
      </c>
      <c r="E53" s="1" t="s">
        <v>28</v>
      </c>
      <c r="F53" s="1" t="s">
        <v>29</v>
      </c>
      <c r="G53" s="1" t="s">
        <v>38</v>
      </c>
      <c r="H53" s="1" t="s">
        <v>17</v>
      </c>
      <c r="I53" s="1" t="s">
        <v>17</v>
      </c>
      <c r="J53" s="1">
        <v>0.16</v>
      </c>
      <c r="K53" s="36">
        <v>44536</v>
      </c>
    </row>
    <row r="54" spans="1:11" x14ac:dyDescent="0.3">
      <c r="A54" s="2" t="s">
        <v>133</v>
      </c>
      <c r="B54" s="1" t="s">
        <v>134</v>
      </c>
      <c r="C54" s="1">
        <v>40</v>
      </c>
      <c r="D54" s="1" t="s">
        <v>20</v>
      </c>
      <c r="E54" s="1" t="s">
        <v>28</v>
      </c>
      <c r="F54" s="1" t="s">
        <v>29</v>
      </c>
      <c r="G54" s="1" t="s">
        <v>43</v>
      </c>
      <c r="H54" s="1" t="s">
        <v>17</v>
      </c>
      <c r="I54" s="1" t="s">
        <v>17</v>
      </c>
      <c r="J54" s="1">
        <v>0.19</v>
      </c>
      <c r="K54" s="36">
        <v>44662</v>
      </c>
    </row>
    <row r="55" spans="1:11" x14ac:dyDescent="0.3">
      <c r="A55" s="2" t="s">
        <v>135</v>
      </c>
      <c r="B55" s="1" t="s">
        <v>136</v>
      </c>
      <c r="C55" s="1">
        <v>47</v>
      </c>
      <c r="D55" s="1" t="s">
        <v>20</v>
      </c>
      <c r="E55" s="1" t="s">
        <v>33</v>
      </c>
      <c r="F55" s="1" t="s">
        <v>46</v>
      </c>
      <c r="G55" s="1" t="s">
        <v>25</v>
      </c>
      <c r="H55" s="1" t="s">
        <v>30</v>
      </c>
      <c r="I55" s="1" t="s">
        <v>30</v>
      </c>
      <c r="J55" s="1">
        <v>0.5</v>
      </c>
      <c r="K55" s="36">
        <v>46130</v>
      </c>
    </row>
    <row r="56" spans="1:11" x14ac:dyDescent="0.3">
      <c r="A56" s="2" t="s">
        <v>137</v>
      </c>
      <c r="B56" s="1" t="s">
        <v>138</v>
      </c>
      <c r="C56" s="1">
        <v>49</v>
      </c>
      <c r="D56" s="1" t="s">
        <v>13</v>
      </c>
      <c r="E56" s="1" t="s">
        <v>33</v>
      </c>
      <c r="F56" s="1" t="s">
        <v>46</v>
      </c>
      <c r="G56" s="1" t="s">
        <v>38</v>
      </c>
      <c r="H56" s="1" t="s">
        <v>17</v>
      </c>
      <c r="I56" s="1" t="s">
        <v>17</v>
      </c>
      <c r="J56" s="1">
        <v>0.2</v>
      </c>
      <c r="K56" s="36">
        <v>45497</v>
      </c>
    </row>
    <row r="57" spans="1:11" x14ac:dyDescent="0.3">
      <c r="A57" s="2" t="s">
        <v>139</v>
      </c>
      <c r="B57" s="1" t="s">
        <v>140</v>
      </c>
      <c r="C57" s="1">
        <v>20</v>
      </c>
      <c r="D57" s="1" t="s">
        <v>141</v>
      </c>
      <c r="E57" s="1" t="s">
        <v>21</v>
      </c>
      <c r="F57" s="1" t="s">
        <v>15</v>
      </c>
      <c r="G57" s="1" t="s">
        <v>16</v>
      </c>
      <c r="H57" s="1" t="s">
        <v>17</v>
      </c>
      <c r="I57" s="1" t="s">
        <v>17</v>
      </c>
      <c r="J57" s="1">
        <v>0.36</v>
      </c>
      <c r="K57" s="36">
        <v>45412</v>
      </c>
    </row>
    <row r="58" spans="1:11" x14ac:dyDescent="0.3">
      <c r="A58" s="2" t="s">
        <v>142</v>
      </c>
      <c r="B58" s="1" t="s">
        <v>143</v>
      </c>
      <c r="C58" s="1">
        <v>52</v>
      </c>
      <c r="D58" s="1" t="s">
        <v>20</v>
      </c>
      <c r="E58" s="1" t="s">
        <v>33</v>
      </c>
      <c r="F58" s="1" t="s">
        <v>62</v>
      </c>
      <c r="G58" s="1" t="s">
        <v>16</v>
      </c>
      <c r="H58" s="1" t="s">
        <v>17</v>
      </c>
      <c r="I58" s="1" t="s">
        <v>17</v>
      </c>
      <c r="J58" s="1">
        <v>0.27</v>
      </c>
      <c r="K58" s="36">
        <v>44452</v>
      </c>
    </row>
    <row r="59" spans="1:11" x14ac:dyDescent="0.3">
      <c r="A59" s="2" t="s">
        <v>144</v>
      </c>
      <c r="B59" s="1" t="s">
        <v>145</v>
      </c>
      <c r="C59" s="1">
        <v>27</v>
      </c>
      <c r="D59" s="1" t="s">
        <v>13</v>
      </c>
      <c r="E59" s="1" t="s">
        <v>21</v>
      </c>
      <c r="F59" s="1" t="s">
        <v>29</v>
      </c>
      <c r="G59" s="1" t="s">
        <v>16</v>
      </c>
      <c r="H59" s="1" t="s">
        <v>17</v>
      </c>
      <c r="I59" s="1" t="s">
        <v>17</v>
      </c>
      <c r="J59" s="1">
        <v>0.19</v>
      </c>
      <c r="K59" s="36">
        <v>45675</v>
      </c>
    </row>
    <row r="60" spans="1:11" x14ac:dyDescent="0.3">
      <c r="A60" s="2" t="s">
        <v>146</v>
      </c>
      <c r="B60" s="1" t="s">
        <v>147</v>
      </c>
      <c r="C60" s="1">
        <v>64</v>
      </c>
      <c r="D60" s="1" t="s">
        <v>13</v>
      </c>
      <c r="E60" s="1" t="s">
        <v>33</v>
      </c>
      <c r="F60" s="1" t="s">
        <v>15</v>
      </c>
      <c r="G60" s="1" t="s">
        <v>16</v>
      </c>
      <c r="H60" s="1" t="s">
        <v>17</v>
      </c>
      <c r="I60" s="1" t="s">
        <v>17</v>
      </c>
      <c r="J60" s="1">
        <v>0.21</v>
      </c>
      <c r="K60" s="36">
        <v>44435</v>
      </c>
    </row>
    <row r="61" spans="1:11" x14ac:dyDescent="0.3">
      <c r="A61" s="2" t="s">
        <v>148</v>
      </c>
      <c r="B61" s="1" t="s">
        <v>149</v>
      </c>
      <c r="C61" s="1">
        <v>61</v>
      </c>
      <c r="D61" s="1" t="s">
        <v>20</v>
      </c>
      <c r="E61" s="1" t="s">
        <v>33</v>
      </c>
      <c r="F61" s="1" t="s">
        <v>15</v>
      </c>
      <c r="G61" s="1" t="s">
        <v>43</v>
      </c>
      <c r="H61" s="1" t="s">
        <v>17</v>
      </c>
      <c r="I61" s="1" t="s">
        <v>17</v>
      </c>
      <c r="J61" s="1">
        <v>0.36</v>
      </c>
      <c r="K61" s="36">
        <v>44908</v>
      </c>
    </row>
    <row r="62" spans="1:11" x14ac:dyDescent="0.3">
      <c r="A62" s="2" t="s">
        <v>150</v>
      </c>
      <c r="B62" s="1" t="s">
        <v>151</v>
      </c>
      <c r="C62" s="1">
        <v>76</v>
      </c>
      <c r="D62" s="1" t="s">
        <v>20</v>
      </c>
      <c r="E62" s="1" t="s">
        <v>28</v>
      </c>
      <c r="F62" s="1" t="s">
        <v>46</v>
      </c>
      <c r="G62" s="1" t="s">
        <v>16</v>
      </c>
      <c r="H62" s="1" t="s">
        <v>17</v>
      </c>
      <c r="I62" s="1" t="s">
        <v>17</v>
      </c>
      <c r="J62" s="1">
        <v>0.28000000000000003</v>
      </c>
      <c r="K62" s="36">
        <v>46246</v>
      </c>
    </row>
    <row r="63" spans="1:11" x14ac:dyDescent="0.3">
      <c r="A63" s="2" t="s">
        <v>152</v>
      </c>
      <c r="B63" s="1" t="s">
        <v>153</v>
      </c>
      <c r="C63" s="1">
        <v>64</v>
      </c>
      <c r="D63" s="1" t="s">
        <v>20</v>
      </c>
      <c r="E63" s="1" t="s">
        <v>33</v>
      </c>
      <c r="F63" s="1" t="s">
        <v>46</v>
      </c>
      <c r="G63" s="1" t="s">
        <v>16</v>
      </c>
      <c r="H63" s="1" t="s">
        <v>30</v>
      </c>
      <c r="I63" s="1" t="s">
        <v>30</v>
      </c>
      <c r="J63" s="1">
        <v>0.51</v>
      </c>
      <c r="K63" s="36">
        <v>45479</v>
      </c>
    </row>
    <row r="64" spans="1:11" x14ac:dyDescent="0.3">
      <c r="A64" s="2" t="s">
        <v>154</v>
      </c>
      <c r="B64" s="1" t="s">
        <v>155</v>
      </c>
      <c r="C64" s="1">
        <v>41</v>
      </c>
      <c r="D64" s="1" t="s">
        <v>20</v>
      </c>
      <c r="E64" s="1" t="s">
        <v>14</v>
      </c>
      <c r="F64" s="1" t="s">
        <v>46</v>
      </c>
      <c r="G64" s="1" t="s">
        <v>16</v>
      </c>
      <c r="H64" s="1" t="s">
        <v>17</v>
      </c>
      <c r="I64" s="1" t="s">
        <v>17</v>
      </c>
      <c r="J64" s="1">
        <v>0.24</v>
      </c>
      <c r="K64" s="36">
        <v>45297</v>
      </c>
    </row>
    <row r="65" spans="1:11" x14ac:dyDescent="0.3">
      <c r="A65" s="2" t="s">
        <v>156</v>
      </c>
      <c r="B65" s="1" t="s">
        <v>157</v>
      </c>
      <c r="C65" s="1">
        <v>78</v>
      </c>
      <c r="D65" s="1" t="s">
        <v>20</v>
      </c>
      <c r="E65" s="1" t="s">
        <v>14</v>
      </c>
      <c r="F65" s="1" t="s">
        <v>15</v>
      </c>
      <c r="G65" s="1" t="s">
        <v>22</v>
      </c>
      <c r="H65" s="1" t="s">
        <v>17</v>
      </c>
      <c r="I65" s="1" t="s">
        <v>30</v>
      </c>
      <c r="J65" s="1">
        <v>0.49</v>
      </c>
      <c r="K65" s="36">
        <v>45577</v>
      </c>
    </row>
    <row r="66" spans="1:11" x14ac:dyDescent="0.3">
      <c r="A66" s="2" t="s">
        <v>158</v>
      </c>
      <c r="B66" s="1" t="s">
        <v>159</v>
      </c>
      <c r="C66" s="1">
        <v>43</v>
      </c>
      <c r="D66" s="1" t="s">
        <v>20</v>
      </c>
      <c r="E66" s="1" t="s">
        <v>33</v>
      </c>
      <c r="F66" s="1" t="s">
        <v>62</v>
      </c>
      <c r="G66" s="1" t="s">
        <v>43</v>
      </c>
      <c r="H66" s="1" t="s">
        <v>17</v>
      </c>
      <c r="I66" s="1" t="s">
        <v>17</v>
      </c>
      <c r="J66" s="1">
        <v>0.05</v>
      </c>
      <c r="K66" s="36">
        <v>45924</v>
      </c>
    </row>
    <row r="67" spans="1:11" x14ac:dyDescent="0.3">
      <c r="A67" s="2" t="s">
        <v>160</v>
      </c>
      <c r="B67" s="1" t="s">
        <v>161</v>
      </c>
      <c r="C67" s="1">
        <v>38</v>
      </c>
      <c r="D67" s="1" t="s">
        <v>13</v>
      </c>
      <c r="E67" s="1" t="s">
        <v>14</v>
      </c>
      <c r="F67" s="1" t="s">
        <v>46</v>
      </c>
      <c r="G67" s="1" t="s">
        <v>22</v>
      </c>
      <c r="H67" s="1" t="s">
        <v>17</v>
      </c>
      <c r="I67" s="1" t="s">
        <v>17</v>
      </c>
      <c r="J67" s="1">
        <v>0.15</v>
      </c>
      <c r="K67" s="36">
        <v>45777</v>
      </c>
    </row>
    <row r="68" spans="1:11" x14ac:dyDescent="0.3">
      <c r="A68" s="2" t="s">
        <v>162</v>
      </c>
      <c r="B68" s="1" t="s">
        <v>163</v>
      </c>
      <c r="C68" s="1">
        <v>75</v>
      </c>
      <c r="D68" s="1" t="s">
        <v>13</v>
      </c>
      <c r="E68" s="1" t="s">
        <v>14</v>
      </c>
      <c r="F68" s="1" t="s">
        <v>46</v>
      </c>
      <c r="G68" s="1" t="s">
        <v>25</v>
      </c>
      <c r="H68" s="1" t="s">
        <v>30</v>
      </c>
      <c r="I68" s="1" t="s">
        <v>30</v>
      </c>
      <c r="J68" s="1">
        <v>0.6</v>
      </c>
      <c r="K68" s="36">
        <v>44579</v>
      </c>
    </row>
    <row r="69" spans="1:11" x14ac:dyDescent="0.3">
      <c r="A69" s="2" t="s">
        <v>164</v>
      </c>
      <c r="B69" s="1" t="s">
        <v>165</v>
      </c>
      <c r="C69" s="1">
        <v>41</v>
      </c>
      <c r="D69" s="1" t="s">
        <v>13</v>
      </c>
      <c r="E69" s="1" t="s">
        <v>14</v>
      </c>
      <c r="F69" s="1" t="s">
        <v>29</v>
      </c>
      <c r="G69" s="1" t="s">
        <v>16</v>
      </c>
      <c r="H69" s="1" t="s">
        <v>17</v>
      </c>
      <c r="I69" s="1" t="s">
        <v>30</v>
      </c>
      <c r="J69" s="1">
        <v>0.39</v>
      </c>
      <c r="K69" s="36">
        <v>44147</v>
      </c>
    </row>
    <row r="70" spans="1:11" x14ac:dyDescent="0.3">
      <c r="A70" s="2" t="s">
        <v>166</v>
      </c>
      <c r="B70" s="1" t="s">
        <v>167</v>
      </c>
      <c r="C70" s="1">
        <v>22</v>
      </c>
      <c r="D70" s="1" t="s">
        <v>20</v>
      </c>
      <c r="E70" s="1" t="s">
        <v>33</v>
      </c>
      <c r="F70" s="1" t="s">
        <v>29</v>
      </c>
      <c r="G70" s="1" t="s">
        <v>25</v>
      </c>
      <c r="H70" s="1" t="s">
        <v>17</v>
      </c>
      <c r="I70" s="1" t="s">
        <v>30</v>
      </c>
      <c r="J70" s="1">
        <v>0.37</v>
      </c>
      <c r="K70" s="36">
        <v>44768</v>
      </c>
    </row>
    <row r="71" spans="1:11" x14ac:dyDescent="0.3">
      <c r="A71" s="2" t="s">
        <v>168</v>
      </c>
      <c r="B71" s="1" t="s">
        <v>169</v>
      </c>
      <c r="C71" s="1">
        <v>47</v>
      </c>
      <c r="D71" s="1" t="s">
        <v>20</v>
      </c>
      <c r="E71" s="1" t="s">
        <v>21</v>
      </c>
      <c r="F71" s="1" t="s">
        <v>62</v>
      </c>
      <c r="G71" s="1" t="s">
        <v>25</v>
      </c>
      <c r="H71" s="1" t="s">
        <v>17</v>
      </c>
      <c r="I71" s="1" t="s">
        <v>17</v>
      </c>
      <c r="J71" s="1">
        <v>0.15</v>
      </c>
      <c r="K71" s="36">
        <v>44663</v>
      </c>
    </row>
    <row r="72" spans="1:11" x14ac:dyDescent="0.3">
      <c r="A72" s="2" t="s">
        <v>170</v>
      </c>
      <c r="B72" s="1" t="s">
        <v>171</v>
      </c>
      <c r="C72" s="1">
        <v>68</v>
      </c>
      <c r="D72" s="1" t="s">
        <v>13</v>
      </c>
      <c r="E72" s="1" t="s">
        <v>33</v>
      </c>
      <c r="F72" s="1" t="s">
        <v>62</v>
      </c>
      <c r="G72" s="1" t="s">
        <v>25</v>
      </c>
      <c r="H72" s="1" t="s">
        <v>17</v>
      </c>
      <c r="I72" s="1" t="s">
        <v>30</v>
      </c>
      <c r="J72" s="1">
        <v>0.47</v>
      </c>
      <c r="K72" s="36">
        <v>44539</v>
      </c>
    </row>
    <row r="73" spans="1:11" x14ac:dyDescent="0.3">
      <c r="A73" s="2" t="s">
        <v>172</v>
      </c>
      <c r="B73" s="1" t="s">
        <v>173</v>
      </c>
      <c r="C73" s="1">
        <v>29</v>
      </c>
      <c r="D73" s="1" t="s">
        <v>13</v>
      </c>
      <c r="E73" s="1" t="s">
        <v>14</v>
      </c>
      <c r="F73" s="1" t="s">
        <v>62</v>
      </c>
      <c r="G73" s="1" t="s">
        <v>16</v>
      </c>
      <c r="H73" s="1" t="s">
        <v>17</v>
      </c>
      <c r="I73" s="1" t="s">
        <v>17</v>
      </c>
      <c r="J73" s="1">
        <v>0.17</v>
      </c>
      <c r="K73" s="36">
        <v>46143</v>
      </c>
    </row>
    <row r="74" spans="1:11" x14ac:dyDescent="0.3">
      <c r="A74" s="2" t="s">
        <v>174</v>
      </c>
      <c r="B74" s="1" t="s">
        <v>175</v>
      </c>
      <c r="C74" s="1">
        <v>47</v>
      </c>
      <c r="D74" s="1" t="s">
        <v>20</v>
      </c>
      <c r="E74" s="1" t="s">
        <v>14</v>
      </c>
      <c r="F74" s="1" t="s">
        <v>15</v>
      </c>
      <c r="G74" s="1" t="s">
        <v>16</v>
      </c>
      <c r="H74" s="1" t="s">
        <v>17</v>
      </c>
      <c r="I74" s="1" t="s">
        <v>17</v>
      </c>
      <c r="J74" s="1">
        <v>0.23</v>
      </c>
      <c r="K74" s="36">
        <v>45997</v>
      </c>
    </row>
    <row r="75" spans="1:11" x14ac:dyDescent="0.3">
      <c r="A75" s="2" t="s">
        <v>176</v>
      </c>
      <c r="B75" s="1" t="s">
        <v>177</v>
      </c>
      <c r="C75" s="1">
        <v>26</v>
      </c>
      <c r="D75" s="1" t="s">
        <v>20</v>
      </c>
      <c r="E75" s="1" t="s">
        <v>14</v>
      </c>
      <c r="F75" s="1" t="s">
        <v>46</v>
      </c>
      <c r="G75" s="1" t="s">
        <v>16</v>
      </c>
      <c r="H75" s="1" t="s">
        <v>17</v>
      </c>
      <c r="I75" s="1" t="s">
        <v>17</v>
      </c>
      <c r="J75" s="1">
        <v>0.13</v>
      </c>
      <c r="K75" s="36">
        <v>44766</v>
      </c>
    </row>
    <row r="76" spans="1:11" x14ac:dyDescent="0.3">
      <c r="A76" s="2" t="s">
        <v>178</v>
      </c>
      <c r="B76" s="1" t="s">
        <v>179</v>
      </c>
      <c r="C76" s="1">
        <v>61</v>
      </c>
      <c r="D76" s="1" t="s">
        <v>20</v>
      </c>
      <c r="E76" s="1" t="s">
        <v>21</v>
      </c>
      <c r="F76" s="1" t="s">
        <v>15</v>
      </c>
      <c r="G76" s="1" t="s">
        <v>22</v>
      </c>
      <c r="H76" s="1" t="s">
        <v>17</v>
      </c>
      <c r="I76" s="1" t="s">
        <v>30</v>
      </c>
      <c r="J76" s="1">
        <v>0.35</v>
      </c>
      <c r="K76" s="36">
        <v>45513</v>
      </c>
    </row>
    <row r="77" spans="1:11" x14ac:dyDescent="0.3">
      <c r="A77" s="2" t="s">
        <v>180</v>
      </c>
      <c r="B77" s="1" t="s">
        <v>181</v>
      </c>
      <c r="C77" s="1">
        <v>47</v>
      </c>
      <c r="D77" s="1" t="s">
        <v>13</v>
      </c>
      <c r="E77" s="1" t="s">
        <v>33</v>
      </c>
      <c r="F77" s="1" t="s">
        <v>62</v>
      </c>
      <c r="G77" s="1" t="s">
        <v>25</v>
      </c>
      <c r="H77" s="1" t="s">
        <v>30</v>
      </c>
      <c r="I77" s="1" t="s">
        <v>17</v>
      </c>
      <c r="J77" s="1">
        <v>0.43</v>
      </c>
      <c r="K77" s="36">
        <v>44944</v>
      </c>
    </row>
    <row r="78" spans="1:11" x14ac:dyDescent="0.3">
      <c r="A78" s="2" t="s">
        <v>182</v>
      </c>
      <c r="B78" s="1" t="s">
        <v>183</v>
      </c>
      <c r="C78" s="1">
        <v>38</v>
      </c>
      <c r="D78" s="1" t="s">
        <v>20</v>
      </c>
      <c r="E78" s="1" t="s">
        <v>33</v>
      </c>
      <c r="F78" s="1" t="s">
        <v>62</v>
      </c>
      <c r="G78" s="1" t="s">
        <v>43</v>
      </c>
      <c r="H78" s="1" t="s">
        <v>17</v>
      </c>
      <c r="I78" s="1" t="s">
        <v>30</v>
      </c>
      <c r="J78" s="1">
        <v>0.37</v>
      </c>
      <c r="K78" s="36">
        <v>46081</v>
      </c>
    </row>
    <row r="79" spans="1:11" x14ac:dyDescent="0.3">
      <c r="A79" s="2" t="s">
        <v>184</v>
      </c>
      <c r="B79" s="1" t="s">
        <v>185</v>
      </c>
      <c r="C79" s="1">
        <v>32</v>
      </c>
      <c r="D79" s="1" t="s">
        <v>20</v>
      </c>
      <c r="E79" s="1" t="s">
        <v>28</v>
      </c>
      <c r="F79" s="1" t="s">
        <v>62</v>
      </c>
      <c r="G79" s="1" t="s">
        <v>25</v>
      </c>
      <c r="H79" s="1" t="s">
        <v>17</v>
      </c>
      <c r="I79" s="1" t="s">
        <v>17</v>
      </c>
      <c r="J79" s="1">
        <v>0.26</v>
      </c>
      <c r="K79" s="36">
        <v>45082</v>
      </c>
    </row>
    <row r="80" spans="1:11" x14ac:dyDescent="0.3">
      <c r="A80" s="2" t="s">
        <v>186</v>
      </c>
      <c r="B80" s="1" t="s">
        <v>187</v>
      </c>
      <c r="C80" s="1">
        <v>53</v>
      </c>
      <c r="D80" s="1" t="s">
        <v>20</v>
      </c>
      <c r="E80" s="1" t="s">
        <v>14</v>
      </c>
      <c r="F80" s="1" t="s">
        <v>62</v>
      </c>
      <c r="G80" s="1" t="s">
        <v>25</v>
      </c>
      <c r="H80" s="1" t="s">
        <v>17</v>
      </c>
      <c r="I80" s="1" t="s">
        <v>30</v>
      </c>
      <c r="J80" s="1">
        <v>0.32</v>
      </c>
      <c r="K80" s="36">
        <v>44657</v>
      </c>
    </row>
    <row r="81" spans="1:11" x14ac:dyDescent="0.3">
      <c r="A81" s="2" t="s">
        <v>188</v>
      </c>
      <c r="B81" s="1" t="s">
        <v>189</v>
      </c>
      <c r="C81" s="1">
        <v>60</v>
      </c>
      <c r="D81" s="1" t="s">
        <v>20</v>
      </c>
      <c r="E81" s="1" t="s">
        <v>33</v>
      </c>
      <c r="F81" s="1" t="s">
        <v>46</v>
      </c>
      <c r="G81" s="1" t="s">
        <v>25</v>
      </c>
      <c r="H81" s="1" t="s">
        <v>17</v>
      </c>
      <c r="I81" s="1" t="s">
        <v>30</v>
      </c>
      <c r="J81" s="1">
        <v>0.38</v>
      </c>
      <c r="K81" s="36">
        <v>44617</v>
      </c>
    </row>
    <row r="82" spans="1:11" x14ac:dyDescent="0.3">
      <c r="A82" s="2" t="s">
        <v>190</v>
      </c>
      <c r="B82" s="1" t="s">
        <v>191</v>
      </c>
      <c r="C82" s="1">
        <v>77</v>
      </c>
      <c r="D82" s="1" t="s">
        <v>13</v>
      </c>
      <c r="E82" s="1" t="s">
        <v>33</v>
      </c>
      <c r="F82" s="1" t="s">
        <v>62</v>
      </c>
      <c r="G82" s="1" t="s">
        <v>22</v>
      </c>
      <c r="H82" s="1" t="s">
        <v>17</v>
      </c>
      <c r="I82" s="1" t="s">
        <v>30</v>
      </c>
      <c r="J82" s="1">
        <v>0.51</v>
      </c>
      <c r="K82" s="36">
        <v>45307</v>
      </c>
    </row>
    <row r="83" spans="1:11" x14ac:dyDescent="0.3">
      <c r="A83" s="2" t="s">
        <v>192</v>
      </c>
      <c r="B83" s="1" t="s">
        <v>193</v>
      </c>
      <c r="C83" s="1">
        <v>45</v>
      </c>
      <c r="D83" s="1" t="s">
        <v>13</v>
      </c>
      <c r="E83" s="1" t="s">
        <v>33</v>
      </c>
      <c r="F83" s="1" t="s">
        <v>29</v>
      </c>
      <c r="G83" s="1" t="s">
        <v>38</v>
      </c>
      <c r="H83" s="1" t="s">
        <v>17</v>
      </c>
      <c r="I83" s="1" t="s">
        <v>17</v>
      </c>
      <c r="J83" s="1">
        <v>0.11</v>
      </c>
      <c r="K83" s="36">
        <v>44652</v>
      </c>
    </row>
    <row r="84" spans="1:11" x14ac:dyDescent="0.3">
      <c r="A84" s="2" t="s">
        <v>194</v>
      </c>
      <c r="B84" s="1" t="s">
        <v>195</v>
      </c>
      <c r="C84" s="1">
        <v>28</v>
      </c>
      <c r="D84" s="1" t="s">
        <v>20</v>
      </c>
      <c r="E84" s="1" t="s">
        <v>33</v>
      </c>
      <c r="F84" s="1" t="s">
        <v>62</v>
      </c>
      <c r="G84" s="1" t="s">
        <v>22</v>
      </c>
      <c r="H84" s="1" t="s">
        <v>17</v>
      </c>
      <c r="I84" s="1" t="s">
        <v>30</v>
      </c>
      <c r="J84" s="1">
        <v>0.43</v>
      </c>
      <c r="K84" s="36">
        <v>45358</v>
      </c>
    </row>
    <row r="85" spans="1:11" x14ac:dyDescent="0.3">
      <c r="A85" s="2" t="s">
        <v>196</v>
      </c>
      <c r="B85" s="1" t="s">
        <v>197</v>
      </c>
      <c r="C85" s="1">
        <v>70</v>
      </c>
      <c r="D85" s="1" t="s">
        <v>20</v>
      </c>
      <c r="E85" s="1" t="s">
        <v>28</v>
      </c>
      <c r="F85" s="1" t="s">
        <v>62</v>
      </c>
      <c r="G85" s="1" t="s">
        <v>25</v>
      </c>
      <c r="H85" s="1" t="s">
        <v>17</v>
      </c>
      <c r="I85" s="1" t="s">
        <v>17</v>
      </c>
      <c r="J85" s="1">
        <v>0.36</v>
      </c>
      <c r="K85" s="36">
        <v>46045</v>
      </c>
    </row>
    <row r="86" spans="1:11" x14ac:dyDescent="0.3">
      <c r="A86" s="2" t="s">
        <v>198</v>
      </c>
      <c r="B86" s="1" t="s">
        <v>199</v>
      </c>
      <c r="C86" s="1">
        <v>57</v>
      </c>
      <c r="D86" s="1" t="s">
        <v>20</v>
      </c>
      <c r="E86" s="1" t="s">
        <v>28</v>
      </c>
      <c r="F86" s="1" t="s">
        <v>46</v>
      </c>
      <c r="G86" s="1" t="s">
        <v>25</v>
      </c>
      <c r="H86" s="1" t="s">
        <v>30</v>
      </c>
      <c r="I86" s="1" t="s">
        <v>17</v>
      </c>
      <c r="J86" s="1">
        <v>0.51</v>
      </c>
      <c r="K86" s="36">
        <v>44952</v>
      </c>
    </row>
    <row r="87" spans="1:11" x14ac:dyDescent="0.3">
      <c r="A87" s="2" t="s">
        <v>200</v>
      </c>
      <c r="B87" s="1" t="s">
        <v>201</v>
      </c>
      <c r="C87" s="1">
        <v>62</v>
      </c>
      <c r="D87" s="1" t="s">
        <v>20</v>
      </c>
      <c r="E87" s="1" t="s">
        <v>21</v>
      </c>
      <c r="F87" s="1" t="s">
        <v>29</v>
      </c>
      <c r="G87" s="1" t="s">
        <v>16</v>
      </c>
      <c r="H87" s="1" t="s">
        <v>17</v>
      </c>
      <c r="I87" s="1" t="s">
        <v>17</v>
      </c>
      <c r="J87" s="1">
        <v>0.24</v>
      </c>
      <c r="K87" s="36">
        <v>44557</v>
      </c>
    </row>
    <row r="88" spans="1:11" x14ac:dyDescent="0.3">
      <c r="A88" s="2" t="s">
        <v>202</v>
      </c>
      <c r="B88" s="1" t="s">
        <v>203</v>
      </c>
      <c r="C88" s="1">
        <v>24</v>
      </c>
      <c r="D88" s="1" t="s">
        <v>13</v>
      </c>
      <c r="E88" s="1" t="s">
        <v>14</v>
      </c>
      <c r="F88" s="1" t="s">
        <v>15</v>
      </c>
      <c r="G88" s="1" t="s">
        <v>25</v>
      </c>
      <c r="H88" s="1" t="s">
        <v>17</v>
      </c>
      <c r="I88" s="1" t="s">
        <v>17</v>
      </c>
      <c r="J88" s="1">
        <v>0.2</v>
      </c>
      <c r="K88" s="36">
        <v>46263</v>
      </c>
    </row>
    <row r="89" spans="1:11" x14ac:dyDescent="0.3">
      <c r="A89" s="2" t="s">
        <v>204</v>
      </c>
      <c r="B89" s="1" t="s">
        <v>205</v>
      </c>
      <c r="C89" s="1">
        <v>37</v>
      </c>
      <c r="D89" s="1" t="s">
        <v>13</v>
      </c>
      <c r="E89" s="1" t="s">
        <v>33</v>
      </c>
      <c r="F89" s="1" t="s">
        <v>15</v>
      </c>
      <c r="G89" s="1" t="s">
        <v>38</v>
      </c>
      <c r="H89" s="1" t="s">
        <v>30</v>
      </c>
      <c r="I89" s="1" t="s">
        <v>30</v>
      </c>
      <c r="J89" s="1">
        <v>0.52</v>
      </c>
      <c r="K89" s="36">
        <v>45193</v>
      </c>
    </row>
    <row r="90" spans="1:11" x14ac:dyDescent="0.3">
      <c r="A90" s="2" t="s">
        <v>206</v>
      </c>
      <c r="B90" s="1" t="s">
        <v>207</v>
      </c>
      <c r="C90" s="1">
        <v>66</v>
      </c>
      <c r="D90" s="1" t="s">
        <v>13</v>
      </c>
      <c r="E90" s="1" t="s">
        <v>33</v>
      </c>
      <c r="F90" s="1" t="s">
        <v>15</v>
      </c>
      <c r="G90" s="1" t="s">
        <v>16</v>
      </c>
      <c r="H90" s="1" t="s">
        <v>17</v>
      </c>
      <c r="I90" s="1" t="s">
        <v>30</v>
      </c>
      <c r="J90" s="1">
        <v>0.35</v>
      </c>
      <c r="K90" s="36">
        <v>44276</v>
      </c>
    </row>
    <row r="91" spans="1:11" x14ac:dyDescent="0.3">
      <c r="A91" s="2" t="s">
        <v>208</v>
      </c>
      <c r="B91" s="1" t="s">
        <v>209</v>
      </c>
      <c r="C91" s="1">
        <v>70</v>
      </c>
      <c r="D91" s="1" t="s">
        <v>13</v>
      </c>
      <c r="E91" s="1" t="s">
        <v>14</v>
      </c>
      <c r="F91" s="1" t="s">
        <v>46</v>
      </c>
      <c r="G91" s="1" t="s">
        <v>25</v>
      </c>
      <c r="H91" s="1" t="s">
        <v>17</v>
      </c>
      <c r="I91" s="1" t="s">
        <v>30</v>
      </c>
      <c r="J91" s="1">
        <v>0.37</v>
      </c>
      <c r="K91" s="36">
        <v>44180</v>
      </c>
    </row>
    <row r="92" spans="1:11" x14ac:dyDescent="0.3">
      <c r="A92" s="2" t="s">
        <v>210</v>
      </c>
      <c r="B92" s="1" t="s">
        <v>211</v>
      </c>
      <c r="C92" s="1">
        <v>45</v>
      </c>
      <c r="D92" s="1" t="s">
        <v>13</v>
      </c>
      <c r="E92" s="1" t="s">
        <v>21</v>
      </c>
      <c r="F92" s="1" t="s">
        <v>29</v>
      </c>
      <c r="G92" s="1" t="s">
        <v>16</v>
      </c>
      <c r="H92" s="1" t="s">
        <v>17</v>
      </c>
      <c r="I92" s="1" t="s">
        <v>17</v>
      </c>
      <c r="J92" s="1">
        <v>0.24</v>
      </c>
      <c r="K92" s="36">
        <v>44317</v>
      </c>
    </row>
    <row r="93" spans="1:11" x14ac:dyDescent="0.3">
      <c r="A93" s="2" t="s">
        <v>212</v>
      </c>
      <c r="B93" s="1" t="s">
        <v>213</v>
      </c>
      <c r="C93" s="1">
        <v>68</v>
      </c>
      <c r="D93" s="1" t="s">
        <v>13</v>
      </c>
      <c r="E93" s="1" t="s">
        <v>33</v>
      </c>
      <c r="F93" s="1" t="s">
        <v>62</v>
      </c>
      <c r="G93" s="1" t="s">
        <v>25</v>
      </c>
      <c r="H93" s="1" t="s">
        <v>17</v>
      </c>
      <c r="I93" s="1" t="s">
        <v>30</v>
      </c>
      <c r="J93" s="1">
        <v>0.47</v>
      </c>
      <c r="K93" s="36">
        <v>45452</v>
      </c>
    </row>
    <row r="94" spans="1:11" x14ac:dyDescent="0.3">
      <c r="A94" s="2" t="s">
        <v>214</v>
      </c>
      <c r="B94" s="1" t="s">
        <v>215</v>
      </c>
      <c r="C94" s="1">
        <v>71</v>
      </c>
      <c r="D94" s="1" t="s">
        <v>20</v>
      </c>
      <c r="E94" s="1" t="s">
        <v>33</v>
      </c>
      <c r="F94" s="1" t="s">
        <v>15</v>
      </c>
      <c r="G94" s="1" t="s">
        <v>22</v>
      </c>
      <c r="H94" s="1" t="s">
        <v>17</v>
      </c>
      <c r="I94" s="1" t="s">
        <v>30</v>
      </c>
      <c r="J94" s="1">
        <v>0.37</v>
      </c>
      <c r="K94" s="36">
        <v>45813</v>
      </c>
    </row>
    <row r="95" spans="1:11" x14ac:dyDescent="0.3">
      <c r="A95" s="2" t="s">
        <v>216</v>
      </c>
      <c r="B95" s="1" t="s">
        <v>217</v>
      </c>
      <c r="C95" s="1">
        <v>42</v>
      </c>
      <c r="D95" s="1" t="s">
        <v>20</v>
      </c>
      <c r="E95" s="1" t="s">
        <v>21</v>
      </c>
      <c r="F95" s="1" t="s">
        <v>29</v>
      </c>
      <c r="G95" s="1" t="s">
        <v>16</v>
      </c>
      <c r="H95" s="1" t="s">
        <v>17</v>
      </c>
      <c r="I95" s="1" t="s">
        <v>30</v>
      </c>
      <c r="J95" s="1">
        <v>0.39</v>
      </c>
      <c r="K95" s="36">
        <v>45002</v>
      </c>
    </row>
    <row r="96" spans="1:11" x14ac:dyDescent="0.3">
      <c r="A96" s="2" t="s">
        <v>218</v>
      </c>
      <c r="B96" s="1" t="s">
        <v>219</v>
      </c>
      <c r="C96" s="1">
        <v>74</v>
      </c>
      <c r="D96" s="1" t="s">
        <v>20</v>
      </c>
      <c r="E96" s="1" t="s">
        <v>33</v>
      </c>
      <c r="F96" s="1" t="s">
        <v>46</v>
      </c>
      <c r="G96" s="1" t="s">
        <v>16</v>
      </c>
      <c r="H96" s="1" t="s">
        <v>30</v>
      </c>
      <c r="I96" s="1" t="s">
        <v>17</v>
      </c>
      <c r="J96" s="1">
        <v>0.49</v>
      </c>
      <c r="K96" s="36">
        <v>44216</v>
      </c>
    </row>
    <row r="97" spans="1:11" x14ac:dyDescent="0.3">
      <c r="A97" s="2" t="s">
        <v>220</v>
      </c>
      <c r="B97" s="1" t="s">
        <v>221</v>
      </c>
      <c r="C97" s="1">
        <v>36</v>
      </c>
      <c r="D97" s="1" t="s">
        <v>13</v>
      </c>
      <c r="E97" s="1" t="s">
        <v>28</v>
      </c>
      <c r="F97" s="1" t="s">
        <v>15</v>
      </c>
      <c r="G97" s="1" t="s">
        <v>25</v>
      </c>
      <c r="H97" s="1" t="s">
        <v>30</v>
      </c>
      <c r="I97" s="1" t="s">
        <v>30</v>
      </c>
      <c r="J97" s="1">
        <v>0.62</v>
      </c>
      <c r="K97" s="36">
        <v>44913</v>
      </c>
    </row>
    <row r="98" spans="1:11" x14ac:dyDescent="0.3">
      <c r="A98" s="2" t="s">
        <v>222</v>
      </c>
      <c r="B98" s="1" t="s">
        <v>223</v>
      </c>
      <c r="C98" s="1">
        <v>33</v>
      </c>
      <c r="D98" s="1" t="s">
        <v>20</v>
      </c>
      <c r="E98" s="1" t="s">
        <v>33</v>
      </c>
      <c r="F98" s="1" t="s">
        <v>62</v>
      </c>
      <c r="G98" s="1" t="s">
        <v>47</v>
      </c>
      <c r="H98" s="1" t="s">
        <v>17</v>
      </c>
      <c r="I98" s="1" t="s">
        <v>17</v>
      </c>
      <c r="J98" s="1">
        <v>0.23</v>
      </c>
      <c r="K98" s="36">
        <v>46260</v>
      </c>
    </row>
    <row r="99" spans="1:11" x14ac:dyDescent="0.3">
      <c r="A99" s="2" t="s">
        <v>224</v>
      </c>
      <c r="B99" s="1" t="s">
        <v>225</v>
      </c>
      <c r="C99" s="1">
        <v>60</v>
      </c>
      <c r="D99" s="1" t="s">
        <v>13</v>
      </c>
      <c r="E99" s="1" t="s">
        <v>28</v>
      </c>
      <c r="F99" s="1" t="s">
        <v>46</v>
      </c>
      <c r="G99" s="1" t="s">
        <v>47</v>
      </c>
      <c r="H99" s="1" t="s">
        <v>17</v>
      </c>
      <c r="I99" s="1" t="s">
        <v>30</v>
      </c>
      <c r="J99" s="1">
        <v>0.49</v>
      </c>
      <c r="K99" s="36">
        <v>45236</v>
      </c>
    </row>
    <row r="100" spans="1:11" x14ac:dyDescent="0.3">
      <c r="A100" s="2" t="s">
        <v>226</v>
      </c>
      <c r="B100" s="1" t="s">
        <v>227</v>
      </c>
      <c r="C100" s="1">
        <v>58</v>
      </c>
      <c r="D100" s="1" t="s">
        <v>13</v>
      </c>
      <c r="E100" s="1" t="s">
        <v>14</v>
      </c>
      <c r="F100" s="1" t="s">
        <v>62</v>
      </c>
      <c r="G100" s="1" t="s">
        <v>22</v>
      </c>
      <c r="H100" s="1" t="s">
        <v>30</v>
      </c>
      <c r="I100" s="1" t="s">
        <v>17</v>
      </c>
      <c r="J100" s="1">
        <v>0.49</v>
      </c>
      <c r="K100" s="36">
        <v>46205</v>
      </c>
    </row>
    <row r="101" spans="1:11" x14ac:dyDescent="0.3">
      <c r="A101" s="2" t="s">
        <v>228</v>
      </c>
      <c r="B101" s="1" t="s">
        <v>229</v>
      </c>
      <c r="C101" s="1">
        <v>26</v>
      </c>
      <c r="D101" s="1" t="s">
        <v>13</v>
      </c>
      <c r="E101" s="1" t="s">
        <v>21</v>
      </c>
      <c r="F101" s="1" t="s">
        <v>29</v>
      </c>
      <c r="G101" s="1" t="s">
        <v>47</v>
      </c>
      <c r="H101" s="1" t="s">
        <v>17</v>
      </c>
      <c r="I101" s="1" t="s">
        <v>17</v>
      </c>
      <c r="J101" s="1">
        <v>0.26</v>
      </c>
      <c r="K101" s="36">
        <v>45963</v>
      </c>
    </row>
    <row r="102" spans="1:11" x14ac:dyDescent="0.3">
      <c r="A102" s="2" t="s">
        <v>230</v>
      </c>
      <c r="B102" s="1" t="s">
        <v>231</v>
      </c>
      <c r="C102" s="1">
        <v>70</v>
      </c>
      <c r="D102" s="1" t="s">
        <v>20</v>
      </c>
      <c r="E102" s="1" t="s">
        <v>33</v>
      </c>
      <c r="F102" s="1" t="s">
        <v>62</v>
      </c>
      <c r="G102" s="1" t="s">
        <v>22</v>
      </c>
      <c r="H102" s="1" t="s">
        <v>17</v>
      </c>
      <c r="I102" s="1" t="s">
        <v>30</v>
      </c>
      <c r="J102" s="1">
        <v>0.35</v>
      </c>
      <c r="K102" s="36">
        <v>44102</v>
      </c>
    </row>
    <row r="103" spans="1:11" x14ac:dyDescent="0.3">
      <c r="A103" s="2" t="s">
        <v>232</v>
      </c>
      <c r="B103" s="1" t="s">
        <v>233</v>
      </c>
      <c r="C103" s="1">
        <v>30</v>
      </c>
      <c r="D103" s="1" t="s">
        <v>20</v>
      </c>
      <c r="E103" s="1" t="s">
        <v>21</v>
      </c>
      <c r="F103" s="1" t="s">
        <v>46</v>
      </c>
      <c r="G103" s="1" t="s">
        <v>22</v>
      </c>
      <c r="H103" s="1" t="s">
        <v>17</v>
      </c>
      <c r="I103" s="1" t="s">
        <v>30</v>
      </c>
      <c r="J103" s="1">
        <v>0.34</v>
      </c>
      <c r="K103" s="36">
        <v>45656</v>
      </c>
    </row>
    <row r="104" spans="1:11" x14ac:dyDescent="0.3">
      <c r="A104" s="2" t="s">
        <v>234</v>
      </c>
      <c r="B104" s="1" t="s">
        <v>235</v>
      </c>
      <c r="C104" s="1">
        <v>68</v>
      </c>
      <c r="D104" s="1" t="s">
        <v>20</v>
      </c>
      <c r="E104" s="1" t="s">
        <v>21</v>
      </c>
      <c r="F104" s="1" t="s">
        <v>62</v>
      </c>
      <c r="G104" s="1" t="s">
        <v>47</v>
      </c>
      <c r="H104" s="1" t="s">
        <v>17</v>
      </c>
      <c r="I104" s="1" t="s">
        <v>30</v>
      </c>
      <c r="J104" s="1">
        <v>0.43</v>
      </c>
      <c r="K104" s="36">
        <v>45571</v>
      </c>
    </row>
    <row r="105" spans="1:11" x14ac:dyDescent="0.3">
      <c r="A105" s="2" t="s">
        <v>236</v>
      </c>
      <c r="B105" s="1" t="s">
        <v>237</v>
      </c>
      <c r="C105" s="1">
        <v>18</v>
      </c>
      <c r="D105" s="1" t="s">
        <v>13</v>
      </c>
      <c r="E105" s="1" t="s">
        <v>21</v>
      </c>
      <c r="F105" s="1" t="s">
        <v>15</v>
      </c>
      <c r="G105" s="1" t="s">
        <v>22</v>
      </c>
      <c r="H105" s="1" t="s">
        <v>17</v>
      </c>
      <c r="I105" s="1" t="s">
        <v>17</v>
      </c>
      <c r="J105" s="1">
        <v>0.24</v>
      </c>
      <c r="K105" s="36">
        <v>45254</v>
      </c>
    </row>
    <row r="106" spans="1:11" x14ac:dyDescent="0.3">
      <c r="A106" s="2" t="s">
        <v>238</v>
      </c>
      <c r="B106" s="1" t="s">
        <v>239</v>
      </c>
      <c r="C106" s="1">
        <v>68</v>
      </c>
      <c r="D106" s="1" t="s">
        <v>13</v>
      </c>
      <c r="E106" s="1" t="s">
        <v>28</v>
      </c>
      <c r="F106" s="1" t="s">
        <v>62</v>
      </c>
      <c r="G106" s="1" t="s">
        <v>16</v>
      </c>
      <c r="H106" s="1" t="s">
        <v>17</v>
      </c>
      <c r="I106" s="1" t="s">
        <v>30</v>
      </c>
      <c r="J106" s="1">
        <v>0.46</v>
      </c>
      <c r="K106" s="36">
        <v>44661</v>
      </c>
    </row>
    <row r="107" spans="1:11" x14ac:dyDescent="0.3">
      <c r="A107" s="2" t="s">
        <v>240</v>
      </c>
      <c r="B107" s="1" t="s">
        <v>241</v>
      </c>
      <c r="C107" s="1">
        <v>67</v>
      </c>
      <c r="D107" s="1" t="s">
        <v>13</v>
      </c>
      <c r="E107" s="1" t="s">
        <v>28</v>
      </c>
      <c r="F107" s="1" t="s">
        <v>62</v>
      </c>
      <c r="G107" s="1" t="s">
        <v>25</v>
      </c>
      <c r="H107" s="1" t="s">
        <v>17</v>
      </c>
      <c r="I107" s="1" t="s">
        <v>17</v>
      </c>
      <c r="J107" s="1">
        <v>0.32</v>
      </c>
      <c r="K107" s="36">
        <v>45481</v>
      </c>
    </row>
    <row r="108" spans="1:11" x14ac:dyDescent="0.3">
      <c r="A108" s="2" t="s">
        <v>242</v>
      </c>
      <c r="B108" s="1" t="s">
        <v>243</v>
      </c>
      <c r="C108" s="1">
        <v>67</v>
      </c>
      <c r="D108" s="1" t="s">
        <v>20</v>
      </c>
      <c r="E108" s="1" t="s">
        <v>14</v>
      </c>
      <c r="F108" s="1" t="s">
        <v>46</v>
      </c>
      <c r="G108" s="1" t="s">
        <v>47</v>
      </c>
      <c r="H108" s="1" t="s">
        <v>30</v>
      </c>
      <c r="I108" s="1" t="s">
        <v>17</v>
      </c>
      <c r="J108" s="1">
        <v>0.48</v>
      </c>
      <c r="K108" s="36">
        <v>44321</v>
      </c>
    </row>
    <row r="109" spans="1:11" x14ac:dyDescent="0.3">
      <c r="A109" s="2" t="s">
        <v>244</v>
      </c>
      <c r="B109" s="1" t="s">
        <v>245</v>
      </c>
      <c r="C109" s="1">
        <v>59</v>
      </c>
      <c r="D109" s="1" t="s">
        <v>20</v>
      </c>
      <c r="E109" s="1" t="s">
        <v>33</v>
      </c>
      <c r="F109" s="1" t="s">
        <v>46</v>
      </c>
      <c r="G109" s="1" t="s">
        <v>43</v>
      </c>
      <c r="H109" s="1" t="s">
        <v>17</v>
      </c>
      <c r="I109" s="1" t="s">
        <v>30</v>
      </c>
      <c r="J109" s="1">
        <v>0.42</v>
      </c>
      <c r="K109" s="36">
        <v>45030</v>
      </c>
    </row>
    <row r="110" spans="1:11" x14ac:dyDescent="0.3">
      <c r="A110" s="2" t="s">
        <v>246</v>
      </c>
      <c r="B110" s="1" t="s">
        <v>247</v>
      </c>
      <c r="C110" s="1">
        <v>47</v>
      </c>
      <c r="D110" s="1" t="s">
        <v>20</v>
      </c>
      <c r="E110" s="1" t="s">
        <v>14</v>
      </c>
      <c r="F110" s="1" t="s">
        <v>46</v>
      </c>
      <c r="G110" s="1" t="s">
        <v>22</v>
      </c>
      <c r="H110" s="1" t="s">
        <v>30</v>
      </c>
      <c r="I110" s="1" t="s">
        <v>17</v>
      </c>
      <c r="J110" s="1">
        <v>0.34</v>
      </c>
      <c r="K110" s="36">
        <v>45071</v>
      </c>
    </row>
    <row r="111" spans="1:11" x14ac:dyDescent="0.3">
      <c r="A111" s="2" t="s">
        <v>248</v>
      </c>
      <c r="B111" s="1" t="s">
        <v>249</v>
      </c>
      <c r="C111" s="1">
        <v>62</v>
      </c>
      <c r="D111" s="1" t="s">
        <v>13</v>
      </c>
      <c r="E111" s="1" t="s">
        <v>21</v>
      </c>
      <c r="F111" s="1" t="s">
        <v>46</v>
      </c>
      <c r="G111" s="1" t="s">
        <v>25</v>
      </c>
      <c r="H111" s="1" t="s">
        <v>17</v>
      </c>
      <c r="I111" s="1" t="s">
        <v>30</v>
      </c>
      <c r="J111" s="1">
        <v>0.5</v>
      </c>
      <c r="K111" s="36">
        <v>46167</v>
      </c>
    </row>
    <row r="112" spans="1:11" x14ac:dyDescent="0.3">
      <c r="A112" s="2" t="s">
        <v>250</v>
      </c>
      <c r="B112" s="1" t="s">
        <v>251</v>
      </c>
      <c r="C112" s="1">
        <v>35</v>
      </c>
      <c r="D112" s="1" t="s">
        <v>13</v>
      </c>
      <c r="E112" s="1" t="s">
        <v>28</v>
      </c>
      <c r="F112" s="1" t="s">
        <v>15</v>
      </c>
      <c r="G112" s="1" t="s">
        <v>38</v>
      </c>
      <c r="H112" s="1" t="s">
        <v>30</v>
      </c>
      <c r="I112" s="1" t="s">
        <v>17</v>
      </c>
      <c r="J112" s="1">
        <v>0.4</v>
      </c>
      <c r="K112" s="36">
        <v>45996</v>
      </c>
    </row>
    <row r="113" spans="1:11" x14ac:dyDescent="0.3">
      <c r="A113" s="2" t="s">
        <v>252</v>
      </c>
      <c r="B113" s="1" t="s">
        <v>253</v>
      </c>
      <c r="C113" s="1">
        <v>67</v>
      </c>
      <c r="D113" s="1" t="s">
        <v>20</v>
      </c>
      <c r="E113" s="1" t="s">
        <v>28</v>
      </c>
      <c r="F113" s="1" t="s">
        <v>46</v>
      </c>
      <c r="G113" s="1" t="s">
        <v>47</v>
      </c>
      <c r="H113" s="1" t="s">
        <v>17</v>
      </c>
      <c r="I113" s="1" t="s">
        <v>30</v>
      </c>
      <c r="J113" s="1">
        <v>0.37</v>
      </c>
      <c r="K113" s="36">
        <v>44654</v>
      </c>
    </row>
    <row r="114" spans="1:11" x14ac:dyDescent="0.3">
      <c r="A114" s="2" t="s">
        <v>254</v>
      </c>
      <c r="B114" s="1" t="s">
        <v>255</v>
      </c>
      <c r="C114" s="1">
        <v>53</v>
      </c>
      <c r="D114" s="1" t="s">
        <v>13</v>
      </c>
      <c r="E114" s="1" t="s">
        <v>14</v>
      </c>
      <c r="F114" s="1" t="s">
        <v>29</v>
      </c>
      <c r="G114" s="1" t="s">
        <v>22</v>
      </c>
      <c r="H114" s="1" t="s">
        <v>30</v>
      </c>
      <c r="I114" s="1" t="s">
        <v>17</v>
      </c>
      <c r="J114" s="1">
        <v>0.37</v>
      </c>
      <c r="K114" s="36">
        <v>45174</v>
      </c>
    </row>
    <row r="115" spans="1:11" x14ac:dyDescent="0.3">
      <c r="A115" s="2" t="s">
        <v>256</v>
      </c>
      <c r="B115" s="1" t="s">
        <v>257</v>
      </c>
      <c r="C115" s="1">
        <v>46</v>
      </c>
      <c r="D115" s="1" t="s">
        <v>20</v>
      </c>
      <c r="E115" s="1" t="s">
        <v>14</v>
      </c>
      <c r="F115" s="1" t="s">
        <v>29</v>
      </c>
      <c r="G115" s="1" t="s">
        <v>22</v>
      </c>
      <c r="H115" s="1" t="s">
        <v>17</v>
      </c>
      <c r="I115" s="1" t="s">
        <v>17</v>
      </c>
      <c r="J115" s="1">
        <v>0.1</v>
      </c>
      <c r="K115" s="36">
        <v>44468</v>
      </c>
    </row>
    <row r="116" spans="1:11" x14ac:dyDescent="0.3">
      <c r="A116" s="2" t="s">
        <v>258</v>
      </c>
      <c r="B116" s="1" t="s">
        <v>259</v>
      </c>
      <c r="C116" s="1">
        <v>49</v>
      </c>
      <c r="D116" s="1" t="s">
        <v>13</v>
      </c>
      <c r="E116" s="1" t="s">
        <v>28</v>
      </c>
      <c r="F116" s="1" t="s">
        <v>46</v>
      </c>
      <c r="G116" s="1" t="s">
        <v>22</v>
      </c>
      <c r="H116" s="1" t="s">
        <v>17</v>
      </c>
      <c r="I116" s="1" t="s">
        <v>30</v>
      </c>
      <c r="J116" s="1">
        <v>0.35</v>
      </c>
      <c r="K116" s="36">
        <v>46077</v>
      </c>
    </row>
    <row r="117" spans="1:11" x14ac:dyDescent="0.3">
      <c r="A117" s="2" t="s">
        <v>260</v>
      </c>
      <c r="B117" s="1" t="s">
        <v>261</v>
      </c>
      <c r="C117" s="1">
        <v>53</v>
      </c>
      <c r="D117" s="1" t="s">
        <v>20</v>
      </c>
      <c r="E117" s="1" t="s">
        <v>14</v>
      </c>
      <c r="F117" s="1" t="s">
        <v>15</v>
      </c>
      <c r="G117" s="1" t="s">
        <v>38</v>
      </c>
      <c r="H117" s="1" t="s">
        <v>30</v>
      </c>
      <c r="I117" s="1" t="s">
        <v>30</v>
      </c>
      <c r="J117" s="1">
        <v>0.52</v>
      </c>
      <c r="K117" s="36">
        <v>45985</v>
      </c>
    </row>
    <row r="118" spans="1:11" x14ac:dyDescent="0.3">
      <c r="A118" s="2" t="s">
        <v>262</v>
      </c>
      <c r="B118" s="1" t="s">
        <v>263</v>
      </c>
      <c r="C118" s="1">
        <v>20</v>
      </c>
      <c r="D118" s="1" t="s">
        <v>20</v>
      </c>
      <c r="E118" s="1" t="s">
        <v>14</v>
      </c>
      <c r="F118" s="1" t="s">
        <v>62</v>
      </c>
      <c r="G118" s="1" t="s">
        <v>22</v>
      </c>
      <c r="H118" s="1" t="s">
        <v>17</v>
      </c>
      <c r="I118" s="1" t="s">
        <v>17</v>
      </c>
      <c r="J118" s="1">
        <v>0.22</v>
      </c>
      <c r="K118" s="36">
        <v>44731</v>
      </c>
    </row>
    <row r="119" spans="1:11" x14ac:dyDescent="0.3">
      <c r="A119" s="2" t="s">
        <v>264</v>
      </c>
      <c r="B119" s="1" t="s">
        <v>265</v>
      </c>
      <c r="C119" s="1">
        <v>26</v>
      </c>
      <c r="D119" s="1" t="s">
        <v>13</v>
      </c>
      <c r="E119" s="1" t="s">
        <v>14</v>
      </c>
      <c r="F119" s="1" t="s">
        <v>62</v>
      </c>
      <c r="G119" s="1" t="s">
        <v>25</v>
      </c>
      <c r="H119" s="1" t="s">
        <v>17</v>
      </c>
      <c r="I119" s="1" t="s">
        <v>17</v>
      </c>
      <c r="J119" s="1">
        <v>0.3</v>
      </c>
      <c r="K119" s="36">
        <v>45477</v>
      </c>
    </row>
    <row r="120" spans="1:11" x14ac:dyDescent="0.3">
      <c r="A120" s="2" t="s">
        <v>266</v>
      </c>
      <c r="B120" s="1" t="s">
        <v>267</v>
      </c>
      <c r="C120" s="1">
        <v>33</v>
      </c>
      <c r="D120" s="1" t="s">
        <v>20</v>
      </c>
      <c r="E120" s="1" t="s">
        <v>14</v>
      </c>
      <c r="F120" s="1" t="s">
        <v>62</v>
      </c>
      <c r="G120" s="1" t="s">
        <v>25</v>
      </c>
      <c r="H120" s="1" t="s">
        <v>17</v>
      </c>
      <c r="I120" s="1" t="s">
        <v>17</v>
      </c>
      <c r="J120" s="1">
        <v>0.13</v>
      </c>
      <c r="K120" s="36">
        <v>45411</v>
      </c>
    </row>
    <row r="121" spans="1:11" x14ac:dyDescent="0.3">
      <c r="A121" s="2" t="s">
        <v>268</v>
      </c>
      <c r="B121" s="1" t="s">
        <v>269</v>
      </c>
      <c r="C121" s="1">
        <v>25</v>
      </c>
      <c r="D121" s="1" t="s">
        <v>20</v>
      </c>
      <c r="E121" s="1" t="s">
        <v>33</v>
      </c>
      <c r="F121" s="1" t="s">
        <v>29</v>
      </c>
      <c r="G121" s="1" t="s">
        <v>47</v>
      </c>
      <c r="H121" s="1" t="s">
        <v>17</v>
      </c>
      <c r="I121" s="1" t="s">
        <v>17</v>
      </c>
      <c r="J121" s="1">
        <v>0.28999999999999998</v>
      </c>
      <c r="K121" s="36">
        <v>44412</v>
      </c>
    </row>
    <row r="122" spans="1:11" x14ac:dyDescent="0.3">
      <c r="A122" s="2" t="s">
        <v>270</v>
      </c>
      <c r="B122" s="1" t="s">
        <v>271</v>
      </c>
      <c r="C122" s="1">
        <v>45</v>
      </c>
      <c r="D122" s="1" t="s">
        <v>20</v>
      </c>
      <c r="E122" s="1" t="s">
        <v>21</v>
      </c>
      <c r="F122" s="1" t="s">
        <v>62</v>
      </c>
      <c r="G122" s="1" t="s">
        <v>22</v>
      </c>
      <c r="H122" s="1" t="s">
        <v>17</v>
      </c>
      <c r="I122" s="1" t="s">
        <v>17</v>
      </c>
      <c r="J122" s="1">
        <v>0.33</v>
      </c>
      <c r="K122" s="36">
        <v>45748</v>
      </c>
    </row>
    <row r="123" spans="1:11" x14ac:dyDescent="0.3">
      <c r="A123" s="2" t="s">
        <v>272</v>
      </c>
      <c r="B123" s="1" t="s">
        <v>273</v>
      </c>
      <c r="C123" s="1">
        <v>60</v>
      </c>
      <c r="D123" s="1" t="s">
        <v>20</v>
      </c>
      <c r="E123" s="1" t="s">
        <v>14</v>
      </c>
      <c r="F123" s="1" t="s">
        <v>62</v>
      </c>
      <c r="G123" s="1" t="s">
        <v>16</v>
      </c>
      <c r="H123" s="1" t="s">
        <v>30</v>
      </c>
      <c r="I123" s="1" t="s">
        <v>17</v>
      </c>
      <c r="J123" s="1">
        <v>0.52</v>
      </c>
      <c r="K123" s="36">
        <v>45259</v>
      </c>
    </row>
    <row r="124" spans="1:11" x14ac:dyDescent="0.3">
      <c r="A124" s="2" t="s">
        <v>274</v>
      </c>
      <c r="B124" s="1" t="s">
        <v>275</v>
      </c>
      <c r="C124" s="1">
        <v>59</v>
      </c>
      <c r="D124" s="1" t="s">
        <v>13</v>
      </c>
      <c r="E124" s="1" t="s">
        <v>14</v>
      </c>
      <c r="F124" s="1" t="s">
        <v>62</v>
      </c>
      <c r="G124" s="1" t="s">
        <v>16</v>
      </c>
      <c r="H124" s="1" t="s">
        <v>17</v>
      </c>
      <c r="I124" s="1" t="s">
        <v>30</v>
      </c>
      <c r="J124" s="1">
        <v>0.43</v>
      </c>
      <c r="K124" s="36">
        <v>45783</v>
      </c>
    </row>
    <row r="125" spans="1:11" x14ac:dyDescent="0.3">
      <c r="A125" s="2" t="s">
        <v>276</v>
      </c>
      <c r="B125" s="1" t="s">
        <v>277</v>
      </c>
      <c r="C125" s="1">
        <v>47</v>
      </c>
      <c r="D125" s="1" t="s">
        <v>141</v>
      </c>
      <c r="E125" s="1" t="s">
        <v>14</v>
      </c>
      <c r="F125" s="1" t="s">
        <v>62</v>
      </c>
      <c r="G125" s="1" t="s">
        <v>25</v>
      </c>
      <c r="H125" s="1" t="s">
        <v>17</v>
      </c>
      <c r="I125" s="1" t="s">
        <v>17</v>
      </c>
      <c r="J125" s="1">
        <v>0.13</v>
      </c>
      <c r="K125" s="36">
        <v>45239</v>
      </c>
    </row>
    <row r="126" spans="1:11" x14ac:dyDescent="0.3">
      <c r="A126" s="2" t="s">
        <v>278</v>
      </c>
      <c r="B126" s="1" t="s">
        <v>279</v>
      </c>
      <c r="C126" s="1">
        <v>71</v>
      </c>
      <c r="D126" s="1" t="s">
        <v>13</v>
      </c>
      <c r="E126" s="1" t="s">
        <v>14</v>
      </c>
      <c r="F126" s="1" t="s">
        <v>15</v>
      </c>
      <c r="G126" s="1" t="s">
        <v>22</v>
      </c>
      <c r="H126" s="1" t="s">
        <v>30</v>
      </c>
      <c r="I126" s="1" t="s">
        <v>17</v>
      </c>
      <c r="J126" s="1">
        <v>0.38</v>
      </c>
      <c r="K126" s="36">
        <v>44078</v>
      </c>
    </row>
    <row r="127" spans="1:11" x14ac:dyDescent="0.3">
      <c r="A127" s="2" t="s">
        <v>280</v>
      </c>
      <c r="B127" s="1" t="s">
        <v>281</v>
      </c>
      <c r="C127" s="1">
        <v>53</v>
      </c>
      <c r="D127" s="1" t="s">
        <v>20</v>
      </c>
      <c r="E127" s="1" t="s">
        <v>14</v>
      </c>
      <c r="F127" s="1" t="s">
        <v>62</v>
      </c>
      <c r="G127" s="1" t="s">
        <v>25</v>
      </c>
      <c r="H127" s="1" t="s">
        <v>17</v>
      </c>
      <c r="I127" s="1" t="s">
        <v>30</v>
      </c>
      <c r="J127" s="1">
        <v>0.33</v>
      </c>
      <c r="K127" s="36">
        <v>44787</v>
      </c>
    </row>
    <row r="128" spans="1:11" x14ac:dyDescent="0.3">
      <c r="A128" s="2" t="s">
        <v>282</v>
      </c>
      <c r="B128" s="1" t="s">
        <v>283</v>
      </c>
      <c r="C128" s="1">
        <v>22</v>
      </c>
      <c r="D128" s="1" t="s">
        <v>13</v>
      </c>
      <c r="E128" s="1" t="s">
        <v>14</v>
      </c>
      <c r="F128" s="1" t="s">
        <v>29</v>
      </c>
      <c r="G128" s="1" t="s">
        <v>43</v>
      </c>
      <c r="H128" s="1" t="s">
        <v>17</v>
      </c>
      <c r="I128" s="1" t="s">
        <v>17</v>
      </c>
      <c r="J128" s="1">
        <v>0.21</v>
      </c>
      <c r="K128" s="36">
        <v>44119</v>
      </c>
    </row>
    <row r="129" spans="1:11" x14ac:dyDescent="0.3">
      <c r="A129" s="2" t="s">
        <v>284</v>
      </c>
      <c r="B129" s="1" t="s">
        <v>285</v>
      </c>
      <c r="C129" s="1">
        <v>66</v>
      </c>
      <c r="D129" s="1" t="s">
        <v>20</v>
      </c>
      <c r="E129" s="1" t="s">
        <v>28</v>
      </c>
      <c r="F129" s="1" t="s">
        <v>15</v>
      </c>
      <c r="G129" s="1" t="s">
        <v>47</v>
      </c>
      <c r="H129" s="1" t="s">
        <v>17</v>
      </c>
      <c r="I129" s="1" t="s">
        <v>30</v>
      </c>
      <c r="J129" s="1">
        <v>0.39</v>
      </c>
      <c r="K129" s="36">
        <v>46113</v>
      </c>
    </row>
    <row r="130" spans="1:11" x14ac:dyDescent="0.3">
      <c r="A130" s="2" t="s">
        <v>286</v>
      </c>
      <c r="B130" s="1" t="s">
        <v>287</v>
      </c>
      <c r="C130" s="1">
        <v>54</v>
      </c>
      <c r="D130" s="1" t="s">
        <v>20</v>
      </c>
      <c r="E130" s="1" t="s">
        <v>33</v>
      </c>
      <c r="F130" s="1" t="s">
        <v>46</v>
      </c>
      <c r="G130" s="1" t="s">
        <v>25</v>
      </c>
      <c r="H130" s="1" t="s">
        <v>17</v>
      </c>
      <c r="I130" s="1" t="s">
        <v>30</v>
      </c>
      <c r="J130" s="1">
        <v>0.33</v>
      </c>
      <c r="K130" s="36">
        <v>46003</v>
      </c>
    </row>
    <row r="131" spans="1:11" x14ac:dyDescent="0.3">
      <c r="A131" s="2" t="s">
        <v>288</v>
      </c>
      <c r="B131" s="1" t="s">
        <v>289</v>
      </c>
      <c r="C131" s="1">
        <v>57</v>
      </c>
      <c r="D131" s="1" t="s">
        <v>20</v>
      </c>
      <c r="E131" s="1" t="s">
        <v>33</v>
      </c>
      <c r="F131" s="1" t="s">
        <v>62</v>
      </c>
      <c r="G131" s="1" t="s">
        <v>47</v>
      </c>
      <c r="H131" s="1" t="s">
        <v>17</v>
      </c>
      <c r="I131" s="1" t="s">
        <v>17</v>
      </c>
      <c r="J131" s="1">
        <v>0.27</v>
      </c>
      <c r="K131" s="36">
        <v>45900</v>
      </c>
    </row>
    <row r="132" spans="1:11" x14ac:dyDescent="0.3">
      <c r="A132" s="2" t="s">
        <v>290</v>
      </c>
      <c r="B132" s="1" t="s">
        <v>291</v>
      </c>
      <c r="C132" s="1">
        <v>53</v>
      </c>
      <c r="D132" s="1" t="s">
        <v>13</v>
      </c>
      <c r="E132" s="1" t="s">
        <v>14</v>
      </c>
      <c r="F132" s="1" t="s">
        <v>29</v>
      </c>
      <c r="G132" s="1" t="s">
        <v>22</v>
      </c>
      <c r="H132" s="1" t="s">
        <v>17</v>
      </c>
      <c r="I132" s="1" t="s">
        <v>30</v>
      </c>
      <c r="J132" s="1">
        <v>0.38</v>
      </c>
      <c r="K132" s="36">
        <v>44751</v>
      </c>
    </row>
    <row r="133" spans="1:11" x14ac:dyDescent="0.3">
      <c r="A133" s="2" t="s">
        <v>292</v>
      </c>
      <c r="B133" s="1" t="s">
        <v>293</v>
      </c>
      <c r="C133" s="1">
        <v>52</v>
      </c>
      <c r="D133" s="1" t="s">
        <v>13</v>
      </c>
      <c r="E133" s="1" t="s">
        <v>28</v>
      </c>
      <c r="F133" s="1" t="s">
        <v>29</v>
      </c>
      <c r="G133" s="1" t="s">
        <v>16</v>
      </c>
      <c r="H133" s="1" t="s">
        <v>17</v>
      </c>
      <c r="I133" s="1" t="s">
        <v>30</v>
      </c>
      <c r="J133" s="1">
        <v>0.28000000000000003</v>
      </c>
      <c r="K133" s="36">
        <v>44203</v>
      </c>
    </row>
    <row r="134" spans="1:11" x14ac:dyDescent="0.3">
      <c r="A134" s="2" t="s">
        <v>294</v>
      </c>
      <c r="B134" s="1" t="s">
        <v>295</v>
      </c>
      <c r="C134" s="1">
        <v>23</v>
      </c>
      <c r="D134" s="1" t="s">
        <v>13</v>
      </c>
      <c r="E134" s="1" t="s">
        <v>21</v>
      </c>
      <c r="F134" s="1" t="s">
        <v>62</v>
      </c>
      <c r="G134" s="1" t="s">
        <v>16</v>
      </c>
      <c r="H134" s="1" t="s">
        <v>30</v>
      </c>
      <c r="I134" s="1" t="s">
        <v>17</v>
      </c>
      <c r="J134" s="1">
        <v>0.39</v>
      </c>
      <c r="K134" s="36">
        <v>46001</v>
      </c>
    </row>
    <row r="135" spans="1:11" x14ac:dyDescent="0.3">
      <c r="A135" s="2" t="s">
        <v>296</v>
      </c>
      <c r="B135" s="1" t="s">
        <v>297</v>
      </c>
      <c r="C135" s="1">
        <v>53</v>
      </c>
      <c r="D135" s="1" t="s">
        <v>13</v>
      </c>
      <c r="E135" s="1" t="s">
        <v>33</v>
      </c>
      <c r="F135" s="1" t="s">
        <v>29</v>
      </c>
      <c r="G135" s="1" t="s">
        <v>16</v>
      </c>
      <c r="H135" s="1" t="s">
        <v>30</v>
      </c>
      <c r="I135" s="1" t="s">
        <v>17</v>
      </c>
      <c r="J135" s="1">
        <v>0.37</v>
      </c>
      <c r="K135" s="36">
        <v>46152</v>
      </c>
    </row>
    <row r="136" spans="1:11" x14ac:dyDescent="0.3">
      <c r="A136" s="2" t="s">
        <v>298</v>
      </c>
      <c r="B136" s="1" t="s">
        <v>299</v>
      </c>
      <c r="C136" s="1">
        <v>68</v>
      </c>
      <c r="D136" s="1" t="s">
        <v>20</v>
      </c>
      <c r="E136" s="1" t="s">
        <v>21</v>
      </c>
      <c r="F136" s="1" t="s">
        <v>15</v>
      </c>
      <c r="G136" s="1" t="s">
        <v>47</v>
      </c>
      <c r="H136" s="1" t="s">
        <v>17</v>
      </c>
      <c r="I136" s="1" t="s">
        <v>17</v>
      </c>
      <c r="J136" s="1">
        <v>0.27</v>
      </c>
      <c r="K136" s="36">
        <v>44264</v>
      </c>
    </row>
    <row r="137" spans="1:11" x14ac:dyDescent="0.3">
      <c r="A137" s="2" t="s">
        <v>300</v>
      </c>
      <c r="B137" s="1" t="s">
        <v>301</v>
      </c>
      <c r="C137" s="1">
        <v>37</v>
      </c>
      <c r="D137" s="1" t="s">
        <v>13</v>
      </c>
      <c r="E137" s="1" t="s">
        <v>28</v>
      </c>
      <c r="F137" s="1" t="s">
        <v>15</v>
      </c>
      <c r="G137" s="1" t="s">
        <v>38</v>
      </c>
      <c r="H137" s="1" t="s">
        <v>17</v>
      </c>
      <c r="I137" s="1" t="s">
        <v>30</v>
      </c>
      <c r="J137" s="1">
        <v>0.46</v>
      </c>
      <c r="K137" s="36">
        <v>45142</v>
      </c>
    </row>
    <row r="138" spans="1:11" x14ac:dyDescent="0.3">
      <c r="A138" s="2" t="s">
        <v>302</v>
      </c>
      <c r="B138" s="1" t="s">
        <v>303</v>
      </c>
      <c r="C138" s="1">
        <v>55</v>
      </c>
      <c r="D138" s="1" t="s">
        <v>13</v>
      </c>
      <c r="E138" s="1" t="s">
        <v>14</v>
      </c>
      <c r="F138" s="1" t="s">
        <v>15</v>
      </c>
      <c r="G138" s="1" t="s">
        <v>43</v>
      </c>
      <c r="H138" s="1" t="s">
        <v>17</v>
      </c>
      <c r="I138" s="1" t="s">
        <v>30</v>
      </c>
      <c r="J138" s="1">
        <v>0.44</v>
      </c>
      <c r="K138" s="36">
        <v>44228</v>
      </c>
    </row>
    <row r="139" spans="1:11" x14ac:dyDescent="0.3">
      <c r="A139" s="2" t="s">
        <v>304</v>
      </c>
      <c r="B139" s="1" t="s">
        <v>305</v>
      </c>
      <c r="C139" s="1">
        <v>19</v>
      </c>
      <c r="D139" s="1" t="s">
        <v>20</v>
      </c>
      <c r="E139" s="1" t="s">
        <v>14</v>
      </c>
      <c r="F139" s="1" t="s">
        <v>15</v>
      </c>
      <c r="G139" s="1" t="s">
        <v>43</v>
      </c>
      <c r="H139" s="1" t="s">
        <v>17</v>
      </c>
      <c r="I139" s="1" t="s">
        <v>17</v>
      </c>
      <c r="J139" s="1">
        <v>0.15</v>
      </c>
      <c r="K139" s="36">
        <v>45744</v>
      </c>
    </row>
    <row r="140" spans="1:11" x14ac:dyDescent="0.3">
      <c r="A140" s="2" t="s">
        <v>306</v>
      </c>
      <c r="B140" s="1" t="s">
        <v>307</v>
      </c>
      <c r="C140" s="1">
        <v>39</v>
      </c>
      <c r="D140" s="1" t="s">
        <v>20</v>
      </c>
      <c r="E140" s="1" t="s">
        <v>21</v>
      </c>
      <c r="F140" s="1" t="s">
        <v>62</v>
      </c>
      <c r="G140" s="1" t="s">
        <v>43</v>
      </c>
      <c r="H140" s="1" t="s">
        <v>17</v>
      </c>
      <c r="I140" s="1" t="s">
        <v>17</v>
      </c>
      <c r="J140" s="1">
        <v>0.23</v>
      </c>
      <c r="K140" s="36">
        <v>45755</v>
      </c>
    </row>
    <row r="141" spans="1:11" x14ac:dyDescent="0.3">
      <c r="A141" s="2" t="s">
        <v>308</v>
      </c>
      <c r="B141" s="1" t="s">
        <v>309</v>
      </c>
      <c r="C141" s="1">
        <v>45</v>
      </c>
      <c r="D141" s="1" t="s">
        <v>20</v>
      </c>
      <c r="E141" s="1" t="s">
        <v>28</v>
      </c>
      <c r="F141" s="1" t="s">
        <v>29</v>
      </c>
      <c r="G141" s="1" t="s">
        <v>16</v>
      </c>
      <c r="H141" s="1" t="s">
        <v>17</v>
      </c>
      <c r="I141" s="1" t="s">
        <v>30</v>
      </c>
      <c r="J141" s="1">
        <v>0.38</v>
      </c>
      <c r="K141" s="36">
        <v>44358</v>
      </c>
    </row>
    <row r="142" spans="1:11" x14ac:dyDescent="0.3">
      <c r="A142" s="2" t="s">
        <v>310</v>
      </c>
      <c r="B142" s="1" t="s">
        <v>311</v>
      </c>
      <c r="C142" s="1">
        <v>79</v>
      </c>
      <c r="D142" s="1" t="s">
        <v>13</v>
      </c>
      <c r="E142" s="1" t="s">
        <v>14</v>
      </c>
      <c r="F142" s="1" t="s">
        <v>15</v>
      </c>
      <c r="G142" s="1" t="s">
        <v>43</v>
      </c>
      <c r="H142" s="1" t="s">
        <v>17</v>
      </c>
      <c r="I142" s="1" t="s">
        <v>17</v>
      </c>
      <c r="J142" s="1">
        <v>0.27</v>
      </c>
      <c r="K142" s="36">
        <v>45118</v>
      </c>
    </row>
    <row r="143" spans="1:11" x14ac:dyDescent="0.3">
      <c r="A143" s="2" t="s">
        <v>312</v>
      </c>
      <c r="B143" s="1" t="s">
        <v>313</v>
      </c>
      <c r="C143" s="1">
        <v>31</v>
      </c>
      <c r="D143" s="1" t="s">
        <v>20</v>
      </c>
      <c r="E143" s="1" t="s">
        <v>14</v>
      </c>
      <c r="F143" s="1" t="s">
        <v>46</v>
      </c>
      <c r="G143" s="1" t="s">
        <v>22</v>
      </c>
      <c r="H143" s="1" t="s">
        <v>17</v>
      </c>
      <c r="I143" s="1" t="s">
        <v>17</v>
      </c>
      <c r="J143" s="1">
        <v>0.13</v>
      </c>
      <c r="K143" s="36">
        <v>45282</v>
      </c>
    </row>
    <row r="144" spans="1:11" x14ac:dyDescent="0.3">
      <c r="A144" s="2" t="s">
        <v>314</v>
      </c>
      <c r="B144" s="1" t="s">
        <v>315</v>
      </c>
      <c r="C144" s="1">
        <v>35</v>
      </c>
      <c r="D144" s="1" t="s">
        <v>13</v>
      </c>
      <c r="E144" s="1" t="s">
        <v>28</v>
      </c>
      <c r="F144" s="1" t="s">
        <v>29</v>
      </c>
      <c r="G144" s="1" t="s">
        <v>38</v>
      </c>
      <c r="H144" s="1" t="s">
        <v>17</v>
      </c>
      <c r="I144" s="1" t="s">
        <v>17</v>
      </c>
      <c r="J144" s="1">
        <v>0.31</v>
      </c>
      <c r="K144" s="36">
        <v>44658</v>
      </c>
    </row>
    <row r="145" spans="1:11" x14ac:dyDescent="0.3">
      <c r="A145" s="2" t="s">
        <v>316</v>
      </c>
      <c r="B145" s="1" t="s">
        <v>317</v>
      </c>
      <c r="C145" s="1">
        <v>43</v>
      </c>
      <c r="D145" s="1" t="s">
        <v>20</v>
      </c>
      <c r="E145" s="1" t="s">
        <v>21</v>
      </c>
      <c r="F145" s="1" t="s">
        <v>29</v>
      </c>
      <c r="G145" s="1" t="s">
        <v>47</v>
      </c>
      <c r="H145" s="1" t="s">
        <v>17</v>
      </c>
      <c r="I145" s="1" t="s">
        <v>17</v>
      </c>
      <c r="J145" s="1">
        <v>0.14000000000000001</v>
      </c>
      <c r="K145" s="36">
        <v>45989</v>
      </c>
    </row>
    <row r="146" spans="1:11" x14ac:dyDescent="0.3">
      <c r="A146" s="2" t="s">
        <v>318</v>
      </c>
      <c r="B146" s="1" t="s">
        <v>319</v>
      </c>
      <c r="C146" s="1">
        <v>80</v>
      </c>
      <c r="D146" s="1" t="s">
        <v>13</v>
      </c>
      <c r="E146" s="1" t="s">
        <v>14</v>
      </c>
      <c r="F146" s="1" t="s">
        <v>29</v>
      </c>
      <c r="G146" s="1" t="s">
        <v>47</v>
      </c>
      <c r="H146" s="1" t="s">
        <v>17</v>
      </c>
      <c r="I146" s="1" t="s">
        <v>17</v>
      </c>
      <c r="J146" s="1">
        <v>0.32</v>
      </c>
      <c r="K146" s="36">
        <v>45004</v>
      </c>
    </row>
    <row r="147" spans="1:11" x14ac:dyDescent="0.3">
      <c r="A147" s="2" t="s">
        <v>320</v>
      </c>
      <c r="B147" s="1" t="s">
        <v>321</v>
      </c>
      <c r="C147" s="1">
        <v>71</v>
      </c>
      <c r="D147" s="1" t="s">
        <v>20</v>
      </c>
      <c r="E147" s="1" t="s">
        <v>21</v>
      </c>
      <c r="F147" s="1" t="s">
        <v>15</v>
      </c>
      <c r="G147" s="1" t="s">
        <v>22</v>
      </c>
      <c r="H147" s="1" t="s">
        <v>17</v>
      </c>
      <c r="I147" s="1" t="s">
        <v>30</v>
      </c>
      <c r="J147" s="1">
        <v>0.44</v>
      </c>
      <c r="K147" s="36">
        <v>44541</v>
      </c>
    </row>
    <row r="148" spans="1:11" x14ac:dyDescent="0.3">
      <c r="A148" s="2" t="s">
        <v>322</v>
      </c>
      <c r="B148" s="1" t="s">
        <v>323</v>
      </c>
      <c r="C148" s="1">
        <v>20</v>
      </c>
      <c r="D148" s="1" t="s">
        <v>20</v>
      </c>
      <c r="E148" s="1" t="s">
        <v>21</v>
      </c>
      <c r="F148" s="1" t="s">
        <v>62</v>
      </c>
      <c r="G148" s="1" t="s">
        <v>43</v>
      </c>
      <c r="H148" s="1" t="s">
        <v>17</v>
      </c>
      <c r="I148" s="1" t="s">
        <v>17</v>
      </c>
      <c r="J148" s="1">
        <v>0.28999999999999998</v>
      </c>
      <c r="K148" s="36">
        <v>45259</v>
      </c>
    </row>
    <row r="149" spans="1:11" x14ac:dyDescent="0.3">
      <c r="A149" s="2" t="s">
        <v>324</v>
      </c>
      <c r="B149" s="1" t="s">
        <v>325</v>
      </c>
      <c r="C149" s="1">
        <v>32</v>
      </c>
      <c r="D149" s="1" t="s">
        <v>20</v>
      </c>
      <c r="E149" s="1" t="s">
        <v>21</v>
      </c>
      <c r="F149" s="1" t="s">
        <v>62</v>
      </c>
      <c r="G149" s="1" t="s">
        <v>47</v>
      </c>
      <c r="H149" s="1" t="s">
        <v>17</v>
      </c>
      <c r="I149" s="1" t="s">
        <v>17</v>
      </c>
      <c r="J149" s="1">
        <v>0.3</v>
      </c>
      <c r="K149" s="36">
        <v>45677</v>
      </c>
    </row>
    <row r="150" spans="1:11" x14ac:dyDescent="0.3">
      <c r="A150" s="2" t="s">
        <v>326</v>
      </c>
      <c r="B150" s="1" t="s">
        <v>327</v>
      </c>
      <c r="C150" s="1">
        <v>69</v>
      </c>
      <c r="D150" s="1" t="s">
        <v>20</v>
      </c>
      <c r="E150" s="1" t="s">
        <v>21</v>
      </c>
      <c r="F150" s="1" t="s">
        <v>29</v>
      </c>
      <c r="G150" s="1" t="s">
        <v>16</v>
      </c>
      <c r="H150" s="1" t="s">
        <v>17</v>
      </c>
      <c r="I150" s="1" t="s">
        <v>17</v>
      </c>
      <c r="J150" s="1">
        <v>0.31</v>
      </c>
      <c r="K150" s="36">
        <v>44517</v>
      </c>
    </row>
    <row r="151" spans="1:11" x14ac:dyDescent="0.3">
      <c r="A151" s="2" t="s">
        <v>328</v>
      </c>
      <c r="B151" s="1" t="s">
        <v>329</v>
      </c>
      <c r="C151" s="1">
        <v>21</v>
      </c>
      <c r="D151" s="1" t="s">
        <v>13</v>
      </c>
      <c r="E151" s="1" t="s">
        <v>28</v>
      </c>
      <c r="F151" s="1" t="s">
        <v>29</v>
      </c>
      <c r="G151" s="1" t="s">
        <v>47</v>
      </c>
      <c r="H151" s="1" t="s">
        <v>17</v>
      </c>
      <c r="I151" s="1" t="s">
        <v>17</v>
      </c>
      <c r="J151" s="1">
        <v>0.22</v>
      </c>
      <c r="K151" s="36">
        <v>44760</v>
      </c>
    </row>
    <row r="152" spans="1:11" x14ac:dyDescent="0.3">
      <c r="A152" s="2" t="s">
        <v>330</v>
      </c>
      <c r="B152" s="1" t="s">
        <v>331</v>
      </c>
      <c r="C152" s="1">
        <v>71</v>
      </c>
      <c r="D152" s="1" t="s">
        <v>20</v>
      </c>
      <c r="E152" s="1" t="s">
        <v>14</v>
      </c>
      <c r="F152" s="1" t="s">
        <v>29</v>
      </c>
      <c r="G152" s="1" t="s">
        <v>16</v>
      </c>
      <c r="H152" s="1" t="s">
        <v>17</v>
      </c>
      <c r="I152" s="1" t="s">
        <v>17</v>
      </c>
      <c r="J152" s="1">
        <v>0.35</v>
      </c>
      <c r="K152" s="36">
        <v>46258</v>
      </c>
    </row>
    <row r="153" spans="1:11" x14ac:dyDescent="0.3">
      <c r="A153" s="2" t="s">
        <v>332</v>
      </c>
      <c r="B153" s="1" t="s">
        <v>333</v>
      </c>
      <c r="C153" s="1">
        <v>35</v>
      </c>
      <c r="D153" s="1" t="s">
        <v>13</v>
      </c>
      <c r="E153" s="1" t="s">
        <v>28</v>
      </c>
      <c r="F153" s="1" t="s">
        <v>15</v>
      </c>
      <c r="G153" s="1" t="s">
        <v>16</v>
      </c>
      <c r="H153" s="1" t="s">
        <v>17</v>
      </c>
      <c r="I153" s="1" t="s">
        <v>17</v>
      </c>
      <c r="J153" s="1">
        <v>0.16</v>
      </c>
      <c r="K153" s="36">
        <v>45501</v>
      </c>
    </row>
    <row r="154" spans="1:11" x14ac:dyDescent="0.3">
      <c r="A154" s="2" t="s">
        <v>334</v>
      </c>
      <c r="B154" s="1" t="s">
        <v>335</v>
      </c>
      <c r="C154" s="1">
        <v>75</v>
      </c>
      <c r="D154" s="1" t="s">
        <v>20</v>
      </c>
      <c r="E154" s="1" t="s">
        <v>14</v>
      </c>
      <c r="F154" s="1" t="s">
        <v>46</v>
      </c>
      <c r="G154" s="1" t="s">
        <v>38</v>
      </c>
      <c r="H154" s="1" t="s">
        <v>17</v>
      </c>
      <c r="I154" s="1" t="s">
        <v>17</v>
      </c>
      <c r="J154" s="1">
        <v>0.28999999999999998</v>
      </c>
      <c r="K154" s="36">
        <v>45037</v>
      </c>
    </row>
    <row r="155" spans="1:11" x14ac:dyDescent="0.3">
      <c r="A155" s="2" t="s">
        <v>336</v>
      </c>
      <c r="B155" s="1" t="s">
        <v>337</v>
      </c>
      <c r="C155" s="1">
        <v>36</v>
      </c>
      <c r="D155" s="1" t="s">
        <v>20</v>
      </c>
      <c r="E155" s="1" t="s">
        <v>28</v>
      </c>
      <c r="F155" s="1" t="s">
        <v>46</v>
      </c>
      <c r="G155" s="1" t="s">
        <v>22</v>
      </c>
      <c r="H155" s="1" t="s">
        <v>17</v>
      </c>
      <c r="I155" s="1" t="s">
        <v>17</v>
      </c>
      <c r="J155" s="1">
        <v>0.12</v>
      </c>
      <c r="K155" s="36">
        <v>45211</v>
      </c>
    </row>
    <row r="156" spans="1:11" x14ac:dyDescent="0.3">
      <c r="A156" s="2" t="s">
        <v>338</v>
      </c>
      <c r="B156" s="1" t="s">
        <v>339</v>
      </c>
      <c r="C156" s="1">
        <v>45</v>
      </c>
      <c r="D156" s="1" t="s">
        <v>13</v>
      </c>
      <c r="E156" s="1" t="s">
        <v>21</v>
      </c>
      <c r="F156" s="1" t="s">
        <v>29</v>
      </c>
      <c r="G156" s="1" t="s">
        <v>38</v>
      </c>
      <c r="H156" s="1" t="s">
        <v>17</v>
      </c>
      <c r="I156" s="1" t="s">
        <v>30</v>
      </c>
      <c r="J156" s="1">
        <v>0.28999999999999998</v>
      </c>
      <c r="K156" s="36">
        <v>44342</v>
      </c>
    </row>
    <row r="157" spans="1:11" x14ac:dyDescent="0.3">
      <c r="A157" s="2" t="s">
        <v>340</v>
      </c>
      <c r="B157" s="1" t="s">
        <v>341</v>
      </c>
      <c r="C157" s="1">
        <v>59</v>
      </c>
      <c r="D157" s="1" t="s">
        <v>20</v>
      </c>
      <c r="E157" s="1" t="s">
        <v>21</v>
      </c>
      <c r="F157" s="1" t="s">
        <v>29</v>
      </c>
      <c r="G157" s="1" t="s">
        <v>43</v>
      </c>
      <c r="H157" s="1" t="s">
        <v>17</v>
      </c>
      <c r="I157" s="1" t="s">
        <v>30</v>
      </c>
      <c r="J157" s="1">
        <v>0.43</v>
      </c>
      <c r="K157" s="36">
        <v>44569</v>
      </c>
    </row>
    <row r="158" spans="1:11" x14ac:dyDescent="0.3">
      <c r="A158" s="2" t="s">
        <v>342</v>
      </c>
      <c r="B158" s="1" t="s">
        <v>343</v>
      </c>
      <c r="C158" s="1">
        <v>25</v>
      </c>
      <c r="D158" s="1" t="s">
        <v>20</v>
      </c>
      <c r="E158" s="1" t="s">
        <v>21</v>
      </c>
      <c r="F158" s="1" t="s">
        <v>46</v>
      </c>
      <c r="G158" s="1" t="s">
        <v>25</v>
      </c>
      <c r="H158" s="1" t="s">
        <v>17</v>
      </c>
      <c r="I158" s="1" t="s">
        <v>17</v>
      </c>
      <c r="J158" s="1">
        <v>0.27</v>
      </c>
      <c r="K158" s="36">
        <v>44818</v>
      </c>
    </row>
    <row r="159" spans="1:11" x14ac:dyDescent="0.3">
      <c r="A159" s="2" t="s">
        <v>344</v>
      </c>
      <c r="B159" s="1" t="s">
        <v>345</v>
      </c>
      <c r="C159" s="1">
        <v>53</v>
      </c>
      <c r="D159" s="1" t="s">
        <v>13</v>
      </c>
      <c r="E159" s="1" t="s">
        <v>28</v>
      </c>
      <c r="F159" s="1" t="s">
        <v>15</v>
      </c>
      <c r="G159" s="1" t="s">
        <v>43</v>
      </c>
      <c r="H159" s="1" t="s">
        <v>17</v>
      </c>
      <c r="I159" s="1" t="s">
        <v>17</v>
      </c>
      <c r="J159" s="1">
        <v>0.1</v>
      </c>
      <c r="K159" s="36">
        <v>45366</v>
      </c>
    </row>
    <row r="160" spans="1:11" x14ac:dyDescent="0.3">
      <c r="A160" s="2" t="s">
        <v>346</v>
      </c>
      <c r="B160" s="1" t="s">
        <v>347</v>
      </c>
      <c r="C160" s="1">
        <v>49</v>
      </c>
      <c r="D160" s="1" t="s">
        <v>13</v>
      </c>
      <c r="E160" s="1" t="s">
        <v>33</v>
      </c>
      <c r="F160" s="1" t="s">
        <v>46</v>
      </c>
      <c r="G160" s="1" t="s">
        <v>43</v>
      </c>
      <c r="H160" s="1" t="s">
        <v>30</v>
      </c>
      <c r="I160" s="1" t="s">
        <v>30</v>
      </c>
      <c r="J160" s="1">
        <v>0.56000000000000005</v>
      </c>
      <c r="K160" s="36">
        <v>44581</v>
      </c>
    </row>
    <row r="161" spans="1:11" x14ac:dyDescent="0.3">
      <c r="A161" s="2" t="s">
        <v>348</v>
      </c>
      <c r="B161" s="1" t="s">
        <v>349</v>
      </c>
      <c r="C161" s="1">
        <v>67</v>
      </c>
      <c r="D161" s="1" t="s">
        <v>20</v>
      </c>
      <c r="E161" s="1" t="s">
        <v>33</v>
      </c>
      <c r="F161" s="1" t="s">
        <v>15</v>
      </c>
      <c r="G161" s="1" t="s">
        <v>47</v>
      </c>
      <c r="H161" s="1" t="s">
        <v>17</v>
      </c>
      <c r="I161" s="1" t="s">
        <v>17</v>
      </c>
      <c r="J161" s="1">
        <v>0.23</v>
      </c>
      <c r="K161" s="36">
        <v>44559</v>
      </c>
    </row>
    <row r="162" spans="1:11" x14ac:dyDescent="0.3">
      <c r="A162" s="2" t="s">
        <v>350</v>
      </c>
      <c r="B162" s="1" t="s">
        <v>351</v>
      </c>
      <c r="C162" s="1">
        <v>80</v>
      </c>
      <c r="D162" s="1" t="s">
        <v>20</v>
      </c>
      <c r="E162" s="1" t="s">
        <v>28</v>
      </c>
      <c r="F162" s="1" t="s">
        <v>62</v>
      </c>
      <c r="G162" s="1" t="s">
        <v>25</v>
      </c>
      <c r="H162" s="1" t="s">
        <v>17</v>
      </c>
      <c r="I162" s="1" t="s">
        <v>30</v>
      </c>
      <c r="J162" s="1">
        <v>0.51</v>
      </c>
      <c r="K162" s="36">
        <v>44232</v>
      </c>
    </row>
    <row r="163" spans="1:11" x14ac:dyDescent="0.3">
      <c r="A163" s="2" t="s">
        <v>352</v>
      </c>
      <c r="B163" s="1" t="s">
        <v>353</v>
      </c>
      <c r="C163" s="1">
        <v>59</v>
      </c>
      <c r="D163" s="1" t="s">
        <v>13</v>
      </c>
      <c r="E163" s="1" t="s">
        <v>14</v>
      </c>
      <c r="F163" s="1" t="s">
        <v>62</v>
      </c>
      <c r="G163" s="1" t="s">
        <v>38</v>
      </c>
      <c r="H163" s="1" t="s">
        <v>17</v>
      </c>
      <c r="I163" s="1" t="s">
        <v>30</v>
      </c>
      <c r="J163" s="1">
        <v>0.41</v>
      </c>
      <c r="K163" s="36">
        <v>45460</v>
      </c>
    </row>
    <row r="164" spans="1:11" x14ac:dyDescent="0.3">
      <c r="A164" s="2" t="s">
        <v>354</v>
      </c>
      <c r="B164" s="1" t="s">
        <v>355</v>
      </c>
      <c r="C164" s="1">
        <v>43</v>
      </c>
      <c r="D164" s="1" t="s">
        <v>356</v>
      </c>
      <c r="E164" s="1" t="s">
        <v>33</v>
      </c>
      <c r="F164" s="1" t="s">
        <v>15</v>
      </c>
      <c r="G164" s="1" t="s">
        <v>43</v>
      </c>
      <c r="H164" s="1" t="s">
        <v>17</v>
      </c>
      <c r="I164" s="1" t="s">
        <v>17</v>
      </c>
      <c r="J164" s="1">
        <v>0.13</v>
      </c>
      <c r="K164" s="36">
        <v>44578</v>
      </c>
    </row>
    <row r="165" spans="1:11" x14ac:dyDescent="0.3">
      <c r="A165" s="2" t="s">
        <v>357</v>
      </c>
      <c r="B165" s="1" t="s">
        <v>358</v>
      </c>
      <c r="C165" s="1">
        <v>43</v>
      </c>
      <c r="D165" s="1" t="s">
        <v>20</v>
      </c>
      <c r="E165" s="1" t="s">
        <v>33</v>
      </c>
      <c r="F165" s="1" t="s">
        <v>15</v>
      </c>
      <c r="G165" s="1" t="s">
        <v>25</v>
      </c>
      <c r="H165" s="1" t="s">
        <v>17</v>
      </c>
      <c r="I165" s="1" t="s">
        <v>30</v>
      </c>
      <c r="J165" s="1">
        <v>0.35</v>
      </c>
      <c r="K165" s="36">
        <v>46061</v>
      </c>
    </row>
    <row r="166" spans="1:11" x14ac:dyDescent="0.3">
      <c r="A166" s="2" t="s">
        <v>359</v>
      </c>
      <c r="B166" s="1" t="s">
        <v>360</v>
      </c>
      <c r="C166" s="1">
        <v>44</v>
      </c>
      <c r="D166" s="1" t="s">
        <v>20</v>
      </c>
      <c r="E166" s="1" t="s">
        <v>33</v>
      </c>
      <c r="F166" s="1" t="s">
        <v>62</v>
      </c>
      <c r="G166" s="1" t="s">
        <v>25</v>
      </c>
      <c r="H166" s="1" t="s">
        <v>17</v>
      </c>
      <c r="I166" s="1" t="s">
        <v>17</v>
      </c>
      <c r="J166" s="1">
        <v>0.15</v>
      </c>
      <c r="K166" s="36">
        <v>45961</v>
      </c>
    </row>
    <row r="167" spans="1:11" x14ac:dyDescent="0.3">
      <c r="A167" s="2" t="s">
        <v>361</v>
      </c>
      <c r="B167" s="1" t="s">
        <v>362</v>
      </c>
      <c r="C167" s="1">
        <v>69</v>
      </c>
      <c r="D167" s="1" t="s">
        <v>13</v>
      </c>
      <c r="E167" s="1" t="s">
        <v>33</v>
      </c>
      <c r="F167" s="1" t="s">
        <v>62</v>
      </c>
      <c r="G167" s="1" t="s">
        <v>43</v>
      </c>
      <c r="H167" s="1" t="s">
        <v>17</v>
      </c>
      <c r="I167" s="1" t="s">
        <v>30</v>
      </c>
      <c r="J167" s="1">
        <v>0.51</v>
      </c>
      <c r="K167" s="36">
        <v>44232</v>
      </c>
    </row>
    <row r="168" spans="1:11" x14ac:dyDescent="0.3">
      <c r="A168" s="2" t="s">
        <v>363</v>
      </c>
      <c r="B168" s="1" t="s">
        <v>364</v>
      </c>
      <c r="C168" s="1">
        <v>38</v>
      </c>
      <c r="D168" s="1" t="s">
        <v>13</v>
      </c>
      <c r="E168" s="1" t="s">
        <v>14</v>
      </c>
      <c r="F168" s="1" t="s">
        <v>46</v>
      </c>
      <c r="G168" s="1" t="s">
        <v>43</v>
      </c>
      <c r="H168" s="1" t="s">
        <v>17</v>
      </c>
      <c r="I168" s="1" t="s">
        <v>17</v>
      </c>
      <c r="J168" s="1">
        <v>0.2</v>
      </c>
      <c r="K168" s="36">
        <v>44598</v>
      </c>
    </row>
    <row r="169" spans="1:11" x14ac:dyDescent="0.3">
      <c r="A169" s="2" t="s">
        <v>365</v>
      </c>
      <c r="B169" s="1" t="s">
        <v>366</v>
      </c>
      <c r="C169" s="1">
        <v>28</v>
      </c>
      <c r="D169" s="1" t="s">
        <v>13</v>
      </c>
      <c r="E169" s="1" t="s">
        <v>21</v>
      </c>
      <c r="F169" s="1" t="s">
        <v>46</v>
      </c>
      <c r="G169" s="1" t="s">
        <v>43</v>
      </c>
      <c r="H169" s="1" t="s">
        <v>17</v>
      </c>
      <c r="I169" s="1" t="s">
        <v>17</v>
      </c>
      <c r="J169" s="1">
        <v>0.19</v>
      </c>
      <c r="K169" s="36">
        <v>45543</v>
      </c>
    </row>
    <row r="170" spans="1:11" x14ac:dyDescent="0.3">
      <c r="A170" s="2" t="s">
        <v>367</v>
      </c>
      <c r="B170" s="1" t="s">
        <v>368</v>
      </c>
      <c r="C170" s="1">
        <v>39</v>
      </c>
      <c r="D170" s="1" t="s">
        <v>13</v>
      </c>
      <c r="E170" s="1" t="s">
        <v>21</v>
      </c>
      <c r="F170" s="1" t="s">
        <v>15</v>
      </c>
      <c r="G170" s="1" t="s">
        <v>38</v>
      </c>
      <c r="H170" s="1" t="s">
        <v>17</v>
      </c>
      <c r="I170" s="1" t="s">
        <v>17</v>
      </c>
      <c r="J170" s="1">
        <v>0.24</v>
      </c>
      <c r="K170" s="36">
        <v>44546</v>
      </c>
    </row>
    <row r="171" spans="1:11" x14ac:dyDescent="0.3">
      <c r="A171" s="2" t="s">
        <v>369</v>
      </c>
      <c r="B171" s="1" t="s">
        <v>370</v>
      </c>
      <c r="C171" s="1">
        <v>19</v>
      </c>
      <c r="D171" s="1" t="s">
        <v>20</v>
      </c>
      <c r="E171" s="1" t="s">
        <v>33</v>
      </c>
      <c r="F171" s="1" t="s">
        <v>15</v>
      </c>
      <c r="G171" s="1" t="s">
        <v>38</v>
      </c>
      <c r="H171" s="1" t="s">
        <v>17</v>
      </c>
      <c r="I171" s="1" t="s">
        <v>17</v>
      </c>
      <c r="J171" s="1">
        <v>0.19</v>
      </c>
      <c r="K171" s="36">
        <v>44367</v>
      </c>
    </row>
    <row r="172" spans="1:11" x14ac:dyDescent="0.3">
      <c r="A172" s="2" t="s">
        <v>371</v>
      </c>
      <c r="B172" s="1" t="s">
        <v>372</v>
      </c>
      <c r="C172" s="1">
        <v>24</v>
      </c>
      <c r="D172" s="1" t="s">
        <v>13</v>
      </c>
      <c r="E172" s="1" t="s">
        <v>33</v>
      </c>
      <c r="F172" s="1" t="s">
        <v>29</v>
      </c>
      <c r="G172" s="1" t="s">
        <v>43</v>
      </c>
      <c r="H172" s="1" t="s">
        <v>17</v>
      </c>
      <c r="I172" s="1" t="s">
        <v>30</v>
      </c>
      <c r="J172" s="1">
        <v>0.32</v>
      </c>
      <c r="K172" s="36">
        <v>46127</v>
      </c>
    </row>
    <row r="173" spans="1:11" x14ac:dyDescent="0.3">
      <c r="A173" s="2" t="s">
        <v>373</v>
      </c>
      <c r="B173" s="1" t="s">
        <v>374</v>
      </c>
      <c r="C173" s="1">
        <v>23</v>
      </c>
      <c r="D173" s="1" t="s">
        <v>20</v>
      </c>
      <c r="E173" s="1" t="s">
        <v>33</v>
      </c>
      <c r="F173" s="1" t="s">
        <v>29</v>
      </c>
      <c r="G173" s="1" t="s">
        <v>47</v>
      </c>
      <c r="H173" s="1" t="s">
        <v>17</v>
      </c>
      <c r="I173" s="1" t="s">
        <v>30</v>
      </c>
      <c r="J173" s="1">
        <v>0.42</v>
      </c>
      <c r="K173" s="36">
        <v>45328</v>
      </c>
    </row>
    <row r="174" spans="1:11" x14ac:dyDescent="0.3">
      <c r="A174" s="2" t="s">
        <v>375</v>
      </c>
      <c r="B174" s="1" t="s">
        <v>376</v>
      </c>
      <c r="C174" s="1">
        <v>66</v>
      </c>
      <c r="D174" s="1" t="s">
        <v>13</v>
      </c>
      <c r="E174" s="1" t="s">
        <v>33</v>
      </c>
      <c r="F174" s="1" t="s">
        <v>62</v>
      </c>
      <c r="G174" s="1" t="s">
        <v>22</v>
      </c>
      <c r="H174" s="1" t="s">
        <v>17</v>
      </c>
      <c r="I174" s="1" t="s">
        <v>30</v>
      </c>
      <c r="J174" s="1">
        <v>0.36</v>
      </c>
      <c r="K174" s="36">
        <v>45113</v>
      </c>
    </row>
    <row r="175" spans="1:11" x14ac:dyDescent="0.3">
      <c r="A175" s="2" t="s">
        <v>377</v>
      </c>
      <c r="B175" s="1" t="s">
        <v>378</v>
      </c>
      <c r="C175" s="1">
        <v>63</v>
      </c>
      <c r="D175" s="1" t="s">
        <v>20</v>
      </c>
      <c r="E175" s="1" t="s">
        <v>21</v>
      </c>
      <c r="F175" s="1" t="s">
        <v>46</v>
      </c>
      <c r="G175" s="1" t="s">
        <v>38</v>
      </c>
      <c r="H175" s="1" t="s">
        <v>17</v>
      </c>
      <c r="I175" s="1" t="s">
        <v>17</v>
      </c>
      <c r="J175" s="1">
        <v>0.21</v>
      </c>
      <c r="K175" s="36">
        <v>45796</v>
      </c>
    </row>
    <row r="176" spans="1:11" x14ac:dyDescent="0.3">
      <c r="A176" s="2" t="s">
        <v>379</v>
      </c>
      <c r="B176" s="1" t="s">
        <v>380</v>
      </c>
      <c r="C176" s="1">
        <v>61</v>
      </c>
      <c r="D176" s="1" t="s">
        <v>13</v>
      </c>
      <c r="E176" s="1" t="s">
        <v>14</v>
      </c>
      <c r="F176" s="1" t="s">
        <v>46</v>
      </c>
      <c r="G176" s="1" t="s">
        <v>16</v>
      </c>
      <c r="H176" s="1" t="s">
        <v>17</v>
      </c>
      <c r="I176" s="1" t="s">
        <v>17</v>
      </c>
      <c r="J176" s="1">
        <v>0.33</v>
      </c>
      <c r="K176" s="36">
        <v>45847</v>
      </c>
    </row>
    <row r="177" spans="1:11" x14ac:dyDescent="0.3">
      <c r="A177" s="2" t="s">
        <v>381</v>
      </c>
      <c r="B177" s="1" t="s">
        <v>382</v>
      </c>
      <c r="C177" s="1">
        <v>47</v>
      </c>
      <c r="D177" s="1" t="s">
        <v>20</v>
      </c>
      <c r="E177" s="1" t="s">
        <v>14</v>
      </c>
      <c r="F177" s="1" t="s">
        <v>15</v>
      </c>
      <c r="G177" s="1" t="s">
        <v>25</v>
      </c>
      <c r="H177" s="1" t="s">
        <v>17</v>
      </c>
      <c r="I177" s="1" t="s">
        <v>17</v>
      </c>
      <c r="J177" s="1">
        <v>0.23</v>
      </c>
      <c r="K177" s="36">
        <v>44494</v>
      </c>
    </row>
    <row r="178" spans="1:11" x14ac:dyDescent="0.3">
      <c r="A178" s="2" t="s">
        <v>383</v>
      </c>
      <c r="B178" s="1" t="s">
        <v>384</v>
      </c>
      <c r="C178" s="1">
        <v>63</v>
      </c>
      <c r="D178" s="1" t="s">
        <v>20</v>
      </c>
      <c r="E178" s="1" t="s">
        <v>28</v>
      </c>
      <c r="F178" s="1" t="s">
        <v>62</v>
      </c>
      <c r="G178" s="1" t="s">
        <v>43</v>
      </c>
      <c r="H178" s="1" t="s">
        <v>17</v>
      </c>
      <c r="I178" s="1" t="s">
        <v>30</v>
      </c>
      <c r="J178" s="1">
        <v>0.35</v>
      </c>
      <c r="K178" s="36">
        <v>44289</v>
      </c>
    </row>
    <row r="179" spans="1:11" x14ac:dyDescent="0.3">
      <c r="A179" s="2" t="s">
        <v>385</v>
      </c>
      <c r="B179" s="1" t="s">
        <v>386</v>
      </c>
      <c r="C179" s="1">
        <v>28</v>
      </c>
      <c r="D179" s="1" t="s">
        <v>20</v>
      </c>
      <c r="E179" s="1" t="s">
        <v>33</v>
      </c>
      <c r="F179" s="1" t="s">
        <v>62</v>
      </c>
      <c r="G179" s="1" t="s">
        <v>16</v>
      </c>
      <c r="H179" s="1" t="s">
        <v>17</v>
      </c>
      <c r="I179" s="1" t="s">
        <v>17</v>
      </c>
      <c r="J179" s="1">
        <v>0.16</v>
      </c>
      <c r="K179" s="36">
        <v>45021</v>
      </c>
    </row>
    <row r="180" spans="1:11" x14ac:dyDescent="0.3">
      <c r="A180" s="2" t="s">
        <v>387</v>
      </c>
      <c r="B180" s="1" t="s">
        <v>388</v>
      </c>
      <c r="C180" s="1">
        <v>74</v>
      </c>
      <c r="D180" s="1" t="s">
        <v>20</v>
      </c>
      <c r="E180" s="1" t="s">
        <v>33</v>
      </c>
      <c r="F180" s="1" t="s">
        <v>46</v>
      </c>
      <c r="G180" s="1" t="s">
        <v>16</v>
      </c>
      <c r="H180" s="1" t="s">
        <v>17</v>
      </c>
      <c r="I180" s="1" t="s">
        <v>30</v>
      </c>
      <c r="J180" s="1">
        <v>0.38</v>
      </c>
      <c r="K180" s="36">
        <v>45005</v>
      </c>
    </row>
    <row r="181" spans="1:11" x14ac:dyDescent="0.3">
      <c r="A181" s="2" t="s">
        <v>389</v>
      </c>
      <c r="B181" s="1" t="s">
        <v>390</v>
      </c>
      <c r="C181" s="1">
        <v>49</v>
      </c>
      <c r="D181" s="1" t="s">
        <v>20</v>
      </c>
      <c r="E181" s="1" t="s">
        <v>33</v>
      </c>
      <c r="F181" s="1" t="s">
        <v>29</v>
      </c>
      <c r="G181" s="1" t="s">
        <v>16</v>
      </c>
      <c r="H181" s="1" t="s">
        <v>17</v>
      </c>
      <c r="I181" s="1" t="s">
        <v>17</v>
      </c>
      <c r="J181" s="1">
        <v>0.31</v>
      </c>
      <c r="K181" s="36">
        <v>45100</v>
      </c>
    </row>
    <row r="182" spans="1:11" x14ac:dyDescent="0.3">
      <c r="A182" s="2" t="s">
        <v>391</v>
      </c>
      <c r="B182" s="1" t="s">
        <v>392</v>
      </c>
      <c r="C182" s="1">
        <v>77</v>
      </c>
      <c r="D182" s="1" t="s">
        <v>13</v>
      </c>
      <c r="E182" s="1" t="s">
        <v>14</v>
      </c>
      <c r="F182" s="1" t="s">
        <v>15</v>
      </c>
      <c r="G182" s="1" t="s">
        <v>22</v>
      </c>
      <c r="H182" s="1" t="s">
        <v>17</v>
      </c>
      <c r="I182" s="1" t="s">
        <v>30</v>
      </c>
      <c r="J182" s="1">
        <v>0.48</v>
      </c>
      <c r="K182" s="36">
        <v>45675</v>
      </c>
    </row>
    <row r="183" spans="1:11" x14ac:dyDescent="0.3">
      <c r="A183" s="2" t="s">
        <v>393</v>
      </c>
      <c r="B183" s="1" t="s">
        <v>394</v>
      </c>
      <c r="C183" s="1">
        <v>27</v>
      </c>
      <c r="D183" s="1" t="s">
        <v>20</v>
      </c>
      <c r="E183" s="1" t="s">
        <v>28</v>
      </c>
      <c r="F183" s="1" t="s">
        <v>62</v>
      </c>
      <c r="G183" s="1" t="s">
        <v>16</v>
      </c>
      <c r="H183" s="1" t="s">
        <v>17</v>
      </c>
      <c r="I183" s="1" t="s">
        <v>17</v>
      </c>
      <c r="J183" s="1">
        <v>0.17</v>
      </c>
      <c r="K183" s="36">
        <v>45553</v>
      </c>
    </row>
    <row r="184" spans="1:11" x14ac:dyDescent="0.3">
      <c r="A184" s="2" t="s">
        <v>395</v>
      </c>
      <c r="B184" s="1" t="s">
        <v>396</v>
      </c>
      <c r="C184" s="1">
        <v>49</v>
      </c>
      <c r="D184" s="1" t="s">
        <v>13</v>
      </c>
      <c r="E184" s="1" t="s">
        <v>33</v>
      </c>
      <c r="F184" s="1" t="s">
        <v>46</v>
      </c>
      <c r="G184" s="1" t="s">
        <v>43</v>
      </c>
      <c r="H184" s="1" t="s">
        <v>17</v>
      </c>
      <c r="I184" s="1" t="s">
        <v>17</v>
      </c>
      <c r="J184" s="1">
        <v>0.23</v>
      </c>
      <c r="K184" s="36">
        <v>46234</v>
      </c>
    </row>
    <row r="185" spans="1:11" x14ac:dyDescent="0.3">
      <c r="A185" s="2" t="s">
        <v>397</v>
      </c>
      <c r="B185" s="1" t="s">
        <v>398</v>
      </c>
      <c r="C185" s="1">
        <v>61</v>
      </c>
      <c r="D185" s="1" t="s">
        <v>20</v>
      </c>
      <c r="E185" s="1" t="s">
        <v>28</v>
      </c>
      <c r="F185" s="1" t="s">
        <v>29</v>
      </c>
      <c r="G185" s="1" t="s">
        <v>47</v>
      </c>
      <c r="H185" s="1" t="s">
        <v>17</v>
      </c>
      <c r="I185" s="1" t="s">
        <v>30</v>
      </c>
      <c r="J185" s="1">
        <v>0.35</v>
      </c>
      <c r="K185" s="36">
        <v>44292</v>
      </c>
    </row>
    <row r="186" spans="1:11" x14ac:dyDescent="0.3">
      <c r="A186" s="2" t="s">
        <v>399</v>
      </c>
      <c r="B186" s="1" t="s">
        <v>400</v>
      </c>
      <c r="C186" s="1">
        <v>49</v>
      </c>
      <c r="D186" s="1" t="s">
        <v>13</v>
      </c>
      <c r="E186" s="1" t="s">
        <v>33</v>
      </c>
      <c r="F186" s="1" t="s">
        <v>62</v>
      </c>
      <c r="G186" s="1" t="s">
        <v>22</v>
      </c>
      <c r="H186" s="1" t="s">
        <v>17</v>
      </c>
      <c r="I186" s="1" t="s">
        <v>30</v>
      </c>
      <c r="J186" s="1">
        <v>0.31</v>
      </c>
      <c r="K186" s="36">
        <v>44959</v>
      </c>
    </row>
    <row r="187" spans="1:11" x14ac:dyDescent="0.3">
      <c r="A187" s="2" t="s">
        <v>401</v>
      </c>
      <c r="B187" s="1" t="s">
        <v>402</v>
      </c>
      <c r="C187" s="1">
        <v>46</v>
      </c>
      <c r="D187" s="1" t="s">
        <v>20</v>
      </c>
      <c r="E187" s="1" t="s">
        <v>33</v>
      </c>
      <c r="F187" s="1" t="s">
        <v>46</v>
      </c>
      <c r="G187" s="1" t="s">
        <v>16</v>
      </c>
      <c r="H187" s="1" t="s">
        <v>17</v>
      </c>
      <c r="I187" s="1" t="s">
        <v>30</v>
      </c>
      <c r="J187" s="1">
        <v>0.36</v>
      </c>
      <c r="K187" s="36">
        <v>44820</v>
      </c>
    </row>
    <row r="188" spans="1:11" x14ac:dyDescent="0.3">
      <c r="A188" s="2" t="s">
        <v>403</v>
      </c>
      <c r="B188" s="1" t="s">
        <v>404</v>
      </c>
      <c r="C188" s="1">
        <v>28</v>
      </c>
      <c r="D188" s="1" t="s">
        <v>13</v>
      </c>
      <c r="E188" s="1" t="s">
        <v>21</v>
      </c>
      <c r="F188" s="1" t="s">
        <v>15</v>
      </c>
      <c r="G188" s="1" t="s">
        <v>16</v>
      </c>
      <c r="H188" s="1" t="s">
        <v>30</v>
      </c>
      <c r="I188" s="1" t="s">
        <v>17</v>
      </c>
      <c r="J188" s="1">
        <v>0.41</v>
      </c>
      <c r="K188" s="36">
        <v>45965</v>
      </c>
    </row>
    <row r="189" spans="1:11" x14ac:dyDescent="0.3">
      <c r="A189" s="2" t="s">
        <v>405</v>
      </c>
      <c r="B189" s="1" t="s">
        <v>406</v>
      </c>
      <c r="C189" s="1">
        <v>42</v>
      </c>
      <c r="D189" s="1" t="s">
        <v>13</v>
      </c>
      <c r="E189" s="1" t="s">
        <v>33</v>
      </c>
      <c r="F189" s="1" t="s">
        <v>15</v>
      </c>
      <c r="G189" s="1" t="s">
        <v>38</v>
      </c>
      <c r="H189" s="1" t="s">
        <v>17</v>
      </c>
      <c r="I189" s="1" t="s">
        <v>17</v>
      </c>
      <c r="J189" s="1">
        <v>0.19</v>
      </c>
      <c r="K189" s="36">
        <v>44622</v>
      </c>
    </row>
    <row r="190" spans="1:11" x14ac:dyDescent="0.3">
      <c r="A190" s="2" t="s">
        <v>407</v>
      </c>
      <c r="B190" s="1" t="s">
        <v>408</v>
      </c>
      <c r="C190" s="1">
        <v>33</v>
      </c>
      <c r="D190" s="1" t="s">
        <v>20</v>
      </c>
      <c r="E190" s="1" t="s">
        <v>21</v>
      </c>
      <c r="F190" s="1" t="s">
        <v>46</v>
      </c>
      <c r="G190" s="1" t="s">
        <v>47</v>
      </c>
      <c r="H190" s="1" t="s">
        <v>17</v>
      </c>
      <c r="I190" s="1" t="s">
        <v>17</v>
      </c>
      <c r="J190" s="1">
        <v>0.21</v>
      </c>
      <c r="K190" s="36">
        <v>44493</v>
      </c>
    </row>
    <row r="191" spans="1:11" x14ac:dyDescent="0.3">
      <c r="A191" s="2" t="s">
        <v>409</v>
      </c>
      <c r="B191" s="1" t="s">
        <v>410</v>
      </c>
      <c r="C191" s="1">
        <v>36</v>
      </c>
      <c r="D191" s="1" t="s">
        <v>13</v>
      </c>
      <c r="E191" s="1" t="s">
        <v>33</v>
      </c>
      <c r="F191" s="1" t="s">
        <v>29</v>
      </c>
      <c r="G191" s="1" t="s">
        <v>16</v>
      </c>
      <c r="H191" s="1" t="s">
        <v>17</v>
      </c>
      <c r="I191" s="1" t="s">
        <v>17</v>
      </c>
      <c r="J191" s="1">
        <v>0.2</v>
      </c>
      <c r="K191" s="36">
        <v>45060</v>
      </c>
    </row>
    <row r="192" spans="1:11" x14ac:dyDescent="0.3">
      <c r="A192" s="2" t="s">
        <v>411</v>
      </c>
      <c r="B192" s="1" t="s">
        <v>412</v>
      </c>
      <c r="C192" s="1">
        <v>61</v>
      </c>
      <c r="D192" s="1" t="s">
        <v>20</v>
      </c>
      <c r="E192" s="1" t="s">
        <v>33</v>
      </c>
      <c r="F192" s="1" t="s">
        <v>29</v>
      </c>
      <c r="G192" s="1" t="s">
        <v>25</v>
      </c>
      <c r="H192" s="1" t="s">
        <v>17</v>
      </c>
      <c r="I192" s="1" t="s">
        <v>30</v>
      </c>
      <c r="J192" s="1">
        <v>0.42</v>
      </c>
      <c r="K192" s="36">
        <v>45001</v>
      </c>
    </row>
    <row r="193" spans="1:11" x14ac:dyDescent="0.3">
      <c r="A193" s="2" t="s">
        <v>413</v>
      </c>
      <c r="B193" s="1" t="s">
        <v>414</v>
      </c>
      <c r="C193" s="1">
        <v>57</v>
      </c>
      <c r="D193" s="1" t="s">
        <v>20</v>
      </c>
      <c r="E193" s="1" t="s">
        <v>33</v>
      </c>
      <c r="F193" s="1" t="s">
        <v>29</v>
      </c>
      <c r="G193" s="1" t="s">
        <v>25</v>
      </c>
      <c r="H193" s="1" t="s">
        <v>17</v>
      </c>
      <c r="I193" s="1" t="s">
        <v>17</v>
      </c>
      <c r="J193" s="1">
        <v>0.26</v>
      </c>
      <c r="K193" s="36">
        <v>44687</v>
      </c>
    </row>
    <row r="194" spans="1:11" x14ac:dyDescent="0.3">
      <c r="A194" s="2" t="s">
        <v>415</v>
      </c>
      <c r="B194" s="1" t="s">
        <v>416</v>
      </c>
      <c r="C194" s="1">
        <v>56</v>
      </c>
      <c r="D194" s="1" t="s">
        <v>13</v>
      </c>
      <c r="E194" s="1" t="s">
        <v>14</v>
      </c>
      <c r="F194" s="1" t="s">
        <v>15</v>
      </c>
      <c r="G194" s="1" t="s">
        <v>43</v>
      </c>
      <c r="H194" s="1" t="s">
        <v>17</v>
      </c>
      <c r="I194" s="1" t="s">
        <v>30</v>
      </c>
      <c r="J194" s="1">
        <v>0.4</v>
      </c>
      <c r="K194" s="36">
        <v>44624</v>
      </c>
    </row>
    <row r="195" spans="1:11" x14ac:dyDescent="0.3">
      <c r="A195" s="2" t="s">
        <v>417</v>
      </c>
      <c r="B195" s="1" t="s">
        <v>418</v>
      </c>
      <c r="C195" s="1">
        <v>40</v>
      </c>
      <c r="D195" s="1" t="s">
        <v>13</v>
      </c>
      <c r="E195" s="1" t="s">
        <v>21</v>
      </c>
      <c r="F195" s="1" t="s">
        <v>62</v>
      </c>
      <c r="G195" s="1" t="s">
        <v>25</v>
      </c>
      <c r="H195" s="1" t="s">
        <v>17</v>
      </c>
      <c r="I195" s="1" t="s">
        <v>17</v>
      </c>
      <c r="J195" s="1">
        <v>0.21</v>
      </c>
      <c r="K195" s="36">
        <v>46100</v>
      </c>
    </row>
    <row r="196" spans="1:11" x14ac:dyDescent="0.3">
      <c r="A196" s="2" t="s">
        <v>419</v>
      </c>
      <c r="B196" s="1" t="s">
        <v>420</v>
      </c>
      <c r="C196" s="1">
        <v>78</v>
      </c>
      <c r="D196" s="1" t="s">
        <v>20</v>
      </c>
      <c r="E196" s="1" t="s">
        <v>33</v>
      </c>
      <c r="F196" s="1" t="s">
        <v>15</v>
      </c>
      <c r="G196" s="1" t="s">
        <v>16</v>
      </c>
      <c r="H196" s="1" t="s">
        <v>17</v>
      </c>
      <c r="I196" s="1" t="s">
        <v>30</v>
      </c>
      <c r="J196" s="1">
        <v>0.45</v>
      </c>
      <c r="K196" s="36">
        <v>45048</v>
      </c>
    </row>
    <row r="197" spans="1:11" x14ac:dyDescent="0.3">
      <c r="A197" s="2" t="s">
        <v>421</v>
      </c>
      <c r="B197" s="1" t="s">
        <v>422</v>
      </c>
      <c r="C197" s="1">
        <v>23</v>
      </c>
      <c r="D197" s="1" t="s">
        <v>20</v>
      </c>
      <c r="E197" s="1" t="s">
        <v>33</v>
      </c>
      <c r="F197" s="1" t="s">
        <v>15</v>
      </c>
      <c r="G197" s="1" t="s">
        <v>47</v>
      </c>
      <c r="H197" s="1" t="s">
        <v>30</v>
      </c>
      <c r="I197" s="1" t="s">
        <v>17</v>
      </c>
      <c r="J197" s="1">
        <v>0.44</v>
      </c>
      <c r="K197" s="36">
        <v>45965</v>
      </c>
    </row>
    <row r="198" spans="1:11" x14ac:dyDescent="0.3">
      <c r="A198" s="2" t="s">
        <v>423</v>
      </c>
      <c r="B198" s="1" t="s">
        <v>424</v>
      </c>
      <c r="C198" s="1">
        <v>39</v>
      </c>
      <c r="D198" s="1" t="s">
        <v>13</v>
      </c>
      <c r="E198" s="1" t="s">
        <v>14</v>
      </c>
      <c r="F198" s="1" t="s">
        <v>62</v>
      </c>
      <c r="G198" s="1" t="s">
        <v>22</v>
      </c>
      <c r="H198" s="1" t="s">
        <v>17</v>
      </c>
      <c r="I198" s="1" t="s">
        <v>17</v>
      </c>
      <c r="J198" s="1">
        <v>0.13</v>
      </c>
      <c r="K198" s="36">
        <v>45283</v>
      </c>
    </row>
    <row r="199" spans="1:11" x14ac:dyDescent="0.3">
      <c r="A199" s="2" t="s">
        <v>425</v>
      </c>
      <c r="B199" s="1" t="s">
        <v>426</v>
      </c>
      <c r="C199" s="1">
        <v>25</v>
      </c>
      <c r="D199" s="1" t="s">
        <v>13</v>
      </c>
      <c r="E199" s="1" t="s">
        <v>33</v>
      </c>
      <c r="F199" s="1" t="s">
        <v>15</v>
      </c>
      <c r="G199" s="1" t="s">
        <v>25</v>
      </c>
      <c r="H199" s="1" t="s">
        <v>17</v>
      </c>
      <c r="I199" s="1" t="s">
        <v>17</v>
      </c>
      <c r="J199" s="1">
        <v>0.19</v>
      </c>
      <c r="K199" s="36">
        <v>44187</v>
      </c>
    </row>
    <row r="200" spans="1:11" x14ac:dyDescent="0.3">
      <c r="A200" s="2" t="s">
        <v>427</v>
      </c>
      <c r="B200" s="1" t="s">
        <v>428</v>
      </c>
      <c r="C200" s="1">
        <v>39</v>
      </c>
      <c r="D200" s="1" t="s">
        <v>13</v>
      </c>
      <c r="E200" s="1" t="s">
        <v>28</v>
      </c>
      <c r="F200" s="1" t="s">
        <v>29</v>
      </c>
      <c r="G200" s="1" t="s">
        <v>22</v>
      </c>
      <c r="H200" s="1" t="s">
        <v>17</v>
      </c>
      <c r="I200" s="1" t="s">
        <v>17</v>
      </c>
      <c r="J200" s="1">
        <v>0.22</v>
      </c>
      <c r="K200" s="36">
        <v>46267</v>
      </c>
    </row>
    <row r="201" spans="1:11" x14ac:dyDescent="0.3">
      <c r="A201" s="2" t="s">
        <v>429</v>
      </c>
      <c r="B201" s="1" t="s">
        <v>430</v>
      </c>
      <c r="C201" s="1">
        <v>78</v>
      </c>
      <c r="D201" s="1" t="s">
        <v>13</v>
      </c>
      <c r="E201" s="1" t="s">
        <v>33</v>
      </c>
      <c r="F201" s="1" t="s">
        <v>46</v>
      </c>
      <c r="G201" s="1" t="s">
        <v>25</v>
      </c>
      <c r="H201" s="1" t="s">
        <v>17</v>
      </c>
      <c r="I201" s="1" t="s">
        <v>30</v>
      </c>
      <c r="J201" s="1">
        <v>0.52</v>
      </c>
      <c r="K201" s="36">
        <v>45909</v>
      </c>
    </row>
    <row r="202" spans="1:11" x14ac:dyDescent="0.3">
      <c r="A202" s="2" t="s">
        <v>431</v>
      </c>
      <c r="B202" s="1" t="s">
        <v>432</v>
      </c>
      <c r="C202" s="1">
        <v>41</v>
      </c>
      <c r="D202" s="1" t="s">
        <v>13</v>
      </c>
      <c r="E202" s="1" t="s">
        <v>21</v>
      </c>
      <c r="F202" s="1" t="s">
        <v>46</v>
      </c>
      <c r="G202" s="1" t="s">
        <v>38</v>
      </c>
      <c r="H202" s="1" t="s">
        <v>17</v>
      </c>
      <c r="I202" s="1" t="s">
        <v>17</v>
      </c>
      <c r="J202" s="1">
        <v>0.21</v>
      </c>
      <c r="K202" s="36">
        <v>46201</v>
      </c>
    </row>
    <row r="203" spans="1:11" x14ac:dyDescent="0.3">
      <c r="A203" s="2" t="s">
        <v>433</v>
      </c>
      <c r="B203" s="1" t="s">
        <v>434</v>
      </c>
      <c r="C203" s="1">
        <v>75</v>
      </c>
      <c r="D203" s="1" t="s">
        <v>20</v>
      </c>
      <c r="E203" s="1" t="s">
        <v>28</v>
      </c>
      <c r="F203" s="1" t="s">
        <v>29</v>
      </c>
      <c r="G203" s="1" t="s">
        <v>38</v>
      </c>
      <c r="H203" s="1" t="s">
        <v>17</v>
      </c>
      <c r="I203" s="1" t="s">
        <v>17</v>
      </c>
      <c r="J203" s="1">
        <v>0.26</v>
      </c>
      <c r="K203" s="36">
        <v>46107</v>
      </c>
    </row>
    <row r="204" spans="1:11" x14ac:dyDescent="0.3">
      <c r="A204" s="2" t="s">
        <v>435</v>
      </c>
      <c r="B204" s="1" t="s">
        <v>436</v>
      </c>
      <c r="C204" s="1">
        <v>49</v>
      </c>
      <c r="D204" s="1" t="s">
        <v>13</v>
      </c>
      <c r="E204" s="1" t="s">
        <v>14</v>
      </c>
      <c r="F204" s="1" t="s">
        <v>29</v>
      </c>
      <c r="G204" s="1" t="s">
        <v>47</v>
      </c>
      <c r="H204" s="1" t="s">
        <v>17</v>
      </c>
      <c r="I204" s="1" t="s">
        <v>17</v>
      </c>
      <c r="J204" s="1">
        <v>0.21</v>
      </c>
      <c r="K204" s="36">
        <v>45937</v>
      </c>
    </row>
    <row r="205" spans="1:11" x14ac:dyDescent="0.3">
      <c r="A205" s="2" t="s">
        <v>437</v>
      </c>
      <c r="B205" s="1" t="s">
        <v>438</v>
      </c>
      <c r="C205" s="1">
        <v>62</v>
      </c>
      <c r="D205" s="1" t="s">
        <v>20</v>
      </c>
      <c r="E205" s="1" t="s">
        <v>33</v>
      </c>
      <c r="F205" s="1" t="s">
        <v>29</v>
      </c>
      <c r="G205" s="1" t="s">
        <v>47</v>
      </c>
      <c r="H205" s="1" t="s">
        <v>17</v>
      </c>
      <c r="I205" s="1" t="s">
        <v>30</v>
      </c>
      <c r="J205" s="1">
        <v>0.36</v>
      </c>
      <c r="K205" s="36">
        <v>44441</v>
      </c>
    </row>
    <row r="206" spans="1:11" x14ac:dyDescent="0.3">
      <c r="A206" s="2" t="s">
        <v>439</v>
      </c>
      <c r="B206" s="1" t="s">
        <v>440</v>
      </c>
      <c r="C206" s="1">
        <v>46</v>
      </c>
      <c r="D206" s="1" t="s">
        <v>13</v>
      </c>
      <c r="E206" s="1" t="s">
        <v>28</v>
      </c>
      <c r="F206" s="1" t="s">
        <v>15</v>
      </c>
      <c r="G206" s="1" t="s">
        <v>16</v>
      </c>
      <c r="H206" s="1" t="s">
        <v>17</v>
      </c>
      <c r="I206" s="1" t="s">
        <v>30</v>
      </c>
      <c r="J206" s="1">
        <v>0.43</v>
      </c>
      <c r="K206" s="36">
        <v>45141</v>
      </c>
    </row>
    <row r="207" spans="1:11" x14ac:dyDescent="0.3">
      <c r="A207" s="2" t="s">
        <v>441</v>
      </c>
      <c r="B207" s="1" t="s">
        <v>442</v>
      </c>
      <c r="C207" s="1">
        <v>34</v>
      </c>
      <c r="D207" s="1" t="s">
        <v>20</v>
      </c>
      <c r="E207" s="1" t="s">
        <v>14</v>
      </c>
      <c r="F207" s="1" t="s">
        <v>15</v>
      </c>
      <c r="G207" s="1" t="s">
        <v>16</v>
      </c>
      <c r="H207" s="1" t="s">
        <v>17</v>
      </c>
      <c r="I207" s="1" t="s">
        <v>17</v>
      </c>
      <c r="J207" s="1">
        <v>0.21</v>
      </c>
      <c r="K207" s="36">
        <v>44545</v>
      </c>
    </row>
    <row r="208" spans="1:11" x14ac:dyDescent="0.3">
      <c r="A208" s="2" t="s">
        <v>443</v>
      </c>
      <c r="B208" s="1" t="s">
        <v>444</v>
      </c>
      <c r="C208" s="1">
        <v>66</v>
      </c>
      <c r="D208" s="1" t="s">
        <v>13</v>
      </c>
      <c r="E208" s="1" t="s">
        <v>33</v>
      </c>
      <c r="F208" s="1" t="s">
        <v>46</v>
      </c>
      <c r="G208" s="1" t="s">
        <v>16</v>
      </c>
      <c r="H208" s="1" t="s">
        <v>17</v>
      </c>
      <c r="I208" s="1" t="s">
        <v>30</v>
      </c>
      <c r="J208" s="1">
        <v>0.39</v>
      </c>
      <c r="K208" s="36">
        <v>44956</v>
      </c>
    </row>
    <row r="209" spans="1:11" x14ac:dyDescent="0.3">
      <c r="A209" s="2" t="s">
        <v>445</v>
      </c>
      <c r="B209" s="1" t="s">
        <v>446</v>
      </c>
      <c r="C209" s="1">
        <v>79</v>
      </c>
      <c r="D209" s="1" t="s">
        <v>13</v>
      </c>
      <c r="E209" s="1" t="s">
        <v>21</v>
      </c>
      <c r="F209" s="1" t="s">
        <v>15</v>
      </c>
      <c r="G209" s="1" t="s">
        <v>47</v>
      </c>
      <c r="H209" s="1" t="s">
        <v>17</v>
      </c>
      <c r="I209" s="1" t="s">
        <v>17</v>
      </c>
      <c r="J209" s="1">
        <v>0.27</v>
      </c>
      <c r="K209" s="36">
        <v>44205</v>
      </c>
    </row>
    <row r="210" spans="1:11" x14ac:dyDescent="0.3">
      <c r="A210" s="2" t="s">
        <v>447</v>
      </c>
      <c r="B210" s="1" t="s">
        <v>448</v>
      </c>
      <c r="C210" s="1">
        <v>34</v>
      </c>
      <c r="D210" s="1" t="s">
        <v>20</v>
      </c>
      <c r="E210" s="1" t="s">
        <v>28</v>
      </c>
      <c r="F210" s="1" t="s">
        <v>62</v>
      </c>
      <c r="G210" s="1" t="s">
        <v>16</v>
      </c>
      <c r="H210" s="1" t="s">
        <v>17</v>
      </c>
      <c r="I210" s="1" t="s">
        <v>17</v>
      </c>
      <c r="J210" s="1">
        <v>0.17</v>
      </c>
      <c r="K210" s="36">
        <v>44907</v>
      </c>
    </row>
    <row r="211" spans="1:11" x14ac:dyDescent="0.3">
      <c r="A211" s="2" t="s">
        <v>449</v>
      </c>
      <c r="B211" s="1" t="s">
        <v>450</v>
      </c>
      <c r="C211" s="1">
        <v>67</v>
      </c>
      <c r="D211" s="1" t="s">
        <v>13</v>
      </c>
      <c r="E211" s="1" t="s">
        <v>21</v>
      </c>
      <c r="F211" s="1" t="s">
        <v>15</v>
      </c>
      <c r="G211" s="1" t="s">
        <v>38</v>
      </c>
      <c r="H211" s="1" t="s">
        <v>17</v>
      </c>
      <c r="I211" s="1" t="s">
        <v>17</v>
      </c>
      <c r="J211" s="1">
        <v>0.36</v>
      </c>
      <c r="K211" s="36">
        <v>46236</v>
      </c>
    </row>
    <row r="212" spans="1:11" x14ac:dyDescent="0.3">
      <c r="A212" s="2" t="s">
        <v>451</v>
      </c>
      <c r="B212" s="1" t="s">
        <v>452</v>
      </c>
      <c r="C212" s="1">
        <v>34</v>
      </c>
      <c r="D212" s="1" t="s">
        <v>20</v>
      </c>
      <c r="E212" s="1" t="s">
        <v>33</v>
      </c>
      <c r="F212" s="1" t="s">
        <v>15</v>
      </c>
      <c r="G212" s="1" t="s">
        <v>22</v>
      </c>
      <c r="H212" s="1" t="s">
        <v>30</v>
      </c>
      <c r="I212" s="1" t="s">
        <v>30</v>
      </c>
      <c r="J212" s="1">
        <v>0.52</v>
      </c>
      <c r="K212" s="36">
        <v>44658</v>
      </c>
    </row>
    <row r="213" spans="1:11" x14ac:dyDescent="0.3">
      <c r="A213" s="2" t="s">
        <v>453</v>
      </c>
      <c r="B213" s="1" t="s">
        <v>454</v>
      </c>
      <c r="C213" s="1">
        <v>63</v>
      </c>
      <c r="D213" s="1" t="s">
        <v>13</v>
      </c>
      <c r="E213" s="1" t="s">
        <v>14</v>
      </c>
      <c r="F213" s="1" t="s">
        <v>46</v>
      </c>
      <c r="G213" s="1" t="s">
        <v>38</v>
      </c>
      <c r="H213" s="1" t="s">
        <v>17</v>
      </c>
      <c r="I213" s="1" t="s">
        <v>17</v>
      </c>
      <c r="J213" s="1">
        <v>0.28999999999999998</v>
      </c>
      <c r="K213" s="36">
        <v>45795</v>
      </c>
    </row>
    <row r="214" spans="1:11" x14ac:dyDescent="0.3">
      <c r="A214" s="2" t="s">
        <v>455</v>
      </c>
      <c r="B214" s="1" t="s">
        <v>456</v>
      </c>
      <c r="C214" s="1">
        <v>67</v>
      </c>
      <c r="D214" s="1" t="s">
        <v>20</v>
      </c>
      <c r="E214" s="1" t="s">
        <v>21</v>
      </c>
      <c r="F214" s="1" t="s">
        <v>15</v>
      </c>
      <c r="G214" s="1" t="s">
        <v>38</v>
      </c>
      <c r="H214" s="1" t="s">
        <v>17</v>
      </c>
      <c r="I214" s="1" t="s">
        <v>30</v>
      </c>
      <c r="J214" s="1">
        <v>0.46</v>
      </c>
      <c r="K214" s="36">
        <v>45074</v>
      </c>
    </row>
    <row r="215" spans="1:11" x14ac:dyDescent="0.3">
      <c r="A215" s="2" t="s">
        <v>457</v>
      </c>
      <c r="B215" s="1" t="s">
        <v>458</v>
      </c>
      <c r="C215" s="1">
        <v>46</v>
      </c>
      <c r="D215" s="1" t="s">
        <v>20</v>
      </c>
      <c r="E215" s="1" t="s">
        <v>14</v>
      </c>
      <c r="F215" s="1" t="s">
        <v>62</v>
      </c>
      <c r="G215" s="1" t="s">
        <v>38</v>
      </c>
      <c r="H215" s="1" t="s">
        <v>17</v>
      </c>
      <c r="I215" s="1" t="s">
        <v>17</v>
      </c>
      <c r="J215" s="1">
        <v>0.16</v>
      </c>
      <c r="K215" s="36">
        <v>45004</v>
      </c>
    </row>
    <row r="216" spans="1:11" x14ac:dyDescent="0.3">
      <c r="A216" s="2" t="s">
        <v>459</v>
      </c>
      <c r="B216" s="1" t="s">
        <v>460</v>
      </c>
      <c r="C216" s="1">
        <v>64</v>
      </c>
      <c r="D216" s="1" t="s">
        <v>20</v>
      </c>
      <c r="E216" s="1" t="s">
        <v>28</v>
      </c>
      <c r="F216" s="1" t="s">
        <v>62</v>
      </c>
      <c r="G216" s="1" t="s">
        <v>38</v>
      </c>
      <c r="H216" s="1" t="s">
        <v>17</v>
      </c>
      <c r="I216" s="1" t="s">
        <v>17</v>
      </c>
      <c r="J216" s="1">
        <v>0.28999999999999998</v>
      </c>
      <c r="K216" s="36">
        <v>46175</v>
      </c>
    </row>
    <row r="217" spans="1:11" x14ac:dyDescent="0.3">
      <c r="A217" s="2" t="s">
        <v>461</v>
      </c>
      <c r="B217" s="1" t="s">
        <v>462</v>
      </c>
      <c r="C217" s="1">
        <v>35</v>
      </c>
      <c r="D217" s="1" t="s">
        <v>20</v>
      </c>
      <c r="E217" s="1" t="s">
        <v>21</v>
      </c>
      <c r="F217" s="1" t="s">
        <v>62</v>
      </c>
      <c r="G217" s="1" t="s">
        <v>22</v>
      </c>
      <c r="H217" s="1" t="s">
        <v>17</v>
      </c>
      <c r="I217" s="1" t="s">
        <v>30</v>
      </c>
      <c r="J217" s="1">
        <v>0.37</v>
      </c>
      <c r="K217" s="36">
        <v>46258</v>
      </c>
    </row>
    <row r="218" spans="1:11" x14ac:dyDescent="0.3">
      <c r="A218" s="2" t="s">
        <v>463</v>
      </c>
      <c r="B218" s="1" t="s">
        <v>464</v>
      </c>
      <c r="C218" s="1">
        <v>22</v>
      </c>
      <c r="D218" s="1" t="s">
        <v>20</v>
      </c>
      <c r="E218" s="1" t="s">
        <v>14</v>
      </c>
      <c r="F218" s="1" t="s">
        <v>29</v>
      </c>
      <c r="G218" s="1" t="s">
        <v>16</v>
      </c>
      <c r="H218" s="1" t="s">
        <v>17</v>
      </c>
      <c r="I218" s="1" t="s">
        <v>30</v>
      </c>
      <c r="J218" s="1">
        <v>0.31</v>
      </c>
      <c r="K218" s="36">
        <v>45295</v>
      </c>
    </row>
    <row r="219" spans="1:11" x14ac:dyDescent="0.3">
      <c r="A219" s="2" t="s">
        <v>465</v>
      </c>
      <c r="B219" s="1" t="s">
        <v>466</v>
      </c>
      <c r="C219" s="1">
        <v>24</v>
      </c>
      <c r="D219" s="1" t="s">
        <v>13</v>
      </c>
      <c r="E219" s="1" t="s">
        <v>21</v>
      </c>
      <c r="F219" s="1" t="s">
        <v>46</v>
      </c>
      <c r="G219" s="1" t="s">
        <v>16</v>
      </c>
      <c r="H219" s="1" t="s">
        <v>17</v>
      </c>
      <c r="I219" s="1" t="s">
        <v>30</v>
      </c>
      <c r="J219" s="1">
        <v>0.42</v>
      </c>
      <c r="K219" s="36">
        <v>45651</v>
      </c>
    </row>
    <row r="220" spans="1:11" x14ac:dyDescent="0.3">
      <c r="A220" s="2" t="s">
        <v>467</v>
      </c>
      <c r="B220" s="1" t="s">
        <v>468</v>
      </c>
      <c r="C220" s="1">
        <v>46</v>
      </c>
      <c r="D220" s="1" t="s">
        <v>13</v>
      </c>
      <c r="E220" s="1" t="s">
        <v>21</v>
      </c>
      <c r="F220" s="1" t="s">
        <v>15</v>
      </c>
      <c r="G220" s="1" t="s">
        <v>22</v>
      </c>
      <c r="H220" s="1" t="s">
        <v>17</v>
      </c>
      <c r="I220" s="1" t="s">
        <v>17</v>
      </c>
      <c r="J220" s="1">
        <v>0.2</v>
      </c>
      <c r="K220" s="36">
        <v>44416</v>
      </c>
    </row>
    <row r="221" spans="1:11" x14ac:dyDescent="0.3">
      <c r="A221" s="2" t="s">
        <v>469</v>
      </c>
      <c r="B221" s="1" t="s">
        <v>470</v>
      </c>
      <c r="C221" s="1">
        <v>74</v>
      </c>
      <c r="D221" s="1" t="s">
        <v>13</v>
      </c>
      <c r="E221" s="1" t="s">
        <v>21</v>
      </c>
      <c r="F221" s="1" t="s">
        <v>62</v>
      </c>
      <c r="G221" s="1" t="s">
        <v>47</v>
      </c>
      <c r="H221" s="1" t="s">
        <v>17</v>
      </c>
      <c r="I221" s="1" t="s">
        <v>17</v>
      </c>
      <c r="J221" s="1">
        <v>0.28999999999999998</v>
      </c>
      <c r="K221" s="36">
        <v>44727</v>
      </c>
    </row>
    <row r="222" spans="1:11" x14ac:dyDescent="0.3">
      <c r="A222" s="2" t="s">
        <v>471</v>
      </c>
      <c r="B222" s="1" t="s">
        <v>472</v>
      </c>
      <c r="C222" s="1">
        <v>26</v>
      </c>
      <c r="D222" s="1" t="s">
        <v>20</v>
      </c>
      <c r="E222" s="1" t="s">
        <v>33</v>
      </c>
      <c r="F222" s="1" t="s">
        <v>15</v>
      </c>
      <c r="G222" s="1" t="s">
        <v>38</v>
      </c>
      <c r="H222" s="1" t="s">
        <v>17</v>
      </c>
      <c r="I222" s="1" t="s">
        <v>30</v>
      </c>
      <c r="J222" s="1">
        <v>0.35</v>
      </c>
      <c r="K222" s="36">
        <v>46200</v>
      </c>
    </row>
    <row r="223" spans="1:11" x14ac:dyDescent="0.3">
      <c r="A223" s="2" t="s">
        <v>473</v>
      </c>
      <c r="B223" s="1" t="s">
        <v>474</v>
      </c>
      <c r="C223" s="1">
        <v>46</v>
      </c>
      <c r="D223" s="1" t="s">
        <v>20</v>
      </c>
      <c r="E223" s="1" t="s">
        <v>28</v>
      </c>
      <c r="F223" s="1" t="s">
        <v>29</v>
      </c>
      <c r="G223" s="1" t="s">
        <v>25</v>
      </c>
      <c r="H223" s="1" t="s">
        <v>17</v>
      </c>
      <c r="I223" s="1" t="s">
        <v>30</v>
      </c>
      <c r="J223" s="1">
        <v>0.37</v>
      </c>
      <c r="K223" s="36">
        <v>45346</v>
      </c>
    </row>
    <row r="224" spans="1:11" x14ac:dyDescent="0.3">
      <c r="A224" s="2" t="s">
        <v>475</v>
      </c>
      <c r="B224" s="1" t="s">
        <v>476</v>
      </c>
      <c r="C224" s="1">
        <v>62</v>
      </c>
      <c r="D224" s="1" t="s">
        <v>20</v>
      </c>
      <c r="E224" s="1" t="s">
        <v>33</v>
      </c>
      <c r="F224" s="1" t="s">
        <v>46</v>
      </c>
      <c r="G224" s="1" t="s">
        <v>43</v>
      </c>
      <c r="H224" s="1" t="s">
        <v>17</v>
      </c>
      <c r="I224" s="1" t="s">
        <v>17</v>
      </c>
      <c r="J224" s="1">
        <v>0.36</v>
      </c>
      <c r="K224" s="36">
        <v>45265</v>
      </c>
    </row>
    <row r="225" spans="1:11" x14ac:dyDescent="0.3">
      <c r="A225" s="2" t="s">
        <v>477</v>
      </c>
      <c r="B225" s="1" t="s">
        <v>478</v>
      </c>
      <c r="C225" s="1">
        <v>30</v>
      </c>
      <c r="D225" s="1" t="s">
        <v>13</v>
      </c>
      <c r="E225" s="1" t="s">
        <v>28</v>
      </c>
      <c r="F225" s="1" t="s">
        <v>46</v>
      </c>
      <c r="G225" s="1" t="s">
        <v>47</v>
      </c>
      <c r="H225" s="1" t="s">
        <v>30</v>
      </c>
      <c r="I225" s="1" t="s">
        <v>17</v>
      </c>
      <c r="J225" s="1">
        <v>0.31</v>
      </c>
      <c r="K225" s="36">
        <v>45716</v>
      </c>
    </row>
    <row r="226" spans="1:11" x14ac:dyDescent="0.3">
      <c r="A226" s="2" t="s">
        <v>479</v>
      </c>
      <c r="B226" s="1" t="s">
        <v>480</v>
      </c>
      <c r="C226" s="1">
        <v>63</v>
      </c>
      <c r="D226" s="1" t="s">
        <v>13</v>
      </c>
      <c r="E226" s="1" t="s">
        <v>33</v>
      </c>
      <c r="F226" s="1" t="s">
        <v>15</v>
      </c>
      <c r="G226" s="1" t="s">
        <v>47</v>
      </c>
      <c r="H226" s="1" t="s">
        <v>17</v>
      </c>
      <c r="I226" s="1" t="s">
        <v>17</v>
      </c>
      <c r="J226" s="1">
        <v>0.26</v>
      </c>
      <c r="K226" s="36">
        <v>44202</v>
      </c>
    </row>
    <row r="227" spans="1:11" x14ac:dyDescent="0.3">
      <c r="A227" s="2" t="s">
        <v>481</v>
      </c>
      <c r="B227" s="1" t="s">
        <v>482</v>
      </c>
      <c r="C227" s="1">
        <v>37</v>
      </c>
      <c r="D227" s="1" t="s">
        <v>20</v>
      </c>
      <c r="E227" s="1" t="s">
        <v>14</v>
      </c>
      <c r="F227" s="1" t="s">
        <v>15</v>
      </c>
      <c r="G227" s="1" t="s">
        <v>47</v>
      </c>
      <c r="H227" s="1" t="s">
        <v>30</v>
      </c>
      <c r="I227" s="1" t="s">
        <v>17</v>
      </c>
      <c r="J227" s="1">
        <v>0.42</v>
      </c>
      <c r="K227" s="36">
        <v>45357</v>
      </c>
    </row>
    <row r="228" spans="1:11" x14ac:dyDescent="0.3">
      <c r="A228" s="2" t="s">
        <v>483</v>
      </c>
      <c r="B228" s="1" t="s">
        <v>484</v>
      </c>
      <c r="C228" s="1">
        <v>68</v>
      </c>
      <c r="D228" s="1" t="s">
        <v>13</v>
      </c>
      <c r="E228" s="1" t="s">
        <v>28</v>
      </c>
      <c r="F228" s="1" t="s">
        <v>29</v>
      </c>
      <c r="G228" s="1" t="s">
        <v>47</v>
      </c>
      <c r="H228" s="1" t="s">
        <v>17</v>
      </c>
      <c r="I228" s="1" t="s">
        <v>17</v>
      </c>
      <c r="J228" s="1">
        <v>0.31</v>
      </c>
      <c r="K228" s="36">
        <v>45179</v>
      </c>
    </row>
    <row r="229" spans="1:11" x14ac:dyDescent="0.3">
      <c r="A229" s="2" t="s">
        <v>485</v>
      </c>
      <c r="B229" s="1" t="s">
        <v>486</v>
      </c>
      <c r="C229" s="1">
        <v>54</v>
      </c>
      <c r="D229" s="1" t="s">
        <v>20</v>
      </c>
      <c r="E229" s="1" t="s">
        <v>21</v>
      </c>
      <c r="F229" s="1" t="s">
        <v>15</v>
      </c>
      <c r="G229" s="1" t="s">
        <v>47</v>
      </c>
      <c r="H229" s="1" t="s">
        <v>17</v>
      </c>
      <c r="I229" s="1" t="s">
        <v>17</v>
      </c>
      <c r="J229" s="1">
        <v>0.23</v>
      </c>
      <c r="K229" s="36">
        <v>45946</v>
      </c>
    </row>
    <row r="230" spans="1:11" x14ac:dyDescent="0.3">
      <c r="A230" s="2" t="s">
        <v>487</v>
      </c>
      <c r="B230" s="1" t="s">
        <v>488</v>
      </c>
      <c r="C230" s="1">
        <v>52</v>
      </c>
      <c r="D230" s="1" t="s">
        <v>20</v>
      </c>
      <c r="E230" s="1" t="s">
        <v>33</v>
      </c>
      <c r="F230" s="1" t="s">
        <v>15</v>
      </c>
      <c r="G230" s="1" t="s">
        <v>22</v>
      </c>
      <c r="H230" s="1" t="s">
        <v>17</v>
      </c>
      <c r="I230" s="1" t="s">
        <v>17</v>
      </c>
      <c r="J230" s="1">
        <v>0.37</v>
      </c>
      <c r="K230" s="36">
        <v>44422</v>
      </c>
    </row>
    <row r="231" spans="1:11" x14ac:dyDescent="0.3">
      <c r="A231" s="2" t="s">
        <v>489</v>
      </c>
      <c r="B231" s="1" t="s">
        <v>490</v>
      </c>
      <c r="C231" s="1">
        <v>29</v>
      </c>
      <c r="D231" s="1" t="s">
        <v>20</v>
      </c>
      <c r="E231" s="1" t="s">
        <v>21</v>
      </c>
      <c r="F231" s="1" t="s">
        <v>46</v>
      </c>
      <c r="G231" s="1" t="s">
        <v>25</v>
      </c>
      <c r="H231" s="1" t="s">
        <v>17</v>
      </c>
      <c r="I231" s="1" t="s">
        <v>17</v>
      </c>
      <c r="J231" s="1">
        <v>0.24</v>
      </c>
      <c r="K231" s="36">
        <v>46183</v>
      </c>
    </row>
    <row r="232" spans="1:11" x14ac:dyDescent="0.3">
      <c r="A232" s="2" t="s">
        <v>491</v>
      </c>
      <c r="B232" s="1" t="s">
        <v>492</v>
      </c>
      <c r="C232" s="1">
        <v>47</v>
      </c>
      <c r="D232" s="1" t="s">
        <v>20</v>
      </c>
      <c r="E232" s="1" t="s">
        <v>28</v>
      </c>
      <c r="F232" s="1" t="s">
        <v>15</v>
      </c>
      <c r="G232" s="1" t="s">
        <v>25</v>
      </c>
      <c r="H232" s="1" t="s">
        <v>17</v>
      </c>
      <c r="I232" s="1" t="s">
        <v>30</v>
      </c>
      <c r="J232" s="1">
        <v>0.42</v>
      </c>
      <c r="K232" s="36">
        <v>44252</v>
      </c>
    </row>
    <row r="233" spans="1:11" x14ac:dyDescent="0.3">
      <c r="A233" s="2" t="s">
        <v>493</v>
      </c>
      <c r="B233" s="1" t="s">
        <v>494</v>
      </c>
      <c r="C233" s="1">
        <v>71</v>
      </c>
      <c r="D233" s="1" t="s">
        <v>13</v>
      </c>
      <c r="E233" s="1" t="s">
        <v>21</v>
      </c>
      <c r="F233" s="1" t="s">
        <v>62</v>
      </c>
      <c r="G233" s="1" t="s">
        <v>43</v>
      </c>
      <c r="H233" s="1" t="s">
        <v>17</v>
      </c>
      <c r="I233" s="1" t="s">
        <v>30</v>
      </c>
      <c r="J233" s="1">
        <v>0.41</v>
      </c>
      <c r="K233" s="36">
        <v>44484</v>
      </c>
    </row>
    <row r="234" spans="1:11" x14ac:dyDescent="0.3">
      <c r="A234" s="2" t="s">
        <v>495</v>
      </c>
      <c r="B234" s="1" t="s">
        <v>496</v>
      </c>
      <c r="C234" s="1">
        <v>19</v>
      </c>
      <c r="D234" s="1" t="s">
        <v>13</v>
      </c>
      <c r="E234" s="1" t="s">
        <v>21</v>
      </c>
      <c r="F234" s="1" t="s">
        <v>62</v>
      </c>
      <c r="G234" s="1" t="s">
        <v>22</v>
      </c>
      <c r="H234" s="1" t="s">
        <v>17</v>
      </c>
      <c r="I234" s="1" t="s">
        <v>17</v>
      </c>
      <c r="J234" s="1">
        <v>0.19</v>
      </c>
      <c r="K234" s="36">
        <v>45381</v>
      </c>
    </row>
    <row r="235" spans="1:11" x14ac:dyDescent="0.3">
      <c r="A235" s="2" t="s">
        <v>497</v>
      </c>
      <c r="B235" s="1" t="s">
        <v>498</v>
      </c>
      <c r="C235" s="1">
        <v>65</v>
      </c>
      <c r="D235" s="1" t="s">
        <v>20</v>
      </c>
      <c r="E235" s="1" t="s">
        <v>14</v>
      </c>
      <c r="F235" s="1" t="s">
        <v>62</v>
      </c>
      <c r="G235" s="1" t="s">
        <v>22</v>
      </c>
      <c r="H235" s="1" t="s">
        <v>17</v>
      </c>
      <c r="I235" s="1" t="s">
        <v>30</v>
      </c>
      <c r="J235" s="1">
        <v>0.41</v>
      </c>
      <c r="K235" s="36">
        <v>45557</v>
      </c>
    </row>
    <row r="236" spans="1:11" x14ac:dyDescent="0.3">
      <c r="A236" s="2" t="s">
        <v>499</v>
      </c>
      <c r="B236" s="1" t="s">
        <v>500</v>
      </c>
      <c r="C236" s="1">
        <v>49</v>
      </c>
      <c r="D236" s="1" t="s">
        <v>13</v>
      </c>
      <c r="E236" s="1" t="s">
        <v>33</v>
      </c>
      <c r="F236" s="1" t="s">
        <v>15</v>
      </c>
      <c r="G236" s="1" t="s">
        <v>22</v>
      </c>
      <c r="H236" s="1" t="s">
        <v>17</v>
      </c>
      <c r="I236" s="1" t="s">
        <v>17</v>
      </c>
      <c r="J236" s="1">
        <v>0.24</v>
      </c>
      <c r="K236" s="36">
        <v>44592</v>
      </c>
    </row>
    <row r="237" spans="1:11" x14ac:dyDescent="0.3">
      <c r="A237" s="2" t="s">
        <v>501</v>
      </c>
      <c r="B237" s="1" t="s">
        <v>502</v>
      </c>
      <c r="C237" s="1">
        <v>63</v>
      </c>
      <c r="D237" s="1" t="s">
        <v>13</v>
      </c>
      <c r="E237" s="1" t="s">
        <v>21</v>
      </c>
      <c r="F237" s="1" t="s">
        <v>46</v>
      </c>
      <c r="G237" s="1" t="s">
        <v>38</v>
      </c>
      <c r="H237" s="1" t="s">
        <v>17</v>
      </c>
      <c r="I237" s="1" t="s">
        <v>17</v>
      </c>
      <c r="J237" s="1">
        <v>0.3</v>
      </c>
      <c r="K237" s="36">
        <v>44339</v>
      </c>
    </row>
    <row r="238" spans="1:11" x14ac:dyDescent="0.3">
      <c r="A238" s="2" t="s">
        <v>503</v>
      </c>
      <c r="B238" s="1" t="s">
        <v>504</v>
      </c>
      <c r="C238" s="1">
        <v>59</v>
      </c>
      <c r="D238" s="1" t="s">
        <v>13</v>
      </c>
      <c r="E238" s="1" t="s">
        <v>14</v>
      </c>
      <c r="F238" s="1" t="s">
        <v>46</v>
      </c>
      <c r="G238" s="1" t="s">
        <v>22</v>
      </c>
      <c r="H238" s="1" t="s">
        <v>30</v>
      </c>
      <c r="I238" s="1" t="s">
        <v>17</v>
      </c>
      <c r="J238" s="1">
        <v>0.48</v>
      </c>
      <c r="K238" s="36">
        <v>46028</v>
      </c>
    </row>
    <row r="239" spans="1:11" x14ac:dyDescent="0.3">
      <c r="A239" s="2" t="s">
        <v>505</v>
      </c>
      <c r="B239" s="1" t="s">
        <v>506</v>
      </c>
      <c r="C239" s="1">
        <v>45</v>
      </c>
      <c r="D239" s="1" t="s">
        <v>13</v>
      </c>
      <c r="E239" s="1" t="s">
        <v>14</v>
      </c>
      <c r="F239" s="1" t="s">
        <v>46</v>
      </c>
      <c r="G239" s="1" t="s">
        <v>47</v>
      </c>
      <c r="H239" s="1" t="s">
        <v>17</v>
      </c>
      <c r="I239" s="1" t="s">
        <v>30</v>
      </c>
      <c r="J239" s="1">
        <v>0.34</v>
      </c>
      <c r="K239" s="36">
        <v>44616</v>
      </c>
    </row>
    <row r="240" spans="1:11" x14ac:dyDescent="0.3">
      <c r="A240" s="2" t="s">
        <v>507</v>
      </c>
      <c r="B240" s="1" t="s">
        <v>508</v>
      </c>
      <c r="C240" s="1">
        <v>37</v>
      </c>
      <c r="D240" s="1" t="s">
        <v>20</v>
      </c>
      <c r="E240" s="1" t="s">
        <v>33</v>
      </c>
      <c r="F240" s="1" t="s">
        <v>62</v>
      </c>
      <c r="G240" s="1" t="s">
        <v>22</v>
      </c>
      <c r="H240" s="1" t="s">
        <v>17</v>
      </c>
      <c r="I240" s="1" t="s">
        <v>17</v>
      </c>
      <c r="J240" s="1">
        <v>0.18</v>
      </c>
      <c r="K240" s="36">
        <v>45380</v>
      </c>
    </row>
    <row r="241" spans="1:11" x14ac:dyDescent="0.3">
      <c r="A241" s="2" t="s">
        <v>509</v>
      </c>
      <c r="B241" s="1" t="s">
        <v>510</v>
      </c>
      <c r="C241" s="1">
        <v>57</v>
      </c>
      <c r="D241" s="1" t="s">
        <v>13</v>
      </c>
      <c r="E241" s="1" t="s">
        <v>28</v>
      </c>
      <c r="F241" s="1" t="s">
        <v>29</v>
      </c>
      <c r="G241" s="1" t="s">
        <v>38</v>
      </c>
      <c r="H241" s="1" t="s">
        <v>17</v>
      </c>
      <c r="I241" s="1" t="s">
        <v>17</v>
      </c>
      <c r="J241" s="1">
        <v>0.27</v>
      </c>
      <c r="K241" s="36">
        <v>45434</v>
      </c>
    </row>
    <row r="242" spans="1:11" x14ac:dyDescent="0.3">
      <c r="A242" s="2" t="s">
        <v>511</v>
      </c>
      <c r="B242" s="1" t="s">
        <v>512</v>
      </c>
      <c r="C242" s="1">
        <v>26</v>
      </c>
      <c r="D242" s="1" t="s">
        <v>20</v>
      </c>
      <c r="E242" s="1" t="s">
        <v>33</v>
      </c>
      <c r="F242" s="1" t="s">
        <v>29</v>
      </c>
      <c r="G242" s="1" t="s">
        <v>25</v>
      </c>
      <c r="H242" s="1" t="s">
        <v>17</v>
      </c>
      <c r="I242" s="1" t="s">
        <v>17</v>
      </c>
      <c r="J242" s="1">
        <v>0.24</v>
      </c>
      <c r="K242" s="36">
        <v>44995</v>
      </c>
    </row>
    <row r="243" spans="1:11" x14ac:dyDescent="0.3">
      <c r="A243" s="2" t="s">
        <v>513</v>
      </c>
      <c r="B243" s="1" t="s">
        <v>514</v>
      </c>
      <c r="C243" s="1">
        <v>54</v>
      </c>
      <c r="D243" s="1" t="s">
        <v>13</v>
      </c>
      <c r="E243" s="1" t="s">
        <v>33</v>
      </c>
      <c r="F243" s="1" t="s">
        <v>15</v>
      </c>
      <c r="G243" s="1" t="s">
        <v>43</v>
      </c>
      <c r="H243" s="1" t="s">
        <v>30</v>
      </c>
      <c r="I243" s="1" t="s">
        <v>17</v>
      </c>
      <c r="J243" s="1">
        <v>0.43</v>
      </c>
      <c r="K243" s="36">
        <v>45356</v>
      </c>
    </row>
    <row r="244" spans="1:11" x14ac:dyDescent="0.3">
      <c r="A244" s="2" t="s">
        <v>515</v>
      </c>
      <c r="B244" s="1" t="s">
        <v>516</v>
      </c>
      <c r="C244" s="1">
        <v>23</v>
      </c>
      <c r="D244" s="1" t="s">
        <v>20</v>
      </c>
      <c r="E244" s="1" t="s">
        <v>14</v>
      </c>
      <c r="F244" s="1" t="s">
        <v>46</v>
      </c>
      <c r="G244" s="1" t="s">
        <v>43</v>
      </c>
      <c r="H244" s="1" t="s">
        <v>17</v>
      </c>
      <c r="I244" s="1" t="s">
        <v>17</v>
      </c>
      <c r="J244" s="1">
        <v>0.19</v>
      </c>
      <c r="K244" s="36">
        <v>45222</v>
      </c>
    </row>
    <row r="245" spans="1:11" x14ac:dyDescent="0.3">
      <c r="A245" s="2" t="s">
        <v>517</v>
      </c>
      <c r="B245" s="1" t="s">
        <v>518</v>
      </c>
      <c r="C245" s="1">
        <v>58</v>
      </c>
      <c r="D245" s="1" t="s">
        <v>13</v>
      </c>
      <c r="E245" s="1" t="s">
        <v>28</v>
      </c>
      <c r="F245" s="1" t="s">
        <v>62</v>
      </c>
      <c r="G245" s="1" t="s">
        <v>38</v>
      </c>
      <c r="H245" s="1" t="s">
        <v>17</v>
      </c>
      <c r="I245" s="1" t="s">
        <v>17</v>
      </c>
      <c r="J245" s="1">
        <v>0.33</v>
      </c>
      <c r="K245" s="36">
        <v>46125</v>
      </c>
    </row>
    <row r="246" spans="1:11" x14ac:dyDescent="0.3">
      <c r="A246" s="2" t="s">
        <v>519</v>
      </c>
      <c r="B246" s="1" t="s">
        <v>520</v>
      </c>
      <c r="C246" s="1">
        <v>57</v>
      </c>
      <c r="D246" s="1" t="s">
        <v>20</v>
      </c>
      <c r="E246" s="1" t="s">
        <v>21</v>
      </c>
      <c r="F246" s="1" t="s">
        <v>46</v>
      </c>
      <c r="G246" s="1" t="s">
        <v>38</v>
      </c>
      <c r="H246" s="1" t="s">
        <v>17</v>
      </c>
      <c r="I246" s="1" t="s">
        <v>17</v>
      </c>
      <c r="J246" s="1">
        <v>0.24</v>
      </c>
      <c r="K246" s="36">
        <v>44524</v>
      </c>
    </row>
    <row r="247" spans="1:11" x14ac:dyDescent="0.3">
      <c r="A247" s="2" t="s">
        <v>521</v>
      </c>
      <c r="B247" s="1" t="s">
        <v>522</v>
      </c>
      <c r="C247" s="1">
        <v>23</v>
      </c>
      <c r="D247" s="1" t="s">
        <v>20</v>
      </c>
      <c r="E247" s="1" t="s">
        <v>21</v>
      </c>
      <c r="F247" s="1" t="s">
        <v>62</v>
      </c>
      <c r="G247" s="1" t="s">
        <v>43</v>
      </c>
      <c r="H247" s="1" t="s">
        <v>17</v>
      </c>
      <c r="I247" s="1" t="s">
        <v>30</v>
      </c>
      <c r="J247" s="1">
        <v>0.43</v>
      </c>
      <c r="K247" s="36">
        <v>45646</v>
      </c>
    </row>
    <row r="248" spans="1:11" x14ac:dyDescent="0.3">
      <c r="A248" s="2" t="s">
        <v>523</v>
      </c>
      <c r="B248" s="1" t="s">
        <v>187</v>
      </c>
      <c r="C248" s="1">
        <v>65</v>
      </c>
      <c r="D248" s="1" t="s">
        <v>13</v>
      </c>
      <c r="E248" s="1" t="s">
        <v>21</v>
      </c>
      <c r="F248" s="1" t="s">
        <v>15</v>
      </c>
      <c r="G248" s="1" t="s">
        <v>43</v>
      </c>
      <c r="H248" s="1" t="s">
        <v>30</v>
      </c>
      <c r="I248" s="1" t="s">
        <v>30</v>
      </c>
      <c r="J248" s="1">
        <v>0.6</v>
      </c>
      <c r="K248" s="36">
        <v>44600</v>
      </c>
    </row>
    <row r="249" spans="1:11" x14ac:dyDescent="0.3">
      <c r="A249" s="2" t="s">
        <v>524</v>
      </c>
      <c r="B249" s="1" t="s">
        <v>525</v>
      </c>
      <c r="C249" s="1">
        <v>44</v>
      </c>
      <c r="D249" s="1" t="s">
        <v>13</v>
      </c>
      <c r="E249" s="1" t="s">
        <v>14</v>
      </c>
      <c r="F249" s="1" t="s">
        <v>29</v>
      </c>
      <c r="G249" s="1" t="s">
        <v>16</v>
      </c>
      <c r="H249" s="1" t="s">
        <v>17</v>
      </c>
      <c r="I249" s="1" t="s">
        <v>17</v>
      </c>
      <c r="J249" s="1">
        <v>0.28999999999999998</v>
      </c>
      <c r="K249" s="36">
        <v>44944</v>
      </c>
    </row>
    <row r="250" spans="1:11" x14ac:dyDescent="0.3">
      <c r="A250" s="2" t="s">
        <v>526</v>
      </c>
      <c r="B250" s="1" t="s">
        <v>527</v>
      </c>
      <c r="C250" s="1">
        <v>67</v>
      </c>
      <c r="D250" s="1" t="s">
        <v>20</v>
      </c>
      <c r="E250" s="1" t="s">
        <v>14</v>
      </c>
      <c r="F250" s="1" t="s">
        <v>62</v>
      </c>
      <c r="G250" s="1" t="s">
        <v>47</v>
      </c>
      <c r="H250" s="1" t="s">
        <v>17</v>
      </c>
      <c r="I250" s="1" t="s">
        <v>30</v>
      </c>
      <c r="J250" s="1">
        <v>0.4</v>
      </c>
      <c r="K250" s="36">
        <v>45549</v>
      </c>
    </row>
    <row r="251" spans="1:11" x14ac:dyDescent="0.3">
      <c r="A251" s="2" t="s">
        <v>528</v>
      </c>
      <c r="B251" s="1" t="s">
        <v>529</v>
      </c>
      <c r="C251" s="1">
        <v>20</v>
      </c>
      <c r="D251" s="1" t="s">
        <v>13</v>
      </c>
      <c r="E251" s="1" t="s">
        <v>28</v>
      </c>
      <c r="F251" s="1" t="s">
        <v>62</v>
      </c>
      <c r="G251" s="1" t="s">
        <v>16</v>
      </c>
      <c r="H251" s="1" t="s">
        <v>17</v>
      </c>
      <c r="I251" s="1" t="s">
        <v>17</v>
      </c>
      <c r="J251" s="1">
        <v>0.26</v>
      </c>
      <c r="K251" s="36">
        <v>44734</v>
      </c>
    </row>
    <row r="252" spans="1:11" x14ac:dyDescent="0.3">
      <c r="A252" s="2" t="s">
        <v>530</v>
      </c>
      <c r="B252" s="1" t="s">
        <v>531</v>
      </c>
      <c r="C252" s="1">
        <v>29</v>
      </c>
      <c r="D252" s="1" t="s">
        <v>13</v>
      </c>
      <c r="E252" s="1" t="s">
        <v>33</v>
      </c>
      <c r="F252" s="1" t="s">
        <v>15</v>
      </c>
      <c r="G252" s="1" t="s">
        <v>16</v>
      </c>
      <c r="H252" s="1" t="s">
        <v>17</v>
      </c>
      <c r="I252" s="1" t="s">
        <v>17</v>
      </c>
      <c r="J252" s="1">
        <v>0.24</v>
      </c>
      <c r="K252" s="36">
        <v>44770</v>
      </c>
    </row>
    <row r="253" spans="1:11" x14ac:dyDescent="0.3">
      <c r="A253" s="2" t="s">
        <v>532</v>
      </c>
      <c r="B253" s="1" t="s">
        <v>533</v>
      </c>
      <c r="C253" s="1">
        <v>49</v>
      </c>
      <c r="D253" s="1" t="s">
        <v>20</v>
      </c>
      <c r="E253" s="1" t="s">
        <v>14</v>
      </c>
      <c r="F253" s="1" t="s">
        <v>29</v>
      </c>
      <c r="G253" s="1" t="s">
        <v>43</v>
      </c>
      <c r="H253" s="1" t="s">
        <v>17</v>
      </c>
      <c r="I253" s="1" t="s">
        <v>30</v>
      </c>
      <c r="J253" s="1">
        <v>0.3</v>
      </c>
      <c r="K253" s="36">
        <v>45725</v>
      </c>
    </row>
    <row r="254" spans="1:11" x14ac:dyDescent="0.3">
      <c r="A254" s="2" t="s">
        <v>534</v>
      </c>
      <c r="B254" s="1" t="s">
        <v>535</v>
      </c>
      <c r="C254" s="1">
        <v>29</v>
      </c>
      <c r="D254" s="1" t="s">
        <v>13</v>
      </c>
      <c r="E254" s="1" t="s">
        <v>21</v>
      </c>
      <c r="F254" s="1" t="s">
        <v>62</v>
      </c>
      <c r="G254" s="1" t="s">
        <v>16</v>
      </c>
      <c r="H254" s="1" t="s">
        <v>30</v>
      </c>
      <c r="I254" s="1" t="s">
        <v>17</v>
      </c>
      <c r="J254" s="1">
        <v>0.38</v>
      </c>
      <c r="K254" s="36">
        <v>44236</v>
      </c>
    </row>
    <row r="255" spans="1:11" x14ac:dyDescent="0.3">
      <c r="A255" s="2" t="s">
        <v>536</v>
      </c>
      <c r="B255" s="1" t="s">
        <v>537</v>
      </c>
      <c r="C255" s="1">
        <v>38</v>
      </c>
      <c r="D255" s="1" t="s">
        <v>20</v>
      </c>
      <c r="E255" s="1" t="s">
        <v>33</v>
      </c>
      <c r="F255" s="1" t="s">
        <v>62</v>
      </c>
      <c r="G255" s="1" t="s">
        <v>38</v>
      </c>
      <c r="H255" s="1" t="s">
        <v>17</v>
      </c>
      <c r="I255" s="1" t="s">
        <v>30</v>
      </c>
      <c r="J255" s="1">
        <v>0.33</v>
      </c>
      <c r="K255" s="36">
        <v>45081</v>
      </c>
    </row>
    <row r="256" spans="1:11" x14ac:dyDescent="0.3">
      <c r="A256" s="2" t="s">
        <v>538</v>
      </c>
      <c r="B256" s="1" t="s">
        <v>539</v>
      </c>
      <c r="C256" s="1">
        <v>59</v>
      </c>
      <c r="D256" s="1" t="s">
        <v>13</v>
      </c>
      <c r="E256" s="1" t="s">
        <v>14</v>
      </c>
      <c r="F256" s="1" t="s">
        <v>15</v>
      </c>
      <c r="G256" s="1" t="s">
        <v>25</v>
      </c>
      <c r="H256" s="1" t="s">
        <v>17</v>
      </c>
      <c r="I256" s="1" t="s">
        <v>17</v>
      </c>
      <c r="J256" s="1">
        <v>0.25</v>
      </c>
      <c r="K256" s="36">
        <v>46265</v>
      </c>
    </row>
    <row r="257" spans="1:11" x14ac:dyDescent="0.3">
      <c r="A257" s="2" t="s">
        <v>540</v>
      </c>
      <c r="B257" s="1" t="s">
        <v>541</v>
      </c>
      <c r="C257" s="1">
        <v>27</v>
      </c>
      <c r="D257" s="1" t="s">
        <v>20</v>
      </c>
      <c r="E257" s="1" t="s">
        <v>28</v>
      </c>
      <c r="F257" s="1" t="s">
        <v>15</v>
      </c>
      <c r="G257" s="1" t="s">
        <v>25</v>
      </c>
      <c r="H257" s="1" t="s">
        <v>30</v>
      </c>
      <c r="I257" s="1" t="s">
        <v>30</v>
      </c>
      <c r="J257" s="1">
        <v>0.5</v>
      </c>
      <c r="K257" s="36">
        <v>46260</v>
      </c>
    </row>
    <row r="258" spans="1:11" x14ac:dyDescent="0.3">
      <c r="A258" s="2" t="s">
        <v>542</v>
      </c>
      <c r="B258" s="1" t="s">
        <v>543</v>
      </c>
      <c r="C258" s="1">
        <v>60</v>
      </c>
      <c r="D258" s="1" t="s">
        <v>20</v>
      </c>
      <c r="E258" s="1" t="s">
        <v>14</v>
      </c>
      <c r="F258" s="1" t="s">
        <v>29</v>
      </c>
      <c r="G258" s="1" t="s">
        <v>47</v>
      </c>
      <c r="H258" s="1" t="s">
        <v>17</v>
      </c>
      <c r="I258" s="1" t="s">
        <v>17</v>
      </c>
      <c r="J258" s="1">
        <v>0.35</v>
      </c>
      <c r="K258" s="36">
        <v>44237</v>
      </c>
    </row>
    <row r="259" spans="1:11" x14ac:dyDescent="0.3">
      <c r="A259" s="2" t="s">
        <v>544</v>
      </c>
      <c r="B259" s="1" t="s">
        <v>545</v>
      </c>
      <c r="C259" s="1">
        <v>24</v>
      </c>
      <c r="D259" s="1" t="s">
        <v>13</v>
      </c>
      <c r="E259" s="1" t="s">
        <v>33</v>
      </c>
      <c r="F259" s="1" t="s">
        <v>15</v>
      </c>
      <c r="G259" s="1" t="s">
        <v>38</v>
      </c>
      <c r="H259" s="1" t="s">
        <v>17</v>
      </c>
      <c r="I259" s="1" t="s">
        <v>17</v>
      </c>
      <c r="J259" s="1">
        <v>0.21</v>
      </c>
      <c r="K259" s="36">
        <v>44544</v>
      </c>
    </row>
    <row r="260" spans="1:11" x14ac:dyDescent="0.3">
      <c r="A260" s="2" t="s">
        <v>546</v>
      </c>
      <c r="B260" s="1" t="s">
        <v>547</v>
      </c>
      <c r="C260" s="1">
        <v>29</v>
      </c>
      <c r="D260" s="1" t="s">
        <v>13</v>
      </c>
      <c r="E260" s="1" t="s">
        <v>28</v>
      </c>
      <c r="F260" s="1" t="s">
        <v>46</v>
      </c>
      <c r="G260" s="1" t="s">
        <v>38</v>
      </c>
      <c r="H260" s="1" t="s">
        <v>30</v>
      </c>
      <c r="I260" s="1" t="s">
        <v>17</v>
      </c>
      <c r="J260" s="1">
        <v>0.41</v>
      </c>
      <c r="K260" s="36">
        <v>44658</v>
      </c>
    </row>
    <row r="261" spans="1:11" x14ac:dyDescent="0.3">
      <c r="A261" s="2" t="s">
        <v>548</v>
      </c>
      <c r="B261" s="1" t="s">
        <v>549</v>
      </c>
      <c r="C261" s="1">
        <v>55</v>
      </c>
      <c r="D261" s="1" t="s">
        <v>13</v>
      </c>
      <c r="E261" s="1" t="s">
        <v>14</v>
      </c>
      <c r="F261" s="1" t="s">
        <v>15</v>
      </c>
      <c r="G261" s="1" t="s">
        <v>43</v>
      </c>
      <c r="H261" s="1" t="s">
        <v>17</v>
      </c>
      <c r="I261" s="1" t="s">
        <v>30</v>
      </c>
      <c r="J261" s="1">
        <v>0.45</v>
      </c>
      <c r="K261" s="36">
        <v>46122</v>
      </c>
    </row>
    <row r="262" spans="1:11" x14ac:dyDescent="0.3">
      <c r="A262" s="2" t="s">
        <v>550</v>
      </c>
      <c r="B262" s="1" t="s">
        <v>551</v>
      </c>
      <c r="C262" s="1">
        <v>67</v>
      </c>
      <c r="D262" s="1" t="s">
        <v>13</v>
      </c>
      <c r="E262" s="1" t="s">
        <v>14</v>
      </c>
      <c r="F262" s="1" t="s">
        <v>15</v>
      </c>
      <c r="G262" s="1" t="s">
        <v>22</v>
      </c>
      <c r="H262" s="1" t="s">
        <v>17</v>
      </c>
      <c r="I262" s="1" t="s">
        <v>30</v>
      </c>
      <c r="J262" s="1">
        <v>0.35</v>
      </c>
      <c r="K262" s="36">
        <v>46007</v>
      </c>
    </row>
    <row r="263" spans="1:11" x14ac:dyDescent="0.3">
      <c r="A263" s="2" t="s">
        <v>552</v>
      </c>
      <c r="B263" s="1" t="s">
        <v>553</v>
      </c>
      <c r="C263" s="1">
        <v>28</v>
      </c>
      <c r="D263" s="1" t="s">
        <v>13</v>
      </c>
      <c r="E263" s="1" t="s">
        <v>33</v>
      </c>
      <c r="F263" s="1" t="s">
        <v>15</v>
      </c>
      <c r="G263" s="1" t="s">
        <v>16</v>
      </c>
      <c r="H263" s="1" t="s">
        <v>17</v>
      </c>
      <c r="I263" s="1" t="s">
        <v>17</v>
      </c>
      <c r="J263" s="1">
        <v>0.23</v>
      </c>
      <c r="K263" s="36">
        <v>46004</v>
      </c>
    </row>
    <row r="264" spans="1:11" x14ac:dyDescent="0.3">
      <c r="A264" s="2" t="s">
        <v>554</v>
      </c>
      <c r="B264" s="1" t="s">
        <v>555</v>
      </c>
      <c r="C264" s="1">
        <v>36</v>
      </c>
      <c r="D264" s="1" t="s">
        <v>13</v>
      </c>
      <c r="E264" s="1" t="s">
        <v>14</v>
      </c>
      <c r="F264" s="1" t="s">
        <v>46</v>
      </c>
      <c r="G264" s="1" t="s">
        <v>43</v>
      </c>
      <c r="H264" s="1" t="s">
        <v>17</v>
      </c>
      <c r="I264" s="1" t="s">
        <v>30</v>
      </c>
      <c r="J264" s="1">
        <v>0.27</v>
      </c>
      <c r="K264" s="36">
        <v>44887</v>
      </c>
    </row>
    <row r="265" spans="1:11" x14ac:dyDescent="0.3">
      <c r="A265" s="2" t="s">
        <v>556</v>
      </c>
      <c r="B265" s="1" t="s">
        <v>557</v>
      </c>
      <c r="C265" s="1">
        <v>76</v>
      </c>
      <c r="D265" s="1" t="s">
        <v>13</v>
      </c>
      <c r="E265" s="1" t="s">
        <v>21</v>
      </c>
      <c r="F265" s="1" t="s">
        <v>46</v>
      </c>
      <c r="G265" s="1" t="s">
        <v>38</v>
      </c>
      <c r="H265" s="1" t="s">
        <v>17</v>
      </c>
      <c r="I265" s="1" t="s">
        <v>30</v>
      </c>
      <c r="J265" s="1">
        <v>0.47</v>
      </c>
      <c r="K265" s="36">
        <v>44422</v>
      </c>
    </row>
    <row r="266" spans="1:11" x14ac:dyDescent="0.3">
      <c r="A266" s="2" t="s">
        <v>558</v>
      </c>
      <c r="B266" s="1" t="s">
        <v>559</v>
      </c>
      <c r="C266" s="1">
        <v>80</v>
      </c>
      <c r="D266" s="1" t="s">
        <v>20</v>
      </c>
      <c r="E266" s="1" t="s">
        <v>14</v>
      </c>
      <c r="F266" s="1" t="s">
        <v>15</v>
      </c>
      <c r="G266" s="1" t="s">
        <v>47</v>
      </c>
      <c r="H266" s="1" t="s">
        <v>30</v>
      </c>
      <c r="I266" s="1" t="s">
        <v>17</v>
      </c>
      <c r="J266" s="1">
        <v>0.43</v>
      </c>
      <c r="K266" s="36">
        <v>45904</v>
      </c>
    </row>
    <row r="267" spans="1:11" x14ac:dyDescent="0.3">
      <c r="A267" s="2" t="s">
        <v>560</v>
      </c>
      <c r="B267" s="1" t="s">
        <v>561</v>
      </c>
      <c r="C267" s="1">
        <v>54</v>
      </c>
      <c r="D267" s="1" t="s">
        <v>20</v>
      </c>
      <c r="E267" s="1" t="s">
        <v>21</v>
      </c>
      <c r="F267" s="1" t="s">
        <v>15</v>
      </c>
      <c r="G267" s="1" t="s">
        <v>25</v>
      </c>
      <c r="H267" s="1" t="s">
        <v>17</v>
      </c>
      <c r="I267" s="1" t="s">
        <v>17</v>
      </c>
      <c r="J267" s="1">
        <v>0.2</v>
      </c>
      <c r="K267" s="36">
        <v>45619</v>
      </c>
    </row>
    <row r="268" spans="1:11" x14ac:dyDescent="0.3">
      <c r="A268" s="2" t="s">
        <v>562</v>
      </c>
      <c r="B268" s="1" t="s">
        <v>563</v>
      </c>
      <c r="C268" s="1">
        <v>46</v>
      </c>
      <c r="D268" s="1" t="s">
        <v>20</v>
      </c>
      <c r="E268" s="1" t="s">
        <v>33</v>
      </c>
      <c r="F268" s="1" t="s">
        <v>46</v>
      </c>
      <c r="G268" s="1" t="s">
        <v>16</v>
      </c>
      <c r="H268" s="1" t="s">
        <v>17</v>
      </c>
      <c r="I268" s="1" t="s">
        <v>30</v>
      </c>
      <c r="J268" s="1">
        <v>0.27</v>
      </c>
      <c r="K268" s="36">
        <v>45417</v>
      </c>
    </row>
    <row r="269" spans="1:11" x14ac:dyDescent="0.3">
      <c r="A269" s="2" t="s">
        <v>564</v>
      </c>
      <c r="B269" s="1" t="s">
        <v>565</v>
      </c>
      <c r="C269" s="1">
        <v>39</v>
      </c>
      <c r="D269" s="1" t="s">
        <v>13</v>
      </c>
      <c r="E269" s="1" t="s">
        <v>21</v>
      </c>
      <c r="F269" s="1" t="s">
        <v>15</v>
      </c>
      <c r="G269" s="1" t="s">
        <v>38</v>
      </c>
      <c r="H269" s="1" t="s">
        <v>17</v>
      </c>
      <c r="I269" s="1" t="s">
        <v>30</v>
      </c>
      <c r="J269" s="1">
        <v>0.36</v>
      </c>
      <c r="K269" s="36">
        <v>46241</v>
      </c>
    </row>
    <row r="270" spans="1:11" x14ac:dyDescent="0.3">
      <c r="A270" s="2" t="s">
        <v>566</v>
      </c>
      <c r="B270" s="1" t="s">
        <v>567</v>
      </c>
      <c r="C270" s="1">
        <v>56</v>
      </c>
      <c r="D270" s="1" t="s">
        <v>20</v>
      </c>
      <c r="E270" s="1" t="s">
        <v>14</v>
      </c>
      <c r="F270" s="1" t="s">
        <v>15</v>
      </c>
      <c r="G270" s="1" t="s">
        <v>25</v>
      </c>
      <c r="H270" s="1" t="s">
        <v>30</v>
      </c>
      <c r="I270" s="1" t="s">
        <v>17</v>
      </c>
      <c r="J270" s="1">
        <v>0.52</v>
      </c>
      <c r="K270" s="36">
        <v>45510</v>
      </c>
    </row>
    <row r="271" spans="1:11" x14ac:dyDescent="0.3">
      <c r="A271" s="2" t="s">
        <v>568</v>
      </c>
      <c r="B271" s="1" t="s">
        <v>569</v>
      </c>
      <c r="C271" s="1">
        <v>55</v>
      </c>
      <c r="D271" s="1" t="s">
        <v>20</v>
      </c>
      <c r="E271" s="1" t="s">
        <v>28</v>
      </c>
      <c r="F271" s="1" t="s">
        <v>46</v>
      </c>
      <c r="G271" s="1" t="s">
        <v>38</v>
      </c>
      <c r="H271" s="1" t="s">
        <v>17</v>
      </c>
      <c r="I271" s="1" t="s">
        <v>17</v>
      </c>
      <c r="J271" s="1">
        <v>0.23</v>
      </c>
      <c r="K271" s="36">
        <v>44094</v>
      </c>
    </row>
    <row r="272" spans="1:11" x14ac:dyDescent="0.3">
      <c r="A272" s="2" t="s">
        <v>570</v>
      </c>
      <c r="B272" s="1" t="s">
        <v>571</v>
      </c>
      <c r="C272" s="1">
        <v>36</v>
      </c>
      <c r="D272" s="1" t="s">
        <v>13</v>
      </c>
      <c r="E272" s="1" t="s">
        <v>33</v>
      </c>
      <c r="F272" s="1" t="s">
        <v>15</v>
      </c>
      <c r="G272" s="1" t="s">
        <v>25</v>
      </c>
      <c r="H272" s="1" t="s">
        <v>30</v>
      </c>
      <c r="I272" s="1" t="s">
        <v>30</v>
      </c>
      <c r="J272" s="1">
        <v>0.49</v>
      </c>
      <c r="K272" s="36">
        <v>45868</v>
      </c>
    </row>
    <row r="273" spans="1:11" x14ac:dyDescent="0.3">
      <c r="A273" s="2" t="s">
        <v>572</v>
      </c>
      <c r="B273" s="1" t="s">
        <v>573</v>
      </c>
      <c r="C273" s="1">
        <v>19</v>
      </c>
      <c r="D273" s="1" t="s">
        <v>20</v>
      </c>
      <c r="E273" s="1" t="s">
        <v>33</v>
      </c>
      <c r="F273" s="1" t="s">
        <v>15</v>
      </c>
      <c r="G273" s="1" t="s">
        <v>25</v>
      </c>
      <c r="H273" s="1" t="s">
        <v>17</v>
      </c>
      <c r="I273" s="1" t="s">
        <v>17</v>
      </c>
      <c r="J273" s="1">
        <v>0.28000000000000003</v>
      </c>
      <c r="K273" s="36">
        <v>44733</v>
      </c>
    </row>
    <row r="274" spans="1:11" x14ac:dyDescent="0.3">
      <c r="A274" s="2" t="s">
        <v>574</v>
      </c>
      <c r="B274" s="1" t="s">
        <v>575</v>
      </c>
      <c r="C274" s="1">
        <v>27</v>
      </c>
      <c r="D274" s="1" t="s">
        <v>20</v>
      </c>
      <c r="E274" s="1" t="s">
        <v>33</v>
      </c>
      <c r="F274" s="1" t="s">
        <v>46</v>
      </c>
      <c r="G274" s="1" t="s">
        <v>25</v>
      </c>
      <c r="H274" s="1" t="s">
        <v>17</v>
      </c>
      <c r="I274" s="1" t="s">
        <v>17</v>
      </c>
      <c r="J274" s="1">
        <v>0.23</v>
      </c>
      <c r="K274" s="36">
        <v>45531</v>
      </c>
    </row>
    <row r="275" spans="1:11" x14ac:dyDescent="0.3">
      <c r="A275" s="2" t="s">
        <v>576</v>
      </c>
      <c r="B275" s="1" t="s">
        <v>577</v>
      </c>
      <c r="C275" s="1">
        <v>78</v>
      </c>
      <c r="D275" s="1" t="s">
        <v>13</v>
      </c>
      <c r="E275" s="1" t="s">
        <v>14</v>
      </c>
      <c r="F275" s="1" t="s">
        <v>29</v>
      </c>
      <c r="G275" s="1" t="s">
        <v>22</v>
      </c>
      <c r="H275" s="1" t="s">
        <v>17</v>
      </c>
      <c r="I275" s="1" t="s">
        <v>17</v>
      </c>
      <c r="J275" s="1">
        <v>0.13</v>
      </c>
      <c r="K275" s="36">
        <v>46135</v>
      </c>
    </row>
    <row r="276" spans="1:11" x14ac:dyDescent="0.3">
      <c r="A276" s="2" t="s">
        <v>578</v>
      </c>
      <c r="B276" s="1" t="s">
        <v>579</v>
      </c>
      <c r="C276" s="1">
        <v>44</v>
      </c>
      <c r="D276" s="1" t="s">
        <v>13</v>
      </c>
      <c r="E276" s="1" t="s">
        <v>33</v>
      </c>
      <c r="F276" s="1" t="s">
        <v>46</v>
      </c>
      <c r="G276" s="1" t="s">
        <v>47</v>
      </c>
      <c r="H276" s="1" t="s">
        <v>17</v>
      </c>
      <c r="I276" s="1" t="s">
        <v>30</v>
      </c>
      <c r="J276" s="1">
        <v>0.47</v>
      </c>
      <c r="K276" s="36">
        <v>44371</v>
      </c>
    </row>
    <row r="277" spans="1:11" x14ac:dyDescent="0.3">
      <c r="A277" s="2" t="s">
        <v>580</v>
      </c>
      <c r="B277" s="1" t="s">
        <v>581</v>
      </c>
      <c r="C277" s="1">
        <v>48</v>
      </c>
      <c r="D277" s="1" t="s">
        <v>20</v>
      </c>
      <c r="E277" s="1" t="s">
        <v>21</v>
      </c>
      <c r="F277" s="1" t="s">
        <v>62</v>
      </c>
      <c r="G277" s="1" t="s">
        <v>43</v>
      </c>
      <c r="H277" s="1" t="s">
        <v>30</v>
      </c>
      <c r="I277" s="1" t="s">
        <v>17</v>
      </c>
      <c r="J277" s="1">
        <v>0.41</v>
      </c>
      <c r="K277" s="36">
        <v>44330</v>
      </c>
    </row>
    <row r="278" spans="1:11" x14ac:dyDescent="0.3">
      <c r="A278" s="2" t="s">
        <v>582</v>
      </c>
      <c r="B278" s="1" t="s">
        <v>583</v>
      </c>
      <c r="C278" s="1">
        <v>47</v>
      </c>
      <c r="D278" s="1" t="s">
        <v>20</v>
      </c>
      <c r="E278" s="1" t="s">
        <v>33</v>
      </c>
      <c r="F278" s="1" t="s">
        <v>62</v>
      </c>
      <c r="G278" s="1" t="s">
        <v>16</v>
      </c>
      <c r="H278" s="1" t="s">
        <v>17</v>
      </c>
      <c r="I278" s="1" t="s">
        <v>30</v>
      </c>
      <c r="J278" s="1">
        <v>0.39</v>
      </c>
      <c r="K278" s="36">
        <v>44311</v>
      </c>
    </row>
    <row r="279" spans="1:11" x14ac:dyDescent="0.3">
      <c r="A279" s="2" t="s">
        <v>584</v>
      </c>
      <c r="B279" s="1" t="s">
        <v>585</v>
      </c>
      <c r="C279" s="1">
        <v>67</v>
      </c>
      <c r="D279" s="1" t="s">
        <v>20</v>
      </c>
      <c r="E279" s="1" t="s">
        <v>33</v>
      </c>
      <c r="F279" s="1" t="s">
        <v>29</v>
      </c>
      <c r="G279" s="1" t="s">
        <v>16</v>
      </c>
      <c r="H279" s="1" t="s">
        <v>30</v>
      </c>
      <c r="I279" s="1" t="s">
        <v>17</v>
      </c>
      <c r="J279" s="1">
        <v>0.45</v>
      </c>
      <c r="K279" s="36">
        <v>45289</v>
      </c>
    </row>
    <row r="280" spans="1:11" x14ac:dyDescent="0.3">
      <c r="A280" s="2" t="s">
        <v>586</v>
      </c>
      <c r="B280" s="1" t="s">
        <v>587</v>
      </c>
      <c r="C280" s="1">
        <v>22</v>
      </c>
      <c r="D280" s="1" t="s">
        <v>13</v>
      </c>
      <c r="E280" s="1" t="s">
        <v>28</v>
      </c>
      <c r="F280" s="1" t="s">
        <v>62</v>
      </c>
      <c r="G280" s="1" t="s">
        <v>38</v>
      </c>
      <c r="H280" s="1" t="s">
        <v>17</v>
      </c>
      <c r="I280" s="1" t="s">
        <v>17</v>
      </c>
      <c r="J280" s="1">
        <v>0.14000000000000001</v>
      </c>
      <c r="K280" s="36">
        <v>44673</v>
      </c>
    </row>
    <row r="281" spans="1:11" x14ac:dyDescent="0.3">
      <c r="A281" s="2" t="s">
        <v>588</v>
      </c>
      <c r="B281" s="1" t="s">
        <v>589</v>
      </c>
      <c r="C281" s="1">
        <v>23</v>
      </c>
      <c r="D281" s="1" t="s">
        <v>13</v>
      </c>
      <c r="E281" s="1" t="s">
        <v>28</v>
      </c>
      <c r="F281" s="1" t="s">
        <v>62</v>
      </c>
      <c r="G281" s="1" t="s">
        <v>16</v>
      </c>
      <c r="H281" s="1" t="s">
        <v>17</v>
      </c>
      <c r="I281" s="1" t="s">
        <v>17</v>
      </c>
      <c r="J281" s="1">
        <v>0.28999999999999998</v>
      </c>
      <c r="K281" s="36">
        <v>45402</v>
      </c>
    </row>
    <row r="282" spans="1:11" x14ac:dyDescent="0.3">
      <c r="A282" s="2" t="s">
        <v>590</v>
      </c>
      <c r="B282" s="1" t="s">
        <v>591</v>
      </c>
      <c r="C282" s="1">
        <v>35</v>
      </c>
      <c r="D282" s="1" t="s">
        <v>20</v>
      </c>
      <c r="E282" s="1" t="s">
        <v>21</v>
      </c>
      <c r="F282" s="1" t="s">
        <v>29</v>
      </c>
      <c r="G282" s="1" t="s">
        <v>16</v>
      </c>
      <c r="H282" s="1" t="s">
        <v>17</v>
      </c>
      <c r="I282" s="1" t="s">
        <v>17</v>
      </c>
      <c r="J282" s="1">
        <v>0.17</v>
      </c>
      <c r="K282" s="36">
        <v>45650</v>
      </c>
    </row>
    <row r="283" spans="1:11" x14ac:dyDescent="0.3">
      <c r="A283" s="2" t="s">
        <v>592</v>
      </c>
      <c r="B283" s="1" t="s">
        <v>593</v>
      </c>
      <c r="C283" s="1">
        <v>48</v>
      </c>
      <c r="D283" s="1" t="s">
        <v>13</v>
      </c>
      <c r="E283" s="1" t="s">
        <v>14</v>
      </c>
      <c r="F283" s="1" t="s">
        <v>29</v>
      </c>
      <c r="G283" s="1" t="s">
        <v>47</v>
      </c>
      <c r="H283" s="1" t="s">
        <v>30</v>
      </c>
      <c r="I283" s="1" t="s">
        <v>17</v>
      </c>
      <c r="J283" s="1">
        <v>0.41</v>
      </c>
      <c r="K283" s="36">
        <v>44523</v>
      </c>
    </row>
    <row r="284" spans="1:11" x14ac:dyDescent="0.3">
      <c r="A284" s="2" t="s">
        <v>594</v>
      </c>
      <c r="B284" s="1" t="s">
        <v>595</v>
      </c>
      <c r="C284" s="1">
        <v>60</v>
      </c>
      <c r="D284" s="1" t="s">
        <v>20</v>
      </c>
      <c r="E284" s="1" t="s">
        <v>33</v>
      </c>
      <c r="F284" s="1" t="s">
        <v>46</v>
      </c>
      <c r="G284" s="1" t="s">
        <v>25</v>
      </c>
      <c r="H284" s="1" t="s">
        <v>17</v>
      </c>
      <c r="I284" s="1" t="s">
        <v>30</v>
      </c>
      <c r="J284" s="1">
        <v>0.42</v>
      </c>
      <c r="K284" s="36">
        <v>45467</v>
      </c>
    </row>
    <row r="285" spans="1:11" x14ac:dyDescent="0.3">
      <c r="A285" s="2" t="s">
        <v>596</v>
      </c>
      <c r="B285" s="1" t="s">
        <v>597</v>
      </c>
      <c r="C285" s="1">
        <v>48</v>
      </c>
      <c r="D285" s="1" t="s">
        <v>20</v>
      </c>
      <c r="E285" s="1" t="s">
        <v>14</v>
      </c>
      <c r="F285" s="1" t="s">
        <v>29</v>
      </c>
      <c r="G285" s="1" t="s">
        <v>38</v>
      </c>
      <c r="H285" s="1" t="s">
        <v>17</v>
      </c>
      <c r="I285" s="1" t="s">
        <v>30</v>
      </c>
      <c r="J285" s="1">
        <v>0.36</v>
      </c>
      <c r="K285" s="36">
        <v>44655</v>
      </c>
    </row>
    <row r="286" spans="1:11" x14ac:dyDescent="0.3">
      <c r="A286" s="2" t="s">
        <v>598</v>
      </c>
      <c r="B286" s="1" t="s">
        <v>599</v>
      </c>
      <c r="C286" s="1">
        <v>45</v>
      </c>
      <c r="D286" s="1" t="s">
        <v>13</v>
      </c>
      <c r="E286" s="1" t="s">
        <v>33</v>
      </c>
      <c r="F286" s="1" t="s">
        <v>15</v>
      </c>
      <c r="G286" s="1" t="s">
        <v>25</v>
      </c>
      <c r="H286" s="1" t="s">
        <v>17</v>
      </c>
      <c r="I286" s="1" t="s">
        <v>17</v>
      </c>
      <c r="J286" s="1">
        <v>0.15</v>
      </c>
      <c r="K286" s="36">
        <v>45147</v>
      </c>
    </row>
    <row r="287" spans="1:11" x14ac:dyDescent="0.3">
      <c r="A287" s="2" t="s">
        <v>600</v>
      </c>
      <c r="B287" s="1" t="s">
        <v>601</v>
      </c>
      <c r="C287" s="1">
        <v>77</v>
      </c>
      <c r="D287" s="1" t="s">
        <v>20</v>
      </c>
      <c r="E287" s="1" t="s">
        <v>28</v>
      </c>
      <c r="F287" s="1" t="s">
        <v>46</v>
      </c>
      <c r="G287" s="1" t="s">
        <v>43</v>
      </c>
      <c r="H287" s="1" t="s">
        <v>17</v>
      </c>
      <c r="I287" s="1" t="s">
        <v>17</v>
      </c>
      <c r="J287" s="1">
        <v>0.33</v>
      </c>
      <c r="K287" s="36">
        <v>46061</v>
      </c>
    </row>
    <row r="288" spans="1:11" x14ac:dyDescent="0.3">
      <c r="A288" s="2" t="s">
        <v>602</v>
      </c>
      <c r="B288" s="1" t="s">
        <v>603</v>
      </c>
      <c r="C288" s="1">
        <v>28</v>
      </c>
      <c r="D288" s="1" t="s">
        <v>20</v>
      </c>
      <c r="E288" s="1" t="s">
        <v>14</v>
      </c>
      <c r="F288" s="1" t="s">
        <v>62</v>
      </c>
      <c r="G288" s="1" t="s">
        <v>16</v>
      </c>
      <c r="H288" s="1" t="s">
        <v>17</v>
      </c>
      <c r="I288" s="1" t="s">
        <v>17</v>
      </c>
      <c r="J288" s="1">
        <v>0.13</v>
      </c>
      <c r="K288" s="36">
        <v>45931</v>
      </c>
    </row>
    <row r="289" spans="1:11" x14ac:dyDescent="0.3">
      <c r="A289" s="2" t="s">
        <v>604</v>
      </c>
      <c r="B289" s="1" t="s">
        <v>605</v>
      </c>
      <c r="C289" s="1">
        <v>54</v>
      </c>
      <c r="D289" s="1" t="s">
        <v>20</v>
      </c>
      <c r="E289" s="1" t="s">
        <v>28</v>
      </c>
      <c r="F289" s="1" t="s">
        <v>29</v>
      </c>
      <c r="G289" s="1" t="s">
        <v>38</v>
      </c>
      <c r="H289" s="1" t="s">
        <v>17</v>
      </c>
      <c r="I289" s="1" t="s">
        <v>30</v>
      </c>
      <c r="J289" s="1">
        <v>0.48</v>
      </c>
      <c r="K289" s="36">
        <v>44279</v>
      </c>
    </row>
    <row r="290" spans="1:11" x14ac:dyDescent="0.3">
      <c r="A290" s="2" t="s">
        <v>606</v>
      </c>
      <c r="B290" s="1" t="s">
        <v>607</v>
      </c>
      <c r="C290" s="1">
        <v>52</v>
      </c>
      <c r="D290" s="1" t="s">
        <v>13</v>
      </c>
      <c r="E290" s="1" t="s">
        <v>28</v>
      </c>
      <c r="F290" s="1" t="s">
        <v>46</v>
      </c>
      <c r="G290" s="1" t="s">
        <v>16</v>
      </c>
      <c r="H290" s="1" t="s">
        <v>17</v>
      </c>
      <c r="I290" s="1" t="s">
        <v>17</v>
      </c>
      <c r="J290" s="1">
        <v>0.33</v>
      </c>
      <c r="K290" s="36">
        <v>45005</v>
      </c>
    </row>
    <row r="291" spans="1:11" x14ac:dyDescent="0.3">
      <c r="A291" s="2" t="s">
        <v>608</v>
      </c>
      <c r="B291" s="1" t="s">
        <v>609</v>
      </c>
      <c r="C291" s="1">
        <v>47</v>
      </c>
      <c r="D291" s="1" t="s">
        <v>13</v>
      </c>
      <c r="E291" s="1" t="s">
        <v>28</v>
      </c>
      <c r="F291" s="1" t="s">
        <v>46</v>
      </c>
      <c r="G291" s="1" t="s">
        <v>16</v>
      </c>
      <c r="H291" s="1" t="s">
        <v>17</v>
      </c>
      <c r="I291" s="1" t="s">
        <v>30</v>
      </c>
      <c r="J291" s="1">
        <v>0.45</v>
      </c>
      <c r="K291" s="36">
        <v>44683</v>
      </c>
    </row>
    <row r="292" spans="1:11" x14ac:dyDescent="0.3">
      <c r="A292" s="2" t="s">
        <v>610</v>
      </c>
      <c r="B292" s="1" t="s">
        <v>611</v>
      </c>
      <c r="C292" s="1">
        <v>68</v>
      </c>
      <c r="D292" s="1" t="s">
        <v>13</v>
      </c>
      <c r="E292" s="1" t="s">
        <v>21</v>
      </c>
      <c r="F292" s="1" t="s">
        <v>29</v>
      </c>
      <c r="G292" s="1" t="s">
        <v>16</v>
      </c>
      <c r="H292" s="1" t="s">
        <v>30</v>
      </c>
      <c r="I292" s="1" t="s">
        <v>30</v>
      </c>
      <c r="J292" s="1">
        <v>0.69</v>
      </c>
      <c r="K292" s="36">
        <v>44084</v>
      </c>
    </row>
    <row r="293" spans="1:11" x14ac:dyDescent="0.3">
      <c r="A293" s="2" t="s">
        <v>612</v>
      </c>
      <c r="B293" s="1" t="s">
        <v>613</v>
      </c>
      <c r="C293" s="1">
        <v>34</v>
      </c>
      <c r="D293" s="1" t="s">
        <v>20</v>
      </c>
      <c r="E293" s="1" t="s">
        <v>14</v>
      </c>
      <c r="F293" s="1" t="s">
        <v>62</v>
      </c>
      <c r="G293" s="1" t="s">
        <v>47</v>
      </c>
      <c r="H293" s="1" t="s">
        <v>17</v>
      </c>
      <c r="I293" s="1" t="s">
        <v>30</v>
      </c>
      <c r="J293" s="1">
        <v>0.34</v>
      </c>
      <c r="K293" s="36">
        <v>45767</v>
      </c>
    </row>
    <row r="294" spans="1:11" x14ac:dyDescent="0.3">
      <c r="A294" s="2" t="s">
        <v>614</v>
      </c>
      <c r="B294" s="1" t="s">
        <v>615</v>
      </c>
      <c r="C294" s="1">
        <v>78</v>
      </c>
      <c r="D294" s="1" t="s">
        <v>20</v>
      </c>
      <c r="E294" s="1" t="s">
        <v>21</v>
      </c>
      <c r="F294" s="1" t="s">
        <v>46</v>
      </c>
      <c r="G294" s="1" t="s">
        <v>16</v>
      </c>
      <c r="H294" s="1" t="s">
        <v>30</v>
      </c>
      <c r="I294" s="1" t="s">
        <v>17</v>
      </c>
      <c r="J294" s="1">
        <v>0.53</v>
      </c>
      <c r="K294" s="36">
        <v>45473</v>
      </c>
    </row>
    <row r="295" spans="1:11" x14ac:dyDescent="0.3">
      <c r="A295" s="2" t="s">
        <v>616</v>
      </c>
      <c r="B295" s="1" t="s">
        <v>617</v>
      </c>
      <c r="C295" s="1">
        <v>38</v>
      </c>
      <c r="D295" s="1" t="s">
        <v>13</v>
      </c>
      <c r="E295" s="1" t="s">
        <v>21</v>
      </c>
      <c r="F295" s="1" t="s">
        <v>29</v>
      </c>
      <c r="G295" s="1" t="s">
        <v>47</v>
      </c>
      <c r="H295" s="1" t="s">
        <v>17</v>
      </c>
      <c r="I295" s="1" t="s">
        <v>30</v>
      </c>
      <c r="J295" s="1">
        <v>0.34</v>
      </c>
      <c r="K295" s="36">
        <v>44651</v>
      </c>
    </row>
    <row r="296" spans="1:11" x14ac:dyDescent="0.3">
      <c r="A296" s="2" t="s">
        <v>618</v>
      </c>
      <c r="B296" s="1" t="s">
        <v>619</v>
      </c>
      <c r="C296" s="1">
        <v>52</v>
      </c>
      <c r="D296" s="1" t="s">
        <v>20</v>
      </c>
      <c r="E296" s="1" t="s">
        <v>21</v>
      </c>
      <c r="F296" s="1" t="s">
        <v>15</v>
      </c>
      <c r="G296" s="1" t="s">
        <v>16</v>
      </c>
      <c r="H296" s="1" t="s">
        <v>17</v>
      </c>
      <c r="I296" s="1" t="s">
        <v>30</v>
      </c>
      <c r="J296" s="1">
        <v>0.26</v>
      </c>
      <c r="K296" s="36">
        <v>45701</v>
      </c>
    </row>
    <row r="297" spans="1:11" x14ac:dyDescent="0.3">
      <c r="A297" s="2" t="s">
        <v>620</v>
      </c>
      <c r="B297" s="1" t="s">
        <v>621</v>
      </c>
      <c r="C297" s="1">
        <v>50</v>
      </c>
      <c r="D297" s="1" t="s">
        <v>13</v>
      </c>
      <c r="E297" s="1" t="s">
        <v>14</v>
      </c>
      <c r="F297" s="1" t="s">
        <v>15</v>
      </c>
      <c r="G297" s="1" t="s">
        <v>16</v>
      </c>
      <c r="H297" s="1" t="s">
        <v>17</v>
      </c>
      <c r="I297" s="1" t="s">
        <v>17</v>
      </c>
      <c r="J297" s="1">
        <v>0.28999999999999998</v>
      </c>
      <c r="K297" s="36">
        <v>45286</v>
      </c>
    </row>
    <row r="298" spans="1:11" x14ac:dyDescent="0.3">
      <c r="A298" s="2" t="s">
        <v>622</v>
      </c>
      <c r="B298" s="1" t="s">
        <v>623</v>
      </c>
      <c r="C298" s="1">
        <v>71</v>
      </c>
      <c r="D298" s="1" t="s">
        <v>13</v>
      </c>
      <c r="E298" s="1" t="s">
        <v>21</v>
      </c>
      <c r="F298" s="1" t="s">
        <v>15</v>
      </c>
      <c r="G298" s="1" t="s">
        <v>16</v>
      </c>
      <c r="H298" s="1" t="s">
        <v>17</v>
      </c>
      <c r="I298" s="1" t="s">
        <v>30</v>
      </c>
      <c r="J298" s="1">
        <v>0.5</v>
      </c>
      <c r="K298" s="36">
        <v>45014</v>
      </c>
    </row>
    <row r="299" spans="1:11" x14ac:dyDescent="0.3">
      <c r="A299" s="2" t="s">
        <v>624</v>
      </c>
      <c r="B299" s="1" t="s">
        <v>625</v>
      </c>
      <c r="C299" s="1">
        <v>45</v>
      </c>
      <c r="D299" s="1" t="s">
        <v>20</v>
      </c>
      <c r="E299" s="1" t="s">
        <v>14</v>
      </c>
      <c r="F299" s="1" t="s">
        <v>62</v>
      </c>
      <c r="G299" s="1" t="s">
        <v>25</v>
      </c>
      <c r="H299" s="1" t="s">
        <v>17</v>
      </c>
      <c r="I299" s="1" t="s">
        <v>30</v>
      </c>
      <c r="J299" s="1">
        <v>0.35</v>
      </c>
      <c r="K299" s="36">
        <v>44098</v>
      </c>
    </row>
    <row r="300" spans="1:11" x14ac:dyDescent="0.3">
      <c r="A300" s="2" t="s">
        <v>626</v>
      </c>
      <c r="B300" s="1" t="s">
        <v>627</v>
      </c>
      <c r="C300" s="1">
        <v>35</v>
      </c>
      <c r="D300" s="1" t="s">
        <v>13</v>
      </c>
      <c r="E300" s="1" t="s">
        <v>28</v>
      </c>
      <c r="F300" s="1" t="s">
        <v>46</v>
      </c>
      <c r="G300" s="1" t="s">
        <v>43</v>
      </c>
      <c r="H300" s="1" t="s">
        <v>30</v>
      </c>
      <c r="I300" s="1" t="s">
        <v>30</v>
      </c>
      <c r="J300" s="1">
        <v>0.46</v>
      </c>
      <c r="K300" s="36">
        <v>44241</v>
      </c>
    </row>
    <row r="301" spans="1:11" x14ac:dyDescent="0.3">
      <c r="A301" s="2" t="s">
        <v>628</v>
      </c>
      <c r="B301" s="1" t="s">
        <v>629</v>
      </c>
      <c r="C301" s="1">
        <v>19</v>
      </c>
      <c r="D301" s="1" t="s">
        <v>20</v>
      </c>
      <c r="E301" s="1" t="s">
        <v>28</v>
      </c>
      <c r="F301" s="1" t="s">
        <v>15</v>
      </c>
      <c r="G301" s="1" t="s">
        <v>25</v>
      </c>
      <c r="H301" s="1" t="s">
        <v>17</v>
      </c>
      <c r="I301" s="1" t="s">
        <v>17</v>
      </c>
      <c r="J301" s="1">
        <v>0.21</v>
      </c>
      <c r="K301" s="36">
        <v>46012</v>
      </c>
    </row>
    <row r="302" spans="1:11" x14ac:dyDescent="0.3">
      <c r="A302" s="2" t="s">
        <v>630</v>
      </c>
      <c r="B302" s="1" t="s">
        <v>631</v>
      </c>
      <c r="C302" s="1">
        <v>40</v>
      </c>
      <c r="D302" s="1" t="s">
        <v>20</v>
      </c>
      <c r="E302" s="1" t="s">
        <v>28</v>
      </c>
      <c r="F302" s="1" t="s">
        <v>15</v>
      </c>
      <c r="G302" s="1" t="s">
        <v>25</v>
      </c>
      <c r="H302" s="1" t="s">
        <v>17</v>
      </c>
      <c r="I302" s="1" t="s">
        <v>30</v>
      </c>
      <c r="J302" s="1">
        <v>0.24</v>
      </c>
      <c r="K302" s="36">
        <v>46058</v>
      </c>
    </row>
    <row r="303" spans="1:11" x14ac:dyDescent="0.3">
      <c r="A303" s="2" t="s">
        <v>632</v>
      </c>
      <c r="B303" s="1" t="s">
        <v>633</v>
      </c>
      <c r="C303" s="1">
        <v>70</v>
      </c>
      <c r="D303" s="1" t="s">
        <v>13</v>
      </c>
      <c r="E303" s="1" t="s">
        <v>21</v>
      </c>
      <c r="F303" s="1" t="s">
        <v>46</v>
      </c>
      <c r="G303" s="1" t="s">
        <v>43</v>
      </c>
      <c r="H303" s="1" t="s">
        <v>30</v>
      </c>
      <c r="I303" s="1" t="s">
        <v>30</v>
      </c>
      <c r="J303" s="1">
        <v>0.67</v>
      </c>
      <c r="K303" s="36">
        <v>45272</v>
      </c>
    </row>
    <row r="304" spans="1:11" x14ac:dyDescent="0.3">
      <c r="A304" s="2" t="s">
        <v>634</v>
      </c>
      <c r="B304" s="1" t="s">
        <v>635</v>
      </c>
      <c r="C304" s="1">
        <v>18</v>
      </c>
      <c r="D304" s="1" t="s">
        <v>20</v>
      </c>
      <c r="E304" s="1" t="s">
        <v>33</v>
      </c>
      <c r="F304" s="1" t="s">
        <v>29</v>
      </c>
      <c r="G304" s="1" t="s">
        <v>47</v>
      </c>
      <c r="H304" s="1" t="s">
        <v>17</v>
      </c>
      <c r="I304" s="1" t="s">
        <v>17</v>
      </c>
      <c r="J304" s="1">
        <v>0.15</v>
      </c>
      <c r="K304" s="36">
        <v>45906</v>
      </c>
    </row>
    <row r="305" spans="1:11" x14ac:dyDescent="0.3">
      <c r="A305" s="2" t="s">
        <v>636</v>
      </c>
      <c r="B305" s="1" t="s">
        <v>637</v>
      </c>
      <c r="C305" s="1">
        <v>74</v>
      </c>
      <c r="D305" s="1" t="s">
        <v>13</v>
      </c>
      <c r="E305" s="1" t="s">
        <v>33</v>
      </c>
      <c r="F305" s="1" t="s">
        <v>46</v>
      </c>
      <c r="G305" s="1" t="s">
        <v>47</v>
      </c>
      <c r="H305" s="1" t="s">
        <v>17</v>
      </c>
      <c r="I305" s="1" t="s">
        <v>30</v>
      </c>
      <c r="J305" s="1">
        <v>0.45</v>
      </c>
      <c r="K305" s="36">
        <v>45353</v>
      </c>
    </row>
    <row r="306" spans="1:11" x14ac:dyDescent="0.3">
      <c r="A306" s="2" t="s">
        <v>638</v>
      </c>
      <c r="B306" s="1" t="s">
        <v>639</v>
      </c>
      <c r="C306" s="1">
        <v>52</v>
      </c>
      <c r="D306" s="1" t="s">
        <v>13</v>
      </c>
      <c r="E306" s="1" t="s">
        <v>21</v>
      </c>
      <c r="F306" s="1" t="s">
        <v>29</v>
      </c>
      <c r="G306" s="1" t="s">
        <v>16</v>
      </c>
      <c r="H306" s="1" t="s">
        <v>17</v>
      </c>
      <c r="I306" s="1" t="s">
        <v>17</v>
      </c>
      <c r="J306" s="1">
        <v>0.15</v>
      </c>
      <c r="K306" s="36">
        <v>44401</v>
      </c>
    </row>
    <row r="307" spans="1:11" x14ac:dyDescent="0.3">
      <c r="A307" s="2" t="s">
        <v>640</v>
      </c>
      <c r="B307" s="1" t="s">
        <v>641</v>
      </c>
      <c r="C307" s="1">
        <v>26</v>
      </c>
      <c r="D307" s="1" t="s">
        <v>13</v>
      </c>
      <c r="E307" s="1" t="s">
        <v>28</v>
      </c>
      <c r="F307" s="1" t="s">
        <v>46</v>
      </c>
      <c r="G307" s="1" t="s">
        <v>22</v>
      </c>
      <c r="H307" s="1" t="s">
        <v>17</v>
      </c>
      <c r="I307" s="1" t="s">
        <v>17</v>
      </c>
      <c r="J307" s="1">
        <v>0.11</v>
      </c>
      <c r="K307" s="36">
        <v>44356</v>
      </c>
    </row>
    <row r="308" spans="1:11" x14ac:dyDescent="0.3">
      <c r="A308" s="2" t="s">
        <v>642</v>
      </c>
      <c r="B308" s="1" t="s">
        <v>643</v>
      </c>
      <c r="C308" s="1">
        <v>37</v>
      </c>
      <c r="D308" s="1" t="s">
        <v>13</v>
      </c>
      <c r="E308" s="1" t="s">
        <v>14</v>
      </c>
      <c r="F308" s="1" t="s">
        <v>15</v>
      </c>
      <c r="G308" s="1" t="s">
        <v>25</v>
      </c>
      <c r="H308" s="1" t="s">
        <v>17</v>
      </c>
      <c r="I308" s="1" t="s">
        <v>30</v>
      </c>
      <c r="J308" s="1">
        <v>0.36</v>
      </c>
      <c r="K308" s="36">
        <v>44752</v>
      </c>
    </row>
    <row r="309" spans="1:11" x14ac:dyDescent="0.3">
      <c r="A309" s="2" t="s">
        <v>644</v>
      </c>
      <c r="B309" s="1" t="s">
        <v>645</v>
      </c>
      <c r="C309" s="1">
        <v>52</v>
      </c>
      <c r="D309" s="1" t="s">
        <v>13</v>
      </c>
      <c r="E309" s="1" t="s">
        <v>28</v>
      </c>
      <c r="F309" s="1" t="s">
        <v>46</v>
      </c>
      <c r="G309" s="1" t="s">
        <v>38</v>
      </c>
      <c r="H309" s="1" t="s">
        <v>30</v>
      </c>
      <c r="I309" s="1" t="s">
        <v>30</v>
      </c>
      <c r="J309" s="1">
        <v>0.51</v>
      </c>
      <c r="K309" s="36">
        <v>46047</v>
      </c>
    </row>
    <row r="310" spans="1:11" x14ac:dyDescent="0.3">
      <c r="A310" s="2" t="s">
        <v>646</v>
      </c>
      <c r="B310" s="1" t="s">
        <v>647</v>
      </c>
      <c r="C310" s="1">
        <v>37</v>
      </c>
      <c r="D310" s="1" t="s">
        <v>20</v>
      </c>
      <c r="E310" s="1" t="s">
        <v>21</v>
      </c>
      <c r="F310" s="1" t="s">
        <v>15</v>
      </c>
      <c r="G310" s="1" t="s">
        <v>38</v>
      </c>
      <c r="H310" s="1" t="s">
        <v>30</v>
      </c>
      <c r="I310" s="1" t="s">
        <v>30</v>
      </c>
      <c r="J310" s="1">
        <v>0.57999999999999996</v>
      </c>
      <c r="K310" s="36">
        <v>45822</v>
      </c>
    </row>
    <row r="311" spans="1:11" x14ac:dyDescent="0.3">
      <c r="A311" s="2" t="s">
        <v>648</v>
      </c>
      <c r="B311" s="1" t="s">
        <v>649</v>
      </c>
      <c r="C311" s="1">
        <v>24</v>
      </c>
      <c r="D311" s="1" t="s">
        <v>13</v>
      </c>
      <c r="E311" s="1" t="s">
        <v>33</v>
      </c>
      <c r="F311" s="1" t="s">
        <v>62</v>
      </c>
      <c r="G311" s="1" t="s">
        <v>25</v>
      </c>
      <c r="H311" s="1" t="s">
        <v>30</v>
      </c>
      <c r="I311" s="1" t="s">
        <v>30</v>
      </c>
      <c r="J311" s="1">
        <v>0.5</v>
      </c>
      <c r="K311" s="36">
        <v>45963</v>
      </c>
    </row>
    <row r="312" spans="1:11" x14ac:dyDescent="0.3">
      <c r="A312" s="2" t="s">
        <v>650</v>
      </c>
      <c r="B312" s="1" t="s">
        <v>651</v>
      </c>
      <c r="C312" s="1">
        <v>59</v>
      </c>
      <c r="D312" s="1" t="s">
        <v>13</v>
      </c>
      <c r="E312" s="1" t="s">
        <v>21</v>
      </c>
      <c r="F312" s="1" t="s">
        <v>46</v>
      </c>
      <c r="G312" s="1" t="s">
        <v>25</v>
      </c>
      <c r="H312" s="1" t="s">
        <v>17</v>
      </c>
      <c r="I312" s="1" t="s">
        <v>30</v>
      </c>
      <c r="J312" s="1">
        <v>0.38</v>
      </c>
      <c r="K312" s="36">
        <v>46047</v>
      </c>
    </row>
    <row r="313" spans="1:11" x14ac:dyDescent="0.3">
      <c r="A313" s="2" t="s">
        <v>652</v>
      </c>
      <c r="B313" s="1" t="s">
        <v>653</v>
      </c>
      <c r="C313" s="1">
        <v>60</v>
      </c>
      <c r="D313" s="1" t="s">
        <v>20</v>
      </c>
      <c r="E313" s="1" t="s">
        <v>28</v>
      </c>
      <c r="F313" s="1" t="s">
        <v>62</v>
      </c>
      <c r="G313" s="1" t="s">
        <v>47</v>
      </c>
      <c r="H313" s="1" t="s">
        <v>17</v>
      </c>
      <c r="I313" s="1" t="s">
        <v>17</v>
      </c>
      <c r="J313" s="1">
        <v>0.14000000000000001</v>
      </c>
      <c r="K313" s="36">
        <v>44537</v>
      </c>
    </row>
    <row r="314" spans="1:11" x14ac:dyDescent="0.3">
      <c r="A314" s="2" t="s">
        <v>654</v>
      </c>
      <c r="B314" s="1" t="s">
        <v>655</v>
      </c>
      <c r="C314" s="1">
        <v>25</v>
      </c>
      <c r="D314" s="1" t="s">
        <v>20</v>
      </c>
      <c r="E314" s="1" t="s">
        <v>33</v>
      </c>
      <c r="F314" s="1" t="s">
        <v>29</v>
      </c>
      <c r="G314" s="1" t="s">
        <v>47</v>
      </c>
      <c r="H314" s="1" t="s">
        <v>17</v>
      </c>
      <c r="I314" s="1" t="s">
        <v>17</v>
      </c>
      <c r="J314" s="1">
        <v>0.12</v>
      </c>
      <c r="K314" s="36">
        <v>44623</v>
      </c>
    </row>
    <row r="315" spans="1:11" x14ac:dyDescent="0.3">
      <c r="A315" s="2" t="s">
        <v>656</v>
      </c>
      <c r="B315" s="1" t="s">
        <v>657</v>
      </c>
      <c r="C315" s="1">
        <v>35</v>
      </c>
      <c r="D315" s="1" t="s">
        <v>20</v>
      </c>
      <c r="E315" s="1" t="s">
        <v>21</v>
      </c>
      <c r="F315" s="1" t="s">
        <v>15</v>
      </c>
      <c r="G315" s="1" t="s">
        <v>16</v>
      </c>
      <c r="H315" s="1" t="s">
        <v>17</v>
      </c>
      <c r="I315" s="1" t="s">
        <v>17</v>
      </c>
      <c r="J315" s="1">
        <v>0.31</v>
      </c>
      <c r="K315" s="36">
        <v>44302</v>
      </c>
    </row>
    <row r="316" spans="1:11" x14ac:dyDescent="0.3">
      <c r="A316" s="2" t="s">
        <v>658</v>
      </c>
      <c r="B316" s="1" t="s">
        <v>659</v>
      </c>
      <c r="C316" s="1">
        <v>33</v>
      </c>
      <c r="D316" s="1" t="s">
        <v>20</v>
      </c>
      <c r="E316" s="1" t="s">
        <v>21</v>
      </c>
      <c r="F316" s="1" t="s">
        <v>46</v>
      </c>
      <c r="G316" s="1" t="s">
        <v>22</v>
      </c>
      <c r="H316" s="1" t="s">
        <v>17</v>
      </c>
      <c r="I316" s="1" t="s">
        <v>17</v>
      </c>
      <c r="J316" s="1">
        <v>0.33</v>
      </c>
      <c r="K316" s="36">
        <v>45787</v>
      </c>
    </row>
    <row r="317" spans="1:11" x14ac:dyDescent="0.3">
      <c r="A317" s="2" t="s">
        <v>660</v>
      </c>
      <c r="B317" s="1" t="s">
        <v>661</v>
      </c>
      <c r="C317" s="1">
        <v>59</v>
      </c>
      <c r="D317" s="1" t="s">
        <v>13</v>
      </c>
      <c r="E317" s="1" t="s">
        <v>14</v>
      </c>
      <c r="F317" s="1" t="s">
        <v>62</v>
      </c>
      <c r="G317" s="1" t="s">
        <v>47</v>
      </c>
      <c r="H317" s="1" t="s">
        <v>17</v>
      </c>
      <c r="I317" s="1" t="s">
        <v>17</v>
      </c>
      <c r="J317" s="1">
        <v>0.28999999999999998</v>
      </c>
      <c r="K317" s="36">
        <v>46015</v>
      </c>
    </row>
    <row r="318" spans="1:11" x14ac:dyDescent="0.3">
      <c r="A318" s="2" t="s">
        <v>662</v>
      </c>
      <c r="B318" s="1" t="s">
        <v>663</v>
      </c>
      <c r="C318" s="1">
        <v>64</v>
      </c>
      <c r="D318" s="1" t="s">
        <v>20</v>
      </c>
      <c r="E318" s="1" t="s">
        <v>21</v>
      </c>
      <c r="F318" s="1" t="s">
        <v>46</v>
      </c>
      <c r="G318" s="1" t="s">
        <v>16</v>
      </c>
      <c r="H318" s="1" t="s">
        <v>17</v>
      </c>
      <c r="I318" s="1" t="s">
        <v>17</v>
      </c>
      <c r="J318" s="1">
        <v>0.23</v>
      </c>
      <c r="K318" s="36">
        <v>44967</v>
      </c>
    </row>
    <row r="319" spans="1:11" x14ac:dyDescent="0.3">
      <c r="A319" s="2" t="s">
        <v>664</v>
      </c>
      <c r="B319" s="1" t="s">
        <v>665</v>
      </c>
      <c r="C319" s="1">
        <v>63</v>
      </c>
      <c r="D319" s="1" t="s">
        <v>13</v>
      </c>
      <c r="E319" s="1" t="s">
        <v>21</v>
      </c>
      <c r="F319" s="1" t="s">
        <v>46</v>
      </c>
      <c r="G319" s="1" t="s">
        <v>25</v>
      </c>
      <c r="H319" s="1" t="s">
        <v>17</v>
      </c>
      <c r="I319" s="1" t="s">
        <v>30</v>
      </c>
      <c r="J319" s="1">
        <v>0.41</v>
      </c>
      <c r="K319" s="36">
        <v>45437</v>
      </c>
    </row>
    <row r="320" spans="1:11" x14ac:dyDescent="0.3">
      <c r="A320" s="2" t="s">
        <v>666</v>
      </c>
      <c r="B320" s="1" t="s">
        <v>667</v>
      </c>
      <c r="C320" s="1">
        <v>77</v>
      </c>
      <c r="D320" s="1" t="s">
        <v>13</v>
      </c>
      <c r="E320" s="1" t="s">
        <v>28</v>
      </c>
      <c r="F320" s="1" t="s">
        <v>15</v>
      </c>
      <c r="G320" s="1" t="s">
        <v>25</v>
      </c>
      <c r="H320" s="1" t="s">
        <v>17</v>
      </c>
      <c r="I320" s="1" t="s">
        <v>30</v>
      </c>
      <c r="J320" s="1">
        <v>0.48</v>
      </c>
      <c r="K320" s="36">
        <v>44415</v>
      </c>
    </row>
    <row r="321" spans="1:11" x14ac:dyDescent="0.3">
      <c r="A321" s="2" t="s">
        <v>668</v>
      </c>
      <c r="B321" s="1" t="s">
        <v>669</v>
      </c>
      <c r="C321" s="1">
        <v>66</v>
      </c>
      <c r="D321" s="1" t="s">
        <v>13</v>
      </c>
      <c r="E321" s="1" t="s">
        <v>28</v>
      </c>
      <c r="F321" s="1" t="s">
        <v>15</v>
      </c>
      <c r="G321" s="1" t="s">
        <v>25</v>
      </c>
      <c r="H321" s="1" t="s">
        <v>30</v>
      </c>
      <c r="I321" s="1" t="s">
        <v>30</v>
      </c>
      <c r="J321" s="1">
        <v>0.57999999999999996</v>
      </c>
      <c r="K321" s="36">
        <v>46115</v>
      </c>
    </row>
    <row r="322" spans="1:11" x14ac:dyDescent="0.3">
      <c r="A322" s="2" t="s">
        <v>670</v>
      </c>
      <c r="B322" s="1" t="s">
        <v>671</v>
      </c>
      <c r="C322" s="1">
        <v>38</v>
      </c>
      <c r="D322" s="1" t="s">
        <v>20</v>
      </c>
      <c r="E322" s="1" t="s">
        <v>33</v>
      </c>
      <c r="F322" s="1" t="s">
        <v>46</v>
      </c>
      <c r="G322" s="1" t="s">
        <v>16</v>
      </c>
      <c r="H322" s="1" t="s">
        <v>17</v>
      </c>
      <c r="I322" s="1" t="s">
        <v>30</v>
      </c>
      <c r="J322" s="1">
        <v>0.36</v>
      </c>
      <c r="K322" s="36">
        <v>45972</v>
      </c>
    </row>
    <row r="323" spans="1:11" x14ac:dyDescent="0.3">
      <c r="A323" s="2" t="s">
        <v>672</v>
      </c>
      <c r="B323" s="1" t="s">
        <v>673</v>
      </c>
      <c r="C323" s="1">
        <v>24</v>
      </c>
      <c r="D323" s="1" t="s">
        <v>20</v>
      </c>
      <c r="E323" s="1" t="s">
        <v>28</v>
      </c>
      <c r="F323" s="1" t="s">
        <v>29</v>
      </c>
      <c r="G323" s="1" t="s">
        <v>43</v>
      </c>
      <c r="H323" s="1" t="s">
        <v>17</v>
      </c>
      <c r="I323" s="1" t="s">
        <v>17</v>
      </c>
      <c r="J323" s="1">
        <v>0.25</v>
      </c>
      <c r="K323" s="36">
        <v>46216</v>
      </c>
    </row>
    <row r="324" spans="1:11" x14ac:dyDescent="0.3">
      <c r="A324" s="2" t="s">
        <v>674</v>
      </c>
      <c r="B324" s="1" t="s">
        <v>675</v>
      </c>
      <c r="C324" s="1">
        <v>56</v>
      </c>
      <c r="D324" s="1" t="s">
        <v>13</v>
      </c>
      <c r="E324" s="1" t="s">
        <v>33</v>
      </c>
      <c r="F324" s="1" t="s">
        <v>62</v>
      </c>
      <c r="G324" s="1" t="s">
        <v>47</v>
      </c>
      <c r="H324" s="1" t="s">
        <v>17</v>
      </c>
      <c r="I324" s="1" t="s">
        <v>17</v>
      </c>
      <c r="J324" s="1">
        <v>0.25</v>
      </c>
      <c r="K324" s="36">
        <v>45854</v>
      </c>
    </row>
    <row r="325" spans="1:11" x14ac:dyDescent="0.3">
      <c r="A325" s="2" t="s">
        <v>676</v>
      </c>
      <c r="B325" s="1" t="s">
        <v>677</v>
      </c>
      <c r="C325" s="1">
        <v>75</v>
      </c>
      <c r="D325" s="1" t="s">
        <v>13</v>
      </c>
      <c r="E325" s="1" t="s">
        <v>21</v>
      </c>
      <c r="F325" s="1" t="s">
        <v>29</v>
      </c>
      <c r="G325" s="1" t="s">
        <v>38</v>
      </c>
      <c r="H325" s="1" t="s">
        <v>17</v>
      </c>
      <c r="I325" s="1" t="s">
        <v>17</v>
      </c>
      <c r="J325" s="1">
        <v>0.25</v>
      </c>
      <c r="K325" s="36">
        <v>46009</v>
      </c>
    </row>
    <row r="326" spans="1:11" x14ac:dyDescent="0.3">
      <c r="A326" s="2" t="s">
        <v>678</v>
      </c>
      <c r="B326" s="1" t="s">
        <v>679</v>
      </c>
      <c r="C326" s="1">
        <v>79</v>
      </c>
      <c r="D326" s="1" t="s">
        <v>20</v>
      </c>
      <c r="E326" s="1" t="s">
        <v>33</v>
      </c>
      <c r="F326" s="1" t="s">
        <v>15</v>
      </c>
      <c r="G326" s="1" t="s">
        <v>38</v>
      </c>
      <c r="H326" s="1" t="s">
        <v>17</v>
      </c>
      <c r="I326" s="1" t="s">
        <v>30</v>
      </c>
      <c r="J326" s="1">
        <v>0.45</v>
      </c>
      <c r="K326" s="36">
        <v>44131</v>
      </c>
    </row>
    <row r="327" spans="1:11" x14ac:dyDescent="0.3">
      <c r="A327" s="2" t="s">
        <v>680</v>
      </c>
      <c r="B327" s="1" t="s">
        <v>681</v>
      </c>
      <c r="C327" s="1">
        <v>32</v>
      </c>
      <c r="D327" s="1" t="s">
        <v>13</v>
      </c>
      <c r="E327" s="1" t="s">
        <v>21</v>
      </c>
      <c r="F327" s="1" t="s">
        <v>15</v>
      </c>
      <c r="G327" s="1" t="s">
        <v>43</v>
      </c>
      <c r="H327" s="1" t="s">
        <v>17</v>
      </c>
      <c r="I327" s="1" t="s">
        <v>17</v>
      </c>
      <c r="J327" s="1">
        <v>0.14000000000000001</v>
      </c>
      <c r="K327" s="36">
        <v>45691</v>
      </c>
    </row>
    <row r="328" spans="1:11" x14ac:dyDescent="0.3">
      <c r="A328" s="2" t="s">
        <v>682</v>
      </c>
      <c r="B328" s="1" t="s">
        <v>199</v>
      </c>
      <c r="C328" s="1">
        <v>32</v>
      </c>
      <c r="D328" s="1" t="s">
        <v>20</v>
      </c>
      <c r="E328" s="1" t="s">
        <v>28</v>
      </c>
      <c r="F328" s="1" t="s">
        <v>29</v>
      </c>
      <c r="G328" s="1" t="s">
        <v>16</v>
      </c>
      <c r="H328" s="1" t="s">
        <v>17</v>
      </c>
      <c r="I328" s="1" t="s">
        <v>17</v>
      </c>
      <c r="J328" s="1">
        <v>0.23</v>
      </c>
      <c r="K328" s="36">
        <v>44805</v>
      </c>
    </row>
    <row r="329" spans="1:11" x14ac:dyDescent="0.3">
      <c r="A329" s="2" t="s">
        <v>683</v>
      </c>
      <c r="B329" s="1" t="s">
        <v>684</v>
      </c>
      <c r="C329" s="1">
        <v>20</v>
      </c>
      <c r="D329" s="1" t="s">
        <v>13</v>
      </c>
      <c r="E329" s="1" t="s">
        <v>14</v>
      </c>
      <c r="F329" s="1" t="s">
        <v>46</v>
      </c>
      <c r="G329" s="1" t="s">
        <v>47</v>
      </c>
      <c r="H329" s="1" t="s">
        <v>17</v>
      </c>
      <c r="I329" s="1" t="s">
        <v>17</v>
      </c>
      <c r="J329" s="1">
        <v>0.22</v>
      </c>
      <c r="K329" s="36">
        <v>46117</v>
      </c>
    </row>
    <row r="330" spans="1:11" x14ac:dyDescent="0.3">
      <c r="A330" s="2" t="s">
        <v>685</v>
      </c>
      <c r="B330" s="1" t="s">
        <v>686</v>
      </c>
      <c r="C330" s="1">
        <v>26</v>
      </c>
      <c r="D330" s="1" t="s">
        <v>20</v>
      </c>
      <c r="E330" s="1" t="s">
        <v>21</v>
      </c>
      <c r="F330" s="1" t="s">
        <v>15</v>
      </c>
      <c r="G330" s="1" t="s">
        <v>25</v>
      </c>
      <c r="H330" s="1" t="s">
        <v>17</v>
      </c>
      <c r="I330" s="1" t="s">
        <v>17</v>
      </c>
      <c r="J330" s="1">
        <v>0.21</v>
      </c>
      <c r="K330" s="36">
        <v>45835</v>
      </c>
    </row>
    <row r="331" spans="1:11" x14ac:dyDescent="0.3">
      <c r="A331" s="2" t="s">
        <v>687</v>
      </c>
      <c r="B331" s="1" t="s">
        <v>688</v>
      </c>
      <c r="C331" s="1">
        <v>52</v>
      </c>
      <c r="D331" s="1" t="s">
        <v>20</v>
      </c>
      <c r="E331" s="1" t="s">
        <v>14</v>
      </c>
      <c r="F331" s="1" t="s">
        <v>29</v>
      </c>
      <c r="G331" s="1" t="s">
        <v>47</v>
      </c>
      <c r="H331" s="1" t="s">
        <v>17</v>
      </c>
      <c r="I331" s="1" t="s">
        <v>30</v>
      </c>
      <c r="J331" s="1">
        <v>0.43</v>
      </c>
      <c r="K331" s="36">
        <v>45971</v>
      </c>
    </row>
    <row r="332" spans="1:11" x14ac:dyDescent="0.3">
      <c r="A332" s="2" t="s">
        <v>689</v>
      </c>
      <c r="B332" s="1" t="s">
        <v>690</v>
      </c>
      <c r="C332" s="1">
        <v>52</v>
      </c>
      <c r="D332" s="1" t="s">
        <v>13</v>
      </c>
      <c r="E332" s="1" t="s">
        <v>33</v>
      </c>
      <c r="F332" s="1" t="s">
        <v>15</v>
      </c>
      <c r="G332" s="1" t="s">
        <v>16</v>
      </c>
      <c r="H332" s="1" t="s">
        <v>30</v>
      </c>
      <c r="I332" s="1" t="s">
        <v>17</v>
      </c>
      <c r="J332" s="1">
        <v>0.37</v>
      </c>
      <c r="K332" s="36">
        <v>45854</v>
      </c>
    </row>
    <row r="333" spans="1:11" x14ac:dyDescent="0.3">
      <c r="A333" s="2" t="s">
        <v>691</v>
      </c>
      <c r="B333" s="1" t="s">
        <v>692</v>
      </c>
      <c r="C333" s="1">
        <v>41</v>
      </c>
      <c r="D333" s="1" t="s">
        <v>20</v>
      </c>
      <c r="E333" s="1" t="s">
        <v>28</v>
      </c>
      <c r="F333" s="1" t="s">
        <v>29</v>
      </c>
      <c r="G333" s="1" t="s">
        <v>47</v>
      </c>
      <c r="H333" s="1" t="s">
        <v>17</v>
      </c>
      <c r="I333" s="1" t="s">
        <v>17</v>
      </c>
      <c r="J333" s="1">
        <v>0.26</v>
      </c>
      <c r="K333" s="36">
        <v>44661</v>
      </c>
    </row>
    <row r="334" spans="1:11" x14ac:dyDescent="0.3">
      <c r="A334" s="2" t="s">
        <v>693</v>
      </c>
      <c r="B334" s="1" t="s">
        <v>694</v>
      </c>
      <c r="C334" s="1">
        <v>37</v>
      </c>
      <c r="D334" s="1" t="s">
        <v>20</v>
      </c>
      <c r="E334" s="1" t="s">
        <v>33</v>
      </c>
      <c r="F334" s="1" t="s">
        <v>15</v>
      </c>
      <c r="G334" s="1" t="s">
        <v>38</v>
      </c>
      <c r="H334" s="1" t="s">
        <v>30</v>
      </c>
      <c r="I334" s="1" t="s">
        <v>17</v>
      </c>
      <c r="J334" s="1">
        <v>0.27</v>
      </c>
      <c r="K334" s="36">
        <v>45802</v>
      </c>
    </row>
    <row r="335" spans="1:11" x14ac:dyDescent="0.3">
      <c r="A335" s="2" t="s">
        <v>695</v>
      </c>
      <c r="B335" s="1" t="s">
        <v>696</v>
      </c>
      <c r="C335" s="1">
        <v>70</v>
      </c>
      <c r="D335" s="1" t="s">
        <v>20</v>
      </c>
      <c r="E335" s="1" t="s">
        <v>21</v>
      </c>
      <c r="F335" s="1" t="s">
        <v>15</v>
      </c>
      <c r="G335" s="1" t="s">
        <v>47</v>
      </c>
      <c r="H335" s="1" t="s">
        <v>17</v>
      </c>
      <c r="I335" s="1" t="s">
        <v>17</v>
      </c>
      <c r="J335" s="1">
        <v>0.25</v>
      </c>
      <c r="K335" s="36">
        <v>44313</v>
      </c>
    </row>
    <row r="336" spans="1:11" x14ac:dyDescent="0.3">
      <c r="A336" s="2" t="s">
        <v>697</v>
      </c>
      <c r="B336" s="1" t="s">
        <v>698</v>
      </c>
      <c r="C336" s="1">
        <v>46</v>
      </c>
      <c r="D336" s="1" t="s">
        <v>20</v>
      </c>
      <c r="E336" s="1" t="s">
        <v>28</v>
      </c>
      <c r="F336" s="1" t="s">
        <v>29</v>
      </c>
      <c r="G336" s="1" t="s">
        <v>47</v>
      </c>
      <c r="H336" s="1" t="s">
        <v>17</v>
      </c>
      <c r="I336" s="1" t="s">
        <v>17</v>
      </c>
      <c r="J336" s="1">
        <v>0.2</v>
      </c>
      <c r="K336" s="36">
        <v>45988</v>
      </c>
    </row>
    <row r="337" spans="1:11" x14ac:dyDescent="0.3">
      <c r="A337" s="2" t="s">
        <v>699</v>
      </c>
      <c r="B337" s="1" t="s">
        <v>700</v>
      </c>
      <c r="C337" s="1">
        <v>68</v>
      </c>
      <c r="D337" s="1" t="s">
        <v>13</v>
      </c>
      <c r="E337" s="1" t="s">
        <v>28</v>
      </c>
      <c r="F337" s="1" t="s">
        <v>46</v>
      </c>
      <c r="G337" s="1" t="s">
        <v>16</v>
      </c>
      <c r="H337" s="1" t="s">
        <v>17</v>
      </c>
      <c r="I337" s="1" t="s">
        <v>30</v>
      </c>
      <c r="J337" s="1">
        <v>0.55000000000000004</v>
      </c>
      <c r="K337" s="36">
        <v>45959</v>
      </c>
    </row>
    <row r="338" spans="1:11" x14ac:dyDescent="0.3">
      <c r="A338" s="2" t="s">
        <v>701</v>
      </c>
      <c r="B338" s="1" t="s">
        <v>702</v>
      </c>
      <c r="C338" s="1">
        <v>78</v>
      </c>
      <c r="D338" s="1" t="s">
        <v>20</v>
      </c>
      <c r="E338" s="1" t="s">
        <v>14</v>
      </c>
      <c r="F338" s="1" t="s">
        <v>29</v>
      </c>
      <c r="G338" s="1" t="s">
        <v>38</v>
      </c>
      <c r="H338" s="1" t="s">
        <v>30</v>
      </c>
      <c r="I338" s="1" t="s">
        <v>30</v>
      </c>
      <c r="J338" s="1">
        <v>0.49</v>
      </c>
      <c r="K338" s="36">
        <v>44564</v>
      </c>
    </row>
    <row r="339" spans="1:11" x14ac:dyDescent="0.3">
      <c r="A339" s="2" t="s">
        <v>703</v>
      </c>
      <c r="B339" s="1" t="s">
        <v>704</v>
      </c>
      <c r="C339" s="1">
        <v>37</v>
      </c>
      <c r="D339" s="1" t="s">
        <v>13</v>
      </c>
      <c r="E339" s="1" t="s">
        <v>33</v>
      </c>
      <c r="F339" s="1" t="s">
        <v>46</v>
      </c>
      <c r="G339" s="1" t="s">
        <v>47</v>
      </c>
      <c r="H339" s="1" t="s">
        <v>30</v>
      </c>
      <c r="I339" s="1" t="s">
        <v>17</v>
      </c>
      <c r="J339" s="1">
        <v>0.37</v>
      </c>
      <c r="K339" s="36">
        <v>45866</v>
      </c>
    </row>
    <row r="340" spans="1:11" x14ac:dyDescent="0.3">
      <c r="A340" s="2" t="s">
        <v>705</v>
      </c>
      <c r="B340" s="1" t="s">
        <v>706</v>
      </c>
      <c r="C340" s="1">
        <v>30</v>
      </c>
      <c r="D340" s="1" t="s">
        <v>13</v>
      </c>
      <c r="E340" s="1" t="s">
        <v>28</v>
      </c>
      <c r="F340" s="1" t="s">
        <v>15</v>
      </c>
      <c r="G340" s="1" t="s">
        <v>16</v>
      </c>
      <c r="H340" s="1" t="s">
        <v>30</v>
      </c>
      <c r="I340" s="1" t="s">
        <v>30</v>
      </c>
      <c r="J340" s="1">
        <v>0.62</v>
      </c>
      <c r="K340" s="36">
        <v>45085</v>
      </c>
    </row>
    <row r="341" spans="1:11" x14ac:dyDescent="0.3">
      <c r="A341" s="2" t="s">
        <v>707</v>
      </c>
      <c r="B341" s="1" t="s">
        <v>708</v>
      </c>
      <c r="C341" s="1">
        <v>78</v>
      </c>
      <c r="D341" s="1" t="s">
        <v>20</v>
      </c>
      <c r="E341" s="1" t="s">
        <v>14</v>
      </c>
      <c r="F341" s="1" t="s">
        <v>62</v>
      </c>
      <c r="G341" s="1" t="s">
        <v>22</v>
      </c>
      <c r="H341" s="1" t="s">
        <v>17</v>
      </c>
      <c r="I341" s="1" t="s">
        <v>17</v>
      </c>
      <c r="J341" s="1">
        <v>0.23</v>
      </c>
      <c r="K341" s="36">
        <v>44745</v>
      </c>
    </row>
    <row r="342" spans="1:11" x14ac:dyDescent="0.3">
      <c r="A342" s="2" t="s">
        <v>709</v>
      </c>
      <c r="B342" s="1" t="s">
        <v>710</v>
      </c>
      <c r="C342" s="1">
        <v>57</v>
      </c>
      <c r="D342" s="1" t="s">
        <v>20</v>
      </c>
      <c r="E342" s="1" t="s">
        <v>21</v>
      </c>
      <c r="F342" s="1" t="s">
        <v>62</v>
      </c>
      <c r="G342" s="1" t="s">
        <v>16</v>
      </c>
      <c r="H342" s="1" t="s">
        <v>17</v>
      </c>
      <c r="I342" s="1" t="s">
        <v>30</v>
      </c>
      <c r="J342" s="1">
        <v>0.42</v>
      </c>
      <c r="K342" s="36">
        <v>45820</v>
      </c>
    </row>
    <row r="343" spans="1:11" x14ac:dyDescent="0.3">
      <c r="A343" s="2" t="s">
        <v>711</v>
      </c>
      <c r="B343" s="1" t="s">
        <v>712</v>
      </c>
      <c r="C343" s="1">
        <v>36</v>
      </c>
      <c r="D343" s="1" t="s">
        <v>13</v>
      </c>
      <c r="E343" s="1" t="s">
        <v>21</v>
      </c>
      <c r="F343" s="1" t="s">
        <v>29</v>
      </c>
      <c r="G343" s="1" t="s">
        <v>16</v>
      </c>
      <c r="H343" s="1" t="s">
        <v>30</v>
      </c>
      <c r="I343" s="1" t="s">
        <v>17</v>
      </c>
      <c r="J343" s="1">
        <v>0.4</v>
      </c>
      <c r="K343" s="36">
        <v>44575</v>
      </c>
    </row>
    <row r="344" spans="1:11" x14ac:dyDescent="0.3">
      <c r="A344" s="2" t="s">
        <v>713</v>
      </c>
      <c r="B344" s="1" t="s">
        <v>714</v>
      </c>
      <c r="C344" s="1">
        <v>57</v>
      </c>
      <c r="D344" s="1" t="s">
        <v>13</v>
      </c>
      <c r="E344" s="1" t="s">
        <v>33</v>
      </c>
      <c r="F344" s="1" t="s">
        <v>29</v>
      </c>
      <c r="G344" s="1" t="s">
        <v>43</v>
      </c>
      <c r="H344" s="1" t="s">
        <v>30</v>
      </c>
      <c r="I344" s="1" t="s">
        <v>30</v>
      </c>
      <c r="J344" s="1">
        <v>0.62</v>
      </c>
      <c r="K344" s="36">
        <v>44128</v>
      </c>
    </row>
    <row r="345" spans="1:11" x14ac:dyDescent="0.3">
      <c r="A345" s="2" t="s">
        <v>715</v>
      </c>
      <c r="B345" s="1" t="s">
        <v>716</v>
      </c>
      <c r="C345" s="1">
        <v>50</v>
      </c>
      <c r="D345" s="1" t="s">
        <v>13</v>
      </c>
      <c r="E345" s="1" t="s">
        <v>28</v>
      </c>
      <c r="F345" s="1" t="s">
        <v>62</v>
      </c>
      <c r="G345" s="1" t="s">
        <v>43</v>
      </c>
      <c r="H345" s="1" t="s">
        <v>17</v>
      </c>
      <c r="I345" s="1" t="s">
        <v>17</v>
      </c>
      <c r="J345" s="1">
        <v>0.28999999999999998</v>
      </c>
      <c r="K345" s="36">
        <v>44500</v>
      </c>
    </row>
    <row r="346" spans="1:11" x14ac:dyDescent="0.3">
      <c r="A346" s="2" t="s">
        <v>717</v>
      </c>
      <c r="B346" s="1" t="s">
        <v>718</v>
      </c>
      <c r="C346" s="1">
        <v>75</v>
      </c>
      <c r="D346" s="1" t="s">
        <v>13</v>
      </c>
      <c r="E346" s="1" t="s">
        <v>33</v>
      </c>
      <c r="F346" s="1" t="s">
        <v>62</v>
      </c>
      <c r="G346" s="1" t="s">
        <v>47</v>
      </c>
      <c r="H346" s="1" t="s">
        <v>17</v>
      </c>
      <c r="I346" s="1" t="s">
        <v>30</v>
      </c>
      <c r="J346" s="1">
        <v>0.46</v>
      </c>
      <c r="K346" s="36">
        <v>44796</v>
      </c>
    </row>
    <row r="347" spans="1:11" x14ac:dyDescent="0.3">
      <c r="A347" s="2" t="s">
        <v>719</v>
      </c>
      <c r="B347" s="1" t="s">
        <v>720</v>
      </c>
      <c r="C347" s="1">
        <v>34</v>
      </c>
      <c r="D347" s="1" t="s">
        <v>20</v>
      </c>
      <c r="E347" s="1" t="s">
        <v>33</v>
      </c>
      <c r="F347" s="1" t="s">
        <v>15</v>
      </c>
      <c r="G347" s="1" t="s">
        <v>25</v>
      </c>
      <c r="H347" s="1" t="s">
        <v>17</v>
      </c>
      <c r="I347" s="1" t="s">
        <v>30</v>
      </c>
      <c r="J347" s="1">
        <v>0.43</v>
      </c>
      <c r="K347" s="36">
        <v>45971</v>
      </c>
    </row>
    <row r="348" spans="1:11" x14ac:dyDescent="0.3">
      <c r="A348" s="2" t="s">
        <v>721</v>
      </c>
      <c r="B348" s="1" t="s">
        <v>722</v>
      </c>
      <c r="C348" s="1">
        <v>80</v>
      </c>
      <c r="D348" s="1" t="s">
        <v>20</v>
      </c>
      <c r="E348" s="1" t="s">
        <v>14</v>
      </c>
      <c r="F348" s="1" t="s">
        <v>29</v>
      </c>
      <c r="G348" s="1" t="s">
        <v>16</v>
      </c>
      <c r="H348" s="1" t="s">
        <v>17</v>
      </c>
      <c r="I348" s="1" t="s">
        <v>30</v>
      </c>
      <c r="J348" s="1">
        <v>0.41</v>
      </c>
      <c r="K348" s="36">
        <v>46196</v>
      </c>
    </row>
    <row r="349" spans="1:11" x14ac:dyDescent="0.3">
      <c r="A349" s="2" t="s">
        <v>723</v>
      </c>
      <c r="B349" s="1" t="s">
        <v>724</v>
      </c>
      <c r="C349" s="1">
        <v>76</v>
      </c>
      <c r="D349" s="1" t="s">
        <v>13</v>
      </c>
      <c r="E349" s="1" t="s">
        <v>14</v>
      </c>
      <c r="F349" s="1" t="s">
        <v>62</v>
      </c>
      <c r="G349" s="1" t="s">
        <v>16</v>
      </c>
      <c r="H349" s="1" t="s">
        <v>17</v>
      </c>
      <c r="I349" s="1" t="s">
        <v>17</v>
      </c>
      <c r="J349" s="1">
        <v>0.24</v>
      </c>
      <c r="K349" s="36">
        <v>44688</v>
      </c>
    </row>
    <row r="350" spans="1:11" x14ac:dyDescent="0.3">
      <c r="A350" s="2" t="s">
        <v>725</v>
      </c>
      <c r="B350" s="1" t="s">
        <v>726</v>
      </c>
      <c r="C350" s="1">
        <v>29</v>
      </c>
      <c r="D350" s="1" t="s">
        <v>20</v>
      </c>
      <c r="E350" s="1" t="s">
        <v>21</v>
      </c>
      <c r="F350" s="1" t="s">
        <v>46</v>
      </c>
      <c r="G350" s="1" t="s">
        <v>25</v>
      </c>
      <c r="H350" s="1" t="s">
        <v>17</v>
      </c>
      <c r="I350" s="1" t="s">
        <v>17</v>
      </c>
      <c r="J350" s="1">
        <v>0.19</v>
      </c>
      <c r="K350" s="36">
        <v>45483</v>
      </c>
    </row>
    <row r="351" spans="1:11" x14ac:dyDescent="0.3">
      <c r="A351" s="2" t="s">
        <v>727</v>
      </c>
      <c r="B351" s="1" t="s">
        <v>728</v>
      </c>
      <c r="C351" s="1">
        <v>28</v>
      </c>
      <c r="D351" s="1" t="s">
        <v>13</v>
      </c>
      <c r="E351" s="1" t="s">
        <v>14</v>
      </c>
      <c r="F351" s="1" t="s">
        <v>29</v>
      </c>
      <c r="G351" s="1" t="s">
        <v>38</v>
      </c>
      <c r="H351" s="1" t="s">
        <v>17</v>
      </c>
      <c r="I351" s="1" t="s">
        <v>17</v>
      </c>
      <c r="J351" s="1">
        <v>0.13</v>
      </c>
      <c r="K351" s="36">
        <v>44953</v>
      </c>
    </row>
    <row r="352" spans="1:11" x14ac:dyDescent="0.3">
      <c r="A352" s="2" t="s">
        <v>729</v>
      </c>
      <c r="B352" s="1" t="s">
        <v>730</v>
      </c>
      <c r="C352" s="1">
        <v>51</v>
      </c>
      <c r="D352" s="1" t="s">
        <v>141</v>
      </c>
      <c r="E352" s="1" t="s">
        <v>33</v>
      </c>
      <c r="F352" s="1" t="s">
        <v>15</v>
      </c>
      <c r="G352" s="1" t="s">
        <v>22</v>
      </c>
      <c r="H352" s="1" t="s">
        <v>30</v>
      </c>
      <c r="I352" s="1" t="s">
        <v>17</v>
      </c>
      <c r="J352" s="1">
        <v>0.41</v>
      </c>
      <c r="K352" s="36">
        <v>46227</v>
      </c>
    </row>
    <row r="353" spans="1:11" x14ac:dyDescent="0.3">
      <c r="A353" s="2" t="s">
        <v>731</v>
      </c>
      <c r="B353" s="1" t="s">
        <v>732</v>
      </c>
      <c r="C353" s="1">
        <v>20</v>
      </c>
      <c r="D353" s="1" t="s">
        <v>13</v>
      </c>
      <c r="E353" s="1" t="s">
        <v>28</v>
      </c>
      <c r="F353" s="1" t="s">
        <v>15</v>
      </c>
      <c r="G353" s="1" t="s">
        <v>25</v>
      </c>
      <c r="H353" s="1" t="s">
        <v>17</v>
      </c>
      <c r="I353" s="1" t="s">
        <v>17</v>
      </c>
      <c r="J353" s="1">
        <v>0.23</v>
      </c>
      <c r="K353" s="36">
        <v>45252</v>
      </c>
    </row>
    <row r="354" spans="1:11" x14ac:dyDescent="0.3">
      <c r="A354" s="2" t="s">
        <v>733</v>
      </c>
      <c r="B354" s="1" t="s">
        <v>734</v>
      </c>
      <c r="C354" s="1">
        <v>36</v>
      </c>
      <c r="D354" s="1" t="s">
        <v>20</v>
      </c>
      <c r="E354" s="1" t="s">
        <v>28</v>
      </c>
      <c r="F354" s="1" t="s">
        <v>15</v>
      </c>
      <c r="G354" s="1" t="s">
        <v>43</v>
      </c>
      <c r="H354" s="1" t="s">
        <v>17</v>
      </c>
      <c r="I354" s="1" t="s">
        <v>17</v>
      </c>
      <c r="J354" s="1">
        <v>0.16</v>
      </c>
      <c r="K354" s="36">
        <v>46135</v>
      </c>
    </row>
    <row r="355" spans="1:11" x14ac:dyDescent="0.3">
      <c r="A355" s="2" t="s">
        <v>735</v>
      </c>
      <c r="B355" s="1" t="s">
        <v>736</v>
      </c>
      <c r="C355" s="1">
        <v>45</v>
      </c>
      <c r="D355" s="1" t="s">
        <v>20</v>
      </c>
      <c r="E355" s="1" t="s">
        <v>28</v>
      </c>
      <c r="F355" s="1" t="s">
        <v>29</v>
      </c>
      <c r="G355" s="1" t="s">
        <v>38</v>
      </c>
      <c r="H355" s="1" t="s">
        <v>17</v>
      </c>
      <c r="I355" s="1" t="s">
        <v>30</v>
      </c>
      <c r="J355" s="1">
        <v>0.38</v>
      </c>
      <c r="K355" s="36">
        <v>44329</v>
      </c>
    </row>
    <row r="356" spans="1:11" x14ac:dyDescent="0.3">
      <c r="A356" s="2" t="s">
        <v>737</v>
      </c>
      <c r="B356" s="1" t="s">
        <v>738</v>
      </c>
      <c r="C356" s="1">
        <v>79</v>
      </c>
      <c r="D356" s="1" t="s">
        <v>20</v>
      </c>
      <c r="E356" s="1" t="s">
        <v>21</v>
      </c>
      <c r="F356" s="1" t="s">
        <v>15</v>
      </c>
      <c r="G356" s="1" t="s">
        <v>22</v>
      </c>
      <c r="H356" s="1" t="s">
        <v>17</v>
      </c>
      <c r="I356" s="1" t="s">
        <v>30</v>
      </c>
      <c r="J356" s="1">
        <v>0.36</v>
      </c>
      <c r="K356" s="36">
        <v>46204</v>
      </c>
    </row>
    <row r="357" spans="1:11" x14ac:dyDescent="0.3">
      <c r="A357" s="2" t="s">
        <v>739</v>
      </c>
      <c r="B357" s="1" t="s">
        <v>740</v>
      </c>
      <c r="C357" s="1">
        <v>80</v>
      </c>
      <c r="D357" s="1" t="s">
        <v>20</v>
      </c>
      <c r="E357" s="1" t="s">
        <v>28</v>
      </c>
      <c r="F357" s="1" t="s">
        <v>15</v>
      </c>
      <c r="G357" s="1" t="s">
        <v>47</v>
      </c>
      <c r="H357" s="1" t="s">
        <v>17</v>
      </c>
      <c r="I357" s="1" t="s">
        <v>17</v>
      </c>
      <c r="J357" s="1">
        <v>0.33</v>
      </c>
      <c r="K357" s="36">
        <v>44468</v>
      </c>
    </row>
    <row r="358" spans="1:11" x14ac:dyDescent="0.3">
      <c r="A358" s="2" t="s">
        <v>741</v>
      </c>
      <c r="B358" s="1" t="s">
        <v>742</v>
      </c>
      <c r="C358" s="1">
        <v>27</v>
      </c>
      <c r="D358" s="1" t="s">
        <v>13</v>
      </c>
      <c r="E358" s="1" t="s">
        <v>21</v>
      </c>
      <c r="F358" s="1" t="s">
        <v>46</v>
      </c>
      <c r="G358" s="1" t="s">
        <v>47</v>
      </c>
      <c r="H358" s="1" t="s">
        <v>17</v>
      </c>
      <c r="I358" s="1" t="s">
        <v>17</v>
      </c>
      <c r="J358" s="1">
        <v>0.17</v>
      </c>
      <c r="K358" s="36">
        <v>46186</v>
      </c>
    </row>
    <row r="359" spans="1:11" x14ac:dyDescent="0.3">
      <c r="A359" s="2" t="s">
        <v>743</v>
      </c>
      <c r="B359" s="1" t="s">
        <v>744</v>
      </c>
      <c r="C359" s="1">
        <v>74</v>
      </c>
      <c r="D359" s="1" t="s">
        <v>20</v>
      </c>
      <c r="E359" s="1" t="s">
        <v>33</v>
      </c>
      <c r="F359" s="1" t="s">
        <v>15</v>
      </c>
      <c r="G359" s="1" t="s">
        <v>38</v>
      </c>
      <c r="H359" s="1" t="s">
        <v>17</v>
      </c>
      <c r="I359" s="1" t="s">
        <v>30</v>
      </c>
      <c r="J359" s="1">
        <v>0.5</v>
      </c>
      <c r="K359" s="36">
        <v>44658</v>
      </c>
    </row>
    <row r="360" spans="1:11" x14ac:dyDescent="0.3">
      <c r="A360" s="2" t="s">
        <v>745</v>
      </c>
      <c r="B360" s="1" t="s">
        <v>746</v>
      </c>
      <c r="C360" s="1">
        <v>23</v>
      </c>
      <c r="D360" s="1" t="s">
        <v>20</v>
      </c>
      <c r="E360" s="1" t="s">
        <v>28</v>
      </c>
      <c r="F360" s="1" t="s">
        <v>46</v>
      </c>
      <c r="G360" s="1" t="s">
        <v>16</v>
      </c>
      <c r="H360" s="1" t="s">
        <v>17</v>
      </c>
      <c r="I360" s="1" t="s">
        <v>17</v>
      </c>
      <c r="J360" s="1">
        <v>0.23</v>
      </c>
      <c r="K360" s="36">
        <v>44314</v>
      </c>
    </row>
    <row r="361" spans="1:11" x14ac:dyDescent="0.3">
      <c r="A361" s="2" t="s">
        <v>747</v>
      </c>
      <c r="B361" s="1" t="s">
        <v>748</v>
      </c>
      <c r="C361" s="1">
        <v>65</v>
      </c>
      <c r="D361" s="1" t="s">
        <v>20</v>
      </c>
      <c r="E361" s="1" t="s">
        <v>28</v>
      </c>
      <c r="F361" s="1" t="s">
        <v>62</v>
      </c>
      <c r="G361" s="1" t="s">
        <v>25</v>
      </c>
      <c r="H361" s="1" t="s">
        <v>17</v>
      </c>
      <c r="I361" s="1" t="s">
        <v>17</v>
      </c>
      <c r="J361" s="1">
        <v>0.32</v>
      </c>
      <c r="K361" s="36">
        <v>45029</v>
      </c>
    </row>
    <row r="362" spans="1:11" x14ac:dyDescent="0.3">
      <c r="A362" s="2" t="s">
        <v>749</v>
      </c>
      <c r="B362" s="1" t="s">
        <v>750</v>
      </c>
      <c r="C362" s="1">
        <v>71</v>
      </c>
      <c r="D362" s="1" t="s">
        <v>20</v>
      </c>
      <c r="E362" s="1" t="s">
        <v>33</v>
      </c>
      <c r="F362" s="1" t="s">
        <v>29</v>
      </c>
      <c r="G362" s="1" t="s">
        <v>16</v>
      </c>
      <c r="H362" s="1" t="s">
        <v>17</v>
      </c>
      <c r="I362" s="1" t="s">
        <v>30</v>
      </c>
      <c r="J362" s="1">
        <v>0.44</v>
      </c>
      <c r="K362" s="36">
        <v>45673</v>
      </c>
    </row>
    <row r="363" spans="1:11" x14ac:dyDescent="0.3">
      <c r="A363" s="2" t="s">
        <v>751</v>
      </c>
      <c r="B363" s="1" t="s">
        <v>752</v>
      </c>
      <c r="C363" s="1">
        <v>74</v>
      </c>
      <c r="D363" s="1" t="s">
        <v>13</v>
      </c>
      <c r="E363" s="1" t="s">
        <v>14</v>
      </c>
      <c r="F363" s="1" t="s">
        <v>15</v>
      </c>
      <c r="G363" s="1" t="s">
        <v>22</v>
      </c>
      <c r="H363" s="1" t="s">
        <v>17</v>
      </c>
      <c r="I363" s="1" t="s">
        <v>17</v>
      </c>
      <c r="J363" s="1">
        <v>0.32</v>
      </c>
      <c r="K363" s="36">
        <v>44764</v>
      </c>
    </row>
    <row r="364" spans="1:11" x14ac:dyDescent="0.3">
      <c r="A364" s="2" t="s">
        <v>753</v>
      </c>
      <c r="B364" s="1" t="s">
        <v>754</v>
      </c>
      <c r="C364" s="1">
        <v>32</v>
      </c>
      <c r="D364" s="1" t="s">
        <v>20</v>
      </c>
      <c r="E364" s="1" t="s">
        <v>33</v>
      </c>
      <c r="F364" s="1" t="s">
        <v>29</v>
      </c>
      <c r="G364" s="1" t="s">
        <v>25</v>
      </c>
      <c r="H364" s="1" t="s">
        <v>17</v>
      </c>
      <c r="I364" s="1" t="s">
        <v>17</v>
      </c>
      <c r="J364" s="1">
        <v>0.21</v>
      </c>
      <c r="K364" s="36">
        <v>45405</v>
      </c>
    </row>
    <row r="365" spans="1:11" x14ac:dyDescent="0.3">
      <c r="A365" s="2" t="s">
        <v>755</v>
      </c>
      <c r="B365" s="1" t="s">
        <v>756</v>
      </c>
      <c r="C365" s="1">
        <v>74</v>
      </c>
      <c r="D365" s="1" t="s">
        <v>13</v>
      </c>
      <c r="E365" s="1" t="s">
        <v>33</v>
      </c>
      <c r="F365" s="1" t="s">
        <v>29</v>
      </c>
      <c r="G365" s="1" t="s">
        <v>16</v>
      </c>
      <c r="H365" s="1" t="s">
        <v>17</v>
      </c>
      <c r="I365" s="1" t="s">
        <v>30</v>
      </c>
      <c r="J365" s="1">
        <v>0.33</v>
      </c>
      <c r="K365" s="36">
        <v>45198</v>
      </c>
    </row>
    <row r="366" spans="1:11" x14ac:dyDescent="0.3">
      <c r="A366" s="2" t="s">
        <v>757</v>
      </c>
      <c r="B366" s="1" t="s">
        <v>758</v>
      </c>
      <c r="C366" s="1">
        <v>25</v>
      </c>
      <c r="D366" s="1" t="s">
        <v>20</v>
      </c>
      <c r="E366" s="1" t="s">
        <v>33</v>
      </c>
      <c r="F366" s="1" t="s">
        <v>46</v>
      </c>
      <c r="G366" s="1" t="s">
        <v>43</v>
      </c>
      <c r="H366" s="1" t="s">
        <v>17</v>
      </c>
      <c r="I366" s="1" t="s">
        <v>17</v>
      </c>
      <c r="J366" s="1">
        <v>0.31</v>
      </c>
      <c r="K366" s="36">
        <v>44921</v>
      </c>
    </row>
    <row r="367" spans="1:11" x14ac:dyDescent="0.3">
      <c r="A367" s="2" t="s">
        <v>759</v>
      </c>
      <c r="B367" s="1" t="s">
        <v>760</v>
      </c>
      <c r="C367" s="1">
        <v>50</v>
      </c>
      <c r="D367" s="1" t="s">
        <v>13</v>
      </c>
      <c r="E367" s="1" t="s">
        <v>14</v>
      </c>
      <c r="F367" s="1" t="s">
        <v>62</v>
      </c>
      <c r="G367" s="1" t="s">
        <v>22</v>
      </c>
      <c r="H367" s="1" t="s">
        <v>17</v>
      </c>
      <c r="I367" s="1" t="s">
        <v>30</v>
      </c>
      <c r="J367" s="1">
        <v>0.34</v>
      </c>
      <c r="K367" s="36">
        <v>45340</v>
      </c>
    </row>
    <row r="368" spans="1:11" x14ac:dyDescent="0.3">
      <c r="A368" s="2" t="s">
        <v>761</v>
      </c>
      <c r="B368" s="1" t="s">
        <v>762</v>
      </c>
      <c r="C368" s="1">
        <v>47</v>
      </c>
      <c r="D368" s="1" t="s">
        <v>20</v>
      </c>
      <c r="E368" s="1" t="s">
        <v>14</v>
      </c>
      <c r="F368" s="1" t="s">
        <v>62</v>
      </c>
      <c r="G368" s="1" t="s">
        <v>47</v>
      </c>
      <c r="H368" s="1" t="s">
        <v>17</v>
      </c>
      <c r="I368" s="1" t="s">
        <v>17</v>
      </c>
      <c r="J368" s="1">
        <v>0.25</v>
      </c>
      <c r="K368" s="36">
        <v>44635</v>
      </c>
    </row>
    <row r="369" spans="1:11" x14ac:dyDescent="0.3">
      <c r="A369" s="2" t="s">
        <v>763</v>
      </c>
      <c r="B369" s="1" t="s">
        <v>764</v>
      </c>
      <c r="C369" s="1">
        <v>37</v>
      </c>
      <c r="D369" s="1" t="s">
        <v>20</v>
      </c>
      <c r="E369" s="1" t="s">
        <v>33</v>
      </c>
      <c r="F369" s="1" t="s">
        <v>15</v>
      </c>
      <c r="G369" s="1" t="s">
        <v>22</v>
      </c>
      <c r="H369" s="1" t="s">
        <v>30</v>
      </c>
      <c r="I369" s="1" t="s">
        <v>30</v>
      </c>
      <c r="J369" s="1">
        <v>0.56999999999999995</v>
      </c>
      <c r="K369" s="36">
        <v>45630</v>
      </c>
    </row>
    <row r="370" spans="1:11" x14ac:dyDescent="0.3">
      <c r="A370" s="2" t="s">
        <v>765</v>
      </c>
      <c r="B370" s="1" t="s">
        <v>766</v>
      </c>
      <c r="C370" s="1">
        <v>19</v>
      </c>
      <c r="D370" s="1" t="s">
        <v>13</v>
      </c>
      <c r="E370" s="1" t="s">
        <v>21</v>
      </c>
      <c r="F370" s="1" t="s">
        <v>29</v>
      </c>
      <c r="G370" s="1" t="s">
        <v>16</v>
      </c>
      <c r="H370" s="1" t="s">
        <v>17</v>
      </c>
      <c r="I370" s="1" t="s">
        <v>17</v>
      </c>
      <c r="J370" s="1">
        <v>0.2</v>
      </c>
      <c r="K370" s="36">
        <v>44080</v>
      </c>
    </row>
    <row r="371" spans="1:11" x14ac:dyDescent="0.3">
      <c r="A371" s="2" t="s">
        <v>767</v>
      </c>
      <c r="B371" s="1" t="s">
        <v>768</v>
      </c>
      <c r="C371" s="1">
        <v>66</v>
      </c>
      <c r="D371" s="1" t="s">
        <v>13</v>
      </c>
      <c r="E371" s="1" t="s">
        <v>28</v>
      </c>
      <c r="F371" s="1" t="s">
        <v>15</v>
      </c>
      <c r="G371" s="1" t="s">
        <v>22</v>
      </c>
      <c r="H371" s="1" t="s">
        <v>17</v>
      </c>
      <c r="I371" s="1" t="s">
        <v>30</v>
      </c>
      <c r="J371" s="1">
        <v>0.38</v>
      </c>
      <c r="K371" s="36">
        <v>46105</v>
      </c>
    </row>
    <row r="372" spans="1:11" x14ac:dyDescent="0.3">
      <c r="A372" s="2" t="s">
        <v>769</v>
      </c>
      <c r="B372" s="1" t="s">
        <v>770</v>
      </c>
      <c r="C372" s="1">
        <v>39</v>
      </c>
      <c r="D372" s="1" t="s">
        <v>13</v>
      </c>
      <c r="E372" s="1" t="s">
        <v>21</v>
      </c>
      <c r="F372" s="1" t="s">
        <v>46</v>
      </c>
      <c r="G372" s="1" t="s">
        <v>25</v>
      </c>
      <c r="H372" s="1" t="s">
        <v>17</v>
      </c>
      <c r="I372" s="1" t="s">
        <v>17</v>
      </c>
      <c r="J372" s="1">
        <v>0.24</v>
      </c>
      <c r="K372" s="36">
        <v>45257</v>
      </c>
    </row>
    <row r="373" spans="1:11" x14ac:dyDescent="0.3">
      <c r="A373" s="2" t="s">
        <v>771</v>
      </c>
      <c r="B373" s="1" t="s">
        <v>772</v>
      </c>
      <c r="C373" s="1">
        <v>59</v>
      </c>
      <c r="D373" s="1" t="s">
        <v>20</v>
      </c>
      <c r="E373" s="1" t="s">
        <v>28</v>
      </c>
      <c r="F373" s="1" t="s">
        <v>62</v>
      </c>
      <c r="G373" s="1" t="s">
        <v>38</v>
      </c>
      <c r="H373" s="1" t="s">
        <v>17</v>
      </c>
      <c r="I373" s="1" t="s">
        <v>17</v>
      </c>
      <c r="J373" s="1">
        <v>0.26</v>
      </c>
      <c r="K373" s="36">
        <v>45653</v>
      </c>
    </row>
    <row r="374" spans="1:11" x14ac:dyDescent="0.3">
      <c r="A374" s="2" t="s">
        <v>773</v>
      </c>
      <c r="B374" s="1" t="s">
        <v>774</v>
      </c>
      <c r="C374" s="1">
        <v>43</v>
      </c>
      <c r="D374" s="1" t="s">
        <v>20</v>
      </c>
      <c r="E374" s="1" t="s">
        <v>21</v>
      </c>
      <c r="F374" s="1" t="s">
        <v>46</v>
      </c>
      <c r="G374" s="1" t="s">
        <v>16</v>
      </c>
      <c r="H374" s="1" t="s">
        <v>17</v>
      </c>
      <c r="I374" s="1" t="s">
        <v>17</v>
      </c>
      <c r="J374" s="1">
        <v>0.26</v>
      </c>
      <c r="K374" s="36">
        <v>45703</v>
      </c>
    </row>
    <row r="375" spans="1:11" x14ac:dyDescent="0.3">
      <c r="A375" s="2" t="s">
        <v>775</v>
      </c>
      <c r="B375" s="1" t="s">
        <v>776</v>
      </c>
      <c r="C375" s="1">
        <v>41</v>
      </c>
      <c r="D375" s="1" t="s">
        <v>13</v>
      </c>
      <c r="E375" s="1" t="s">
        <v>33</v>
      </c>
      <c r="F375" s="1" t="s">
        <v>15</v>
      </c>
      <c r="G375" s="1" t="s">
        <v>22</v>
      </c>
      <c r="H375" s="1" t="s">
        <v>17</v>
      </c>
      <c r="I375" s="1" t="s">
        <v>30</v>
      </c>
      <c r="J375" s="1">
        <v>0.34</v>
      </c>
      <c r="K375" s="36">
        <v>45547</v>
      </c>
    </row>
    <row r="376" spans="1:11" x14ac:dyDescent="0.3">
      <c r="A376" s="2" t="s">
        <v>777</v>
      </c>
      <c r="B376" s="1" t="s">
        <v>778</v>
      </c>
      <c r="C376" s="1">
        <v>73</v>
      </c>
      <c r="D376" s="1" t="s">
        <v>20</v>
      </c>
      <c r="E376" s="1" t="s">
        <v>14</v>
      </c>
      <c r="F376" s="1" t="s">
        <v>62</v>
      </c>
      <c r="G376" s="1" t="s">
        <v>47</v>
      </c>
      <c r="H376" s="1" t="s">
        <v>17</v>
      </c>
      <c r="I376" s="1" t="s">
        <v>30</v>
      </c>
      <c r="J376" s="1">
        <v>0.49</v>
      </c>
      <c r="K376" s="36">
        <v>44875</v>
      </c>
    </row>
    <row r="377" spans="1:11" x14ac:dyDescent="0.3">
      <c r="A377" s="2" t="s">
        <v>779</v>
      </c>
      <c r="B377" s="1" t="s">
        <v>780</v>
      </c>
      <c r="C377" s="1">
        <v>23</v>
      </c>
      <c r="D377" s="1" t="s">
        <v>13</v>
      </c>
      <c r="E377" s="1" t="s">
        <v>33</v>
      </c>
      <c r="F377" s="1" t="s">
        <v>62</v>
      </c>
      <c r="G377" s="1" t="s">
        <v>16</v>
      </c>
      <c r="H377" s="1" t="s">
        <v>30</v>
      </c>
      <c r="I377" s="1" t="s">
        <v>17</v>
      </c>
      <c r="J377" s="1">
        <v>0.46</v>
      </c>
      <c r="K377" s="36">
        <v>44230</v>
      </c>
    </row>
    <row r="378" spans="1:11" x14ac:dyDescent="0.3">
      <c r="A378" s="2" t="s">
        <v>781</v>
      </c>
      <c r="B378" s="1" t="s">
        <v>782</v>
      </c>
      <c r="C378" s="1">
        <v>64</v>
      </c>
      <c r="D378" s="1" t="s">
        <v>13</v>
      </c>
      <c r="E378" s="1" t="s">
        <v>14</v>
      </c>
      <c r="F378" s="1" t="s">
        <v>15</v>
      </c>
      <c r="G378" s="1" t="s">
        <v>25</v>
      </c>
      <c r="H378" s="1" t="s">
        <v>17</v>
      </c>
      <c r="I378" s="1" t="s">
        <v>30</v>
      </c>
      <c r="J378" s="1">
        <v>0.45</v>
      </c>
      <c r="K378" s="36">
        <v>45533</v>
      </c>
    </row>
    <row r="379" spans="1:11" x14ac:dyDescent="0.3">
      <c r="A379" s="2" t="s">
        <v>783</v>
      </c>
      <c r="B379" s="1" t="s">
        <v>784</v>
      </c>
      <c r="C379" s="1">
        <v>65</v>
      </c>
      <c r="D379" s="1" t="s">
        <v>13</v>
      </c>
      <c r="E379" s="1" t="s">
        <v>28</v>
      </c>
      <c r="F379" s="1" t="s">
        <v>15</v>
      </c>
      <c r="G379" s="1" t="s">
        <v>16</v>
      </c>
      <c r="H379" s="1" t="s">
        <v>17</v>
      </c>
      <c r="I379" s="1" t="s">
        <v>30</v>
      </c>
      <c r="J379" s="1">
        <v>0.41</v>
      </c>
      <c r="K379" s="36">
        <v>44800</v>
      </c>
    </row>
    <row r="380" spans="1:11" x14ac:dyDescent="0.3">
      <c r="A380" s="2" t="s">
        <v>785</v>
      </c>
      <c r="B380" s="1" t="s">
        <v>786</v>
      </c>
      <c r="C380" s="1">
        <v>41</v>
      </c>
      <c r="D380" s="1" t="s">
        <v>13</v>
      </c>
      <c r="E380" s="1" t="s">
        <v>21</v>
      </c>
      <c r="F380" s="1" t="s">
        <v>46</v>
      </c>
      <c r="G380" s="1" t="s">
        <v>38</v>
      </c>
      <c r="H380" s="1" t="s">
        <v>17</v>
      </c>
      <c r="I380" s="1" t="s">
        <v>17</v>
      </c>
      <c r="J380" s="1">
        <v>0.21</v>
      </c>
      <c r="K380" s="36">
        <v>44765</v>
      </c>
    </row>
    <row r="381" spans="1:11" x14ac:dyDescent="0.3">
      <c r="A381" s="2" t="s">
        <v>787</v>
      </c>
      <c r="B381" s="1" t="s">
        <v>788</v>
      </c>
      <c r="C381" s="1">
        <v>34</v>
      </c>
      <c r="D381" s="1" t="s">
        <v>13</v>
      </c>
      <c r="E381" s="1" t="s">
        <v>28</v>
      </c>
      <c r="F381" s="1" t="s">
        <v>15</v>
      </c>
      <c r="G381" s="1" t="s">
        <v>38</v>
      </c>
      <c r="H381" s="1" t="s">
        <v>17</v>
      </c>
      <c r="I381" s="1" t="s">
        <v>17</v>
      </c>
      <c r="J381" s="1">
        <v>0.27</v>
      </c>
      <c r="K381" s="36">
        <v>45935</v>
      </c>
    </row>
    <row r="382" spans="1:11" x14ac:dyDescent="0.3">
      <c r="A382" s="2" t="s">
        <v>789</v>
      </c>
      <c r="B382" s="1" t="s">
        <v>790</v>
      </c>
      <c r="C382" s="1">
        <v>18</v>
      </c>
      <c r="D382" s="1" t="s">
        <v>20</v>
      </c>
      <c r="E382" s="1" t="s">
        <v>33</v>
      </c>
      <c r="F382" s="1" t="s">
        <v>62</v>
      </c>
      <c r="G382" s="1" t="s">
        <v>22</v>
      </c>
      <c r="H382" s="1" t="s">
        <v>17</v>
      </c>
      <c r="I382" s="1" t="s">
        <v>30</v>
      </c>
      <c r="J382" s="1">
        <v>0.4</v>
      </c>
      <c r="K382" s="36">
        <v>45654</v>
      </c>
    </row>
    <row r="383" spans="1:11" x14ac:dyDescent="0.3">
      <c r="A383" s="2" t="s">
        <v>791</v>
      </c>
      <c r="B383" s="1" t="s">
        <v>792</v>
      </c>
      <c r="C383" s="1">
        <v>77</v>
      </c>
      <c r="D383" s="1" t="s">
        <v>20</v>
      </c>
      <c r="E383" s="1" t="s">
        <v>28</v>
      </c>
      <c r="F383" s="1" t="s">
        <v>62</v>
      </c>
      <c r="G383" s="1" t="s">
        <v>25</v>
      </c>
      <c r="H383" s="1" t="s">
        <v>17</v>
      </c>
      <c r="I383" s="1" t="s">
        <v>30</v>
      </c>
      <c r="J383" s="1">
        <v>0.46</v>
      </c>
      <c r="K383" s="36">
        <v>44735</v>
      </c>
    </row>
    <row r="384" spans="1:11" x14ac:dyDescent="0.3">
      <c r="A384" s="2" t="s">
        <v>793</v>
      </c>
      <c r="B384" s="1" t="s">
        <v>794</v>
      </c>
      <c r="C384" s="1">
        <v>77</v>
      </c>
      <c r="D384" s="1" t="s">
        <v>13</v>
      </c>
      <c r="E384" s="1" t="s">
        <v>21</v>
      </c>
      <c r="F384" s="1" t="s">
        <v>15</v>
      </c>
      <c r="G384" s="1" t="s">
        <v>47</v>
      </c>
      <c r="H384" s="1" t="s">
        <v>17</v>
      </c>
      <c r="I384" s="1" t="s">
        <v>17</v>
      </c>
      <c r="J384" s="1">
        <v>0.28000000000000003</v>
      </c>
      <c r="K384" s="36">
        <v>44754</v>
      </c>
    </row>
    <row r="385" spans="1:11" x14ac:dyDescent="0.3">
      <c r="A385" s="2" t="s">
        <v>795</v>
      </c>
      <c r="B385" s="1" t="s">
        <v>796</v>
      </c>
      <c r="C385" s="1">
        <v>33</v>
      </c>
      <c r="D385" s="1" t="s">
        <v>20</v>
      </c>
      <c r="E385" s="1" t="s">
        <v>21</v>
      </c>
      <c r="F385" s="1" t="s">
        <v>46</v>
      </c>
      <c r="G385" s="1" t="s">
        <v>47</v>
      </c>
      <c r="H385" s="1" t="s">
        <v>17</v>
      </c>
      <c r="I385" s="1" t="s">
        <v>17</v>
      </c>
      <c r="J385" s="1">
        <v>0.21</v>
      </c>
      <c r="K385" s="36">
        <v>44972</v>
      </c>
    </row>
    <row r="386" spans="1:11" x14ac:dyDescent="0.3">
      <c r="A386" s="2" t="s">
        <v>797</v>
      </c>
      <c r="B386" s="1" t="s">
        <v>798</v>
      </c>
      <c r="C386" s="1">
        <v>20</v>
      </c>
      <c r="D386" s="1" t="s">
        <v>20</v>
      </c>
      <c r="E386" s="1" t="s">
        <v>14</v>
      </c>
      <c r="F386" s="1" t="s">
        <v>62</v>
      </c>
      <c r="G386" s="1" t="s">
        <v>43</v>
      </c>
      <c r="H386" s="1" t="s">
        <v>17</v>
      </c>
      <c r="I386" s="1" t="s">
        <v>17</v>
      </c>
      <c r="J386" s="1">
        <v>0.35</v>
      </c>
      <c r="K386" s="36">
        <v>44959</v>
      </c>
    </row>
    <row r="387" spans="1:11" x14ac:dyDescent="0.3">
      <c r="A387" s="2" t="s">
        <v>799</v>
      </c>
      <c r="B387" s="1" t="s">
        <v>800</v>
      </c>
      <c r="C387" s="1">
        <v>25</v>
      </c>
      <c r="D387" s="1" t="s">
        <v>20</v>
      </c>
      <c r="E387" s="1" t="s">
        <v>14</v>
      </c>
      <c r="F387" s="1" t="s">
        <v>62</v>
      </c>
      <c r="G387" s="1" t="s">
        <v>38</v>
      </c>
      <c r="H387" s="1" t="s">
        <v>17</v>
      </c>
      <c r="I387" s="1" t="s">
        <v>17</v>
      </c>
      <c r="J387" s="1">
        <v>0.32</v>
      </c>
      <c r="K387" s="36">
        <v>44725</v>
      </c>
    </row>
    <row r="388" spans="1:11" x14ac:dyDescent="0.3">
      <c r="A388" s="2" t="s">
        <v>801</v>
      </c>
      <c r="B388" s="1" t="s">
        <v>802</v>
      </c>
      <c r="C388" s="1">
        <v>22</v>
      </c>
      <c r="D388" s="1" t="s">
        <v>13</v>
      </c>
      <c r="E388" s="1" t="s">
        <v>28</v>
      </c>
      <c r="F388" s="1" t="s">
        <v>46</v>
      </c>
      <c r="G388" s="1" t="s">
        <v>38</v>
      </c>
      <c r="H388" s="1" t="s">
        <v>17</v>
      </c>
      <c r="I388" s="1" t="s">
        <v>17</v>
      </c>
      <c r="J388" s="1">
        <v>0.25</v>
      </c>
      <c r="K388" s="36">
        <v>44356</v>
      </c>
    </row>
    <row r="389" spans="1:11" x14ac:dyDescent="0.3">
      <c r="A389" s="2" t="s">
        <v>803</v>
      </c>
      <c r="B389" s="1" t="s">
        <v>804</v>
      </c>
      <c r="C389" s="1">
        <v>70</v>
      </c>
      <c r="D389" s="1" t="s">
        <v>13</v>
      </c>
      <c r="E389" s="1" t="s">
        <v>28</v>
      </c>
      <c r="F389" s="1" t="s">
        <v>62</v>
      </c>
      <c r="G389" s="1" t="s">
        <v>38</v>
      </c>
      <c r="H389" s="1" t="s">
        <v>17</v>
      </c>
      <c r="I389" s="1" t="s">
        <v>30</v>
      </c>
      <c r="J389" s="1">
        <v>0.44</v>
      </c>
      <c r="K389" s="36">
        <v>44998</v>
      </c>
    </row>
    <row r="390" spans="1:11" x14ac:dyDescent="0.3">
      <c r="A390" s="2" t="s">
        <v>805</v>
      </c>
      <c r="B390" s="1" t="s">
        <v>806</v>
      </c>
      <c r="C390" s="1">
        <v>74</v>
      </c>
      <c r="D390" s="1" t="s">
        <v>13</v>
      </c>
      <c r="E390" s="1" t="s">
        <v>14</v>
      </c>
      <c r="F390" s="1" t="s">
        <v>46</v>
      </c>
      <c r="G390" s="1" t="s">
        <v>43</v>
      </c>
      <c r="H390" s="1" t="s">
        <v>17</v>
      </c>
      <c r="I390" s="1" t="s">
        <v>17</v>
      </c>
      <c r="J390" s="1">
        <v>0.24</v>
      </c>
      <c r="K390" s="36">
        <v>46138</v>
      </c>
    </row>
    <row r="391" spans="1:11" x14ac:dyDescent="0.3">
      <c r="A391" s="2" t="s">
        <v>807</v>
      </c>
      <c r="B391" s="1" t="s">
        <v>808</v>
      </c>
      <c r="C391" s="1">
        <v>27</v>
      </c>
      <c r="D391" s="1" t="s">
        <v>20</v>
      </c>
      <c r="E391" s="1" t="s">
        <v>28</v>
      </c>
      <c r="F391" s="1" t="s">
        <v>15</v>
      </c>
      <c r="G391" s="1" t="s">
        <v>22</v>
      </c>
      <c r="H391" s="1" t="s">
        <v>17</v>
      </c>
      <c r="I391" s="1" t="s">
        <v>17</v>
      </c>
      <c r="J391" s="1">
        <v>0.19</v>
      </c>
      <c r="K391" s="36">
        <v>45561</v>
      </c>
    </row>
    <row r="392" spans="1:11" x14ac:dyDescent="0.3">
      <c r="A392" s="2" t="s">
        <v>809</v>
      </c>
      <c r="B392" s="1" t="s">
        <v>810</v>
      </c>
      <c r="C392" s="1">
        <v>65</v>
      </c>
      <c r="D392" s="1" t="s">
        <v>20</v>
      </c>
      <c r="E392" s="1" t="s">
        <v>21</v>
      </c>
      <c r="F392" s="1" t="s">
        <v>62</v>
      </c>
      <c r="G392" s="1" t="s">
        <v>38</v>
      </c>
      <c r="H392" s="1" t="s">
        <v>17</v>
      </c>
      <c r="I392" s="1" t="s">
        <v>17</v>
      </c>
      <c r="J392" s="1">
        <v>0.3</v>
      </c>
      <c r="K392" s="36">
        <v>46055</v>
      </c>
    </row>
    <row r="393" spans="1:11" x14ac:dyDescent="0.3">
      <c r="A393" s="2" t="s">
        <v>811</v>
      </c>
      <c r="B393" s="1" t="s">
        <v>812</v>
      </c>
      <c r="C393" s="1">
        <v>29</v>
      </c>
      <c r="D393" s="1" t="s">
        <v>13</v>
      </c>
      <c r="E393" s="1" t="s">
        <v>33</v>
      </c>
      <c r="F393" s="1" t="s">
        <v>62</v>
      </c>
      <c r="G393" s="1" t="s">
        <v>47</v>
      </c>
      <c r="H393" s="1" t="s">
        <v>30</v>
      </c>
      <c r="I393" s="1" t="s">
        <v>17</v>
      </c>
      <c r="J393" s="1">
        <v>0.43</v>
      </c>
      <c r="K393" s="36">
        <v>45426</v>
      </c>
    </row>
    <row r="394" spans="1:11" x14ac:dyDescent="0.3">
      <c r="A394" s="2" t="s">
        <v>813</v>
      </c>
      <c r="B394" s="1" t="s">
        <v>814</v>
      </c>
      <c r="C394" s="1">
        <v>41</v>
      </c>
      <c r="D394" s="1" t="s">
        <v>20</v>
      </c>
      <c r="E394" s="1" t="s">
        <v>21</v>
      </c>
      <c r="F394" s="1" t="s">
        <v>62</v>
      </c>
      <c r="G394" s="1" t="s">
        <v>43</v>
      </c>
      <c r="H394" s="1" t="s">
        <v>17</v>
      </c>
      <c r="I394" s="1" t="s">
        <v>17</v>
      </c>
      <c r="J394" s="1">
        <v>0.24</v>
      </c>
      <c r="K394" s="36">
        <v>44736</v>
      </c>
    </row>
    <row r="395" spans="1:11" x14ac:dyDescent="0.3">
      <c r="A395" s="2" t="s">
        <v>815</v>
      </c>
      <c r="B395" s="1" t="s">
        <v>816</v>
      </c>
      <c r="C395" s="1">
        <v>55</v>
      </c>
      <c r="D395" s="1" t="s">
        <v>13</v>
      </c>
      <c r="E395" s="1" t="s">
        <v>33</v>
      </c>
      <c r="F395" s="1" t="s">
        <v>29</v>
      </c>
      <c r="G395" s="1" t="s">
        <v>25</v>
      </c>
      <c r="H395" s="1" t="s">
        <v>30</v>
      </c>
      <c r="I395" s="1" t="s">
        <v>30</v>
      </c>
      <c r="J395" s="1">
        <v>0.54</v>
      </c>
      <c r="K395" s="36">
        <v>45278</v>
      </c>
    </row>
    <row r="396" spans="1:11" x14ac:dyDescent="0.3">
      <c r="A396" s="2" t="s">
        <v>817</v>
      </c>
      <c r="B396" s="1" t="s">
        <v>818</v>
      </c>
      <c r="C396" s="1">
        <v>63</v>
      </c>
      <c r="D396" s="1" t="s">
        <v>13</v>
      </c>
      <c r="E396" s="1" t="s">
        <v>14</v>
      </c>
      <c r="F396" s="1" t="s">
        <v>46</v>
      </c>
      <c r="G396" s="1" t="s">
        <v>47</v>
      </c>
      <c r="H396" s="1" t="s">
        <v>17</v>
      </c>
      <c r="I396" s="1" t="s">
        <v>30</v>
      </c>
      <c r="J396" s="1">
        <v>0.49</v>
      </c>
      <c r="K396" s="36">
        <v>44077</v>
      </c>
    </row>
    <row r="397" spans="1:11" x14ac:dyDescent="0.3">
      <c r="A397" s="2" t="s">
        <v>819</v>
      </c>
      <c r="B397" s="1" t="s">
        <v>820</v>
      </c>
      <c r="C397" s="1">
        <v>73</v>
      </c>
      <c r="D397" s="1" t="s">
        <v>20</v>
      </c>
      <c r="E397" s="1" t="s">
        <v>14</v>
      </c>
      <c r="F397" s="1" t="s">
        <v>29</v>
      </c>
      <c r="G397" s="1" t="s">
        <v>47</v>
      </c>
      <c r="H397" s="1" t="s">
        <v>17</v>
      </c>
      <c r="I397" s="1" t="s">
        <v>30</v>
      </c>
      <c r="J397" s="1">
        <v>0.42</v>
      </c>
      <c r="K397" s="36">
        <v>44705</v>
      </c>
    </row>
    <row r="398" spans="1:11" x14ac:dyDescent="0.3">
      <c r="A398" s="2" t="s">
        <v>821</v>
      </c>
      <c r="B398" s="1" t="s">
        <v>822</v>
      </c>
      <c r="C398" s="1">
        <v>20</v>
      </c>
      <c r="D398" s="1" t="s">
        <v>20</v>
      </c>
      <c r="E398" s="1" t="s">
        <v>14</v>
      </c>
      <c r="F398" s="1" t="s">
        <v>15</v>
      </c>
      <c r="G398" s="1" t="s">
        <v>38</v>
      </c>
      <c r="H398" s="1" t="s">
        <v>17</v>
      </c>
      <c r="I398" s="1" t="s">
        <v>17</v>
      </c>
      <c r="J398" s="1">
        <v>0.19</v>
      </c>
      <c r="K398" s="36">
        <v>45019</v>
      </c>
    </row>
    <row r="399" spans="1:11" x14ac:dyDescent="0.3">
      <c r="A399" s="2" t="s">
        <v>823</v>
      </c>
      <c r="B399" s="1" t="s">
        <v>824</v>
      </c>
      <c r="C399" s="1">
        <v>30</v>
      </c>
      <c r="D399" s="1" t="s">
        <v>20</v>
      </c>
      <c r="E399" s="1" t="s">
        <v>14</v>
      </c>
      <c r="F399" s="1" t="s">
        <v>15</v>
      </c>
      <c r="G399" s="1" t="s">
        <v>25</v>
      </c>
      <c r="H399" s="1" t="s">
        <v>30</v>
      </c>
      <c r="I399" s="1" t="s">
        <v>17</v>
      </c>
      <c r="J399" s="1">
        <v>0.46</v>
      </c>
      <c r="K399" s="36">
        <v>45348</v>
      </c>
    </row>
    <row r="400" spans="1:11" x14ac:dyDescent="0.3">
      <c r="A400" s="2" t="s">
        <v>825</v>
      </c>
      <c r="B400" s="1" t="s">
        <v>826</v>
      </c>
      <c r="C400" s="1">
        <v>35</v>
      </c>
      <c r="D400" s="1" t="s">
        <v>13</v>
      </c>
      <c r="E400" s="1" t="s">
        <v>28</v>
      </c>
      <c r="F400" s="1" t="s">
        <v>29</v>
      </c>
      <c r="G400" s="1" t="s">
        <v>38</v>
      </c>
      <c r="H400" s="1" t="s">
        <v>17</v>
      </c>
      <c r="I400" s="1" t="s">
        <v>17</v>
      </c>
      <c r="J400" s="1">
        <v>0.28999999999999998</v>
      </c>
      <c r="K400" s="36">
        <v>45512</v>
      </c>
    </row>
    <row r="401" spans="1:11" x14ac:dyDescent="0.3">
      <c r="A401" s="2" t="s">
        <v>827</v>
      </c>
      <c r="B401" s="1" t="s">
        <v>828</v>
      </c>
      <c r="C401" s="1">
        <v>37</v>
      </c>
      <c r="D401" s="1" t="s">
        <v>13</v>
      </c>
      <c r="E401" s="1" t="s">
        <v>28</v>
      </c>
      <c r="F401" s="1" t="s">
        <v>15</v>
      </c>
      <c r="G401" s="1" t="s">
        <v>47</v>
      </c>
      <c r="H401" s="1" t="s">
        <v>17</v>
      </c>
      <c r="I401" s="1" t="s">
        <v>30</v>
      </c>
      <c r="J401" s="1">
        <v>0.37</v>
      </c>
      <c r="K401" s="36">
        <v>45096</v>
      </c>
    </row>
    <row r="402" spans="1:11" x14ac:dyDescent="0.3">
      <c r="A402" s="2" t="s">
        <v>829</v>
      </c>
      <c r="B402" s="1" t="s">
        <v>830</v>
      </c>
      <c r="C402" s="1">
        <v>80</v>
      </c>
      <c r="D402" s="1" t="s">
        <v>20</v>
      </c>
      <c r="E402" s="1" t="s">
        <v>14</v>
      </c>
      <c r="F402" s="1" t="s">
        <v>46</v>
      </c>
      <c r="G402" s="1" t="s">
        <v>22</v>
      </c>
      <c r="H402" s="1" t="s">
        <v>30</v>
      </c>
      <c r="I402" s="1" t="s">
        <v>30</v>
      </c>
      <c r="J402" s="1">
        <v>0.65</v>
      </c>
      <c r="K402" s="36">
        <v>45046</v>
      </c>
    </row>
    <row r="403" spans="1:11" x14ac:dyDescent="0.3">
      <c r="A403" s="2" t="s">
        <v>831</v>
      </c>
      <c r="B403" s="1" t="s">
        <v>832</v>
      </c>
      <c r="C403" s="1">
        <v>66</v>
      </c>
      <c r="D403" s="1" t="s">
        <v>13</v>
      </c>
      <c r="E403" s="1" t="s">
        <v>14</v>
      </c>
      <c r="F403" s="1" t="s">
        <v>62</v>
      </c>
      <c r="G403" s="1" t="s">
        <v>16</v>
      </c>
      <c r="H403" s="1" t="s">
        <v>17</v>
      </c>
      <c r="I403" s="1" t="s">
        <v>30</v>
      </c>
      <c r="J403" s="1">
        <v>0.48</v>
      </c>
      <c r="K403" s="36">
        <v>44545</v>
      </c>
    </row>
    <row r="404" spans="1:11" x14ac:dyDescent="0.3">
      <c r="A404" s="2" t="s">
        <v>833</v>
      </c>
      <c r="B404" s="1" t="s">
        <v>834</v>
      </c>
      <c r="C404" s="1">
        <v>38</v>
      </c>
      <c r="D404" s="1" t="s">
        <v>20</v>
      </c>
      <c r="E404" s="1" t="s">
        <v>33</v>
      </c>
      <c r="F404" s="1" t="s">
        <v>62</v>
      </c>
      <c r="G404" s="1" t="s">
        <v>16</v>
      </c>
      <c r="H404" s="1" t="s">
        <v>30</v>
      </c>
      <c r="I404" s="1" t="s">
        <v>17</v>
      </c>
      <c r="J404" s="1">
        <v>0.46</v>
      </c>
      <c r="K404" s="36">
        <v>45114</v>
      </c>
    </row>
    <row r="405" spans="1:11" x14ac:dyDescent="0.3">
      <c r="A405" s="2" t="s">
        <v>835</v>
      </c>
      <c r="B405" s="1" t="s">
        <v>836</v>
      </c>
      <c r="C405" s="1">
        <v>79</v>
      </c>
      <c r="D405" s="1" t="s">
        <v>20</v>
      </c>
      <c r="E405" s="1" t="s">
        <v>33</v>
      </c>
      <c r="F405" s="1" t="s">
        <v>62</v>
      </c>
      <c r="G405" s="1" t="s">
        <v>25</v>
      </c>
      <c r="H405" s="1" t="s">
        <v>17</v>
      </c>
      <c r="I405" s="1" t="s">
        <v>17</v>
      </c>
      <c r="J405" s="1">
        <v>0.32</v>
      </c>
      <c r="K405" s="36">
        <v>46052</v>
      </c>
    </row>
    <row r="406" spans="1:11" x14ac:dyDescent="0.3">
      <c r="A406" s="2" t="s">
        <v>837</v>
      </c>
      <c r="B406" s="1" t="s">
        <v>838</v>
      </c>
      <c r="C406" s="1">
        <v>49</v>
      </c>
      <c r="D406" s="1" t="s">
        <v>13</v>
      </c>
      <c r="E406" s="1" t="s">
        <v>21</v>
      </c>
      <c r="F406" s="1" t="s">
        <v>46</v>
      </c>
      <c r="G406" s="1" t="s">
        <v>47</v>
      </c>
      <c r="H406" s="1" t="s">
        <v>17</v>
      </c>
      <c r="I406" s="1" t="s">
        <v>17</v>
      </c>
      <c r="J406" s="1">
        <v>0.12</v>
      </c>
      <c r="K406" s="36">
        <v>45821</v>
      </c>
    </row>
    <row r="407" spans="1:11" x14ac:dyDescent="0.3">
      <c r="A407" s="2" t="s">
        <v>839</v>
      </c>
      <c r="B407" s="1" t="s">
        <v>840</v>
      </c>
      <c r="C407" s="1">
        <v>49</v>
      </c>
      <c r="D407" s="1" t="s">
        <v>20</v>
      </c>
      <c r="E407" s="1" t="s">
        <v>33</v>
      </c>
      <c r="F407" s="1" t="s">
        <v>62</v>
      </c>
      <c r="G407" s="1" t="s">
        <v>22</v>
      </c>
      <c r="H407" s="1" t="s">
        <v>17</v>
      </c>
      <c r="I407" s="1" t="s">
        <v>17</v>
      </c>
      <c r="J407" s="1">
        <v>0.32</v>
      </c>
      <c r="K407" s="36">
        <v>44448</v>
      </c>
    </row>
    <row r="408" spans="1:11" x14ac:dyDescent="0.3">
      <c r="A408" s="2" t="s">
        <v>841</v>
      </c>
      <c r="B408" s="1" t="s">
        <v>842</v>
      </c>
      <c r="C408" s="1">
        <v>45</v>
      </c>
      <c r="D408" s="1" t="s">
        <v>20</v>
      </c>
      <c r="E408" s="1" t="s">
        <v>28</v>
      </c>
      <c r="F408" s="1" t="s">
        <v>46</v>
      </c>
      <c r="G408" s="1" t="s">
        <v>22</v>
      </c>
      <c r="H408" s="1" t="s">
        <v>17</v>
      </c>
      <c r="I408" s="1" t="s">
        <v>17</v>
      </c>
      <c r="J408" s="1">
        <v>0.26</v>
      </c>
      <c r="K408" s="36">
        <v>44262</v>
      </c>
    </row>
    <row r="409" spans="1:11" x14ac:dyDescent="0.3">
      <c r="A409" s="2" t="s">
        <v>843</v>
      </c>
      <c r="B409" s="1" t="s">
        <v>844</v>
      </c>
      <c r="C409" s="1">
        <v>27</v>
      </c>
      <c r="D409" s="1" t="s">
        <v>13</v>
      </c>
      <c r="E409" s="1" t="s">
        <v>28</v>
      </c>
      <c r="F409" s="1" t="s">
        <v>62</v>
      </c>
      <c r="G409" s="1" t="s">
        <v>38</v>
      </c>
      <c r="H409" s="1" t="s">
        <v>30</v>
      </c>
      <c r="I409" s="1" t="s">
        <v>17</v>
      </c>
      <c r="J409" s="1">
        <v>0.35</v>
      </c>
      <c r="K409" s="36">
        <v>45206</v>
      </c>
    </row>
    <row r="410" spans="1:11" x14ac:dyDescent="0.3">
      <c r="A410" s="2" t="s">
        <v>845</v>
      </c>
      <c r="B410" s="1" t="s">
        <v>846</v>
      </c>
      <c r="C410" s="1">
        <v>76</v>
      </c>
      <c r="D410" s="1" t="s">
        <v>20</v>
      </c>
      <c r="E410" s="1" t="s">
        <v>33</v>
      </c>
      <c r="F410" s="1" t="s">
        <v>62</v>
      </c>
      <c r="G410" s="1" t="s">
        <v>25</v>
      </c>
      <c r="H410" s="1" t="s">
        <v>30</v>
      </c>
      <c r="I410" s="1" t="s">
        <v>30</v>
      </c>
      <c r="J410" s="1">
        <v>0.55000000000000004</v>
      </c>
      <c r="K410" s="36">
        <v>45464</v>
      </c>
    </row>
    <row r="411" spans="1:11" x14ac:dyDescent="0.3">
      <c r="A411" s="2" t="s">
        <v>847</v>
      </c>
      <c r="B411" s="1" t="s">
        <v>848</v>
      </c>
      <c r="C411" s="1">
        <v>18</v>
      </c>
      <c r="D411" s="1" t="s">
        <v>13</v>
      </c>
      <c r="E411" s="1" t="s">
        <v>14</v>
      </c>
      <c r="F411" s="1" t="s">
        <v>29</v>
      </c>
      <c r="G411" s="1" t="s">
        <v>16</v>
      </c>
      <c r="H411" s="1" t="s">
        <v>30</v>
      </c>
      <c r="I411" s="1" t="s">
        <v>17</v>
      </c>
      <c r="J411" s="1">
        <v>0.46</v>
      </c>
      <c r="K411" s="36">
        <v>44811</v>
      </c>
    </row>
    <row r="412" spans="1:11" x14ac:dyDescent="0.3">
      <c r="A412" s="2" t="s">
        <v>849</v>
      </c>
      <c r="B412" s="1" t="s">
        <v>850</v>
      </c>
      <c r="C412" s="1">
        <v>28</v>
      </c>
      <c r="D412" s="1" t="s">
        <v>20</v>
      </c>
      <c r="E412" s="1" t="s">
        <v>14</v>
      </c>
      <c r="F412" s="1" t="s">
        <v>29</v>
      </c>
      <c r="G412" s="1" t="s">
        <v>22</v>
      </c>
      <c r="H412" s="1" t="s">
        <v>17</v>
      </c>
      <c r="I412" s="1" t="s">
        <v>17</v>
      </c>
      <c r="J412" s="1">
        <v>0.18</v>
      </c>
      <c r="K412" s="36">
        <v>45870</v>
      </c>
    </row>
    <row r="413" spans="1:11" x14ac:dyDescent="0.3">
      <c r="A413" s="2" t="s">
        <v>851</v>
      </c>
      <c r="B413" s="1" t="s">
        <v>852</v>
      </c>
      <c r="C413" s="1">
        <v>32</v>
      </c>
      <c r="D413" s="1" t="s">
        <v>20</v>
      </c>
      <c r="E413" s="1" t="s">
        <v>33</v>
      </c>
      <c r="F413" s="1" t="s">
        <v>46</v>
      </c>
      <c r="G413" s="1" t="s">
        <v>43</v>
      </c>
      <c r="H413" s="1" t="s">
        <v>17</v>
      </c>
      <c r="I413" s="1" t="s">
        <v>17</v>
      </c>
      <c r="J413" s="1">
        <v>0.22</v>
      </c>
      <c r="K413" s="36">
        <v>45723</v>
      </c>
    </row>
    <row r="414" spans="1:11" x14ac:dyDescent="0.3">
      <c r="A414" s="2" t="s">
        <v>853</v>
      </c>
      <c r="B414" s="1" t="s">
        <v>854</v>
      </c>
      <c r="C414" s="1">
        <v>35</v>
      </c>
      <c r="D414" s="1" t="s">
        <v>20</v>
      </c>
      <c r="E414" s="1" t="s">
        <v>14</v>
      </c>
      <c r="F414" s="1" t="s">
        <v>46</v>
      </c>
      <c r="G414" s="1" t="s">
        <v>47</v>
      </c>
      <c r="H414" s="1" t="s">
        <v>17</v>
      </c>
      <c r="I414" s="1" t="s">
        <v>17</v>
      </c>
      <c r="J414" s="1">
        <v>0.24</v>
      </c>
      <c r="K414" s="36">
        <v>45551</v>
      </c>
    </row>
    <row r="415" spans="1:11" x14ac:dyDescent="0.3">
      <c r="A415" s="2" t="s">
        <v>855</v>
      </c>
      <c r="B415" s="1" t="s">
        <v>856</v>
      </c>
      <c r="C415" s="1">
        <v>26</v>
      </c>
      <c r="D415" s="1" t="s">
        <v>20</v>
      </c>
      <c r="E415" s="1" t="s">
        <v>21</v>
      </c>
      <c r="F415" s="1" t="s">
        <v>62</v>
      </c>
      <c r="G415" s="1" t="s">
        <v>43</v>
      </c>
      <c r="H415" s="1" t="s">
        <v>17</v>
      </c>
      <c r="I415" s="1" t="s">
        <v>17</v>
      </c>
      <c r="J415" s="1">
        <v>0.17</v>
      </c>
      <c r="K415" s="36">
        <v>44569</v>
      </c>
    </row>
    <row r="416" spans="1:11" x14ac:dyDescent="0.3">
      <c r="A416" s="2" t="s">
        <v>857</v>
      </c>
      <c r="B416" s="1" t="s">
        <v>858</v>
      </c>
      <c r="C416" s="1">
        <v>19</v>
      </c>
      <c r="D416" s="1" t="s">
        <v>20</v>
      </c>
      <c r="E416" s="1" t="s">
        <v>33</v>
      </c>
      <c r="F416" s="1" t="s">
        <v>29</v>
      </c>
      <c r="G416" s="1" t="s">
        <v>25</v>
      </c>
      <c r="H416" s="1" t="s">
        <v>30</v>
      </c>
      <c r="I416" s="1" t="s">
        <v>17</v>
      </c>
      <c r="J416" s="1">
        <v>0.36</v>
      </c>
      <c r="K416" s="36">
        <v>44513</v>
      </c>
    </row>
    <row r="417" spans="1:11" x14ac:dyDescent="0.3">
      <c r="A417" s="2" t="s">
        <v>859</v>
      </c>
      <c r="B417" s="1" t="s">
        <v>860</v>
      </c>
      <c r="C417" s="1">
        <v>60</v>
      </c>
      <c r="D417" s="1" t="s">
        <v>20</v>
      </c>
      <c r="E417" s="1" t="s">
        <v>21</v>
      </c>
      <c r="F417" s="1" t="s">
        <v>46</v>
      </c>
      <c r="G417" s="1" t="s">
        <v>47</v>
      </c>
      <c r="H417" s="1" t="s">
        <v>17</v>
      </c>
      <c r="I417" s="1" t="s">
        <v>30</v>
      </c>
      <c r="J417" s="1">
        <v>0.45</v>
      </c>
      <c r="K417" s="36">
        <v>44130</v>
      </c>
    </row>
    <row r="418" spans="1:11" x14ac:dyDescent="0.3">
      <c r="A418" s="2" t="s">
        <v>861</v>
      </c>
      <c r="B418" s="1" t="s">
        <v>862</v>
      </c>
      <c r="C418" s="1">
        <v>79</v>
      </c>
      <c r="D418" s="1" t="s">
        <v>13</v>
      </c>
      <c r="E418" s="1" t="s">
        <v>28</v>
      </c>
      <c r="F418" s="1" t="s">
        <v>15</v>
      </c>
      <c r="G418" s="1" t="s">
        <v>25</v>
      </c>
      <c r="H418" s="1" t="s">
        <v>30</v>
      </c>
      <c r="I418" s="1" t="s">
        <v>17</v>
      </c>
      <c r="J418" s="1">
        <v>0.43</v>
      </c>
      <c r="K418" s="36">
        <v>44613</v>
      </c>
    </row>
    <row r="419" spans="1:11" x14ac:dyDescent="0.3">
      <c r="A419" s="2" t="s">
        <v>863</v>
      </c>
      <c r="B419" s="1" t="s">
        <v>864</v>
      </c>
      <c r="C419" s="1">
        <v>25</v>
      </c>
      <c r="D419" s="1" t="s">
        <v>20</v>
      </c>
      <c r="E419" s="1" t="s">
        <v>14</v>
      </c>
      <c r="F419" s="1" t="s">
        <v>15</v>
      </c>
      <c r="G419" s="1" t="s">
        <v>25</v>
      </c>
      <c r="H419" s="1" t="s">
        <v>30</v>
      </c>
      <c r="I419" s="1" t="s">
        <v>17</v>
      </c>
      <c r="J419" s="1">
        <v>0.44</v>
      </c>
      <c r="K419" s="36">
        <v>45118</v>
      </c>
    </row>
    <row r="420" spans="1:11" x14ac:dyDescent="0.3">
      <c r="A420" s="2" t="s">
        <v>865</v>
      </c>
      <c r="B420" s="1" t="s">
        <v>866</v>
      </c>
      <c r="C420" s="1">
        <v>36</v>
      </c>
      <c r="D420" s="1" t="s">
        <v>20</v>
      </c>
      <c r="E420" s="1" t="s">
        <v>14</v>
      </c>
      <c r="F420" s="1" t="s">
        <v>15</v>
      </c>
      <c r="G420" s="1" t="s">
        <v>22</v>
      </c>
      <c r="H420" s="1" t="s">
        <v>30</v>
      </c>
      <c r="I420" s="1" t="s">
        <v>30</v>
      </c>
      <c r="J420" s="1">
        <v>0.45</v>
      </c>
      <c r="K420" s="36">
        <v>45939</v>
      </c>
    </row>
    <row r="421" spans="1:11" x14ac:dyDescent="0.3">
      <c r="A421" s="2" t="s">
        <v>867</v>
      </c>
      <c r="B421" s="1" t="s">
        <v>868</v>
      </c>
      <c r="C421" s="1">
        <v>49</v>
      </c>
      <c r="D421" s="1" t="s">
        <v>20</v>
      </c>
      <c r="E421" s="1" t="s">
        <v>21</v>
      </c>
      <c r="F421" s="1" t="s">
        <v>62</v>
      </c>
      <c r="G421" s="1" t="s">
        <v>22</v>
      </c>
      <c r="H421" s="1" t="s">
        <v>17</v>
      </c>
      <c r="I421" s="1" t="s">
        <v>30</v>
      </c>
      <c r="J421" s="1">
        <v>0.33</v>
      </c>
      <c r="K421" s="36">
        <v>44236</v>
      </c>
    </row>
    <row r="422" spans="1:11" x14ac:dyDescent="0.3">
      <c r="A422" s="2" t="s">
        <v>869</v>
      </c>
      <c r="B422" s="1" t="s">
        <v>870</v>
      </c>
      <c r="C422" s="1">
        <v>76</v>
      </c>
      <c r="D422" s="1" t="s">
        <v>20</v>
      </c>
      <c r="E422" s="1" t="s">
        <v>21</v>
      </c>
      <c r="F422" s="1" t="s">
        <v>15</v>
      </c>
      <c r="G422" s="1" t="s">
        <v>43</v>
      </c>
      <c r="H422" s="1" t="s">
        <v>17</v>
      </c>
      <c r="I422" s="1" t="s">
        <v>30</v>
      </c>
      <c r="J422" s="1">
        <v>0.47</v>
      </c>
      <c r="K422" s="36">
        <v>44985</v>
      </c>
    </row>
    <row r="423" spans="1:11" x14ac:dyDescent="0.3">
      <c r="A423" s="2" t="s">
        <v>871</v>
      </c>
      <c r="B423" s="1" t="s">
        <v>872</v>
      </c>
      <c r="C423" s="1">
        <v>61</v>
      </c>
      <c r="D423" s="1" t="s">
        <v>20</v>
      </c>
      <c r="E423" s="1" t="s">
        <v>28</v>
      </c>
      <c r="F423" s="1" t="s">
        <v>15</v>
      </c>
      <c r="G423" s="1" t="s">
        <v>38</v>
      </c>
      <c r="H423" s="1" t="s">
        <v>17</v>
      </c>
      <c r="I423" s="1" t="s">
        <v>30</v>
      </c>
      <c r="J423" s="1">
        <v>0.47</v>
      </c>
      <c r="K423" s="36">
        <v>45457</v>
      </c>
    </row>
    <row r="424" spans="1:11" x14ac:dyDescent="0.3">
      <c r="A424" s="2" t="s">
        <v>873</v>
      </c>
      <c r="B424" s="1" t="s">
        <v>874</v>
      </c>
      <c r="C424" s="1">
        <v>66</v>
      </c>
      <c r="D424" s="1" t="s">
        <v>13</v>
      </c>
      <c r="E424" s="1" t="s">
        <v>33</v>
      </c>
      <c r="F424" s="1" t="s">
        <v>29</v>
      </c>
      <c r="G424" s="1" t="s">
        <v>38</v>
      </c>
      <c r="H424" s="1" t="s">
        <v>17</v>
      </c>
      <c r="I424" s="1" t="s">
        <v>17</v>
      </c>
      <c r="J424" s="1">
        <v>0.23</v>
      </c>
      <c r="K424" s="36">
        <v>44503</v>
      </c>
    </row>
    <row r="425" spans="1:11" x14ac:dyDescent="0.3">
      <c r="A425" s="2" t="s">
        <v>875</v>
      </c>
      <c r="B425" s="1" t="s">
        <v>876</v>
      </c>
      <c r="C425" s="1">
        <v>54</v>
      </c>
      <c r="D425" s="1" t="s">
        <v>20</v>
      </c>
      <c r="E425" s="1" t="s">
        <v>28</v>
      </c>
      <c r="F425" s="1" t="s">
        <v>15</v>
      </c>
      <c r="G425" s="1" t="s">
        <v>16</v>
      </c>
      <c r="H425" s="1" t="s">
        <v>30</v>
      </c>
      <c r="I425" s="1" t="s">
        <v>17</v>
      </c>
      <c r="J425" s="1">
        <v>0.31</v>
      </c>
      <c r="K425" s="36">
        <v>45603</v>
      </c>
    </row>
    <row r="426" spans="1:11" x14ac:dyDescent="0.3">
      <c r="A426" s="2" t="s">
        <v>877</v>
      </c>
      <c r="B426" s="1" t="s">
        <v>878</v>
      </c>
      <c r="C426" s="1">
        <v>44</v>
      </c>
      <c r="D426" s="1" t="s">
        <v>13</v>
      </c>
      <c r="E426" s="1" t="s">
        <v>28</v>
      </c>
      <c r="F426" s="1" t="s">
        <v>46</v>
      </c>
      <c r="G426" s="1" t="s">
        <v>43</v>
      </c>
      <c r="H426" s="1" t="s">
        <v>17</v>
      </c>
      <c r="I426" s="1" t="s">
        <v>30</v>
      </c>
      <c r="J426" s="1">
        <v>0.35</v>
      </c>
      <c r="K426" s="36">
        <v>45160</v>
      </c>
    </row>
    <row r="427" spans="1:11" x14ac:dyDescent="0.3">
      <c r="A427" s="2" t="s">
        <v>879</v>
      </c>
      <c r="B427" s="1" t="s">
        <v>880</v>
      </c>
      <c r="C427" s="1">
        <v>30</v>
      </c>
      <c r="D427" s="1" t="s">
        <v>13</v>
      </c>
      <c r="E427" s="1" t="s">
        <v>21</v>
      </c>
      <c r="F427" s="1" t="s">
        <v>29</v>
      </c>
      <c r="G427" s="1" t="s">
        <v>16</v>
      </c>
      <c r="H427" s="1" t="s">
        <v>17</v>
      </c>
      <c r="I427" s="1" t="s">
        <v>17</v>
      </c>
      <c r="J427" s="1">
        <v>0.23</v>
      </c>
      <c r="K427" s="36">
        <v>44611</v>
      </c>
    </row>
    <row r="428" spans="1:11" x14ac:dyDescent="0.3">
      <c r="A428" s="2" t="s">
        <v>881</v>
      </c>
      <c r="B428" s="1" t="s">
        <v>882</v>
      </c>
      <c r="C428" s="1">
        <v>72</v>
      </c>
      <c r="D428" s="1" t="s">
        <v>20</v>
      </c>
      <c r="E428" s="1" t="s">
        <v>14</v>
      </c>
      <c r="F428" s="1" t="s">
        <v>15</v>
      </c>
      <c r="G428" s="1" t="s">
        <v>38</v>
      </c>
      <c r="H428" s="1" t="s">
        <v>17</v>
      </c>
      <c r="I428" s="1" t="s">
        <v>17</v>
      </c>
      <c r="J428" s="1">
        <v>0.3</v>
      </c>
      <c r="K428" s="36">
        <v>45515</v>
      </c>
    </row>
    <row r="429" spans="1:11" x14ac:dyDescent="0.3">
      <c r="A429" s="2" t="s">
        <v>883</v>
      </c>
      <c r="B429" s="1" t="s">
        <v>884</v>
      </c>
      <c r="C429" s="1">
        <v>68</v>
      </c>
      <c r="D429" s="1" t="s">
        <v>20</v>
      </c>
      <c r="E429" s="1" t="s">
        <v>28</v>
      </c>
      <c r="F429" s="1" t="s">
        <v>29</v>
      </c>
      <c r="G429" s="1" t="s">
        <v>16</v>
      </c>
      <c r="H429" s="1" t="s">
        <v>17</v>
      </c>
      <c r="I429" s="1" t="s">
        <v>30</v>
      </c>
      <c r="J429" s="1">
        <v>0.4</v>
      </c>
      <c r="K429" s="36">
        <v>44089</v>
      </c>
    </row>
    <row r="430" spans="1:11" x14ac:dyDescent="0.3">
      <c r="A430" s="2" t="s">
        <v>885</v>
      </c>
      <c r="B430" s="1" t="s">
        <v>886</v>
      </c>
      <c r="C430" s="1">
        <v>19</v>
      </c>
      <c r="D430" s="1" t="s">
        <v>20</v>
      </c>
      <c r="E430" s="1" t="s">
        <v>14</v>
      </c>
      <c r="F430" s="1" t="s">
        <v>29</v>
      </c>
      <c r="G430" s="1" t="s">
        <v>47</v>
      </c>
      <c r="H430" s="1" t="s">
        <v>17</v>
      </c>
      <c r="I430" s="1" t="s">
        <v>17</v>
      </c>
      <c r="J430" s="1">
        <v>0.27</v>
      </c>
      <c r="K430" s="36">
        <v>45723</v>
      </c>
    </row>
    <row r="431" spans="1:11" x14ac:dyDescent="0.3">
      <c r="A431" s="2" t="s">
        <v>887</v>
      </c>
      <c r="B431" s="1" t="s">
        <v>888</v>
      </c>
      <c r="C431" s="1">
        <v>63</v>
      </c>
      <c r="D431" s="1" t="s">
        <v>13</v>
      </c>
      <c r="E431" s="1" t="s">
        <v>33</v>
      </c>
      <c r="F431" s="1" t="s">
        <v>62</v>
      </c>
      <c r="G431" s="1" t="s">
        <v>25</v>
      </c>
      <c r="H431" s="1" t="s">
        <v>17</v>
      </c>
      <c r="I431" s="1" t="s">
        <v>30</v>
      </c>
      <c r="J431" s="1">
        <v>0.52</v>
      </c>
      <c r="K431" s="36">
        <v>45764</v>
      </c>
    </row>
    <row r="432" spans="1:11" x14ac:dyDescent="0.3">
      <c r="A432" s="2" t="s">
        <v>889</v>
      </c>
      <c r="B432" s="1" t="s">
        <v>890</v>
      </c>
      <c r="C432" s="1">
        <v>23</v>
      </c>
      <c r="D432" s="1" t="s">
        <v>20</v>
      </c>
      <c r="E432" s="1" t="s">
        <v>33</v>
      </c>
      <c r="F432" s="1" t="s">
        <v>46</v>
      </c>
      <c r="G432" s="1" t="s">
        <v>16</v>
      </c>
      <c r="H432" s="1" t="s">
        <v>30</v>
      </c>
      <c r="I432" s="1" t="s">
        <v>30</v>
      </c>
      <c r="J432" s="1">
        <v>0.59</v>
      </c>
      <c r="K432" s="36">
        <v>44310</v>
      </c>
    </row>
    <row r="433" spans="1:11" x14ac:dyDescent="0.3">
      <c r="A433" s="2" t="s">
        <v>891</v>
      </c>
      <c r="B433" s="1" t="s">
        <v>892</v>
      </c>
      <c r="C433" s="1">
        <v>64</v>
      </c>
      <c r="D433" s="1" t="s">
        <v>13</v>
      </c>
      <c r="E433" s="1" t="s">
        <v>33</v>
      </c>
      <c r="F433" s="1" t="s">
        <v>29</v>
      </c>
      <c r="G433" s="1" t="s">
        <v>22</v>
      </c>
      <c r="H433" s="1" t="s">
        <v>17</v>
      </c>
      <c r="I433" s="1" t="s">
        <v>17</v>
      </c>
      <c r="J433" s="1">
        <v>0.18</v>
      </c>
      <c r="K433" s="36">
        <v>45008</v>
      </c>
    </row>
    <row r="434" spans="1:11" x14ac:dyDescent="0.3">
      <c r="A434" s="2" t="s">
        <v>893</v>
      </c>
      <c r="B434" s="1" t="s">
        <v>894</v>
      </c>
      <c r="C434" s="1">
        <v>70</v>
      </c>
      <c r="D434" s="1" t="s">
        <v>13</v>
      </c>
      <c r="E434" s="1" t="s">
        <v>28</v>
      </c>
      <c r="F434" s="1" t="s">
        <v>62</v>
      </c>
      <c r="G434" s="1" t="s">
        <v>16</v>
      </c>
      <c r="H434" s="1" t="s">
        <v>17</v>
      </c>
      <c r="I434" s="1" t="s">
        <v>30</v>
      </c>
      <c r="J434" s="1">
        <v>0.44</v>
      </c>
      <c r="K434" s="36">
        <v>44462</v>
      </c>
    </row>
    <row r="435" spans="1:11" x14ac:dyDescent="0.3">
      <c r="A435" s="2" t="s">
        <v>895</v>
      </c>
      <c r="B435" s="1" t="s">
        <v>896</v>
      </c>
      <c r="C435" s="1">
        <v>26</v>
      </c>
      <c r="D435" s="1" t="s">
        <v>13</v>
      </c>
      <c r="E435" s="1" t="s">
        <v>28</v>
      </c>
      <c r="F435" s="1" t="s">
        <v>15</v>
      </c>
      <c r="G435" s="1" t="s">
        <v>25</v>
      </c>
      <c r="H435" s="1" t="s">
        <v>17</v>
      </c>
      <c r="I435" s="1" t="s">
        <v>17</v>
      </c>
      <c r="J435" s="1">
        <v>0.32</v>
      </c>
      <c r="K435" s="36">
        <v>46176</v>
      </c>
    </row>
    <row r="436" spans="1:11" x14ac:dyDescent="0.3">
      <c r="A436" s="2" t="s">
        <v>897</v>
      </c>
      <c r="B436" s="1" t="s">
        <v>898</v>
      </c>
      <c r="C436" s="1">
        <v>45</v>
      </c>
      <c r="D436" s="1" t="s">
        <v>13</v>
      </c>
      <c r="E436" s="1" t="s">
        <v>33</v>
      </c>
      <c r="F436" s="1" t="s">
        <v>29</v>
      </c>
      <c r="G436" s="1" t="s">
        <v>25</v>
      </c>
      <c r="H436" s="1" t="s">
        <v>17</v>
      </c>
      <c r="I436" s="1" t="s">
        <v>30</v>
      </c>
      <c r="J436" s="1">
        <v>0.27</v>
      </c>
      <c r="K436" s="36">
        <v>45212</v>
      </c>
    </row>
    <row r="437" spans="1:11" x14ac:dyDescent="0.3">
      <c r="A437" s="2" t="s">
        <v>899</v>
      </c>
      <c r="B437" s="1" t="s">
        <v>900</v>
      </c>
      <c r="C437" s="1">
        <v>25</v>
      </c>
      <c r="D437" s="1" t="s">
        <v>13</v>
      </c>
      <c r="E437" s="1" t="s">
        <v>33</v>
      </c>
      <c r="F437" s="1" t="s">
        <v>29</v>
      </c>
      <c r="G437" s="1" t="s">
        <v>22</v>
      </c>
      <c r="H437" s="1" t="s">
        <v>30</v>
      </c>
      <c r="I437" s="1" t="s">
        <v>17</v>
      </c>
      <c r="J437" s="1">
        <v>0.43</v>
      </c>
      <c r="K437" s="36">
        <v>44187</v>
      </c>
    </row>
    <row r="438" spans="1:11" x14ac:dyDescent="0.3">
      <c r="A438" s="2" t="s">
        <v>901</v>
      </c>
      <c r="B438" s="1" t="s">
        <v>902</v>
      </c>
      <c r="C438" s="1">
        <v>53</v>
      </c>
      <c r="D438" s="1" t="s">
        <v>20</v>
      </c>
      <c r="E438" s="1" t="s">
        <v>14</v>
      </c>
      <c r="F438" s="1" t="s">
        <v>29</v>
      </c>
      <c r="G438" s="1" t="s">
        <v>16</v>
      </c>
      <c r="H438" s="1" t="s">
        <v>17</v>
      </c>
      <c r="I438" s="1" t="s">
        <v>17</v>
      </c>
      <c r="J438" s="1">
        <v>0.19</v>
      </c>
      <c r="K438" s="36">
        <v>44623</v>
      </c>
    </row>
    <row r="439" spans="1:11" x14ac:dyDescent="0.3">
      <c r="A439" s="2" t="s">
        <v>903</v>
      </c>
      <c r="B439" s="1" t="s">
        <v>904</v>
      </c>
      <c r="C439" s="1">
        <v>76</v>
      </c>
      <c r="D439" s="1" t="s">
        <v>20</v>
      </c>
      <c r="E439" s="1" t="s">
        <v>21</v>
      </c>
      <c r="F439" s="1" t="s">
        <v>46</v>
      </c>
      <c r="G439" s="1" t="s">
        <v>38</v>
      </c>
      <c r="H439" s="1" t="s">
        <v>17</v>
      </c>
      <c r="I439" s="1" t="s">
        <v>17</v>
      </c>
      <c r="J439" s="1">
        <v>0.28999999999999998</v>
      </c>
      <c r="K439" s="36">
        <v>45936</v>
      </c>
    </row>
    <row r="440" spans="1:11" x14ac:dyDescent="0.3">
      <c r="A440" s="2" t="s">
        <v>905</v>
      </c>
      <c r="B440" s="1" t="s">
        <v>906</v>
      </c>
      <c r="C440" s="1">
        <v>23</v>
      </c>
      <c r="D440" s="1" t="s">
        <v>20</v>
      </c>
      <c r="E440" s="1" t="s">
        <v>33</v>
      </c>
      <c r="F440" s="1" t="s">
        <v>62</v>
      </c>
      <c r="G440" s="1" t="s">
        <v>22</v>
      </c>
      <c r="H440" s="1" t="s">
        <v>17</v>
      </c>
      <c r="I440" s="1" t="s">
        <v>30</v>
      </c>
      <c r="J440" s="1">
        <v>0.41</v>
      </c>
      <c r="K440" s="36">
        <v>45077</v>
      </c>
    </row>
    <row r="441" spans="1:11" x14ac:dyDescent="0.3">
      <c r="A441" s="2" t="s">
        <v>907</v>
      </c>
      <c r="B441" s="1" t="s">
        <v>908</v>
      </c>
      <c r="C441" s="1">
        <v>43</v>
      </c>
      <c r="D441" s="1" t="s">
        <v>13</v>
      </c>
      <c r="E441" s="1" t="s">
        <v>21</v>
      </c>
      <c r="F441" s="1" t="s">
        <v>15</v>
      </c>
      <c r="G441" s="1" t="s">
        <v>22</v>
      </c>
      <c r="H441" s="1" t="s">
        <v>30</v>
      </c>
      <c r="I441" s="1" t="s">
        <v>17</v>
      </c>
      <c r="J441" s="1">
        <v>0.45</v>
      </c>
      <c r="K441" s="36">
        <v>45833</v>
      </c>
    </row>
    <row r="442" spans="1:11" x14ac:dyDescent="0.3">
      <c r="A442" s="2" t="s">
        <v>909</v>
      </c>
      <c r="B442" s="1" t="s">
        <v>910</v>
      </c>
      <c r="C442" s="1">
        <v>79</v>
      </c>
      <c r="D442" s="1" t="s">
        <v>13</v>
      </c>
      <c r="E442" s="1" t="s">
        <v>33</v>
      </c>
      <c r="F442" s="1" t="s">
        <v>46</v>
      </c>
      <c r="G442" s="1" t="s">
        <v>16</v>
      </c>
      <c r="H442" s="1" t="s">
        <v>17</v>
      </c>
      <c r="I442" s="1" t="s">
        <v>17</v>
      </c>
      <c r="J442" s="1">
        <v>0.28999999999999998</v>
      </c>
      <c r="K442" s="36">
        <v>45540</v>
      </c>
    </row>
    <row r="443" spans="1:11" x14ac:dyDescent="0.3">
      <c r="A443" s="2" t="s">
        <v>911</v>
      </c>
      <c r="B443" s="1" t="s">
        <v>912</v>
      </c>
      <c r="C443" s="1">
        <v>36</v>
      </c>
      <c r="D443" s="1" t="s">
        <v>13</v>
      </c>
      <c r="E443" s="1" t="s">
        <v>14</v>
      </c>
      <c r="F443" s="1" t="s">
        <v>15</v>
      </c>
      <c r="G443" s="1" t="s">
        <v>43</v>
      </c>
      <c r="H443" s="1" t="s">
        <v>17</v>
      </c>
      <c r="I443" s="1" t="s">
        <v>30</v>
      </c>
      <c r="J443" s="1">
        <v>0.43</v>
      </c>
      <c r="K443" s="36">
        <v>46242</v>
      </c>
    </row>
    <row r="444" spans="1:11" x14ac:dyDescent="0.3">
      <c r="A444" s="2" t="s">
        <v>913</v>
      </c>
      <c r="B444" s="1" t="s">
        <v>914</v>
      </c>
      <c r="C444" s="1">
        <v>26</v>
      </c>
      <c r="D444" s="1" t="s">
        <v>20</v>
      </c>
      <c r="E444" s="1" t="s">
        <v>28</v>
      </c>
      <c r="F444" s="1" t="s">
        <v>46</v>
      </c>
      <c r="G444" s="1" t="s">
        <v>43</v>
      </c>
      <c r="H444" s="1" t="s">
        <v>17</v>
      </c>
      <c r="I444" s="1" t="s">
        <v>17</v>
      </c>
      <c r="J444" s="1">
        <v>0.19</v>
      </c>
      <c r="K444" s="36">
        <v>45382</v>
      </c>
    </row>
    <row r="445" spans="1:11" x14ac:dyDescent="0.3">
      <c r="A445" s="2" t="s">
        <v>915</v>
      </c>
      <c r="B445" s="1" t="s">
        <v>916</v>
      </c>
      <c r="C445" s="1">
        <v>48</v>
      </c>
      <c r="D445" s="1" t="s">
        <v>13</v>
      </c>
      <c r="E445" s="1" t="s">
        <v>28</v>
      </c>
      <c r="F445" s="1" t="s">
        <v>46</v>
      </c>
      <c r="G445" s="1" t="s">
        <v>22</v>
      </c>
      <c r="H445" s="1" t="s">
        <v>30</v>
      </c>
      <c r="I445" s="1" t="s">
        <v>17</v>
      </c>
      <c r="J445" s="1">
        <v>0.36</v>
      </c>
      <c r="K445" s="36">
        <v>46159</v>
      </c>
    </row>
    <row r="446" spans="1:11" x14ac:dyDescent="0.3">
      <c r="A446" s="2" t="s">
        <v>917</v>
      </c>
      <c r="B446" s="1" t="s">
        <v>918</v>
      </c>
      <c r="C446" s="1">
        <v>50</v>
      </c>
      <c r="D446" s="1" t="s">
        <v>20</v>
      </c>
      <c r="E446" s="1" t="s">
        <v>33</v>
      </c>
      <c r="F446" s="1" t="s">
        <v>62</v>
      </c>
      <c r="G446" s="1" t="s">
        <v>16</v>
      </c>
      <c r="H446" s="1" t="s">
        <v>17</v>
      </c>
      <c r="I446" s="1" t="s">
        <v>30</v>
      </c>
      <c r="J446" s="1">
        <v>0.31</v>
      </c>
      <c r="K446" s="36">
        <v>46031</v>
      </c>
    </row>
    <row r="447" spans="1:11" x14ac:dyDescent="0.3">
      <c r="A447" s="2" t="s">
        <v>919</v>
      </c>
      <c r="B447" s="1" t="s">
        <v>920</v>
      </c>
      <c r="C447" s="1">
        <v>59</v>
      </c>
      <c r="D447" s="1" t="s">
        <v>20</v>
      </c>
      <c r="E447" s="1" t="s">
        <v>33</v>
      </c>
      <c r="F447" s="1" t="s">
        <v>62</v>
      </c>
      <c r="G447" s="1" t="s">
        <v>38</v>
      </c>
      <c r="H447" s="1" t="s">
        <v>17</v>
      </c>
      <c r="I447" s="1" t="s">
        <v>17</v>
      </c>
      <c r="J447" s="1">
        <v>0.17</v>
      </c>
      <c r="K447" s="36">
        <v>45419</v>
      </c>
    </row>
    <row r="448" spans="1:11" x14ac:dyDescent="0.3">
      <c r="A448" s="2" t="s">
        <v>921</v>
      </c>
      <c r="B448" s="1" t="s">
        <v>922</v>
      </c>
      <c r="C448" s="1">
        <v>37</v>
      </c>
      <c r="D448" s="1" t="s">
        <v>13</v>
      </c>
      <c r="E448" s="1" t="s">
        <v>14</v>
      </c>
      <c r="F448" s="1" t="s">
        <v>15</v>
      </c>
      <c r="G448" s="1" t="s">
        <v>22</v>
      </c>
      <c r="H448" s="1" t="s">
        <v>30</v>
      </c>
      <c r="I448" s="1" t="s">
        <v>17</v>
      </c>
      <c r="J448" s="1">
        <v>0.4</v>
      </c>
      <c r="K448" s="36">
        <v>45653</v>
      </c>
    </row>
    <row r="449" spans="1:11" x14ac:dyDescent="0.3">
      <c r="A449" s="2" t="s">
        <v>923</v>
      </c>
      <c r="B449" s="1" t="s">
        <v>924</v>
      </c>
      <c r="C449" s="1">
        <v>78</v>
      </c>
      <c r="D449" s="1" t="s">
        <v>20</v>
      </c>
      <c r="E449" s="1" t="s">
        <v>14</v>
      </c>
      <c r="F449" s="1" t="s">
        <v>46</v>
      </c>
      <c r="G449" s="1" t="s">
        <v>25</v>
      </c>
      <c r="H449" s="1" t="s">
        <v>17</v>
      </c>
      <c r="I449" s="1" t="s">
        <v>30</v>
      </c>
      <c r="J449" s="1">
        <v>0.55000000000000004</v>
      </c>
      <c r="K449" s="36">
        <v>45183</v>
      </c>
    </row>
    <row r="450" spans="1:11" x14ac:dyDescent="0.3">
      <c r="A450" s="2" t="s">
        <v>925</v>
      </c>
      <c r="B450" s="1" t="s">
        <v>926</v>
      </c>
      <c r="C450" s="1">
        <v>50</v>
      </c>
      <c r="D450" s="1" t="s">
        <v>20</v>
      </c>
      <c r="E450" s="1" t="s">
        <v>21</v>
      </c>
      <c r="F450" s="1" t="s">
        <v>29</v>
      </c>
      <c r="G450" s="1" t="s">
        <v>25</v>
      </c>
      <c r="H450" s="1" t="s">
        <v>17</v>
      </c>
      <c r="I450" s="1" t="s">
        <v>17</v>
      </c>
      <c r="J450" s="1">
        <v>0.23</v>
      </c>
      <c r="K450" s="36">
        <v>45897</v>
      </c>
    </row>
    <row r="451" spans="1:11" x14ac:dyDescent="0.3">
      <c r="A451" s="2" t="s">
        <v>927</v>
      </c>
      <c r="B451" s="1" t="s">
        <v>928</v>
      </c>
      <c r="C451" s="1">
        <v>36</v>
      </c>
      <c r="D451" s="1" t="s">
        <v>13</v>
      </c>
      <c r="E451" s="1" t="s">
        <v>21</v>
      </c>
      <c r="F451" s="1" t="s">
        <v>62</v>
      </c>
      <c r="G451" s="1" t="s">
        <v>43</v>
      </c>
      <c r="H451" s="1" t="s">
        <v>30</v>
      </c>
      <c r="I451" s="1" t="s">
        <v>17</v>
      </c>
      <c r="J451" s="1">
        <v>0.42</v>
      </c>
      <c r="K451" s="36">
        <v>45277</v>
      </c>
    </row>
    <row r="452" spans="1:11" x14ac:dyDescent="0.3">
      <c r="A452" s="2" t="s">
        <v>929</v>
      </c>
      <c r="B452" s="1" t="s">
        <v>930</v>
      </c>
      <c r="C452" s="1">
        <v>78</v>
      </c>
      <c r="D452" s="1" t="s">
        <v>20</v>
      </c>
      <c r="E452" s="1" t="s">
        <v>33</v>
      </c>
      <c r="F452" s="1" t="s">
        <v>62</v>
      </c>
      <c r="G452" s="1" t="s">
        <v>22</v>
      </c>
      <c r="H452" s="1" t="s">
        <v>30</v>
      </c>
      <c r="I452" s="1" t="s">
        <v>30</v>
      </c>
      <c r="J452" s="1">
        <v>0.59</v>
      </c>
      <c r="K452" s="36">
        <v>46043</v>
      </c>
    </row>
    <row r="453" spans="1:11" x14ac:dyDescent="0.3">
      <c r="A453" s="2" t="s">
        <v>931</v>
      </c>
      <c r="B453" s="1" t="s">
        <v>932</v>
      </c>
      <c r="C453" s="1">
        <v>76</v>
      </c>
      <c r="D453" s="1" t="s">
        <v>20</v>
      </c>
      <c r="E453" s="1" t="s">
        <v>28</v>
      </c>
      <c r="F453" s="1" t="s">
        <v>46</v>
      </c>
      <c r="G453" s="1" t="s">
        <v>43</v>
      </c>
      <c r="H453" s="1" t="s">
        <v>17</v>
      </c>
      <c r="I453" s="1" t="s">
        <v>17</v>
      </c>
      <c r="J453" s="1">
        <v>0.27</v>
      </c>
      <c r="K453" s="36">
        <v>45707</v>
      </c>
    </row>
    <row r="454" spans="1:11" x14ac:dyDescent="0.3">
      <c r="A454" s="2" t="s">
        <v>933</v>
      </c>
      <c r="B454" s="1" t="s">
        <v>934</v>
      </c>
      <c r="C454" s="1">
        <v>49</v>
      </c>
      <c r="D454" s="1" t="s">
        <v>20</v>
      </c>
      <c r="E454" s="1" t="s">
        <v>21</v>
      </c>
      <c r="F454" s="1" t="s">
        <v>46</v>
      </c>
      <c r="G454" s="1" t="s">
        <v>43</v>
      </c>
      <c r="H454" s="1" t="s">
        <v>30</v>
      </c>
      <c r="I454" s="1" t="s">
        <v>30</v>
      </c>
      <c r="J454" s="1">
        <v>0.59</v>
      </c>
      <c r="K454" s="36">
        <v>45117</v>
      </c>
    </row>
    <row r="455" spans="1:11" x14ac:dyDescent="0.3">
      <c r="A455" s="2" t="s">
        <v>935</v>
      </c>
      <c r="B455" s="1" t="s">
        <v>936</v>
      </c>
      <c r="C455" s="1">
        <v>19</v>
      </c>
      <c r="D455" s="1" t="s">
        <v>20</v>
      </c>
      <c r="E455" s="1" t="s">
        <v>14</v>
      </c>
      <c r="F455" s="1" t="s">
        <v>46</v>
      </c>
      <c r="G455" s="1" t="s">
        <v>16</v>
      </c>
      <c r="H455" s="1" t="s">
        <v>17</v>
      </c>
      <c r="I455" s="1" t="s">
        <v>17</v>
      </c>
      <c r="J455" s="1">
        <v>0.37</v>
      </c>
      <c r="K455" s="36">
        <v>44645</v>
      </c>
    </row>
    <row r="456" spans="1:11" x14ac:dyDescent="0.3">
      <c r="A456" s="2" t="s">
        <v>937</v>
      </c>
      <c r="B456" s="1" t="s">
        <v>938</v>
      </c>
      <c r="C456" s="1">
        <v>55</v>
      </c>
      <c r="D456" s="1" t="s">
        <v>13</v>
      </c>
      <c r="E456" s="1" t="s">
        <v>33</v>
      </c>
      <c r="F456" s="1" t="s">
        <v>46</v>
      </c>
      <c r="G456" s="1" t="s">
        <v>38</v>
      </c>
      <c r="H456" s="1" t="s">
        <v>17</v>
      </c>
      <c r="I456" s="1" t="s">
        <v>17</v>
      </c>
      <c r="J456" s="1">
        <v>0.37</v>
      </c>
      <c r="K456" s="36">
        <v>44618</v>
      </c>
    </row>
    <row r="457" spans="1:11" x14ac:dyDescent="0.3">
      <c r="A457" s="2" t="s">
        <v>939</v>
      </c>
      <c r="B457" s="1" t="s">
        <v>940</v>
      </c>
      <c r="C457" s="1">
        <v>52</v>
      </c>
      <c r="D457" s="1" t="s">
        <v>13</v>
      </c>
      <c r="E457" s="1" t="s">
        <v>33</v>
      </c>
      <c r="F457" s="1" t="s">
        <v>29</v>
      </c>
      <c r="G457" s="1" t="s">
        <v>22</v>
      </c>
      <c r="H457" s="1" t="s">
        <v>17</v>
      </c>
      <c r="I457" s="1" t="s">
        <v>30</v>
      </c>
      <c r="J457" s="1">
        <v>0.4</v>
      </c>
      <c r="K457" s="36">
        <v>45474</v>
      </c>
    </row>
    <row r="458" spans="1:11" x14ac:dyDescent="0.3">
      <c r="A458" s="2" t="s">
        <v>941</v>
      </c>
      <c r="B458" s="1" t="s">
        <v>942</v>
      </c>
      <c r="C458" s="1">
        <v>27</v>
      </c>
      <c r="D458" s="1" t="s">
        <v>20</v>
      </c>
      <c r="E458" s="1" t="s">
        <v>33</v>
      </c>
      <c r="F458" s="1" t="s">
        <v>15</v>
      </c>
      <c r="G458" s="1" t="s">
        <v>25</v>
      </c>
      <c r="H458" s="1" t="s">
        <v>17</v>
      </c>
      <c r="I458" s="1" t="s">
        <v>17</v>
      </c>
      <c r="J458" s="1">
        <v>0.2</v>
      </c>
      <c r="K458" s="36">
        <v>45755</v>
      </c>
    </row>
    <row r="459" spans="1:11" x14ac:dyDescent="0.3">
      <c r="A459" s="2" t="s">
        <v>943</v>
      </c>
      <c r="B459" s="1" t="s">
        <v>944</v>
      </c>
      <c r="C459" s="1">
        <v>57</v>
      </c>
      <c r="D459" s="1" t="s">
        <v>20</v>
      </c>
      <c r="E459" s="1" t="s">
        <v>33</v>
      </c>
      <c r="F459" s="1" t="s">
        <v>62</v>
      </c>
      <c r="G459" s="1" t="s">
        <v>16</v>
      </c>
      <c r="H459" s="1" t="s">
        <v>17</v>
      </c>
      <c r="I459" s="1" t="s">
        <v>30</v>
      </c>
      <c r="J459" s="1">
        <v>0.44</v>
      </c>
      <c r="K459" s="36">
        <v>45219</v>
      </c>
    </row>
    <row r="460" spans="1:11" x14ac:dyDescent="0.3">
      <c r="A460" s="2" t="s">
        <v>945</v>
      </c>
      <c r="B460" s="1" t="s">
        <v>946</v>
      </c>
      <c r="C460" s="1">
        <v>70</v>
      </c>
      <c r="D460" s="1" t="s">
        <v>20</v>
      </c>
      <c r="E460" s="1" t="s">
        <v>21</v>
      </c>
      <c r="F460" s="1" t="s">
        <v>29</v>
      </c>
      <c r="G460" s="1" t="s">
        <v>43</v>
      </c>
      <c r="H460" s="1" t="s">
        <v>17</v>
      </c>
      <c r="I460" s="1" t="s">
        <v>30</v>
      </c>
      <c r="J460" s="1">
        <v>0.38</v>
      </c>
      <c r="K460" s="36">
        <v>45450</v>
      </c>
    </row>
    <row r="461" spans="1:11" x14ac:dyDescent="0.3">
      <c r="A461" s="2" t="s">
        <v>947</v>
      </c>
      <c r="B461" s="1" t="s">
        <v>948</v>
      </c>
      <c r="C461" s="1">
        <v>24</v>
      </c>
      <c r="D461" s="1" t="s">
        <v>13</v>
      </c>
      <c r="E461" s="1" t="s">
        <v>14</v>
      </c>
      <c r="F461" s="1" t="s">
        <v>29</v>
      </c>
      <c r="G461" s="1" t="s">
        <v>25</v>
      </c>
      <c r="H461" s="1" t="s">
        <v>17</v>
      </c>
      <c r="I461" s="1" t="s">
        <v>30</v>
      </c>
      <c r="J461" s="1">
        <v>0.31</v>
      </c>
      <c r="K461" s="36">
        <v>44678</v>
      </c>
    </row>
    <row r="462" spans="1:11" x14ac:dyDescent="0.3">
      <c r="A462" s="2" t="s">
        <v>949</v>
      </c>
      <c r="B462" s="1" t="s">
        <v>950</v>
      </c>
      <c r="C462" s="1">
        <v>63</v>
      </c>
      <c r="D462" s="1" t="s">
        <v>13</v>
      </c>
      <c r="E462" s="1" t="s">
        <v>14</v>
      </c>
      <c r="F462" s="1" t="s">
        <v>15</v>
      </c>
      <c r="G462" s="1" t="s">
        <v>38</v>
      </c>
      <c r="H462" s="1" t="s">
        <v>17</v>
      </c>
      <c r="I462" s="1" t="s">
        <v>17</v>
      </c>
      <c r="J462" s="1">
        <v>0.21</v>
      </c>
      <c r="K462" s="36">
        <v>44246</v>
      </c>
    </row>
    <row r="463" spans="1:11" x14ac:dyDescent="0.3">
      <c r="A463" s="2" t="s">
        <v>951</v>
      </c>
      <c r="B463" s="1" t="s">
        <v>952</v>
      </c>
      <c r="C463" s="1">
        <v>26</v>
      </c>
      <c r="D463" s="1" t="s">
        <v>13</v>
      </c>
      <c r="E463" s="1" t="s">
        <v>21</v>
      </c>
      <c r="F463" s="1" t="s">
        <v>15</v>
      </c>
      <c r="G463" s="1" t="s">
        <v>43</v>
      </c>
      <c r="H463" s="1" t="s">
        <v>17</v>
      </c>
      <c r="I463" s="1" t="s">
        <v>17</v>
      </c>
      <c r="J463" s="1">
        <v>0.2</v>
      </c>
      <c r="K463" s="36">
        <v>44703</v>
      </c>
    </row>
    <row r="464" spans="1:11" x14ac:dyDescent="0.3">
      <c r="A464" s="2" t="s">
        <v>953</v>
      </c>
      <c r="B464" s="1" t="s">
        <v>954</v>
      </c>
      <c r="C464" s="1">
        <v>65</v>
      </c>
      <c r="D464" s="1" t="s">
        <v>20</v>
      </c>
      <c r="E464" s="1" t="s">
        <v>14</v>
      </c>
      <c r="F464" s="1" t="s">
        <v>15</v>
      </c>
      <c r="G464" s="1" t="s">
        <v>22</v>
      </c>
      <c r="H464" s="1" t="s">
        <v>17</v>
      </c>
      <c r="I464" s="1" t="s">
        <v>17</v>
      </c>
      <c r="J464" s="1">
        <v>0.26</v>
      </c>
      <c r="K464" s="36">
        <v>44672</v>
      </c>
    </row>
    <row r="465" spans="1:11" x14ac:dyDescent="0.3">
      <c r="A465" s="2" t="s">
        <v>955</v>
      </c>
      <c r="B465" s="1" t="s">
        <v>398</v>
      </c>
      <c r="C465" s="1">
        <v>44</v>
      </c>
      <c r="D465" s="1" t="s">
        <v>20</v>
      </c>
      <c r="E465" s="1" t="s">
        <v>14</v>
      </c>
      <c r="F465" s="1" t="s">
        <v>46</v>
      </c>
      <c r="G465" s="1" t="s">
        <v>25</v>
      </c>
      <c r="H465" s="1" t="s">
        <v>17</v>
      </c>
      <c r="I465" s="1" t="s">
        <v>17</v>
      </c>
      <c r="J465" s="1">
        <v>0.11</v>
      </c>
      <c r="K465" s="36">
        <v>44777</v>
      </c>
    </row>
    <row r="466" spans="1:11" x14ac:dyDescent="0.3">
      <c r="A466" s="2" t="s">
        <v>956</v>
      </c>
      <c r="B466" s="1" t="s">
        <v>957</v>
      </c>
      <c r="C466" s="1">
        <v>18</v>
      </c>
      <c r="D466" s="1" t="s">
        <v>20</v>
      </c>
      <c r="E466" s="1" t="s">
        <v>28</v>
      </c>
      <c r="F466" s="1" t="s">
        <v>29</v>
      </c>
      <c r="G466" s="1" t="s">
        <v>16</v>
      </c>
      <c r="H466" s="1" t="s">
        <v>17</v>
      </c>
      <c r="I466" s="1" t="s">
        <v>17</v>
      </c>
      <c r="J466" s="1">
        <v>0.25</v>
      </c>
      <c r="K466" s="36">
        <v>45261</v>
      </c>
    </row>
    <row r="467" spans="1:11" x14ac:dyDescent="0.3">
      <c r="A467" s="2" t="s">
        <v>958</v>
      </c>
      <c r="B467" s="1" t="s">
        <v>959</v>
      </c>
      <c r="C467" s="1">
        <v>78</v>
      </c>
      <c r="D467" s="1" t="s">
        <v>13</v>
      </c>
      <c r="E467" s="1" t="s">
        <v>14</v>
      </c>
      <c r="F467" s="1" t="s">
        <v>62</v>
      </c>
      <c r="G467" s="1" t="s">
        <v>22</v>
      </c>
      <c r="H467" s="1" t="s">
        <v>30</v>
      </c>
      <c r="I467" s="1" t="s">
        <v>17</v>
      </c>
      <c r="J467" s="1">
        <v>0.44</v>
      </c>
      <c r="K467" s="36">
        <v>44380</v>
      </c>
    </row>
    <row r="468" spans="1:11" x14ac:dyDescent="0.3">
      <c r="A468" s="2" t="s">
        <v>960</v>
      </c>
      <c r="B468" s="1" t="s">
        <v>961</v>
      </c>
      <c r="C468" s="1">
        <v>28</v>
      </c>
      <c r="D468" s="1" t="s">
        <v>20</v>
      </c>
      <c r="E468" s="1" t="s">
        <v>28</v>
      </c>
      <c r="F468" s="1" t="s">
        <v>15</v>
      </c>
      <c r="G468" s="1" t="s">
        <v>38</v>
      </c>
      <c r="H468" s="1" t="s">
        <v>17</v>
      </c>
      <c r="I468" s="1" t="s">
        <v>17</v>
      </c>
      <c r="J468" s="1">
        <v>0.13</v>
      </c>
      <c r="K468" s="36">
        <v>44583</v>
      </c>
    </row>
    <row r="469" spans="1:11" x14ac:dyDescent="0.3">
      <c r="A469" s="2" t="s">
        <v>962</v>
      </c>
      <c r="B469" s="1" t="s">
        <v>963</v>
      </c>
      <c r="C469" s="1">
        <v>55</v>
      </c>
      <c r="D469" s="1" t="s">
        <v>13</v>
      </c>
      <c r="E469" s="1" t="s">
        <v>33</v>
      </c>
      <c r="F469" s="1" t="s">
        <v>62</v>
      </c>
      <c r="G469" s="1" t="s">
        <v>38</v>
      </c>
      <c r="H469" s="1" t="s">
        <v>30</v>
      </c>
      <c r="I469" s="1" t="s">
        <v>17</v>
      </c>
      <c r="J469" s="1">
        <v>0.44</v>
      </c>
      <c r="K469" s="36">
        <v>45598</v>
      </c>
    </row>
    <row r="470" spans="1:11" x14ac:dyDescent="0.3">
      <c r="A470" s="2" t="s">
        <v>964</v>
      </c>
      <c r="B470" s="1" t="s">
        <v>965</v>
      </c>
      <c r="C470" s="1">
        <v>29</v>
      </c>
      <c r="D470" s="1" t="s">
        <v>13</v>
      </c>
      <c r="E470" s="1" t="s">
        <v>33</v>
      </c>
      <c r="F470" s="1" t="s">
        <v>62</v>
      </c>
      <c r="G470" s="1" t="s">
        <v>16</v>
      </c>
      <c r="H470" s="1" t="s">
        <v>17</v>
      </c>
      <c r="I470" s="1" t="s">
        <v>17</v>
      </c>
      <c r="J470" s="1">
        <v>0.18</v>
      </c>
      <c r="K470" s="36">
        <v>45625</v>
      </c>
    </row>
    <row r="471" spans="1:11" x14ac:dyDescent="0.3">
      <c r="A471" s="2" t="s">
        <v>966</v>
      </c>
      <c r="B471" s="1" t="s">
        <v>967</v>
      </c>
      <c r="C471" s="1">
        <v>76</v>
      </c>
      <c r="D471" s="1" t="s">
        <v>20</v>
      </c>
      <c r="E471" s="1" t="s">
        <v>28</v>
      </c>
      <c r="F471" s="1" t="s">
        <v>46</v>
      </c>
      <c r="G471" s="1" t="s">
        <v>16</v>
      </c>
      <c r="H471" s="1" t="s">
        <v>17</v>
      </c>
      <c r="I471" s="1" t="s">
        <v>17</v>
      </c>
      <c r="J471" s="1">
        <v>0.24</v>
      </c>
      <c r="K471" s="36">
        <v>44217</v>
      </c>
    </row>
    <row r="472" spans="1:11" x14ac:dyDescent="0.3">
      <c r="A472" s="2" t="s">
        <v>968</v>
      </c>
      <c r="B472" s="1" t="s">
        <v>969</v>
      </c>
      <c r="C472" s="1">
        <v>64</v>
      </c>
      <c r="D472" s="1" t="s">
        <v>20</v>
      </c>
      <c r="E472" s="1" t="s">
        <v>28</v>
      </c>
      <c r="F472" s="1" t="s">
        <v>62</v>
      </c>
      <c r="G472" s="1" t="s">
        <v>16</v>
      </c>
      <c r="H472" s="1" t="s">
        <v>17</v>
      </c>
      <c r="I472" s="1" t="s">
        <v>30</v>
      </c>
      <c r="J472" s="1">
        <v>0.49</v>
      </c>
      <c r="K472" s="36">
        <v>44970</v>
      </c>
    </row>
    <row r="473" spans="1:11" x14ac:dyDescent="0.3">
      <c r="A473" s="2" t="s">
        <v>970</v>
      </c>
      <c r="B473" s="1" t="s">
        <v>971</v>
      </c>
      <c r="C473" s="1">
        <v>68</v>
      </c>
      <c r="D473" s="1" t="s">
        <v>20</v>
      </c>
      <c r="E473" s="1" t="s">
        <v>21</v>
      </c>
      <c r="F473" s="1" t="s">
        <v>29</v>
      </c>
      <c r="G473" s="1" t="s">
        <v>38</v>
      </c>
      <c r="H473" s="1" t="s">
        <v>30</v>
      </c>
      <c r="I473" s="1" t="s">
        <v>30</v>
      </c>
      <c r="J473" s="1">
        <v>0.5</v>
      </c>
      <c r="K473" s="36">
        <v>45266</v>
      </c>
    </row>
    <row r="474" spans="1:11" x14ac:dyDescent="0.3">
      <c r="A474" s="2" t="s">
        <v>972</v>
      </c>
      <c r="B474" s="1" t="s">
        <v>973</v>
      </c>
      <c r="C474" s="1">
        <v>45</v>
      </c>
      <c r="D474" s="1" t="s">
        <v>20</v>
      </c>
      <c r="E474" s="1" t="s">
        <v>14</v>
      </c>
      <c r="F474" s="1" t="s">
        <v>62</v>
      </c>
      <c r="G474" s="1" t="s">
        <v>16</v>
      </c>
      <c r="H474" s="1" t="s">
        <v>17</v>
      </c>
      <c r="I474" s="1" t="s">
        <v>17</v>
      </c>
      <c r="J474" s="1">
        <v>0.08</v>
      </c>
      <c r="K474" s="36">
        <v>44988</v>
      </c>
    </row>
    <row r="475" spans="1:11" x14ac:dyDescent="0.3">
      <c r="A475" s="2" t="s">
        <v>974</v>
      </c>
      <c r="B475" s="1" t="s">
        <v>975</v>
      </c>
      <c r="C475" s="1">
        <v>47</v>
      </c>
      <c r="D475" s="1" t="s">
        <v>20</v>
      </c>
      <c r="E475" s="1" t="s">
        <v>33</v>
      </c>
      <c r="F475" s="1" t="s">
        <v>62</v>
      </c>
      <c r="G475" s="1" t="s">
        <v>38</v>
      </c>
      <c r="H475" s="1" t="s">
        <v>17</v>
      </c>
      <c r="I475" s="1" t="s">
        <v>30</v>
      </c>
      <c r="J475" s="1">
        <v>0.35</v>
      </c>
      <c r="K475" s="36">
        <v>44530</v>
      </c>
    </row>
    <row r="476" spans="1:11" x14ac:dyDescent="0.3">
      <c r="A476" s="2" t="s">
        <v>976</v>
      </c>
      <c r="B476" s="1" t="s">
        <v>977</v>
      </c>
      <c r="C476" s="1">
        <v>57</v>
      </c>
      <c r="D476" s="1" t="s">
        <v>13</v>
      </c>
      <c r="E476" s="1" t="s">
        <v>28</v>
      </c>
      <c r="F476" s="1" t="s">
        <v>46</v>
      </c>
      <c r="G476" s="1" t="s">
        <v>38</v>
      </c>
      <c r="H476" s="1" t="s">
        <v>17</v>
      </c>
      <c r="I476" s="1" t="s">
        <v>30</v>
      </c>
      <c r="J476" s="1">
        <v>0.44</v>
      </c>
      <c r="K476" s="36">
        <v>44997</v>
      </c>
    </row>
    <row r="477" spans="1:11" x14ac:dyDescent="0.3">
      <c r="A477" s="2" t="s">
        <v>978</v>
      </c>
      <c r="B477" s="1" t="s">
        <v>979</v>
      </c>
      <c r="C477" s="1">
        <v>67</v>
      </c>
      <c r="D477" s="1" t="s">
        <v>20</v>
      </c>
      <c r="E477" s="1" t="s">
        <v>21</v>
      </c>
      <c r="F477" s="1" t="s">
        <v>62</v>
      </c>
      <c r="G477" s="1" t="s">
        <v>22</v>
      </c>
      <c r="H477" s="1" t="s">
        <v>17</v>
      </c>
      <c r="I477" s="1" t="s">
        <v>17</v>
      </c>
      <c r="J477" s="1">
        <v>0.3</v>
      </c>
      <c r="K477" s="36">
        <v>46060</v>
      </c>
    </row>
    <row r="478" spans="1:11" x14ac:dyDescent="0.3">
      <c r="A478" s="2" t="s">
        <v>980</v>
      </c>
      <c r="B478" s="1" t="s">
        <v>981</v>
      </c>
      <c r="C478" s="1">
        <v>71</v>
      </c>
      <c r="D478" s="1" t="s">
        <v>20</v>
      </c>
      <c r="E478" s="1" t="s">
        <v>14</v>
      </c>
      <c r="F478" s="1" t="s">
        <v>29</v>
      </c>
      <c r="G478" s="1" t="s">
        <v>16</v>
      </c>
      <c r="H478" s="1" t="s">
        <v>17</v>
      </c>
      <c r="I478" s="1" t="s">
        <v>30</v>
      </c>
      <c r="J478" s="1">
        <v>0.4</v>
      </c>
      <c r="K478" s="36">
        <v>45357</v>
      </c>
    </row>
    <row r="479" spans="1:11" x14ac:dyDescent="0.3">
      <c r="A479" s="2" t="s">
        <v>982</v>
      </c>
      <c r="B479" s="1" t="s">
        <v>983</v>
      </c>
      <c r="C479" s="1">
        <v>19</v>
      </c>
      <c r="D479" s="1" t="s">
        <v>13</v>
      </c>
      <c r="E479" s="1" t="s">
        <v>21</v>
      </c>
      <c r="F479" s="1" t="s">
        <v>15</v>
      </c>
      <c r="G479" s="1" t="s">
        <v>16</v>
      </c>
      <c r="H479" s="1" t="s">
        <v>17</v>
      </c>
      <c r="I479" s="1" t="s">
        <v>17</v>
      </c>
      <c r="J479" s="1">
        <v>0.19</v>
      </c>
      <c r="K479" s="36">
        <v>45601</v>
      </c>
    </row>
    <row r="480" spans="1:11" x14ac:dyDescent="0.3">
      <c r="A480" s="2" t="s">
        <v>984</v>
      </c>
      <c r="B480" s="1" t="s">
        <v>985</v>
      </c>
      <c r="C480" s="1">
        <v>59</v>
      </c>
      <c r="D480" s="1" t="s">
        <v>13</v>
      </c>
      <c r="E480" s="1" t="s">
        <v>21</v>
      </c>
      <c r="F480" s="1" t="s">
        <v>62</v>
      </c>
      <c r="G480" s="1" t="s">
        <v>43</v>
      </c>
      <c r="H480" s="1" t="s">
        <v>30</v>
      </c>
      <c r="I480" s="1" t="s">
        <v>30</v>
      </c>
      <c r="J480" s="1">
        <v>0.61</v>
      </c>
      <c r="K480" s="36">
        <v>45954</v>
      </c>
    </row>
    <row r="481" spans="1:11" x14ac:dyDescent="0.3">
      <c r="A481" s="2" t="s">
        <v>986</v>
      </c>
      <c r="B481" s="1" t="s">
        <v>987</v>
      </c>
      <c r="C481" s="1">
        <v>24</v>
      </c>
      <c r="D481" s="1" t="s">
        <v>20</v>
      </c>
      <c r="E481" s="1" t="s">
        <v>28</v>
      </c>
      <c r="F481" s="1" t="s">
        <v>62</v>
      </c>
      <c r="G481" s="1" t="s">
        <v>43</v>
      </c>
      <c r="H481" s="1" t="s">
        <v>17</v>
      </c>
      <c r="I481" s="1" t="s">
        <v>17</v>
      </c>
      <c r="J481" s="1">
        <v>0.22</v>
      </c>
      <c r="K481" s="36">
        <v>45755</v>
      </c>
    </row>
    <row r="482" spans="1:11" x14ac:dyDescent="0.3">
      <c r="A482" s="2" t="s">
        <v>988</v>
      </c>
      <c r="B482" s="1" t="s">
        <v>989</v>
      </c>
      <c r="C482" s="1">
        <v>36</v>
      </c>
      <c r="D482" s="1" t="s">
        <v>13</v>
      </c>
      <c r="E482" s="1" t="s">
        <v>21</v>
      </c>
      <c r="F482" s="1" t="s">
        <v>46</v>
      </c>
      <c r="G482" s="1" t="s">
        <v>22</v>
      </c>
      <c r="H482" s="1" t="s">
        <v>30</v>
      </c>
      <c r="I482" s="1" t="s">
        <v>17</v>
      </c>
      <c r="J482" s="1">
        <v>0.47</v>
      </c>
      <c r="K482" s="36">
        <v>44910</v>
      </c>
    </row>
    <row r="483" spans="1:11" x14ac:dyDescent="0.3">
      <c r="A483" s="2" t="s">
        <v>990</v>
      </c>
      <c r="B483" s="1" t="s">
        <v>991</v>
      </c>
      <c r="C483" s="1">
        <v>70</v>
      </c>
      <c r="D483" s="1" t="s">
        <v>13</v>
      </c>
      <c r="E483" s="1" t="s">
        <v>28</v>
      </c>
      <c r="F483" s="1" t="s">
        <v>15</v>
      </c>
      <c r="G483" s="1" t="s">
        <v>25</v>
      </c>
      <c r="H483" s="1" t="s">
        <v>17</v>
      </c>
      <c r="I483" s="1" t="s">
        <v>17</v>
      </c>
      <c r="J483" s="1">
        <v>0.26</v>
      </c>
      <c r="K483" s="36">
        <v>44089</v>
      </c>
    </row>
    <row r="484" spans="1:11" x14ac:dyDescent="0.3">
      <c r="A484" s="2" t="s">
        <v>992</v>
      </c>
      <c r="B484" s="1" t="s">
        <v>993</v>
      </c>
      <c r="C484" s="1">
        <v>33</v>
      </c>
      <c r="D484" s="1" t="s">
        <v>13</v>
      </c>
      <c r="E484" s="1" t="s">
        <v>28</v>
      </c>
      <c r="F484" s="1" t="s">
        <v>29</v>
      </c>
      <c r="G484" s="1" t="s">
        <v>38</v>
      </c>
      <c r="H484" s="1" t="s">
        <v>17</v>
      </c>
      <c r="I484" s="1" t="s">
        <v>17</v>
      </c>
      <c r="J484" s="1">
        <v>0.2</v>
      </c>
      <c r="K484" s="36">
        <v>44848</v>
      </c>
    </row>
    <row r="485" spans="1:11" x14ac:dyDescent="0.3">
      <c r="A485" s="2" t="s">
        <v>994</v>
      </c>
      <c r="B485" s="1" t="s">
        <v>995</v>
      </c>
      <c r="C485" s="1">
        <v>68</v>
      </c>
      <c r="D485" s="1" t="s">
        <v>13</v>
      </c>
      <c r="E485" s="1" t="s">
        <v>28</v>
      </c>
      <c r="F485" s="1" t="s">
        <v>29</v>
      </c>
      <c r="G485" s="1" t="s">
        <v>43</v>
      </c>
      <c r="H485" s="1" t="s">
        <v>17</v>
      </c>
      <c r="I485" s="1" t="s">
        <v>17</v>
      </c>
      <c r="J485" s="1">
        <v>0.43</v>
      </c>
      <c r="K485" s="36">
        <v>45728</v>
      </c>
    </row>
    <row r="486" spans="1:11" x14ac:dyDescent="0.3">
      <c r="A486" s="2" t="s">
        <v>996</v>
      </c>
      <c r="B486" s="1" t="s">
        <v>997</v>
      </c>
      <c r="C486" s="1">
        <v>47</v>
      </c>
      <c r="D486" s="1" t="s">
        <v>20</v>
      </c>
      <c r="E486" s="1" t="s">
        <v>21</v>
      </c>
      <c r="F486" s="1" t="s">
        <v>15</v>
      </c>
      <c r="G486" s="1" t="s">
        <v>22</v>
      </c>
      <c r="H486" s="1" t="s">
        <v>30</v>
      </c>
      <c r="I486" s="1" t="s">
        <v>17</v>
      </c>
      <c r="J486" s="1">
        <v>0.37</v>
      </c>
      <c r="K486" s="36">
        <v>45947</v>
      </c>
    </row>
    <row r="487" spans="1:11" x14ac:dyDescent="0.3">
      <c r="A487" s="2" t="s">
        <v>998</v>
      </c>
      <c r="B487" s="1" t="s">
        <v>999</v>
      </c>
      <c r="C487" s="1">
        <v>32</v>
      </c>
      <c r="D487" s="1" t="s">
        <v>13</v>
      </c>
      <c r="E487" s="1" t="s">
        <v>21</v>
      </c>
      <c r="F487" s="1" t="s">
        <v>15</v>
      </c>
      <c r="G487" s="1" t="s">
        <v>25</v>
      </c>
      <c r="H487" s="1" t="s">
        <v>30</v>
      </c>
      <c r="I487" s="1" t="s">
        <v>17</v>
      </c>
      <c r="J487" s="1">
        <v>0.41</v>
      </c>
      <c r="K487" s="36">
        <v>46166</v>
      </c>
    </row>
    <row r="488" spans="1:11" x14ac:dyDescent="0.3">
      <c r="A488" s="2" t="s">
        <v>1000</v>
      </c>
      <c r="B488" s="1" t="s">
        <v>1001</v>
      </c>
      <c r="C488" s="1">
        <v>39</v>
      </c>
      <c r="D488" s="1" t="s">
        <v>20</v>
      </c>
      <c r="E488" s="1" t="s">
        <v>14</v>
      </c>
      <c r="F488" s="1" t="s">
        <v>29</v>
      </c>
      <c r="G488" s="1" t="s">
        <v>43</v>
      </c>
      <c r="H488" s="1" t="s">
        <v>17</v>
      </c>
      <c r="I488" s="1" t="s">
        <v>17</v>
      </c>
      <c r="J488" s="1">
        <v>0.24</v>
      </c>
      <c r="K488" s="36">
        <v>44995</v>
      </c>
    </row>
    <row r="489" spans="1:11" x14ac:dyDescent="0.3">
      <c r="A489" s="2" t="s">
        <v>1002</v>
      </c>
      <c r="B489" s="1" t="s">
        <v>1003</v>
      </c>
      <c r="C489" s="1">
        <v>51</v>
      </c>
      <c r="D489" s="1" t="s">
        <v>13</v>
      </c>
      <c r="E489" s="1" t="s">
        <v>33</v>
      </c>
      <c r="F489" s="1" t="s">
        <v>46</v>
      </c>
      <c r="G489" s="1" t="s">
        <v>25</v>
      </c>
      <c r="H489" s="1" t="s">
        <v>17</v>
      </c>
      <c r="I489" s="1" t="s">
        <v>30</v>
      </c>
      <c r="J489" s="1">
        <v>0.39</v>
      </c>
      <c r="K489" s="36">
        <v>45715</v>
      </c>
    </row>
    <row r="490" spans="1:11" x14ac:dyDescent="0.3">
      <c r="A490" s="2" t="s">
        <v>1004</v>
      </c>
      <c r="B490" s="1" t="s">
        <v>1005</v>
      </c>
      <c r="C490" s="1">
        <v>66</v>
      </c>
      <c r="D490" s="1" t="s">
        <v>13</v>
      </c>
      <c r="E490" s="1" t="s">
        <v>28</v>
      </c>
      <c r="F490" s="1" t="s">
        <v>15</v>
      </c>
      <c r="G490" s="1" t="s">
        <v>43</v>
      </c>
      <c r="H490" s="1" t="s">
        <v>17</v>
      </c>
      <c r="I490" s="1" t="s">
        <v>30</v>
      </c>
      <c r="J490" s="1">
        <v>0.45</v>
      </c>
      <c r="K490" s="36">
        <v>45274</v>
      </c>
    </row>
    <row r="491" spans="1:11" x14ac:dyDescent="0.3">
      <c r="A491" s="2" t="s">
        <v>1006</v>
      </c>
      <c r="B491" s="1" t="s">
        <v>1007</v>
      </c>
      <c r="C491" s="1">
        <v>56</v>
      </c>
      <c r="D491" s="1" t="s">
        <v>20</v>
      </c>
      <c r="E491" s="1" t="s">
        <v>14</v>
      </c>
      <c r="F491" s="1" t="s">
        <v>46</v>
      </c>
      <c r="G491" s="1" t="s">
        <v>38</v>
      </c>
      <c r="H491" s="1" t="s">
        <v>17</v>
      </c>
      <c r="I491" s="1" t="s">
        <v>17</v>
      </c>
      <c r="J491" s="1">
        <v>0.28999999999999998</v>
      </c>
      <c r="K491" s="36">
        <v>45399</v>
      </c>
    </row>
    <row r="492" spans="1:11" x14ac:dyDescent="0.3">
      <c r="A492" s="2" t="s">
        <v>1008</v>
      </c>
      <c r="B492" s="1" t="s">
        <v>1009</v>
      </c>
      <c r="C492" s="1">
        <v>76</v>
      </c>
      <c r="D492" s="1" t="s">
        <v>20</v>
      </c>
      <c r="E492" s="1" t="s">
        <v>21</v>
      </c>
      <c r="F492" s="1" t="s">
        <v>46</v>
      </c>
      <c r="G492" s="1" t="s">
        <v>47</v>
      </c>
      <c r="H492" s="1" t="s">
        <v>30</v>
      </c>
      <c r="I492" s="1" t="s">
        <v>17</v>
      </c>
      <c r="J492" s="1">
        <v>0.47</v>
      </c>
      <c r="K492" s="36">
        <v>44560</v>
      </c>
    </row>
    <row r="493" spans="1:11" x14ac:dyDescent="0.3">
      <c r="A493" s="2" t="s">
        <v>1010</v>
      </c>
      <c r="B493" s="1" t="s">
        <v>1011</v>
      </c>
      <c r="C493" s="1">
        <v>72</v>
      </c>
      <c r="D493" s="1" t="s">
        <v>13</v>
      </c>
      <c r="E493" s="1" t="s">
        <v>28</v>
      </c>
      <c r="F493" s="1" t="s">
        <v>62</v>
      </c>
      <c r="G493" s="1" t="s">
        <v>16</v>
      </c>
      <c r="H493" s="1" t="s">
        <v>17</v>
      </c>
      <c r="I493" s="1" t="s">
        <v>30</v>
      </c>
      <c r="J493" s="1">
        <v>0.4</v>
      </c>
      <c r="K493" s="36">
        <v>44557</v>
      </c>
    </row>
    <row r="494" spans="1:11" x14ac:dyDescent="0.3">
      <c r="A494" s="2" t="s">
        <v>1012</v>
      </c>
      <c r="B494" s="1" t="s">
        <v>1013</v>
      </c>
      <c r="C494" s="1">
        <v>65</v>
      </c>
      <c r="D494" s="1" t="s">
        <v>13</v>
      </c>
      <c r="E494" s="1" t="s">
        <v>28</v>
      </c>
      <c r="F494" s="1" t="s">
        <v>15</v>
      </c>
      <c r="G494" s="1" t="s">
        <v>16</v>
      </c>
      <c r="H494" s="1" t="s">
        <v>17</v>
      </c>
      <c r="I494" s="1" t="s">
        <v>17</v>
      </c>
      <c r="J494" s="1">
        <v>0.3</v>
      </c>
      <c r="K494" s="36">
        <v>45032</v>
      </c>
    </row>
    <row r="495" spans="1:11" x14ac:dyDescent="0.3">
      <c r="A495" s="2" t="s">
        <v>1014</v>
      </c>
      <c r="B495" s="1" t="s">
        <v>1015</v>
      </c>
      <c r="C495" s="1">
        <v>55</v>
      </c>
      <c r="D495" s="1" t="s">
        <v>20</v>
      </c>
      <c r="E495" s="1" t="s">
        <v>33</v>
      </c>
      <c r="F495" s="1" t="s">
        <v>29</v>
      </c>
      <c r="G495" s="1" t="s">
        <v>38</v>
      </c>
      <c r="H495" s="1" t="s">
        <v>17</v>
      </c>
      <c r="I495" s="1" t="s">
        <v>30</v>
      </c>
      <c r="J495" s="1">
        <v>0.55000000000000004</v>
      </c>
      <c r="K495" s="36">
        <v>44140</v>
      </c>
    </row>
    <row r="496" spans="1:11" x14ac:dyDescent="0.3">
      <c r="A496" s="2" t="s">
        <v>1016</v>
      </c>
      <c r="B496" s="1" t="s">
        <v>1017</v>
      </c>
      <c r="C496" s="1">
        <v>36</v>
      </c>
      <c r="D496" s="1" t="s">
        <v>13</v>
      </c>
      <c r="E496" s="1" t="s">
        <v>33</v>
      </c>
      <c r="F496" s="1" t="s">
        <v>29</v>
      </c>
      <c r="G496" s="1" t="s">
        <v>25</v>
      </c>
      <c r="H496" s="1" t="s">
        <v>17</v>
      </c>
      <c r="I496" s="1" t="s">
        <v>17</v>
      </c>
      <c r="J496" s="1">
        <v>0.27</v>
      </c>
      <c r="K496" s="36">
        <v>44813</v>
      </c>
    </row>
    <row r="497" spans="1:11" x14ac:dyDescent="0.3">
      <c r="A497" s="2" t="s">
        <v>1018</v>
      </c>
      <c r="B497" s="1" t="s">
        <v>169</v>
      </c>
      <c r="C497" s="1">
        <v>43</v>
      </c>
      <c r="D497" s="1" t="s">
        <v>13</v>
      </c>
      <c r="E497" s="1" t="s">
        <v>28</v>
      </c>
      <c r="F497" s="1" t="s">
        <v>29</v>
      </c>
      <c r="G497" s="1" t="s">
        <v>38</v>
      </c>
      <c r="H497" s="1" t="s">
        <v>17</v>
      </c>
      <c r="I497" s="1" t="s">
        <v>30</v>
      </c>
      <c r="J497" s="1">
        <v>0.37</v>
      </c>
      <c r="K497" s="36">
        <v>45565</v>
      </c>
    </row>
    <row r="498" spans="1:11" x14ac:dyDescent="0.3">
      <c r="A498" s="2" t="s">
        <v>1019</v>
      </c>
      <c r="B498" s="1" t="s">
        <v>1020</v>
      </c>
      <c r="C498" s="1">
        <v>25</v>
      </c>
      <c r="D498" s="1" t="s">
        <v>20</v>
      </c>
      <c r="E498" s="1" t="s">
        <v>14</v>
      </c>
      <c r="F498" s="1" t="s">
        <v>62</v>
      </c>
      <c r="G498" s="1" t="s">
        <v>43</v>
      </c>
      <c r="H498" s="1" t="s">
        <v>17</v>
      </c>
      <c r="I498" s="1" t="s">
        <v>30</v>
      </c>
      <c r="J498" s="1">
        <v>0.45</v>
      </c>
      <c r="K498" s="36">
        <v>44963</v>
      </c>
    </row>
    <row r="499" spans="1:11" x14ac:dyDescent="0.3">
      <c r="A499" s="2" t="s">
        <v>1021</v>
      </c>
      <c r="B499" s="1" t="s">
        <v>1022</v>
      </c>
      <c r="C499" s="1">
        <v>41</v>
      </c>
      <c r="D499" s="1" t="s">
        <v>20</v>
      </c>
      <c r="E499" s="1" t="s">
        <v>21</v>
      </c>
      <c r="F499" s="1" t="s">
        <v>62</v>
      </c>
      <c r="G499" s="1" t="s">
        <v>38</v>
      </c>
      <c r="H499" s="1" t="s">
        <v>30</v>
      </c>
      <c r="I499" s="1" t="s">
        <v>17</v>
      </c>
      <c r="J499" s="1">
        <v>0.33</v>
      </c>
      <c r="K499" s="36">
        <v>44438</v>
      </c>
    </row>
    <row r="500" spans="1:11" x14ac:dyDescent="0.3">
      <c r="A500" s="2" t="s">
        <v>1023</v>
      </c>
      <c r="B500" s="1" t="s">
        <v>1024</v>
      </c>
      <c r="C500" s="1">
        <v>76</v>
      </c>
      <c r="D500" s="1" t="s">
        <v>20</v>
      </c>
      <c r="E500" s="1" t="s">
        <v>33</v>
      </c>
      <c r="F500" s="1" t="s">
        <v>62</v>
      </c>
      <c r="G500" s="1" t="s">
        <v>22</v>
      </c>
      <c r="H500" s="1" t="s">
        <v>17</v>
      </c>
      <c r="I500" s="1" t="s">
        <v>30</v>
      </c>
      <c r="J500" s="1">
        <v>0.41</v>
      </c>
      <c r="K500" s="36">
        <v>45101</v>
      </c>
    </row>
    <row r="501" spans="1:11" x14ac:dyDescent="0.3">
      <c r="A501" s="2" t="s">
        <v>1025</v>
      </c>
      <c r="B501" s="1" t="s">
        <v>1026</v>
      </c>
      <c r="C501" s="1">
        <v>44</v>
      </c>
      <c r="D501" s="1" t="s">
        <v>13</v>
      </c>
      <c r="E501" s="1" t="s">
        <v>14</v>
      </c>
      <c r="F501" s="1" t="s">
        <v>29</v>
      </c>
      <c r="G501" s="1" t="s">
        <v>25</v>
      </c>
      <c r="H501" s="1" t="s">
        <v>17</v>
      </c>
      <c r="I501" s="1" t="s">
        <v>17</v>
      </c>
      <c r="J501" s="1">
        <v>0.26</v>
      </c>
      <c r="K501" s="36">
        <v>44356</v>
      </c>
    </row>
    <row r="502" spans="1:11" x14ac:dyDescent="0.3">
      <c r="A502" s="2" t="s">
        <v>1027</v>
      </c>
      <c r="B502" s="1" t="s">
        <v>1028</v>
      </c>
      <c r="C502" s="1">
        <v>25</v>
      </c>
      <c r="D502" s="1" t="s">
        <v>20</v>
      </c>
      <c r="E502" s="1" t="s">
        <v>28</v>
      </c>
      <c r="F502" s="1" t="s">
        <v>46</v>
      </c>
      <c r="G502" s="1" t="s">
        <v>16</v>
      </c>
      <c r="H502" s="1" t="s">
        <v>30</v>
      </c>
      <c r="I502" s="1" t="s">
        <v>17</v>
      </c>
      <c r="J502" s="1">
        <v>0.52</v>
      </c>
      <c r="K502" s="36">
        <v>45440</v>
      </c>
    </row>
    <row r="503" spans="1:11" x14ac:dyDescent="0.3">
      <c r="A503" s="2" t="s">
        <v>1029</v>
      </c>
      <c r="B503" s="1" t="s">
        <v>1030</v>
      </c>
      <c r="C503" s="1">
        <v>59</v>
      </c>
      <c r="D503" s="1" t="s">
        <v>13</v>
      </c>
      <c r="E503" s="1" t="s">
        <v>28</v>
      </c>
      <c r="F503" s="1" t="s">
        <v>62</v>
      </c>
      <c r="G503" s="1" t="s">
        <v>25</v>
      </c>
      <c r="H503" s="1" t="s">
        <v>17</v>
      </c>
      <c r="I503" s="1" t="s">
        <v>17</v>
      </c>
      <c r="J503" s="1">
        <v>0.23</v>
      </c>
      <c r="K503" s="36">
        <v>44136</v>
      </c>
    </row>
    <row r="504" spans="1:11" x14ac:dyDescent="0.3">
      <c r="A504" s="2" t="s">
        <v>1031</v>
      </c>
      <c r="B504" s="1" t="s">
        <v>1032</v>
      </c>
      <c r="C504" s="1">
        <v>78</v>
      </c>
      <c r="D504" s="1" t="s">
        <v>20</v>
      </c>
      <c r="E504" s="1" t="s">
        <v>14</v>
      </c>
      <c r="F504" s="1" t="s">
        <v>46</v>
      </c>
      <c r="G504" s="1" t="s">
        <v>25</v>
      </c>
      <c r="H504" s="1" t="s">
        <v>17</v>
      </c>
      <c r="I504" s="1" t="s">
        <v>17</v>
      </c>
      <c r="J504" s="1">
        <v>0.25</v>
      </c>
      <c r="K504" s="36">
        <v>44940</v>
      </c>
    </row>
    <row r="505" spans="1:11" x14ac:dyDescent="0.3">
      <c r="A505" s="2" t="s">
        <v>1033</v>
      </c>
      <c r="B505" s="1" t="s">
        <v>1034</v>
      </c>
      <c r="C505" s="1">
        <v>72</v>
      </c>
      <c r="D505" s="1" t="s">
        <v>13</v>
      </c>
      <c r="E505" s="1" t="s">
        <v>14</v>
      </c>
      <c r="F505" s="1" t="s">
        <v>15</v>
      </c>
      <c r="G505" s="1" t="s">
        <v>43</v>
      </c>
      <c r="H505" s="1" t="s">
        <v>17</v>
      </c>
      <c r="I505" s="1" t="s">
        <v>17</v>
      </c>
      <c r="J505" s="1">
        <v>0.41</v>
      </c>
      <c r="K505" s="36">
        <v>45314</v>
      </c>
    </row>
    <row r="506" spans="1:11" x14ac:dyDescent="0.3">
      <c r="A506" s="2" t="s">
        <v>1035</v>
      </c>
      <c r="B506" s="1" t="s">
        <v>1036</v>
      </c>
      <c r="C506" s="1">
        <v>35</v>
      </c>
      <c r="D506" s="1" t="s">
        <v>20</v>
      </c>
      <c r="E506" s="1" t="s">
        <v>14</v>
      </c>
      <c r="F506" s="1" t="s">
        <v>15</v>
      </c>
      <c r="G506" s="1" t="s">
        <v>22</v>
      </c>
      <c r="H506" s="1" t="s">
        <v>17</v>
      </c>
      <c r="I506" s="1" t="s">
        <v>30</v>
      </c>
      <c r="J506" s="1">
        <v>0.36</v>
      </c>
      <c r="K506" s="36">
        <v>44136</v>
      </c>
    </row>
    <row r="507" spans="1:11" x14ac:dyDescent="0.3">
      <c r="A507" s="2" t="s">
        <v>1037</v>
      </c>
      <c r="B507" s="1" t="s">
        <v>1038</v>
      </c>
      <c r="C507" s="1">
        <v>46</v>
      </c>
      <c r="D507" s="1" t="s">
        <v>20</v>
      </c>
      <c r="E507" s="1" t="s">
        <v>33</v>
      </c>
      <c r="F507" s="1" t="s">
        <v>62</v>
      </c>
      <c r="G507" s="1" t="s">
        <v>43</v>
      </c>
      <c r="H507" s="1" t="s">
        <v>17</v>
      </c>
      <c r="I507" s="1" t="s">
        <v>17</v>
      </c>
      <c r="J507" s="1">
        <v>0.31</v>
      </c>
      <c r="K507" s="36">
        <v>45485</v>
      </c>
    </row>
    <row r="508" spans="1:11" x14ac:dyDescent="0.3">
      <c r="A508" s="2" t="s">
        <v>1039</v>
      </c>
      <c r="B508" s="1" t="s">
        <v>1040</v>
      </c>
      <c r="C508" s="1">
        <v>51</v>
      </c>
      <c r="D508" s="1" t="s">
        <v>13</v>
      </c>
      <c r="E508" s="1" t="s">
        <v>33</v>
      </c>
      <c r="F508" s="1" t="s">
        <v>29</v>
      </c>
      <c r="G508" s="1" t="s">
        <v>16</v>
      </c>
      <c r="H508" s="1" t="s">
        <v>17</v>
      </c>
      <c r="I508" s="1" t="s">
        <v>17</v>
      </c>
      <c r="J508" s="1">
        <v>0.21</v>
      </c>
      <c r="K508" s="36">
        <v>44374</v>
      </c>
    </row>
    <row r="509" spans="1:11" x14ac:dyDescent="0.3">
      <c r="A509" s="2" t="s">
        <v>1041</v>
      </c>
      <c r="B509" s="1" t="s">
        <v>1042</v>
      </c>
      <c r="C509" s="1">
        <v>33</v>
      </c>
      <c r="D509" s="1" t="s">
        <v>20</v>
      </c>
      <c r="E509" s="1" t="s">
        <v>33</v>
      </c>
      <c r="F509" s="1" t="s">
        <v>46</v>
      </c>
      <c r="G509" s="1" t="s">
        <v>43</v>
      </c>
      <c r="H509" s="1" t="s">
        <v>17</v>
      </c>
      <c r="I509" s="1" t="s">
        <v>17</v>
      </c>
      <c r="J509" s="1">
        <v>0.21</v>
      </c>
      <c r="K509" s="36">
        <v>45089</v>
      </c>
    </row>
    <row r="510" spans="1:11" x14ac:dyDescent="0.3">
      <c r="A510" s="2" t="s">
        <v>1043</v>
      </c>
      <c r="B510" s="1" t="s">
        <v>1044</v>
      </c>
      <c r="C510" s="1">
        <v>34</v>
      </c>
      <c r="D510" s="1" t="s">
        <v>13</v>
      </c>
      <c r="E510" s="1" t="s">
        <v>33</v>
      </c>
      <c r="F510" s="1" t="s">
        <v>62</v>
      </c>
      <c r="G510" s="1" t="s">
        <v>25</v>
      </c>
      <c r="H510" s="1" t="s">
        <v>17</v>
      </c>
      <c r="I510" s="1" t="s">
        <v>30</v>
      </c>
      <c r="J510" s="1">
        <v>0.33</v>
      </c>
      <c r="K510" s="36">
        <v>44187</v>
      </c>
    </row>
    <row r="511" spans="1:11" x14ac:dyDescent="0.3">
      <c r="A511" s="2" t="s">
        <v>1045</v>
      </c>
      <c r="B511" s="1" t="s">
        <v>1046</v>
      </c>
      <c r="C511" s="1">
        <v>32</v>
      </c>
      <c r="D511" s="1" t="s">
        <v>13</v>
      </c>
      <c r="E511" s="1" t="s">
        <v>28</v>
      </c>
      <c r="F511" s="1" t="s">
        <v>46</v>
      </c>
      <c r="G511" s="1" t="s">
        <v>38</v>
      </c>
      <c r="H511" s="1" t="s">
        <v>17</v>
      </c>
      <c r="I511" s="1" t="s">
        <v>17</v>
      </c>
      <c r="J511" s="1">
        <v>0.26</v>
      </c>
      <c r="K511" s="36">
        <v>44907</v>
      </c>
    </row>
    <row r="512" spans="1:11" x14ac:dyDescent="0.3">
      <c r="A512" s="2" t="s">
        <v>1047</v>
      </c>
      <c r="B512" s="1" t="s">
        <v>1048</v>
      </c>
      <c r="C512" s="1">
        <v>80</v>
      </c>
      <c r="D512" s="1" t="s">
        <v>13</v>
      </c>
      <c r="E512" s="1" t="s">
        <v>14</v>
      </c>
      <c r="F512" s="1" t="s">
        <v>46</v>
      </c>
      <c r="G512" s="1" t="s">
        <v>16</v>
      </c>
      <c r="H512" s="1" t="s">
        <v>30</v>
      </c>
      <c r="I512" s="1" t="s">
        <v>30</v>
      </c>
      <c r="J512" s="1">
        <v>0.69</v>
      </c>
      <c r="K512" s="36">
        <v>44540</v>
      </c>
    </row>
    <row r="513" spans="1:11" x14ac:dyDescent="0.3">
      <c r="A513" s="2" t="s">
        <v>1049</v>
      </c>
      <c r="B513" s="1" t="s">
        <v>1050</v>
      </c>
      <c r="C513" s="1">
        <v>64</v>
      </c>
      <c r="D513" s="1" t="s">
        <v>13</v>
      </c>
      <c r="E513" s="1" t="s">
        <v>21</v>
      </c>
      <c r="F513" s="1" t="s">
        <v>15</v>
      </c>
      <c r="G513" s="1" t="s">
        <v>43</v>
      </c>
      <c r="H513" s="1" t="s">
        <v>17</v>
      </c>
      <c r="I513" s="1" t="s">
        <v>30</v>
      </c>
      <c r="J513" s="1">
        <v>0.37</v>
      </c>
      <c r="K513" s="36">
        <v>44793</v>
      </c>
    </row>
    <row r="514" spans="1:11" x14ac:dyDescent="0.3">
      <c r="A514" s="2" t="s">
        <v>1051</v>
      </c>
      <c r="B514" s="1" t="s">
        <v>1052</v>
      </c>
      <c r="C514" s="1">
        <v>70</v>
      </c>
      <c r="D514" s="1" t="s">
        <v>20</v>
      </c>
      <c r="E514" s="1" t="s">
        <v>28</v>
      </c>
      <c r="F514" s="1" t="s">
        <v>62</v>
      </c>
      <c r="G514" s="1" t="s">
        <v>38</v>
      </c>
      <c r="H514" s="1" t="s">
        <v>30</v>
      </c>
      <c r="I514" s="1" t="s">
        <v>30</v>
      </c>
      <c r="J514" s="1">
        <v>0.59</v>
      </c>
      <c r="K514" s="36">
        <v>45745</v>
      </c>
    </row>
    <row r="515" spans="1:11" x14ac:dyDescent="0.3">
      <c r="A515" s="2" t="s">
        <v>1053</v>
      </c>
      <c r="B515" s="1" t="s">
        <v>1054</v>
      </c>
      <c r="C515" s="1">
        <v>69</v>
      </c>
      <c r="D515" s="1" t="s">
        <v>13</v>
      </c>
      <c r="E515" s="1" t="s">
        <v>28</v>
      </c>
      <c r="F515" s="1" t="s">
        <v>46</v>
      </c>
      <c r="G515" s="1" t="s">
        <v>43</v>
      </c>
      <c r="H515" s="1" t="s">
        <v>17</v>
      </c>
      <c r="I515" s="1" t="s">
        <v>30</v>
      </c>
      <c r="J515" s="1">
        <v>0.48</v>
      </c>
      <c r="K515" s="36">
        <v>44908</v>
      </c>
    </row>
    <row r="516" spans="1:11" x14ac:dyDescent="0.3">
      <c r="A516" s="2" t="s">
        <v>1055</v>
      </c>
      <c r="B516" s="1" t="s">
        <v>1056</v>
      </c>
      <c r="C516" s="1">
        <v>78</v>
      </c>
      <c r="D516" s="1" t="s">
        <v>13</v>
      </c>
      <c r="E516" s="1" t="s">
        <v>33</v>
      </c>
      <c r="F516" s="1" t="s">
        <v>15</v>
      </c>
      <c r="G516" s="1" t="s">
        <v>38</v>
      </c>
      <c r="H516" s="1" t="s">
        <v>30</v>
      </c>
      <c r="I516" s="1" t="s">
        <v>17</v>
      </c>
      <c r="J516" s="1">
        <v>0.45</v>
      </c>
      <c r="K516" s="36">
        <v>45725</v>
      </c>
    </row>
    <row r="517" spans="1:11" x14ac:dyDescent="0.3">
      <c r="A517" s="2" t="s">
        <v>1057</v>
      </c>
      <c r="B517" s="1" t="s">
        <v>1058</v>
      </c>
      <c r="C517" s="1">
        <v>24</v>
      </c>
      <c r="D517" s="1" t="s">
        <v>20</v>
      </c>
      <c r="E517" s="1" t="s">
        <v>14</v>
      </c>
      <c r="F517" s="1" t="s">
        <v>29</v>
      </c>
      <c r="G517" s="1" t="s">
        <v>43</v>
      </c>
      <c r="H517" s="1" t="s">
        <v>17</v>
      </c>
      <c r="I517" s="1" t="s">
        <v>30</v>
      </c>
      <c r="J517" s="1">
        <v>0.37</v>
      </c>
      <c r="K517" s="36">
        <v>45900</v>
      </c>
    </row>
    <row r="518" spans="1:11" x14ac:dyDescent="0.3">
      <c r="A518" s="2" t="s">
        <v>1059</v>
      </c>
      <c r="B518" s="1" t="s">
        <v>1060</v>
      </c>
      <c r="C518" s="1">
        <v>73</v>
      </c>
      <c r="D518" s="1" t="s">
        <v>20</v>
      </c>
      <c r="E518" s="1" t="s">
        <v>14</v>
      </c>
      <c r="F518" s="1" t="s">
        <v>15</v>
      </c>
      <c r="G518" s="1" t="s">
        <v>25</v>
      </c>
      <c r="H518" s="1" t="s">
        <v>30</v>
      </c>
      <c r="I518" s="1" t="s">
        <v>30</v>
      </c>
      <c r="J518" s="1">
        <v>0.67</v>
      </c>
      <c r="K518" s="36">
        <v>44629</v>
      </c>
    </row>
    <row r="519" spans="1:11" x14ac:dyDescent="0.3">
      <c r="A519" s="2" t="s">
        <v>1061</v>
      </c>
      <c r="B519" s="1" t="s">
        <v>1062</v>
      </c>
      <c r="C519" s="1">
        <v>22</v>
      </c>
      <c r="D519" s="1" t="s">
        <v>13</v>
      </c>
      <c r="E519" s="1" t="s">
        <v>14</v>
      </c>
      <c r="F519" s="1" t="s">
        <v>29</v>
      </c>
      <c r="G519" s="1" t="s">
        <v>38</v>
      </c>
      <c r="H519" s="1" t="s">
        <v>17</v>
      </c>
      <c r="I519" s="1" t="s">
        <v>17</v>
      </c>
      <c r="J519" s="1">
        <v>0.32</v>
      </c>
      <c r="K519" s="36">
        <v>44256</v>
      </c>
    </row>
    <row r="520" spans="1:11" x14ac:dyDescent="0.3">
      <c r="A520" s="2" t="s">
        <v>1063</v>
      </c>
      <c r="B520" s="1" t="s">
        <v>1064</v>
      </c>
      <c r="C520" s="1">
        <v>47</v>
      </c>
      <c r="D520" s="1" t="s">
        <v>20</v>
      </c>
      <c r="E520" s="1" t="s">
        <v>21</v>
      </c>
      <c r="F520" s="1" t="s">
        <v>29</v>
      </c>
      <c r="G520" s="1" t="s">
        <v>25</v>
      </c>
      <c r="H520" s="1" t="s">
        <v>17</v>
      </c>
      <c r="I520" s="1" t="s">
        <v>30</v>
      </c>
      <c r="J520" s="1">
        <v>0.32</v>
      </c>
      <c r="K520" s="36">
        <v>44119</v>
      </c>
    </row>
    <row r="521" spans="1:11" x14ac:dyDescent="0.3">
      <c r="A521" s="2" t="s">
        <v>1065</v>
      </c>
      <c r="B521" s="1" t="s">
        <v>1066</v>
      </c>
      <c r="C521" s="1">
        <v>55</v>
      </c>
      <c r="D521" s="1" t="s">
        <v>13</v>
      </c>
      <c r="E521" s="1" t="s">
        <v>33</v>
      </c>
      <c r="F521" s="1" t="s">
        <v>15</v>
      </c>
      <c r="G521" s="1" t="s">
        <v>38</v>
      </c>
      <c r="H521" s="1" t="s">
        <v>17</v>
      </c>
      <c r="I521" s="1" t="s">
        <v>30</v>
      </c>
      <c r="J521" s="1">
        <v>0.44</v>
      </c>
      <c r="K521" s="36">
        <v>45259</v>
      </c>
    </row>
    <row r="522" spans="1:11" x14ac:dyDescent="0.3">
      <c r="A522" s="2" t="s">
        <v>1067</v>
      </c>
      <c r="B522" s="1" t="s">
        <v>1068</v>
      </c>
      <c r="C522" s="1">
        <v>40</v>
      </c>
      <c r="D522" s="1" t="s">
        <v>13</v>
      </c>
      <c r="E522" s="1" t="s">
        <v>14</v>
      </c>
      <c r="F522" s="1" t="s">
        <v>62</v>
      </c>
      <c r="G522" s="1" t="s">
        <v>16</v>
      </c>
      <c r="H522" s="1" t="s">
        <v>17</v>
      </c>
      <c r="I522" s="1" t="s">
        <v>30</v>
      </c>
      <c r="J522" s="1">
        <v>0.28000000000000003</v>
      </c>
      <c r="K522" s="36">
        <v>46268</v>
      </c>
    </row>
    <row r="523" spans="1:11" x14ac:dyDescent="0.3">
      <c r="A523" s="2" t="s">
        <v>1069</v>
      </c>
      <c r="B523" s="1" t="s">
        <v>1070</v>
      </c>
      <c r="C523" s="1">
        <v>27</v>
      </c>
      <c r="D523" s="1" t="s">
        <v>13</v>
      </c>
      <c r="E523" s="1" t="s">
        <v>14</v>
      </c>
      <c r="F523" s="1" t="s">
        <v>62</v>
      </c>
      <c r="G523" s="1" t="s">
        <v>43</v>
      </c>
      <c r="H523" s="1" t="s">
        <v>17</v>
      </c>
      <c r="I523" s="1" t="s">
        <v>30</v>
      </c>
      <c r="J523" s="1">
        <v>0.3</v>
      </c>
      <c r="K523" s="36">
        <v>44844</v>
      </c>
    </row>
    <row r="524" spans="1:11" x14ac:dyDescent="0.3">
      <c r="A524" s="2" t="s">
        <v>1071</v>
      </c>
      <c r="B524" s="1" t="s">
        <v>1072</v>
      </c>
      <c r="C524" s="1">
        <v>30</v>
      </c>
      <c r="D524" s="1" t="s">
        <v>20</v>
      </c>
      <c r="E524" s="1" t="s">
        <v>33</v>
      </c>
      <c r="F524" s="1" t="s">
        <v>15</v>
      </c>
      <c r="G524" s="1" t="s">
        <v>47</v>
      </c>
      <c r="H524" s="1" t="s">
        <v>17</v>
      </c>
      <c r="I524" s="1" t="s">
        <v>17</v>
      </c>
      <c r="J524" s="1">
        <v>0.21</v>
      </c>
      <c r="K524" s="36">
        <v>45502</v>
      </c>
    </row>
    <row r="525" spans="1:11" x14ac:dyDescent="0.3">
      <c r="A525" s="2" t="s">
        <v>1073</v>
      </c>
      <c r="B525" s="1" t="s">
        <v>1074</v>
      </c>
      <c r="C525" s="1">
        <v>69</v>
      </c>
      <c r="D525" s="1" t="s">
        <v>20</v>
      </c>
      <c r="E525" s="1" t="s">
        <v>28</v>
      </c>
      <c r="F525" s="1" t="s">
        <v>15</v>
      </c>
      <c r="G525" s="1" t="s">
        <v>47</v>
      </c>
      <c r="H525" s="1" t="s">
        <v>17</v>
      </c>
      <c r="I525" s="1" t="s">
        <v>30</v>
      </c>
      <c r="J525" s="1">
        <v>0.43</v>
      </c>
      <c r="K525" s="36">
        <v>45789</v>
      </c>
    </row>
    <row r="526" spans="1:11" x14ac:dyDescent="0.3">
      <c r="A526" s="2" t="s">
        <v>1075</v>
      </c>
      <c r="B526" s="1" t="s">
        <v>1076</v>
      </c>
      <c r="C526" s="1">
        <v>38</v>
      </c>
      <c r="D526" s="1" t="s">
        <v>20</v>
      </c>
      <c r="E526" s="1" t="s">
        <v>21</v>
      </c>
      <c r="F526" s="1" t="s">
        <v>15</v>
      </c>
      <c r="G526" s="1" t="s">
        <v>22</v>
      </c>
      <c r="H526" s="1" t="s">
        <v>17</v>
      </c>
      <c r="I526" s="1" t="s">
        <v>30</v>
      </c>
      <c r="J526" s="1">
        <v>0.28999999999999998</v>
      </c>
      <c r="K526" s="36">
        <v>45505</v>
      </c>
    </row>
    <row r="527" spans="1:11" x14ac:dyDescent="0.3">
      <c r="A527" s="2" t="s">
        <v>1077</v>
      </c>
      <c r="B527" s="1" t="s">
        <v>1078</v>
      </c>
      <c r="C527" s="1">
        <v>37</v>
      </c>
      <c r="D527" s="1" t="s">
        <v>20</v>
      </c>
      <c r="E527" s="1" t="s">
        <v>28</v>
      </c>
      <c r="F527" s="1" t="s">
        <v>46</v>
      </c>
      <c r="G527" s="1" t="s">
        <v>22</v>
      </c>
      <c r="H527" s="1" t="s">
        <v>17</v>
      </c>
      <c r="I527" s="1" t="s">
        <v>17</v>
      </c>
      <c r="J527" s="1">
        <v>0.16</v>
      </c>
      <c r="K527" s="36">
        <v>45730</v>
      </c>
    </row>
    <row r="528" spans="1:11" x14ac:dyDescent="0.3">
      <c r="A528" s="2" t="s">
        <v>1079</v>
      </c>
      <c r="B528" s="1" t="s">
        <v>1080</v>
      </c>
      <c r="C528" s="1">
        <v>76</v>
      </c>
      <c r="D528" s="1" t="s">
        <v>13</v>
      </c>
      <c r="E528" s="1" t="s">
        <v>33</v>
      </c>
      <c r="F528" s="1" t="s">
        <v>46</v>
      </c>
      <c r="G528" s="1" t="s">
        <v>38</v>
      </c>
      <c r="H528" s="1" t="s">
        <v>17</v>
      </c>
      <c r="I528" s="1" t="s">
        <v>17</v>
      </c>
      <c r="J528" s="1">
        <v>0.22</v>
      </c>
      <c r="K528" s="36">
        <v>46158</v>
      </c>
    </row>
    <row r="529" spans="1:11" x14ac:dyDescent="0.3">
      <c r="A529" s="2" t="s">
        <v>1081</v>
      </c>
      <c r="B529" s="1" t="s">
        <v>1082</v>
      </c>
      <c r="C529" s="1">
        <v>27</v>
      </c>
      <c r="D529" s="1" t="s">
        <v>13</v>
      </c>
      <c r="E529" s="1" t="s">
        <v>28</v>
      </c>
      <c r="F529" s="1" t="s">
        <v>15</v>
      </c>
      <c r="G529" s="1" t="s">
        <v>22</v>
      </c>
      <c r="H529" s="1" t="s">
        <v>30</v>
      </c>
      <c r="I529" s="1" t="s">
        <v>17</v>
      </c>
      <c r="J529" s="1">
        <v>0.41</v>
      </c>
      <c r="K529" s="36">
        <v>44513</v>
      </c>
    </row>
    <row r="530" spans="1:11" x14ac:dyDescent="0.3">
      <c r="A530" s="2" t="s">
        <v>1083</v>
      </c>
      <c r="B530" s="1" t="s">
        <v>1084</v>
      </c>
      <c r="C530" s="1">
        <v>75</v>
      </c>
      <c r="D530" s="1" t="s">
        <v>20</v>
      </c>
      <c r="E530" s="1" t="s">
        <v>14</v>
      </c>
      <c r="F530" s="1" t="s">
        <v>29</v>
      </c>
      <c r="G530" s="1" t="s">
        <v>47</v>
      </c>
      <c r="H530" s="1" t="s">
        <v>17</v>
      </c>
      <c r="I530" s="1" t="s">
        <v>30</v>
      </c>
      <c r="J530" s="1">
        <v>0.31</v>
      </c>
      <c r="K530" s="36">
        <v>44121</v>
      </c>
    </row>
    <row r="531" spans="1:11" x14ac:dyDescent="0.3">
      <c r="A531" s="2" t="s">
        <v>1085</v>
      </c>
      <c r="B531" s="1" t="s">
        <v>1086</v>
      </c>
      <c r="C531" s="1">
        <v>76</v>
      </c>
      <c r="D531" s="1" t="s">
        <v>20</v>
      </c>
      <c r="E531" s="1" t="s">
        <v>28</v>
      </c>
      <c r="F531" s="1" t="s">
        <v>46</v>
      </c>
      <c r="G531" s="1" t="s">
        <v>38</v>
      </c>
      <c r="H531" s="1" t="s">
        <v>17</v>
      </c>
      <c r="I531" s="1" t="s">
        <v>30</v>
      </c>
      <c r="J531" s="1">
        <v>0.37</v>
      </c>
      <c r="K531" s="36">
        <v>44411</v>
      </c>
    </row>
    <row r="532" spans="1:11" x14ac:dyDescent="0.3">
      <c r="A532" s="2" t="s">
        <v>1087</v>
      </c>
      <c r="B532" s="1" t="s">
        <v>1088</v>
      </c>
      <c r="C532" s="1">
        <v>55</v>
      </c>
      <c r="D532" s="1" t="s">
        <v>13</v>
      </c>
      <c r="E532" s="1" t="s">
        <v>33</v>
      </c>
      <c r="F532" s="1" t="s">
        <v>46</v>
      </c>
      <c r="G532" s="1" t="s">
        <v>47</v>
      </c>
      <c r="H532" s="1" t="s">
        <v>17</v>
      </c>
      <c r="I532" s="1" t="s">
        <v>17</v>
      </c>
      <c r="J532" s="1">
        <v>0.17</v>
      </c>
      <c r="K532" s="36">
        <v>44353</v>
      </c>
    </row>
    <row r="533" spans="1:11" x14ac:dyDescent="0.3">
      <c r="A533" s="2" t="s">
        <v>1089</v>
      </c>
      <c r="B533" s="1" t="s">
        <v>1090</v>
      </c>
      <c r="C533" s="1">
        <v>28</v>
      </c>
      <c r="D533" s="1" t="s">
        <v>20</v>
      </c>
      <c r="E533" s="1" t="s">
        <v>33</v>
      </c>
      <c r="F533" s="1" t="s">
        <v>15</v>
      </c>
      <c r="G533" s="1" t="s">
        <v>38</v>
      </c>
      <c r="H533" s="1" t="s">
        <v>17</v>
      </c>
      <c r="I533" s="1" t="s">
        <v>17</v>
      </c>
      <c r="J533" s="1">
        <v>0.23</v>
      </c>
      <c r="K533" s="36">
        <v>45544</v>
      </c>
    </row>
    <row r="534" spans="1:11" x14ac:dyDescent="0.3">
      <c r="A534" s="2" t="s">
        <v>1091</v>
      </c>
      <c r="B534" s="1" t="s">
        <v>1092</v>
      </c>
      <c r="C534" s="1">
        <v>27</v>
      </c>
      <c r="D534" s="1" t="s">
        <v>13</v>
      </c>
      <c r="E534" s="1" t="s">
        <v>33</v>
      </c>
      <c r="F534" s="1" t="s">
        <v>62</v>
      </c>
      <c r="G534" s="1" t="s">
        <v>43</v>
      </c>
      <c r="H534" s="1" t="s">
        <v>30</v>
      </c>
      <c r="I534" s="1" t="s">
        <v>30</v>
      </c>
      <c r="J534" s="1">
        <v>0.42</v>
      </c>
      <c r="K534" s="36">
        <v>45313</v>
      </c>
    </row>
    <row r="535" spans="1:11" x14ac:dyDescent="0.3">
      <c r="A535" s="2" t="s">
        <v>1093</v>
      </c>
      <c r="B535" s="1" t="s">
        <v>1094</v>
      </c>
      <c r="C535" s="1">
        <v>35</v>
      </c>
      <c r="D535" s="1" t="s">
        <v>20</v>
      </c>
      <c r="E535" s="1" t="s">
        <v>14</v>
      </c>
      <c r="F535" s="1" t="s">
        <v>46</v>
      </c>
      <c r="G535" s="1" t="s">
        <v>43</v>
      </c>
      <c r="H535" s="1" t="s">
        <v>17</v>
      </c>
      <c r="I535" s="1" t="s">
        <v>30</v>
      </c>
      <c r="J535" s="1">
        <v>0.35</v>
      </c>
      <c r="K535" s="36">
        <v>44554</v>
      </c>
    </row>
    <row r="536" spans="1:11" x14ac:dyDescent="0.3">
      <c r="A536" s="2" t="s">
        <v>1095</v>
      </c>
      <c r="B536" s="1" t="s">
        <v>1096</v>
      </c>
      <c r="C536" s="1">
        <v>54</v>
      </c>
      <c r="D536" s="1" t="s">
        <v>13</v>
      </c>
      <c r="E536" s="1" t="s">
        <v>33</v>
      </c>
      <c r="F536" s="1" t="s">
        <v>46</v>
      </c>
      <c r="G536" s="1" t="s">
        <v>22</v>
      </c>
      <c r="H536" s="1" t="s">
        <v>17</v>
      </c>
      <c r="I536" s="1" t="s">
        <v>30</v>
      </c>
      <c r="J536" s="1">
        <v>0.45</v>
      </c>
      <c r="K536" s="36">
        <v>45610</v>
      </c>
    </row>
    <row r="537" spans="1:11" x14ac:dyDescent="0.3">
      <c r="A537" s="2" t="s">
        <v>1097</v>
      </c>
      <c r="B537" s="1" t="s">
        <v>1098</v>
      </c>
      <c r="C537" s="1">
        <v>27</v>
      </c>
      <c r="D537" s="1" t="s">
        <v>20</v>
      </c>
      <c r="E537" s="1" t="s">
        <v>28</v>
      </c>
      <c r="F537" s="1" t="s">
        <v>46</v>
      </c>
      <c r="G537" s="1" t="s">
        <v>43</v>
      </c>
      <c r="H537" s="1" t="s">
        <v>30</v>
      </c>
      <c r="I537" s="1" t="s">
        <v>17</v>
      </c>
      <c r="J537" s="1">
        <v>0.48</v>
      </c>
      <c r="K537" s="36">
        <v>45758</v>
      </c>
    </row>
    <row r="538" spans="1:11" x14ac:dyDescent="0.3">
      <c r="A538" s="2" t="s">
        <v>1099</v>
      </c>
      <c r="B538" s="1" t="s">
        <v>1100</v>
      </c>
      <c r="C538" s="1">
        <v>46</v>
      </c>
      <c r="D538" s="1" t="s">
        <v>13</v>
      </c>
      <c r="E538" s="1" t="s">
        <v>28</v>
      </c>
      <c r="F538" s="1" t="s">
        <v>15</v>
      </c>
      <c r="G538" s="1" t="s">
        <v>22</v>
      </c>
      <c r="H538" s="1" t="s">
        <v>30</v>
      </c>
      <c r="I538" s="1" t="s">
        <v>17</v>
      </c>
      <c r="J538" s="1">
        <v>0.27</v>
      </c>
      <c r="K538" s="36">
        <v>44444</v>
      </c>
    </row>
    <row r="539" spans="1:11" x14ac:dyDescent="0.3">
      <c r="A539" s="2" t="s">
        <v>1101</v>
      </c>
      <c r="B539" s="1" t="s">
        <v>1102</v>
      </c>
      <c r="C539" s="1">
        <v>25</v>
      </c>
      <c r="D539" s="1" t="s">
        <v>20</v>
      </c>
      <c r="E539" s="1" t="s">
        <v>21</v>
      </c>
      <c r="F539" s="1" t="s">
        <v>46</v>
      </c>
      <c r="G539" s="1" t="s">
        <v>43</v>
      </c>
      <c r="H539" s="1" t="s">
        <v>17</v>
      </c>
      <c r="I539" s="1" t="s">
        <v>30</v>
      </c>
      <c r="J539" s="1">
        <v>0.42</v>
      </c>
      <c r="K539" s="36">
        <v>45408</v>
      </c>
    </row>
    <row r="540" spans="1:11" x14ac:dyDescent="0.3">
      <c r="A540" s="2" t="s">
        <v>1103</v>
      </c>
      <c r="B540" s="1" t="s">
        <v>1104</v>
      </c>
      <c r="C540" s="1">
        <v>52</v>
      </c>
      <c r="D540" s="1" t="s">
        <v>13</v>
      </c>
      <c r="E540" s="1" t="s">
        <v>33</v>
      </c>
      <c r="F540" s="1" t="s">
        <v>29</v>
      </c>
      <c r="G540" s="1" t="s">
        <v>47</v>
      </c>
      <c r="H540" s="1" t="s">
        <v>17</v>
      </c>
      <c r="I540" s="1" t="s">
        <v>17</v>
      </c>
      <c r="J540" s="1">
        <v>0.14000000000000001</v>
      </c>
      <c r="K540" s="36">
        <v>45716</v>
      </c>
    </row>
    <row r="541" spans="1:11" x14ac:dyDescent="0.3">
      <c r="A541" s="2" t="s">
        <v>1105</v>
      </c>
      <c r="B541" s="1" t="s">
        <v>1106</v>
      </c>
      <c r="C541" s="1">
        <v>19</v>
      </c>
      <c r="D541" s="1" t="s">
        <v>20</v>
      </c>
      <c r="E541" s="1" t="s">
        <v>28</v>
      </c>
      <c r="F541" s="1" t="s">
        <v>29</v>
      </c>
      <c r="G541" s="1" t="s">
        <v>47</v>
      </c>
      <c r="H541" s="1" t="s">
        <v>17</v>
      </c>
      <c r="I541" s="1" t="s">
        <v>17</v>
      </c>
      <c r="J541" s="1">
        <v>0.18</v>
      </c>
      <c r="K541" s="36">
        <v>44328</v>
      </c>
    </row>
    <row r="542" spans="1:11" x14ac:dyDescent="0.3">
      <c r="A542" s="2" t="s">
        <v>1107</v>
      </c>
      <c r="B542" s="1" t="s">
        <v>1108</v>
      </c>
      <c r="C542" s="1">
        <v>62</v>
      </c>
      <c r="D542" s="1" t="s">
        <v>20</v>
      </c>
      <c r="E542" s="1" t="s">
        <v>33</v>
      </c>
      <c r="F542" s="1" t="s">
        <v>15</v>
      </c>
      <c r="G542" s="1" t="s">
        <v>25</v>
      </c>
      <c r="H542" s="1" t="s">
        <v>17</v>
      </c>
      <c r="I542" s="1" t="s">
        <v>17</v>
      </c>
      <c r="J542" s="1">
        <v>0.27</v>
      </c>
      <c r="K542" s="36">
        <v>45872</v>
      </c>
    </row>
    <row r="543" spans="1:11" x14ac:dyDescent="0.3">
      <c r="A543" s="2" t="s">
        <v>1109</v>
      </c>
      <c r="B543" s="1" t="s">
        <v>1110</v>
      </c>
      <c r="C543" s="1">
        <v>21</v>
      </c>
      <c r="D543" s="1" t="s">
        <v>13</v>
      </c>
      <c r="E543" s="1" t="s">
        <v>14</v>
      </c>
      <c r="F543" s="1" t="s">
        <v>46</v>
      </c>
      <c r="G543" s="1" t="s">
        <v>47</v>
      </c>
      <c r="H543" s="1" t="s">
        <v>17</v>
      </c>
      <c r="I543" s="1" t="s">
        <v>17</v>
      </c>
      <c r="J543" s="1">
        <v>0.32</v>
      </c>
      <c r="K543" s="36">
        <v>46191</v>
      </c>
    </row>
    <row r="544" spans="1:11" x14ac:dyDescent="0.3">
      <c r="A544" s="2" t="s">
        <v>1111</v>
      </c>
      <c r="B544" s="1" t="s">
        <v>1112</v>
      </c>
      <c r="C544" s="1">
        <v>30</v>
      </c>
      <c r="D544" s="1" t="s">
        <v>20</v>
      </c>
      <c r="E544" s="1" t="s">
        <v>14</v>
      </c>
      <c r="F544" s="1" t="s">
        <v>46</v>
      </c>
      <c r="G544" s="1" t="s">
        <v>25</v>
      </c>
      <c r="H544" s="1" t="s">
        <v>17</v>
      </c>
      <c r="I544" s="1" t="s">
        <v>17</v>
      </c>
      <c r="J544" s="1">
        <v>0.24</v>
      </c>
      <c r="K544" s="36">
        <v>44313</v>
      </c>
    </row>
    <row r="545" spans="1:11" x14ac:dyDescent="0.3">
      <c r="A545" s="2" t="s">
        <v>1113</v>
      </c>
      <c r="B545" s="1" t="s">
        <v>1114</v>
      </c>
      <c r="C545" s="1">
        <v>29</v>
      </c>
      <c r="D545" s="1" t="s">
        <v>20</v>
      </c>
      <c r="E545" s="1" t="s">
        <v>33</v>
      </c>
      <c r="F545" s="1" t="s">
        <v>15</v>
      </c>
      <c r="G545" s="1" t="s">
        <v>22</v>
      </c>
      <c r="H545" s="1" t="s">
        <v>17</v>
      </c>
      <c r="I545" s="1" t="s">
        <v>30</v>
      </c>
      <c r="J545" s="1">
        <v>0.31</v>
      </c>
      <c r="K545" s="36">
        <v>44133</v>
      </c>
    </row>
    <row r="546" spans="1:11" x14ac:dyDescent="0.3">
      <c r="A546" s="2" t="s">
        <v>1115</v>
      </c>
      <c r="B546" s="1" t="s">
        <v>1116</v>
      </c>
      <c r="C546" s="1">
        <v>70</v>
      </c>
      <c r="D546" s="1" t="s">
        <v>20</v>
      </c>
      <c r="E546" s="1" t="s">
        <v>33</v>
      </c>
      <c r="F546" s="1" t="s">
        <v>15</v>
      </c>
      <c r="G546" s="1" t="s">
        <v>22</v>
      </c>
      <c r="H546" s="1" t="s">
        <v>17</v>
      </c>
      <c r="I546" s="1" t="s">
        <v>17</v>
      </c>
      <c r="J546" s="1">
        <v>0.32</v>
      </c>
      <c r="K546" s="36">
        <v>44760</v>
      </c>
    </row>
    <row r="547" spans="1:11" x14ac:dyDescent="0.3">
      <c r="A547" s="2" t="s">
        <v>1117</v>
      </c>
      <c r="B547" s="1" t="s">
        <v>1118</v>
      </c>
      <c r="C547" s="1">
        <v>21</v>
      </c>
      <c r="D547" s="1" t="s">
        <v>20</v>
      </c>
      <c r="E547" s="1" t="s">
        <v>14</v>
      </c>
      <c r="F547" s="1" t="s">
        <v>62</v>
      </c>
      <c r="G547" s="1" t="s">
        <v>22</v>
      </c>
      <c r="H547" s="1" t="s">
        <v>30</v>
      </c>
      <c r="I547" s="1" t="s">
        <v>17</v>
      </c>
      <c r="J547" s="1">
        <v>0.3</v>
      </c>
      <c r="K547" s="36">
        <v>45561</v>
      </c>
    </row>
    <row r="548" spans="1:11" x14ac:dyDescent="0.3">
      <c r="A548" s="2" t="s">
        <v>1119</v>
      </c>
      <c r="B548" s="1" t="s">
        <v>1120</v>
      </c>
      <c r="C548" s="1">
        <v>45</v>
      </c>
      <c r="D548" s="1" t="s">
        <v>20</v>
      </c>
      <c r="E548" s="1" t="s">
        <v>14</v>
      </c>
      <c r="F548" s="1" t="s">
        <v>15</v>
      </c>
      <c r="G548" s="1" t="s">
        <v>25</v>
      </c>
      <c r="H548" s="1" t="s">
        <v>17</v>
      </c>
      <c r="I548" s="1" t="s">
        <v>17</v>
      </c>
      <c r="J548" s="1">
        <v>0.15</v>
      </c>
      <c r="K548" s="36">
        <v>46177</v>
      </c>
    </row>
    <row r="549" spans="1:11" x14ac:dyDescent="0.3">
      <c r="A549" s="2" t="s">
        <v>1121</v>
      </c>
      <c r="B549" s="1" t="s">
        <v>1122</v>
      </c>
      <c r="C549" s="1">
        <v>55</v>
      </c>
      <c r="D549" s="1" t="s">
        <v>13</v>
      </c>
      <c r="E549" s="1" t="s">
        <v>14</v>
      </c>
      <c r="F549" s="1" t="s">
        <v>15</v>
      </c>
      <c r="G549" s="1" t="s">
        <v>38</v>
      </c>
      <c r="H549" s="1" t="s">
        <v>17</v>
      </c>
      <c r="I549" s="1" t="s">
        <v>30</v>
      </c>
      <c r="J549" s="1">
        <v>0.38</v>
      </c>
      <c r="K549" s="36">
        <v>44946</v>
      </c>
    </row>
    <row r="550" spans="1:11" x14ac:dyDescent="0.3">
      <c r="A550" s="2" t="s">
        <v>1123</v>
      </c>
      <c r="B550" s="1" t="s">
        <v>1124</v>
      </c>
      <c r="C550" s="1">
        <v>50</v>
      </c>
      <c r="D550" s="1" t="s">
        <v>20</v>
      </c>
      <c r="E550" s="1" t="s">
        <v>21</v>
      </c>
      <c r="F550" s="1" t="s">
        <v>15</v>
      </c>
      <c r="G550" s="1" t="s">
        <v>25</v>
      </c>
      <c r="H550" s="1" t="s">
        <v>17</v>
      </c>
      <c r="I550" s="1" t="s">
        <v>17</v>
      </c>
      <c r="J550" s="1">
        <v>0.2</v>
      </c>
      <c r="K550" s="36">
        <v>45644</v>
      </c>
    </row>
    <row r="551" spans="1:11" x14ac:dyDescent="0.3">
      <c r="A551" s="2" t="s">
        <v>1125</v>
      </c>
      <c r="B551" s="1" t="s">
        <v>1126</v>
      </c>
      <c r="C551" s="1">
        <v>60</v>
      </c>
      <c r="D551" s="1" t="s">
        <v>13</v>
      </c>
      <c r="E551" s="1" t="s">
        <v>21</v>
      </c>
      <c r="F551" s="1" t="s">
        <v>62</v>
      </c>
      <c r="G551" s="1" t="s">
        <v>25</v>
      </c>
      <c r="H551" s="1" t="s">
        <v>17</v>
      </c>
      <c r="I551" s="1" t="s">
        <v>30</v>
      </c>
      <c r="J551" s="1">
        <v>0.42</v>
      </c>
      <c r="K551" s="36">
        <v>44243</v>
      </c>
    </row>
    <row r="552" spans="1:11" x14ac:dyDescent="0.3">
      <c r="A552" s="2" t="s">
        <v>1127</v>
      </c>
      <c r="B552" s="1" t="s">
        <v>1128</v>
      </c>
      <c r="C552" s="1">
        <v>68</v>
      </c>
      <c r="D552" s="1" t="s">
        <v>13</v>
      </c>
      <c r="E552" s="1" t="s">
        <v>21</v>
      </c>
      <c r="F552" s="1" t="s">
        <v>62</v>
      </c>
      <c r="G552" s="1" t="s">
        <v>22</v>
      </c>
      <c r="H552" s="1" t="s">
        <v>17</v>
      </c>
      <c r="I552" s="1" t="s">
        <v>30</v>
      </c>
      <c r="J552" s="1">
        <v>0.42</v>
      </c>
      <c r="K552" s="36">
        <v>45590</v>
      </c>
    </row>
    <row r="553" spans="1:11" x14ac:dyDescent="0.3">
      <c r="A553" s="2" t="s">
        <v>1129</v>
      </c>
      <c r="B553" s="1" t="s">
        <v>1130</v>
      </c>
      <c r="C553" s="1">
        <v>42</v>
      </c>
      <c r="D553" s="1" t="s">
        <v>20</v>
      </c>
      <c r="E553" s="1" t="s">
        <v>14</v>
      </c>
      <c r="F553" s="1" t="s">
        <v>46</v>
      </c>
      <c r="G553" s="1" t="s">
        <v>43</v>
      </c>
      <c r="H553" s="1" t="s">
        <v>17</v>
      </c>
      <c r="I553" s="1" t="s">
        <v>30</v>
      </c>
      <c r="J553" s="1">
        <v>0.34</v>
      </c>
      <c r="K553" s="36">
        <v>45451</v>
      </c>
    </row>
    <row r="554" spans="1:11" x14ac:dyDescent="0.3">
      <c r="A554" s="2" t="s">
        <v>1131</v>
      </c>
      <c r="B554" s="1" t="s">
        <v>1132</v>
      </c>
      <c r="C554" s="1">
        <v>70</v>
      </c>
      <c r="D554" s="1" t="s">
        <v>13</v>
      </c>
      <c r="E554" s="1" t="s">
        <v>33</v>
      </c>
      <c r="F554" s="1" t="s">
        <v>15</v>
      </c>
      <c r="G554" s="1" t="s">
        <v>25</v>
      </c>
      <c r="H554" s="1" t="s">
        <v>17</v>
      </c>
      <c r="I554" s="1" t="s">
        <v>30</v>
      </c>
      <c r="J554" s="1">
        <v>0.43</v>
      </c>
      <c r="K554" s="36">
        <v>44300</v>
      </c>
    </row>
    <row r="555" spans="1:11" x14ac:dyDescent="0.3">
      <c r="A555" s="2" t="s">
        <v>1133</v>
      </c>
      <c r="B555" s="1" t="s">
        <v>1134</v>
      </c>
      <c r="C555" s="1">
        <v>38</v>
      </c>
      <c r="D555" s="1" t="s">
        <v>13</v>
      </c>
      <c r="E555" s="1" t="s">
        <v>14</v>
      </c>
      <c r="F555" s="1" t="s">
        <v>62</v>
      </c>
      <c r="G555" s="1" t="s">
        <v>16</v>
      </c>
      <c r="H555" s="1" t="s">
        <v>30</v>
      </c>
      <c r="I555" s="1" t="s">
        <v>30</v>
      </c>
      <c r="J555" s="1">
        <v>0.56000000000000005</v>
      </c>
      <c r="K555" s="36">
        <v>45770</v>
      </c>
    </row>
    <row r="556" spans="1:11" x14ac:dyDescent="0.3">
      <c r="A556" s="2" t="s">
        <v>1135</v>
      </c>
      <c r="B556" s="1" t="s">
        <v>1136</v>
      </c>
      <c r="C556" s="1">
        <v>80</v>
      </c>
      <c r="D556" s="1" t="s">
        <v>13</v>
      </c>
      <c r="E556" s="1" t="s">
        <v>28</v>
      </c>
      <c r="F556" s="1" t="s">
        <v>62</v>
      </c>
      <c r="G556" s="1" t="s">
        <v>22</v>
      </c>
      <c r="H556" s="1" t="s">
        <v>17</v>
      </c>
      <c r="I556" s="1" t="s">
        <v>17</v>
      </c>
      <c r="J556" s="1">
        <v>0.28999999999999998</v>
      </c>
      <c r="K556" s="36">
        <v>45940</v>
      </c>
    </row>
    <row r="557" spans="1:11" x14ac:dyDescent="0.3">
      <c r="A557" s="2" t="s">
        <v>1137</v>
      </c>
      <c r="B557" s="1" t="s">
        <v>1138</v>
      </c>
      <c r="C557" s="1">
        <v>49</v>
      </c>
      <c r="D557" s="1" t="s">
        <v>20</v>
      </c>
      <c r="E557" s="1" t="s">
        <v>21</v>
      </c>
      <c r="F557" s="1" t="s">
        <v>62</v>
      </c>
      <c r="G557" s="1" t="s">
        <v>22</v>
      </c>
      <c r="H557" s="1" t="s">
        <v>17</v>
      </c>
      <c r="I557" s="1" t="s">
        <v>30</v>
      </c>
      <c r="J557" s="1">
        <v>0.33</v>
      </c>
      <c r="K557" s="36">
        <v>45393</v>
      </c>
    </row>
    <row r="558" spans="1:11" x14ac:dyDescent="0.3">
      <c r="A558" s="2" t="s">
        <v>1139</v>
      </c>
      <c r="B558" s="1" t="s">
        <v>1140</v>
      </c>
      <c r="C558" s="1">
        <v>64</v>
      </c>
      <c r="D558" s="1" t="s">
        <v>20</v>
      </c>
      <c r="E558" s="1" t="s">
        <v>14</v>
      </c>
      <c r="F558" s="1" t="s">
        <v>62</v>
      </c>
      <c r="G558" s="1" t="s">
        <v>25</v>
      </c>
      <c r="H558" s="1" t="s">
        <v>17</v>
      </c>
      <c r="I558" s="1" t="s">
        <v>30</v>
      </c>
      <c r="J558" s="1">
        <v>0.45</v>
      </c>
      <c r="K558" s="36">
        <v>44342</v>
      </c>
    </row>
    <row r="559" spans="1:11" x14ac:dyDescent="0.3">
      <c r="A559" s="2" t="s">
        <v>1141</v>
      </c>
      <c r="B559" s="1" t="s">
        <v>1142</v>
      </c>
      <c r="C559" s="1">
        <v>73</v>
      </c>
      <c r="D559" s="1" t="s">
        <v>20</v>
      </c>
      <c r="E559" s="1" t="s">
        <v>21</v>
      </c>
      <c r="F559" s="1" t="s">
        <v>62</v>
      </c>
      <c r="G559" s="1" t="s">
        <v>22</v>
      </c>
      <c r="H559" s="1" t="s">
        <v>17</v>
      </c>
      <c r="I559" s="1" t="s">
        <v>30</v>
      </c>
      <c r="J559" s="1">
        <v>0.48</v>
      </c>
      <c r="K559" s="36">
        <v>46233</v>
      </c>
    </row>
    <row r="560" spans="1:11" x14ac:dyDescent="0.3">
      <c r="A560" s="2" t="s">
        <v>1143</v>
      </c>
      <c r="B560" s="1" t="s">
        <v>1144</v>
      </c>
      <c r="C560" s="1">
        <v>67</v>
      </c>
      <c r="D560" s="1" t="s">
        <v>13</v>
      </c>
      <c r="E560" s="1" t="s">
        <v>14</v>
      </c>
      <c r="F560" s="1" t="s">
        <v>15</v>
      </c>
      <c r="G560" s="1" t="s">
        <v>16</v>
      </c>
      <c r="H560" s="1" t="s">
        <v>17</v>
      </c>
      <c r="I560" s="1" t="s">
        <v>30</v>
      </c>
      <c r="J560" s="1">
        <v>0.4</v>
      </c>
      <c r="K560" s="36">
        <v>45792</v>
      </c>
    </row>
    <row r="561" spans="1:11" x14ac:dyDescent="0.3">
      <c r="A561" s="2" t="s">
        <v>1145</v>
      </c>
      <c r="B561" s="1" t="s">
        <v>1146</v>
      </c>
      <c r="C561" s="1">
        <v>71</v>
      </c>
      <c r="D561" s="1" t="s">
        <v>13</v>
      </c>
      <c r="E561" s="1" t="s">
        <v>33</v>
      </c>
      <c r="F561" s="1" t="s">
        <v>62</v>
      </c>
      <c r="G561" s="1" t="s">
        <v>38</v>
      </c>
      <c r="H561" s="1" t="s">
        <v>30</v>
      </c>
      <c r="I561" s="1" t="s">
        <v>17</v>
      </c>
      <c r="J561" s="1">
        <v>0.46</v>
      </c>
      <c r="K561" s="36">
        <v>44838</v>
      </c>
    </row>
    <row r="562" spans="1:11" x14ac:dyDescent="0.3">
      <c r="A562" s="2" t="s">
        <v>1147</v>
      </c>
      <c r="B562" s="1" t="s">
        <v>1148</v>
      </c>
      <c r="C562" s="1">
        <v>51</v>
      </c>
      <c r="D562" s="1" t="s">
        <v>13</v>
      </c>
      <c r="E562" s="1" t="s">
        <v>14</v>
      </c>
      <c r="F562" s="1" t="s">
        <v>15</v>
      </c>
      <c r="G562" s="1" t="s">
        <v>47</v>
      </c>
      <c r="H562" s="1" t="s">
        <v>17</v>
      </c>
      <c r="I562" s="1" t="s">
        <v>17</v>
      </c>
      <c r="J562" s="1">
        <v>0.27</v>
      </c>
      <c r="K562" s="36">
        <v>45016</v>
      </c>
    </row>
    <row r="563" spans="1:11" x14ac:dyDescent="0.3">
      <c r="A563" s="2" t="s">
        <v>1149</v>
      </c>
      <c r="B563" s="1" t="s">
        <v>1150</v>
      </c>
      <c r="C563" s="1">
        <v>20</v>
      </c>
      <c r="D563" s="1" t="s">
        <v>20</v>
      </c>
      <c r="E563" s="1" t="s">
        <v>14</v>
      </c>
      <c r="F563" s="1" t="s">
        <v>15</v>
      </c>
      <c r="G563" s="1" t="s">
        <v>47</v>
      </c>
      <c r="H563" s="1" t="s">
        <v>17</v>
      </c>
      <c r="I563" s="1" t="s">
        <v>30</v>
      </c>
      <c r="J563" s="1">
        <v>0.33</v>
      </c>
      <c r="K563" s="36">
        <v>44889</v>
      </c>
    </row>
    <row r="564" spans="1:11" x14ac:dyDescent="0.3">
      <c r="A564" s="2" t="s">
        <v>1151</v>
      </c>
      <c r="B564" s="1" t="s">
        <v>1152</v>
      </c>
      <c r="C564" s="1">
        <v>49</v>
      </c>
      <c r="D564" s="1" t="s">
        <v>13</v>
      </c>
      <c r="E564" s="1" t="s">
        <v>33</v>
      </c>
      <c r="F564" s="1" t="s">
        <v>46</v>
      </c>
      <c r="G564" s="1" t="s">
        <v>22</v>
      </c>
      <c r="H564" s="1" t="s">
        <v>17</v>
      </c>
      <c r="I564" s="1" t="s">
        <v>17</v>
      </c>
      <c r="J564" s="1">
        <v>0.31</v>
      </c>
      <c r="K564" s="36">
        <v>45186</v>
      </c>
    </row>
    <row r="565" spans="1:11" x14ac:dyDescent="0.3">
      <c r="A565" s="2" t="s">
        <v>1153</v>
      </c>
      <c r="B565" s="1" t="s">
        <v>1154</v>
      </c>
      <c r="C565" s="1">
        <v>29</v>
      </c>
      <c r="D565" s="1" t="s">
        <v>20</v>
      </c>
      <c r="E565" s="1" t="s">
        <v>28</v>
      </c>
      <c r="F565" s="1" t="s">
        <v>15</v>
      </c>
      <c r="G565" s="1" t="s">
        <v>16</v>
      </c>
      <c r="H565" s="1" t="s">
        <v>17</v>
      </c>
      <c r="I565" s="1" t="s">
        <v>17</v>
      </c>
      <c r="J565" s="1">
        <v>0.12</v>
      </c>
      <c r="K565" s="36">
        <v>44824</v>
      </c>
    </row>
    <row r="566" spans="1:11" x14ac:dyDescent="0.3">
      <c r="A566" s="2" t="s">
        <v>1155</v>
      </c>
      <c r="B566" s="1" t="s">
        <v>1156</v>
      </c>
      <c r="C566" s="1">
        <v>74</v>
      </c>
      <c r="D566" s="1" t="s">
        <v>13</v>
      </c>
      <c r="E566" s="1" t="s">
        <v>21</v>
      </c>
      <c r="F566" s="1" t="s">
        <v>46</v>
      </c>
      <c r="G566" s="1" t="s">
        <v>25</v>
      </c>
      <c r="H566" s="1" t="s">
        <v>17</v>
      </c>
      <c r="I566" s="1" t="s">
        <v>17</v>
      </c>
      <c r="J566" s="1">
        <v>0.26</v>
      </c>
      <c r="K566" s="36">
        <v>45939</v>
      </c>
    </row>
    <row r="567" spans="1:11" x14ac:dyDescent="0.3">
      <c r="A567" s="2" t="s">
        <v>1157</v>
      </c>
      <c r="B567" s="1" t="s">
        <v>1158</v>
      </c>
      <c r="C567" s="1">
        <v>32</v>
      </c>
      <c r="D567" s="1" t="s">
        <v>20</v>
      </c>
      <c r="E567" s="1" t="s">
        <v>21</v>
      </c>
      <c r="F567" s="1" t="s">
        <v>46</v>
      </c>
      <c r="G567" s="1" t="s">
        <v>22</v>
      </c>
      <c r="H567" s="1" t="s">
        <v>30</v>
      </c>
      <c r="I567" s="1" t="s">
        <v>17</v>
      </c>
      <c r="J567" s="1">
        <v>0.32</v>
      </c>
      <c r="K567" s="36">
        <v>45879</v>
      </c>
    </row>
    <row r="568" spans="1:11" x14ac:dyDescent="0.3">
      <c r="A568" s="2" t="s">
        <v>1159</v>
      </c>
      <c r="B568" s="1" t="s">
        <v>1160</v>
      </c>
      <c r="C568" s="1">
        <v>32</v>
      </c>
      <c r="D568" s="1" t="s">
        <v>13</v>
      </c>
      <c r="E568" s="1" t="s">
        <v>21</v>
      </c>
      <c r="F568" s="1" t="s">
        <v>15</v>
      </c>
      <c r="G568" s="1" t="s">
        <v>38</v>
      </c>
      <c r="H568" s="1" t="s">
        <v>30</v>
      </c>
      <c r="I568" s="1" t="s">
        <v>17</v>
      </c>
      <c r="J568" s="1">
        <v>0.51</v>
      </c>
      <c r="K568" s="36">
        <v>44308</v>
      </c>
    </row>
    <row r="569" spans="1:11" x14ac:dyDescent="0.3">
      <c r="A569" s="2" t="s">
        <v>1161</v>
      </c>
      <c r="B569" s="1" t="s">
        <v>1162</v>
      </c>
      <c r="C569" s="1">
        <v>33</v>
      </c>
      <c r="D569" s="1" t="s">
        <v>13</v>
      </c>
      <c r="E569" s="1" t="s">
        <v>33</v>
      </c>
      <c r="F569" s="1" t="s">
        <v>62</v>
      </c>
      <c r="G569" s="1" t="s">
        <v>16</v>
      </c>
      <c r="H569" s="1" t="s">
        <v>17</v>
      </c>
      <c r="I569" s="1" t="s">
        <v>17</v>
      </c>
      <c r="J569" s="1">
        <v>0.17</v>
      </c>
      <c r="K569" s="36">
        <v>46183</v>
      </c>
    </row>
    <row r="570" spans="1:11" x14ac:dyDescent="0.3">
      <c r="A570" s="2" t="s">
        <v>1163</v>
      </c>
      <c r="B570" s="1" t="s">
        <v>1164</v>
      </c>
      <c r="C570" s="1">
        <v>58</v>
      </c>
      <c r="D570" s="1" t="s">
        <v>20</v>
      </c>
      <c r="E570" s="1" t="s">
        <v>28</v>
      </c>
      <c r="F570" s="1" t="s">
        <v>29</v>
      </c>
      <c r="G570" s="1" t="s">
        <v>38</v>
      </c>
      <c r="H570" s="1" t="s">
        <v>17</v>
      </c>
      <c r="I570" s="1" t="s">
        <v>17</v>
      </c>
      <c r="J570" s="1">
        <v>0.25</v>
      </c>
      <c r="K570" s="36">
        <v>45470</v>
      </c>
    </row>
    <row r="571" spans="1:11" x14ac:dyDescent="0.3">
      <c r="A571" s="2" t="s">
        <v>1165</v>
      </c>
      <c r="B571" s="1" t="s">
        <v>1166</v>
      </c>
      <c r="C571" s="1">
        <v>53</v>
      </c>
      <c r="D571" s="1" t="s">
        <v>20</v>
      </c>
      <c r="E571" s="1" t="s">
        <v>21</v>
      </c>
      <c r="F571" s="1" t="s">
        <v>46</v>
      </c>
      <c r="G571" s="1" t="s">
        <v>43</v>
      </c>
      <c r="H571" s="1" t="s">
        <v>17</v>
      </c>
      <c r="I571" s="1" t="s">
        <v>17</v>
      </c>
      <c r="J571" s="1">
        <v>0.18</v>
      </c>
      <c r="K571" s="36">
        <v>45893</v>
      </c>
    </row>
    <row r="572" spans="1:11" x14ac:dyDescent="0.3">
      <c r="A572" s="2" t="s">
        <v>1167</v>
      </c>
      <c r="B572" s="1" t="s">
        <v>1168</v>
      </c>
      <c r="C572" s="1">
        <v>77</v>
      </c>
      <c r="D572" s="1" t="s">
        <v>13</v>
      </c>
      <c r="E572" s="1" t="s">
        <v>21</v>
      </c>
      <c r="F572" s="1" t="s">
        <v>29</v>
      </c>
      <c r="G572" s="1" t="s">
        <v>25</v>
      </c>
      <c r="H572" s="1" t="s">
        <v>17</v>
      </c>
      <c r="I572" s="1" t="s">
        <v>30</v>
      </c>
      <c r="J572" s="1">
        <v>0.44</v>
      </c>
      <c r="K572" s="36">
        <v>45627</v>
      </c>
    </row>
    <row r="573" spans="1:11" x14ac:dyDescent="0.3">
      <c r="A573" s="2" t="s">
        <v>1169</v>
      </c>
      <c r="B573" s="1" t="s">
        <v>1170</v>
      </c>
      <c r="C573" s="1">
        <v>44</v>
      </c>
      <c r="D573" s="1" t="s">
        <v>20</v>
      </c>
      <c r="E573" s="1" t="s">
        <v>33</v>
      </c>
      <c r="F573" s="1" t="s">
        <v>15</v>
      </c>
      <c r="G573" s="1" t="s">
        <v>47</v>
      </c>
      <c r="H573" s="1" t="s">
        <v>17</v>
      </c>
      <c r="I573" s="1" t="s">
        <v>30</v>
      </c>
      <c r="J573" s="1">
        <v>0.33</v>
      </c>
      <c r="K573" s="36">
        <v>45031</v>
      </c>
    </row>
    <row r="574" spans="1:11" x14ac:dyDescent="0.3">
      <c r="A574" s="2" t="s">
        <v>1171</v>
      </c>
      <c r="B574" s="1" t="s">
        <v>1172</v>
      </c>
      <c r="C574" s="1">
        <v>35</v>
      </c>
      <c r="D574" s="1" t="s">
        <v>13</v>
      </c>
      <c r="E574" s="1" t="s">
        <v>28</v>
      </c>
      <c r="F574" s="1" t="s">
        <v>62</v>
      </c>
      <c r="G574" s="1" t="s">
        <v>47</v>
      </c>
      <c r="H574" s="1" t="s">
        <v>17</v>
      </c>
      <c r="I574" s="1" t="s">
        <v>17</v>
      </c>
      <c r="J574" s="1">
        <v>0.19</v>
      </c>
      <c r="K574" s="36">
        <v>45685</v>
      </c>
    </row>
    <row r="575" spans="1:11" x14ac:dyDescent="0.3">
      <c r="A575" s="2" t="s">
        <v>1173</v>
      </c>
      <c r="B575" s="1" t="s">
        <v>1174</v>
      </c>
      <c r="C575" s="1">
        <v>21</v>
      </c>
      <c r="D575" s="1" t="s">
        <v>13</v>
      </c>
      <c r="E575" s="1" t="s">
        <v>33</v>
      </c>
      <c r="F575" s="1" t="s">
        <v>62</v>
      </c>
      <c r="G575" s="1" t="s">
        <v>38</v>
      </c>
      <c r="H575" s="1" t="s">
        <v>17</v>
      </c>
      <c r="I575" s="1" t="s">
        <v>17</v>
      </c>
      <c r="J575" s="1">
        <v>0.04</v>
      </c>
      <c r="K575" s="36">
        <v>46193</v>
      </c>
    </row>
    <row r="576" spans="1:11" x14ac:dyDescent="0.3">
      <c r="A576" s="2" t="s">
        <v>1175</v>
      </c>
      <c r="B576" s="1" t="s">
        <v>1176</v>
      </c>
      <c r="C576" s="1">
        <v>18</v>
      </c>
      <c r="D576" s="1" t="s">
        <v>13</v>
      </c>
      <c r="E576" s="1" t="s">
        <v>28</v>
      </c>
      <c r="F576" s="1" t="s">
        <v>29</v>
      </c>
      <c r="G576" s="1" t="s">
        <v>22</v>
      </c>
      <c r="H576" s="1" t="s">
        <v>17</v>
      </c>
      <c r="I576" s="1" t="s">
        <v>17</v>
      </c>
      <c r="J576" s="1">
        <v>0.25</v>
      </c>
      <c r="K576" s="36">
        <v>44669</v>
      </c>
    </row>
    <row r="577" spans="1:11" x14ac:dyDescent="0.3">
      <c r="A577" s="2" t="s">
        <v>1177</v>
      </c>
      <c r="B577" s="1" t="s">
        <v>1178</v>
      </c>
      <c r="C577" s="1">
        <v>41</v>
      </c>
      <c r="D577" s="1" t="s">
        <v>20</v>
      </c>
      <c r="E577" s="1" t="s">
        <v>33</v>
      </c>
      <c r="F577" s="1" t="s">
        <v>46</v>
      </c>
      <c r="G577" s="1" t="s">
        <v>38</v>
      </c>
      <c r="H577" s="1" t="s">
        <v>17</v>
      </c>
      <c r="I577" s="1" t="s">
        <v>17</v>
      </c>
      <c r="J577" s="1">
        <v>0.2</v>
      </c>
      <c r="K577" s="36">
        <v>45848</v>
      </c>
    </row>
    <row r="578" spans="1:11" x14ac:dyDescent="0.3">
      <c r="A578" s="2" t="s">
        <v>1179</v>
      </c>
      <c r="B578" s="1" t="s">
        <v>1180</v>
      </c>
      <c r="C578" s="1">
        <v>76</v>
      </c>
      <c r="D578" s="1" t="s">
        <v>20</v>
      </c>
      <c r="E578" s="1" t="s">
        <v>21</v>
      </c>
      <c r="F578" s="1" t="s">
        <v>29</v>
      </c>
      <c r="G578" s="1" t="s">
        <v>43</v>
      </c>
      <c r="H578" s="1" t="s">
        <v>17</v>
      </c>
      <c r="I578" s="1" t="s">
        <v>30</v>
      </c>
      <c r="J578" s="1">
        <v>0.49</v>
      </c>
      <c r="K578" s="36">
        <v>45256</v>
      </c>
    </row>
    <row r="579" spans="1:11" x14ac:dyDescent="0.3">
      <c r="A579" s="2" t="s">
        <v>1181</v>
      </c>
      <c r="B579" s="1" t="s">
        <v>1182</v>
      </c>
      <c r="C579" s="1">
        <v>50</v>
      </c>
      <c r="D579" s="1" t="s">
        <v>20</v>
      </c>
      <c r="E579" s="1" t="s">
        <v>14</v>
      </c>
      <c r="F579" s="1" t="s">
        <v>46</v>
      </c>
      <c r="G579" s="1" t="s">
        <v>38</v>
      </c>
      <c r="H579" s="1" t="s">
        <v>17</v>
      </c>
      <c r="I579" s="1" t="s">
        <v>17</v>
      </c>
      <c r="J579" s="1">
        <v>0.28000000000000003</v>
      </c>
      <c r="K579" s="36">
        <v>45136</v>
      </c>
    </row>
    <row r="580" spans="1:11" x14ac:dyDescent="0.3">
      <c r="A580" s="2" t="s">
        <v>1183</v>
      </c>
      <c r="B580" s="1" t="s">
        <v>1184</v>
      </c>
      <c r="C580" s="1">
        <v>74</v>
      </c>
      <c r="D580" s="1" t="s">
        <v>13</v>
      </c>
      <c r="E580" s="1" t="s">
        <v>28</v>
      </c>
      <c r="F580" s="1" t="s">
        <v>29</v>
      </c>
      <c r="G580" s="1" t="s">
        <v>16</v>
      </c>
      <c r="H580" s="1" t="s">
        <v>17</v>
      </c>
      <c r="I580" s="1" t="s">
        <v>30</v>
      </c>
      <c r="J580" s="1">
        <v>0.42</v>
      </c>
      <c r="K580" s="36">
        <v>45031</v>
      </c>
    </row>
    <row r="581" spans="1:11" x14ac:dyDescent="0.3">
      <c r="A581" s="2" t="s">
        <v>1185</v>
      </c>
      <c r="B581" s="1" t="s">
        <v>1186</v>
      </c>
      <c r="C581" s="1">
        <v>24</v>
      </c>
      <c r="D581" s="1" t="s">
        <v>20</v>
      </c>
      <c r="E581" s="1" t="s">
        <v>33</v>
      </c>
      <c r="F581" s="1" t="s">
        <v>62</v>
      </c>
      <c r="G581" s="1" t="s">
        <v>16</v>
      </c>
      <c r="H581" s="1" t="s">
        <v>30</v>
      </c>
      <c r="I581" s="1" t="s">
        <v>17</v>
      </c>
      <c r="J581" s="1">
        <v>0.48</v>
      </c>
      <c r="K581" s="36">
        <v>45679</v>
      </c>
    </row>
    <row r="582" spans="1:11" x14ac:dyDescent="0.3">
      <c r="A582" s="2" t="s">
        <v>1187</v>
      </c>
      <c r="B582" s="1" t="s">
        <v>1188</v>
      </c>
      <c r="C582" s="1">
        <v>23</v>
      </c>
      <c r="D582" s="1" t="s">
        <v>20</v>
      </c>
      <c r="E582" s="1" t="s">
        <v>21</v>
      </c>
      <c r="F582" s="1" t="s">
        <v>15</v>
      </c>
      <c r="G582" s="1" t="s">
        <v>47</v>
      </c>
      <c r="H582" s="1" t="s">
        <v>17</v>
      </c>
      <c r="I582" s="1" t="s">
        <v>17</v>
      </c>
      <c r="J582" s="1">
        <v>0.18</v>
      </c>
      <c r="K582" s="36">
        <v>44665</v>
      </c>
    </row>
    <row r="583" spans="1:11" x14ac:dyDescent="0.3">
      <c r="A583" s="2" t="s">
        <v>1189</v>
      </c>
      <c r="B583" s="1" t="s">
        <v>1190</v>
      </c>
      <c r="C583" s="1">
        <v>70</v>
      </c>
      <c r="D583" s="1" t="s">
        <v>20</v>
      </c>
      <c r="E583" s="1" t="s">
        <v>21</v>
      </c>
      <c r="F583" s="1" t="s">
        <v>15</v>
      </c>
      <c r="G583" s="1" t="s">
        <v>25</v>
      </c>
      <c r="H583" s="1" t="s">
        <v>17</v>
      </c>
      <c r="I583" s="1" t="s">
        <v>30</v>
      </c>
      <c r="J583" s="1">
        <v>0.48</v>
      </c>
      <c r="K583" s="36">
        <v>45943</v>
      </c>
    </row>
    <row r="584" spans="1:11" x14ac:dyDescent="0.3">
      <c r="A584" s="2" t="s">
        <v>1191</v>
      </c>
      <c r="B584" s="1" t="s">
        <v>1192</v>
      </c>
      <c r="C584" s="1">
        <v>24</v>
      </c>
      <c r="D584" s="1" t="s">
        <v>13</v>
      </c>
      <c r="E584" s="1" t="s">
        <v>33</v>
      </c>
      <c r="F584" s="1" t="s">
        <v>46</v>
      </c>
      <c r="G584" s="1" t="s">
        <v>38</v>
      </c>
      <c r="H584" s="1" t="s">
        <v>17</v>
      </c>
      <c r="I584" s="1" t="s">
        <v>17</v>
      </c>
      <c r="J584" s="1">
        <v>0.22</v>
      </c>
      <c r="K584" s="36">
        <v>45897</v>
      </c>
    </row>
    <row r="585" spans="1:11" x14ac:dyDescent="0.3">
      <c r="A585" s="2" t="s">
        <v>1193</v>
      </c>
      <c r="B585" s="1" t="s">
        <v>1194</v>
      </c>
      <c r="C585" s="1">
        <v>21</v>
      </c>
      <c r="D585" s="1" t="s">
        <v>20</v>
      </c>
      <c r="E585" s="1" t="s">
        <v>14</v>
      </c>
      <c r="F585" s="1" t="s">
        <v>29</v>
      </c>
      <c r="G585" s="1" t="s">
        <v>43</v>
      </c>
      <c r="H585" s="1" t="s">
        <v>17</v>
      </c>
      <c r="I585" s="1" t="s">
        <v>17</v>
      </c>
      <c r="J585" s="1">
        <v>0.18</v>
      </c>
      <c r="K585" s="36">
        <v>44266</v>
      </c>
    </row>
    <row r="586" spans="1:11" x14ac:dyDescent="0.3">
      <c r="A586" s="2" t="s">
        <v>1195</v>
      </c>
      <c r="B586" s="1" t="s">
        <v>1196</v>
      </c>
      <c r="C586" s="1">
        <v>43</v>
      </c>
      <c r="D586" s="1" t="s">
        <v>13</v>
      </c>
      <c r="E586" s="1" t="s">
        <v>33</v>
      </c>
      <c r="F586" s="1" t="s">
        <v>62</v>
      </c>
      <c r="G586" s="1" t="s">
        <v>25</v>
      </c>
      <c r="H586" s="1" t="s">
        <v>17</v>
      </c>
      <c r="I586" s="1" t="s">
        <v>30</v>
      </c>
      <c r="J586" s="1">
        <v>0.34</v>
      </c>
      <c r="K586" s="36">
        <v>46009</v>
      </c>
    </row>
    <row r="587" spans="1:11" x14ac:dyDescent="0.3">
      <c r="A587" s="2" t="s">
        <v>1197</v>
      </c>
      <c r="B587" s="1" t="s">
        <v>1198</v>
      </c>
      <c r="C587" s="1">
        <v>76</v>
      </c>
      <c r="D587" s="1" t="s">
        <v>13</v>
      </c>
      <c r="E587" s="1" t="s">
        <v>14</v>
      </c>
      <c r="F587" s="1" t="s">
        <v>29</v>
      </c>
      <c r="G587" s="1" t="s">
        <v>16</v>
      </c>
      <c r="H587" s="1" t="s">
        <v>30</v>
      </c>
      <c r="I587" s="1" t="s">
        <v>30</v>
      </c>
      <c r="J587" s="1">
        <v>0.69</v>
      </c>
      <c r="K587" s="36">
        <v>44611</v>
      </c>
    </row>
    <row r="588" spans="1:11" x14ac:dyDescent="0.3">
      <c r="A588" s="2" t="s">
        <v>1199</v>
      </c>
      <c r="B588" s="1" t="s">
        <v>1200</v>
      </c>
      <c r="C588" s="1">
        <v>61</v>
      </c>
      <c r="D588" s="1" t="s">
        <v>13</v>
      </c>
      <c r="E588" s="1" t="s">
        <v>14</v>
      </c>
      <c r="F588" s="1" t="s">
        <v>62</v>
      </c>
      <c r="G588" s="1" t="s">
        <v>43</v>
      </c>
      <c r="H588" s="1" t="s">
        <v>17</v>
      </c>
      <c r="I588" s="1" t="s">
        <v>30</v>
      </c>
      <c r="J588" s="1">
        <v>0.44</v>
      </c>
      <c r="K588" s="36">
        <v>45095</v>
      </c>
    </row>
    <row r="589" spans="1:11" x14ac:dyDescent="0.3">
      <c r="A589" s="2" t="s">
        <v>1201</v>
      </c>
      <c r="B589" s="1" t="s">
        <v>1202</v>
      </c>
      <c r="C589" s="1">
        <v>24</v>
      </c>
      <c r="D589" s="1" t="s">
        <v>13</v>
      </c>
      <c r="E589" s="1" t="s">
        <v>33</v>
      </c>
      <c r="F589" s="1" t="s">
        <v>29</v>
      </c>
      <c r="G589" s="1" t="s">
        <v>22</v>
      </c>
      <c r="H589" s="1" t="s">
        <v>17</v>
      </c>
      <c r="I589" s="1" t="s">
        <v>17</v>
      </c>
      <c r="J589" s="1">
        <v>0.34</v>
      </c>
      <c r="K589" s="36">
        <v>45414</v>
      </c>
    </row>
    <row r="590" spans="1:11" x14ac:dyDescent="0.3">
      <c r="A590" s="2" t="s">
        <v>1203</v>
      </c>
      <c r="B590" s="1" t="s">
        <v>1204</v>
      </c>
      <c r="C590" s="1">
        <v>70</v>
      </c>
      <c r="D590" s="1" t="s">
        <v>13</v>
      </c>
      <c r="E590" s="1" t="s">
        <v>21</v>
      </c>
      <c r="F590" s="1" t="s">
        <v>29</v>
      </c>
      <c r="G590" s="1" t="s">
        <v>47</v>
      </c>
      <c r="H590" s="1" t="s">
        <v>17</v>
      </c>
      <c r="I590" s="1" t="s">
        <v>30</v>
      </c>
      <c r="J590" s="1">
        <v>0.39</v>
      </c>
      <c r="K590" s="36">
        <v>44907</v>
      </c>
    </row>
    <row r="591" spans="1:11" x14ac:dyDescent="0.3">
      <c r="A591" s="2" t="s">
        <v>1205</v>
      </c>
      <c r="B591" s="1" t="s">
        <v>1206</v>
      </c>
      <c r="C591" s="1">
        <v>71</v>
      </c>
      <c r="D591" s="1" t="s">
        <v>13</v>
      </c>
      <c r="E591" s="1" t="s">
        <v>14</v>
      </c>
      <c r="F591" s="1" t="s">
        <v>15</v>
      </c>
      <c r="G591" s="1" t="s">
        <v>38</v>
      </c>
      <c r="H591" s="1" t="s">
        <v>17</v>
      </c>
      <c r="I591" s="1" t="s">
        <v>30</v>
      </c>
      <c r="J591" s="1">
        <v>0.49</v>
      </c>
      <c r="K591" s="36">
        <v>44139</v>
      </c>
    </row>
    <row r="592" spans="1:11" x14ac:dyDescent="0.3">
      <c r="A592" s="2" t="s">
        <v>1207</v>
      </c>
      <c r="B592" s="1" t="s">
        <v>1208</v>
      </c>
      <c r="C592" s="1">
        <v>68</v>
      </c>
      <c r="D592" s="1" t="s">
        <v>20</v>
      </c>
      <c r="E592" s="1" t="s">
        <v>14</v>
      </c>
      <c r="F592" s="1" t="s">
        <v>62</v>
      </c>
      <c r="G592" s="1" t="s">
        <v>43</v>
      </c>
      <c r="H592" s="1" t="s">
        <v>17</v>
      </c>
      <c r="I592" s="1" t="s">
        <v>17</v>
      </c>
      <c r="J592" s="1">
        <v>0.24</v>
      </c>
      <c r="K592" s="36">
        <v>45942</v>
      </c>
    </row>
    <row r="593" spans="1:11" x14ac:dyDescent="0.3">
      <c r="A593" s="2" t="s">
        <v>1209</v>
      </c>
      <c r="B593" s="1" t="s">
        <v>1210</v>
      </c>
      <c r="C593" s="1">
        <v>74</v>
      </c>
      <c r="D593" s="1" t="s">
        <v>13</v>
      </c>
      <c r="E593" s="1" t="s">
        <v>28</v>
      </c>
      <c r="F593" s="1" t="s">
        <v>15</v>
      </c>
      <c r="G593" s="1" t="s">
        <v>22</v>
      </c>
      <c r="H593" s="1" t="s">
        <v>17</v>
      </c>
      <c r="I593" s="1" t="s">
        <v>30</v>
      </c>
      <c r="J593" s="1">
        <v>0.44</v>
      </c>
      <c r="K593" s="36">
        <v>44475</v>
      </c>
    </row>
    <row r="594" spans="1:11" x14ac:dyDescent="0.3">
      <c r="A594" s="2" t="s">
        <v>1211</v>
      </c>
      <c r="B594" s="1" t="s">
        <v>1212</v>
      </c>
      <c r="C594" s="1">
        <v>33</v>
      </c>
      <c r="D594" s="1" t="s">
        <v>13</v>
      </c>
      <c r="E594" s="1" t="s">
        <v>33</v>
      </c>
      <c r="F594" s="1" t="s">
        <v>29</v>
      </c>
      <c r="G594" s="1" t="s">
        <v>25</v>
      </c>
      <c r="H594" s="1" t="s">
        <v>17</v>
      </c>
      <c r="I594" s="1" t="s">
        <v>17</v>
      </c>
      <c r="J594" s="1">
        <v>0.21</v>
      </c>
      <c r="K594" s="36">
        <v>44541</v>
      </c>
    </row>
    <row r="595" spans="1:11" x14ac:dyDescent="0.3">
      <c r="A595" s="2" t="s">
        <v>1213</v>
      </c>
      <c r="B595" s="1" t="s">
        <v>1214</v>
      </c>
      <c r="C595" s="1">
        <v>79</v>
      </c>
      <c r="D595" s="1" t="s">
        <v>13</v>
      </c>
      <c r="E595" s="1" t="s">
        <v>14</v>
      </c>
      <c r="F595" s="1" t="s">
        <v>62</v>
      </c>
      <c r="G595" s="1" t="s">
        <v>47</v>
      </c>
      <c r="H595" s="1" t="s">
        <v>17</v>
      </c>
      <c r="I595" s="1" t="s">
        <v>17</v>
      </c>
      <c r="J595" s="1">
        <v>0.32</v>
      </c>
      <c r="K595" s="36">
        <v>45825</v>
      </c>
    </row>
    <row r="596" spans="1:11" x14ac:dyDescent="0.3">
      <c r="A596" s="2" t="s">
        <v>1215</v>
      </c>
      <c r="B596" s="1" t="s">
        <v>1216</v>
      </c>
      <c r="C596" s="1">
        <v>38</v>
      </c>
      <c r="D596" s="1" t="s">
        <v>13</v>
      </c>
      <c r="E596" s="1" t="s">
        <v>14</v>
      </c>
      <c r="F596" s="1" t="s">
        <v>15</v>
      </c>
      <c r="G596" s="1" t="s">
        <v>43</v>
      </c>
      <c r="H596" s="1" t="s">
        <v>17</v>
      </c>
      <c r="I596" s="1" t="s">
        <v>17</v>
      </c>
      <c r="J596" s="1">
        <v>0.22</v>
      </c>
      <c r="K596" s="36">
        <v>44823</v>
      </c>
    </row>
    <row r="597" spans="1:11" x14ac:dyDescent="0.3">
      <c r="A597" s="2" t="s">
        <v>1217</v>
      </c>
      <c r="B597" s="1" t="s">
        <v>1218</v>
      </c>
      <c r="C597" s="1">
        <v>68</v>
      </c>
      <c r="D597" s="1" t="s">
        <v>13</v>
      </c>
      <c r="E597" s="1" t="s">
        <v>21</v>
      </c>
      <c r="F597" s="1" t="s">
        <v>62</v>
      </c>
      <c r="G597" s="1" t="s">
        <v>43</v>
      </c>
      <c r="H597" s="1" t="s">
        <v>30</v>
      </c>
      <c r="I597" s="1" t="s">
        <v>30</v>
      </c>
      <c r="J597" s="1">
        <v>0.56999999999999995</v>
      </c>
      <c r="K597" s="36">
        <v>46006</v>
      </c>
    </row>
    <row r="598" spans="1:11" x14ac:dyDescent="0.3">
      <c r="A598" s="2" t="s">
        <v>1219</v>
      </c>
      <c r="B598" s="1" t="s">
        <v>1220</v>
      </c>
      <c r="C598" s="1">
        <v>54</v>
      </c>
      <c r="D598" s="1" t="s">
        <v>13</v>
      </c>
      <c r="E598" s="1" t="s">
        <v>21</v>
      </c>
      <c r="F598" s="1" t="s">
        <v>15</v>
      </c>
      <c r="G598" s="1" t="s">
        <v>47</v>
      </c>
      <c r="H598" s="1" t="s">
        <v>17</v>
      </c>
      <c r="I598" s="1" t="s">
        <v>30</v>
      </c>
      <c r="J598" s="1">
        <v>0.4</v>
      </c>
      <c r="K598" s="36">
        <v>45613</v>
      </c>
    </row>
    <row r="599" spans="1:11" x14ac:dyDescent="0.3">
      <c r="A599" s="2" t="s">
        <v>1221</v>
      </c>
      <c r="B599" s="1" t="s">
        <v>1222</v>
      </c>
      <c r="C599" s="1">
        <v>67</v>
      </c>
      <c r="D599" s="1" t="s">
        <v>20</v>
      </c>
      <c r="E599" s="1" t="s">
        <v>14</v>
      </c>
      <c r="F599" s="1" t="s">
        <v>62</v>
      </c>
      <c r="G599" s="1" t="s">
        <v>22</v>
      </c>
      <c r="H599" s="1" t="s">
        <v>17</v>
      </c>
      <c r="I599" s="1" t="s">
        <v>17</v>
      </c>
      <c r="J599" s="1">
        <v>0.38</v>
      </c>
      <c r="K599" s="36">
        <v>44682</v>
      </c>
    </row>
    <row r="600" spans="1:11" x14ac:dyDescent="0.3">
      <c r="A600" s="2" t="s">
        <v>1223</v>
      </c>
      <c r="B600" s="1" t="s">
        <v>1224</v>
      </c>
      <c r="C600" s="1">
        <v>57</v>
      </c>
      <c r="D600" s="1" t="s">
        <v>20</v>
      </c>
      <c r="E600" s="1" t="s">
        <v>28</v>
      </c>
      <c r="F600" s="1" t="s">
        <v>15</v>
      </c>
      <c r="G600" s="1" t="s">
        <v>25</v>
      </c>
      <c r="H600" s="1" t="s">
        <v>30</v>
      </c>
      <c r="I600" s="1" t="s">
        <v>17</v>
      </c>
      <c r="J600" s="1">
        <v>0.42</v>
      </c>
      <c r="K600" s="36">
        <v>44099</v>
      </c>
    </row>
    <row r="601" spans="1:11" x14ac:dyDescent="0.3">
      <c r="A601" s="2" t="s">
        <v>1225</v>
      </c>
      <c r="B601" s="1" t="s">
        <v>1226</v>
      </c>
      <c r="C601" s="1">
        <v>58</v>
      </c>
      <c r="D601" s="1" t="s">
        <v>20</v>
      </c>
      <c r="E601" s="1" t="s">
        <v>21</v>
      </c>
      <c r="F601" s="1" t="s">
        <v>15</v>
      </c>
      <c r="G601" s="1" t="s">
        <v>47</v>
      </c>
      <c r="H601" s="1" t="s">
        <v>17</v>
      </c>
      <c r="I601" s="1" t="s">
        <v>30</v>
      </c>
      <c r="J601" s="1">
        <v>0.32</v>
      </c>
      <c r="K601" s="36">
        <v>46155</v>
      </c>
    </row>
    <row r="602" spans="1:11" x14ac:dyDescent="0.3">
      <c r="A602" s="2" t="s">
        <v>1227</v>
      </c>
      <c r="B602" s="1" t="s">
        <v>1228</v>
      </c>
      <c r="C602" s="1">
        <v>56</v>
      </c>
      <c r="D602" s="1" t="s">
        <v>20</v>
      </c>
      <c r="E602" s="1" t="s">
        <v>21</v>
      </c>
      <c r="F602" s="1" t="s">
        <v>29</v>
      </c>
      <c r="G602" s="1" t="s">
        <v>38</v>
      </c>
      <c r="H602" s="1" t="s">
        <v>17</v>
      </c>
      <c r="I602" s="1" t="s">
        <v>30</v>
      </c>
      <c r="J602" s="1">
        <v>0.46</v>
      </c>
      <c r="K602" s="36">
        <v>44264</v>
      </c>
    </row>
    <row r="603" spans="1:11" x14ac:dyDescent="0.3">
      <c r="A603" s="2" t="s">
        <v>1229</v>
      </c>
      <c r="B603" s="1" t="s">
        <v>1230</v>
      </c>
      <c r="C603" s="1">
        <v>67</v>
      </c>
      <c r="D603" s="1" t="s">
        <v>20</v>
      </c>
      <c r="E603" s="1" t="s">
        <v>33</v>
      </c>
      <c r="F603" s="1" t="s">
        <v>46</v>
      </c>
      <c r="G603" s="1" t="s">
        <v>47</v>
      </c>
      <c r="H603" s="1" t="s">
        <v>17</v>
      </c>
      <c r="I603" s="1" t="s">
        <v>30</v>
      </c>
      <c r="J603" s="1">
        <v>0.41</v>
      </c>
      <c r="K603" s="36">
        <v>45655</v>
      </c>
    </row>
    <row r="604" spans="1:11" x14ac:dyDescent="0.3">
      <c r="A604" s="2" t="s">
        <v>1231</v>
      </c>
      <c r="B604" s="1" t="s">
        <v>1232</v>
      </c>
      <c r="C604" s="1">
        <v>64</v>
      </c>
      <c r="D604" s="1" t="s">
        <v>20</v>
      </c>
      <c r="E604" s="1" t="s">
        <v>21</v>
      </c>
      <c r="F604" s="1" t="s">
        <v>29</v>
      </c>
      <c r="G604" s="1" t="s">
        <v>16</v>
      </c>
      <c r="H604" s="1" t="s">
        <v>17</v>
      </c>
      <c r="I604" s="1" t="s">
        <v>30</v>
      </c>
      <c r="J604" s="1">
        <v>0.42</v>
      </c>
      <c r="K604" s="36">
        <v>45147</v>
      </c>
    </row>
    <row r="605" spans="1:11" x14ac:dyDescent="0.3">
      <c r="A605" s="2" t="s">
        <v>1233</v>
      </c>
      <c r="B605" s="1" t="s">
        <v>1234</v>
      </c>
      <c r="C605" s="1">
        <v>26</v>
      </c>
      <c r="D605" s="1" t="s">
        <v>20</v>
      </c>
      <c r="E605" s="1" t="s">
        <v>28</v>
      </c>
      <c r="F605" s="1" t="s">
        <v>46</v>
      </c>
      <c r="G605" s="1" t="s">
        <v>38</v>
      </c>
      <c r="H605" s="1" t="s">
        <v>17</v>
      </c>
      <c r="I605" s="1" t="s">
        <v>17</v>
      </c>
      <c r="J605" s="1">
        <v>0.23</v>
      </c>
      <c r="K605" s="36">
        <v>45738</v>
      </c>
    </row>
    <row r="606" spans="1:11" x14ac:dyDescent="0.3">
      <c r="A606" s="2" t="s">
        <v>1235</v>
      </c>
      <c r="B606" s="1" t="s">
        <v>1236</v>
      </c>
      <c r="C606" s="1">
        <v>70</v>
      </c>
      <c r="D606" s="1" t="s">
        <v>13</v>
      </c>
      <c r="E606" s="1" t="s">
        <v>28</v>
      </c>
      <c r="F606" s="1" t="s">
        <v>46</v>
      </c>
      <c r="G606" s="1" t="s">
        <v>22</v>
      </c>
      <c r="H606" s="1" t="s">
        <v>17</v>
      </c>
      <c r="I606" s="1" t="s">
        <v>30</v>
      </c>
      <c r="J606" s="1">
        <v>0.4</v>
      </c>
      <c r="K606" s="36">
        <v>45590</v>
      </c>
    </row>
    <row r="607" spans="1:11" x14ac:dyDescent="0.3">
      <c r="A607" s="2" t="s">
        <v>1237</v>
      </c>
      <c r="B607" s="1" t="s">
        <v>1238</v>
      </c>
      <c r="C607" s="1">
        <v>51</v>
      </c>
      <c r="D607" s="1" t="s">
        <v>20</v>
      </c>
      <c r="E607" s="1" t="s">
        <v>28</v>
      </c>
      <c r="F607" s="1" t="s">
        <v>46</v>
      </c>
      <c r="G607" s="1" t="s">
        <v>43</v>
      </c>
      <c r="H607" s="1" t="s">
        <v>17</v>
      </c>
      <c r="I607" s="1" t="s">
        <v>30</v>
      </c>
      <c r="J607" s="1">
        <v>0.33</v>
      </c>
      <c r="K607" s="36">
        <v>45492</v>
      </c>
    </row>
    <row r="608" spans="1:11" x14ac:dyDescent="0.3">
      <c r="A608" s="2" t="s">
        <v>1239</v>
      </c>
      <c r="B608" s="1" t="s">
        <v>1240</v>
      </c>
      <c r="C608" s="1">
        <v>38</v>
      </c>
      <c r="D608" s="1" t="s">
        <v>13</v>
      </c>
      <c r="E608" s="1" t="s">
        <v>14</v>
      </c>
      <c r="F608" s="1" t="s">
        <v>46</v>
      </c>
      <c r="G608" s="1" t="s">
        <v>38</v>
      </c>
      <c r="H608" s="1" t="s">
        <v>17</v>
      </c>
      <c r="I608" s="1" t="s">
        <v>17</v>
      </c>
      <c r="J608" s="1">
        <v>0.19</v>
      </c>
      <c r="K608" s="36">
        <v>45152</v>
      </c>
    </row>
    <row r="609" spans="1:11" x14ac:dyDescent="0.3">
      <c r="A609" s="2" t="s">
        <v>1241</v>
      </c>
      <c r="B609" s="1" t="s">
        <v>1242</v>
      </c>
      <c r="C609" s="1">
        <v>50</v>
      </c>
      <c r="D609" s="1" t="s">
        <v>13</v>
      </c>
      <c r="E609" s="1" t="s">
        <v>14</v>
      </c>
      <c r="F609" s="1" t="s">
        <v>46</v>
      </c>
      <c r="G609" s="1" t="s">
        <v>38</v>
      </c>
      <c r="H609" s="1" t="s">
        <v>17</v>
      </c>
      <c r="I609" s="1" t="s">
        <v>30</v>
      </c>
      <c r="J609" s="1">
        <v>0.44</v>
      </c>
      <c r="K609" s="36">
        <v>45815</v>
      </c>
    </row>
    <row r="610" spans="1:11" x14ac:dyDescent="0.3">
      <c r="A610" s="2" t="s">
        <v>1243</v>
      </c>
      <c r="B610" s="1" t="s">
        <v>1244</v>
      </c>
      <c r="C610" s="1">
        <v>78</v>
      </c>
      <c r="D610" s="1" t="s">
        <v>20</v>
      </c>
      <c r="E610" s="1" t="s">
        <v>14</v>
      </c>
      <c r="F610" s="1" t="s">
        <v>29</v>
      </c>
      <c r="G610" s="1" t="s">
        <v>22</v>
      </c>
      <c r="H610" s="1" t="s">
        <v>17</v>
      </c>
      <c r="I610" s="1" t="s">
        <v>17</v>
      </c>
      <c r="J610" s="1">
        <v>0.28000000000000003</v>
      </c>
      <c r="K610" s="36">
        <v>44280</v>
      </c>
    </row>
    <row r="611" spans="1:11" x14ac:dyDescent="0.3">
      <c r="A611" s="2" t="s">
        <v>1245</v>
      </c>
      <c r="B611" s="1" t="s">
        <v>1246</v>
      </c>
      <c r="C611" s="1">
        <v>72</v>
      </c>
      <c r="D611" s="1" t="s">
        <v>20</v>
      </c>
      <c r="E611" s="1" t="s">
        <v>21</v>
      </c>
      <c r="F611" s="1" t="s">
        <v>29</v>
      </c>
      <c r="G611" s="1" t="s">
        <v>38</v>
      </c>
      <c r="H611" s="1" t="s">
        <v>30</v>
      </c>
      <c r="I611" s="1" t="s">
        <v>30</v>
      </c>
      <c r="J611" s="1">
        <v>0.54</v>
      </c>
      <c r="K611" s="36">
        <v>44562</v>
      </c>
    </row>
    <row r="612" spans="1:11" x14ac:dyDescent="0.3">
      <c r="A612" s="2" t="s">
        <v>1247</v>
      </c>
      <c r="B612" s="1" t="s">
        <v>1248</v>
      </c>
      <c r="C612" s="1">
        <v>70</v>
      </c>
      <c r="D612" s="1" t="s">
        <v>20</v>
      </c>
      <c r="E612" s="1" t="s">
        <v>33</v>
      </c>
      <c r="F612" s="1" t="s">
        <v>62</v>
      </c>
      <c r="G612" s="1" t="s">
        <v>38</v>
      </c>
      <c r="H612" s="1" t="s">
        <v>17</v>
      </c>
      <c r="I612" s="1" t="s">
        <v>30</v>
      </c>
      <c r="J612" s="1">
        <v>0.36</v>
      </c>
      <c r="K612" s="36">
        <v>45593</v>
      </c>
    </row>
    <row r="613" spans="1:11" x14ac:dyDescent="0.3">
      <c r="A613" s="2" t="s">
        <v>1249</v>
      </c>
      <c r="B613" s="1" t="s">
        <v>1250</v>
      </c>
      <c r="C613" s="1">
        <v>47</v>
      </c>
      <c r="D613" s="1" t="s">
        <v>13</v>
      </c>
      <c r="E613" s="1" t="s">
        <v>28</v>
      </c>
      <c r="F613" s="1" t="s">
        <v>46</v>
      </c>
      <c r="G613" s="1" t="s">
        <v>47</v>
      </c>
      <c r="H613" s="1" t="s">
        <v>17</v>
      </c>
      <c r="I613" s="1" t="s">
        <v>17</v>
      </c>
      <c r="J613" s="1">
        <v>0.21</v>
      </c>
      <c r="K613" s="36">
        <v>44748</v>
      </c>
    </row>
    <row r="614" spans="1:11" x14ac:dyDescent="0.3">
      <c r="A614" s="2" t="s">
        <v>1251</v>
      </c>
      <c r="B614" s="1" t="s">
        <v>1252</v>
      </c>
      <c r="C614" s="1">
        <v>67</v>
      </c>
      <c r="D614" s="1" t="s">
        <v>20</v>
      </c>
      <c r="E614" s="1" t="s">
        <v>14</v>
      </c>
      <c r="F614" s="1" t="s">
        <v>29</v>
      </c>
      <c r="G614" s="1" t="s">
        <v>38</v>
      </c>
      <c r="H614" s="1" t="s">
        <v>17</v>
      </c>
      <c r="I614" s="1" t="s">
        <v>30</v>
      </c>
      <c r="J614" s="1">
        <v>0.36</v>
      </c>
      <c r="K614" s="36">
        <v>45351</v>
      </c>
    </row>
    <row r="615" spans="1:11" x14ac:dyDescent="0.3">
      <c r="A615" s="2" t="s">
        <v>1253</v>
      </c>
      <c r="B615" s="1" t="s">
        <v>1254</v>
      </c>
      <c r="C615" s="1">
        <v>42</v>
      </c>
      <c r="D615" s="1" t="s">
        <v>13</v>
      </c>
      <c r="E615" s="1" t="s">
        <v>21</v>
      </c>
      <c r="F615" s="1" t="s">
        <v>62</v>
      </c>
      <c r="G615" s="1" t="s">
        <v>25</v>
      </c>
      <c r="H615" s="1" t="s">
        <v>17</v>
      </c>
      <c r="I615" s="1" t="s">
        <v>30</v>
      </c>
      <c r="J615" s="1">
        <v>0.26</v>
      </c>
      <c r="K615" s="36">
        <v>45114</v>
      </c>
    </row>
    <row r="616" spans="1:11" x14ac:dyDescent="0.3">
      <c r="A616" s="2" t="s">
        <v>1255</v>
      </c>
      <c r="B616" s="1" t="s">
        <v>1256</v>
      </c>
      <c r="C616" s="1">
        <v>61</v>
      </c>
      <c r="D616" s="1" t="s">
        <v>13</v>
      </c>
      <c r="E616" s="1" t="s">
        <v>33</v>
      </c>
      <c r="F616" s="1" t="s">
        <v>62</v>
      </c>
      <c r="G616" s="1" t="s">
        <v>38</v>
      </c>
      <c r="H616" s="1" t="s">
        <v>17</v>
      </c>
      <c r="I616" s="1" t="s">
        <v>17</v>
      </c>
      <c r="J616" s="1">
        <v>0.32</v>
      </c>
      <c r="K616" s="36">
        <v>45240</v>
      </c>
    </row>
    <row r="617" spans="1:11" x14ac:dyDescent="0.3">
      <c r="A617" s="2" t="s">
        <v>1257</v>
      </c>
      <c r="B617" s="1" t="s">
        <v>1258</v>
      </c>
      <c r="C617" s="1">
        <v>58</v>
      </c>
      <c r="D617" s="1" t="s">
        <v>13</v>
      </c>
      <c r="E617" s="1" t="s">
        <v>14</v>
      </c>
      <c r="F617" s="1" t="s">
        <v>29</v>
      </c>
      <c r="G617" s="1" t="s">
        <v>16</v>
      </c>
      <c r="H617" s="1" t="s">
        <v>17</v>
      </c>
      <c r="I617" s="1" t="s">
        <v>17</v>
      </c>
      <c r="J617" s="1">
        <v>0.32</v>
      </c>
      <c r="K617" s="36">
        <v>45009</v>
      </c>
    </row>
    <row r="618" spans="1:11" x14ac:dyDescent="0.3">
      <c r="A618" s="2" t="s">
        <v>1259</v>
      </c>
      <c r="B618" s="1" t="s">
        <v>1260</v>
      </c>
      <c r="C618" s="1">
        <v>33</v>
      </c>
      <c r="D618" s="1" t="s">
        <v>20</v>
      </c>
      <c r="E618" s="1" t="s">
        <v>28</v>
      </c>
      <c r="F618" s="1" t="s">
        <v>15</v>
      </c>
      <c r="G618" s="1" t="s">
        <v>25</v>
      </c>
      <c r="H618" s="1" t="s">
        <v>17</v>
      </c>
      <c r="I618" s="1" t="s">
        <v>17</v>
      </c>
      <c r="J618" s="1">
        <v>0.18</v>
      </c>
      <c r="K618" s="36">
        <v>45712</v>
      </c>
    </row>
    <row r="619" spans="1:11" x14ac:dyDescent="0.3">
      <c r="A619" s="2" t="s">
        <v>1261</v>
      </c>
      <c r="B619" s="1" t="s">
        <v>1262</v>
      </c>
      <c r="C619" s="1">
        <v>34</v>
      </c>
      <c r="D619" s="1" t="s">
        <v>20</v>
      </c>
      <c r="E619" s="1" t="s">
        <v>28</v>
      </c>
      <c r="F619" s="1" t="s">
        <v>15</v>
      </c>
      <c r="G619" s="1" t="s">
        <v>16</v>
      </c>
      <c r="H619" s="1" t="s">
        <v>17</v>
      </c>
      <c r="I619" s="1" t="s">
        <v>30</v>
      </c>
      <c r="J619" s="1">
        <v>0.37</v>
      </c>
      <c r="K619" s="36">
        <v>44802</v>
      </c>
    </row>
    <row r="620" spans="1:11" x14ac:dyDescent="0.3">
      <c r="A620" s="2" t="s">
        <v>1263</v>
      </c>
      <c r="B620" s="1" t="s">
        <v>1264</v>
      </c>
      <c r="C620" s="1">
        <v>21</v>
      </c>
      <c r="D620" s="1" t="s">
        <v>20</v>
      </c>
      <c r="E620" s="1" t="s">
        <v>28</v>
      </c>
      <c r="F620" s="1" t="s">
        <v>29</v>
      </c>
      <c r="G620" s="1" t="s">
        <v>16</v>
      </c>
      <c r="H620" s="1" t="s">
        <v>17</v>
      </c>
      <c r="I620" s="1" t="s">
        <v>17</v>
      </c>
      <c r="J620" s="1">
        <v>0.26</v>
      </c>
      <c r="K620" s="36">
        <v>45617</v>
      </c>
    </row>
    <row r="621" spans="1:11" x14ac:dyDescent="0.3">
      <c r="A621" s="2" t="s">
        <v>1265</v>
      </c>
      <c r="B621" s="1" t="s">
        <v>1266</v>
      </c>
      <c r="C621" s="1">
        <v>26</v>
      </c>
      <c r="D621" s="1" t="s">
        <v>20</v>
      </c>
      <c r="E621" s="1" t="s">
        <v>14</v>
      </c>
      <c r="F621" s="1" t="s">
        <v>62</v>
      </c>
      <c r="G621" s="1" t="s">
        <v>22</v>
      </c>
      <c r="H621" s="1" t="s">
        <v>17</v>
      </c>
      <c r="I621" s="1" t="s">
        <v>17</v>
      </c>
      <c r="J621" s="1">
        <v>0.24</v>
      </c>
      <c r="K621" s="36">
        <v>44670</v>
      </c>
    </row>
    <row r="622" spans="1:11" x14ac:dyDescent="0.3">
      <c r="A622" s="2" t="s">
        <v>1267</v>
      </c>
      <c r="B622" s="1" t="s">
        <v>1268</v>
      </c>
      <c r="C622" s="1">
        <v>45</v>
      </c>
      <c r="D622" s="1" t="s">
        <v>20</v>
      </c>
      <c r="E622" s="1" t="s">
        <v>28</v>
      </c>
      <c r="F622" s="1" t="s">
        <v>62</v>
      </c>
      <c r="G622" s="1" t="s">
        <v>43</v>
      </c>
      <c r="H622" s="1" t="s">
        <v>17</v>
      </c>
      <c r="I622" s="1" t="s">
        <v>30</v>
      </c>
      <c r="J622" s="1">
        <v>0.39</v>
      </c>
      <c r="K622" s="36">
        <v>44628</v>
      </c>
    </row>
    <row r="623" spans="1:11" x14ac:dyDescent="0.3">
      <c r="A623" s="2" t="s">
        <v>1269</v>
      </c>
      <c r="B623" s="1" t="s">
        <v>1270</v>
      </c>
      <c r="C623" s="1">
        <v>48</v>
      </c>
      <c r="D623" s="1" t="s">
        <v>13</v>
      </c>
      <c r="E623" s="1" t="s">
        <v>21</v>
      </c>
      <c r="F623" s="1" t="s">
        <v>62</v>
      </c>
      <c r="G623" s="1" t="s">
        <v>38</v>
      </c>
      <c r="H623" s="1" t="s">
        <v>17</v>
      </c>
      <c r="I623" s="1" t="s">
        <v>30</v>
      </c>
      <c r="J623" s="1">
        <v>0.19</v>
      </c>
      <c r="K623" s="36">
        <v>44341</v>
      </c>
    </row>
    <row r="624" spans="1:11" x14ac:dyDescent="0.3">
      <c r="A624" s="2" t="s">
        <v>1271</v>
      </c>
      <c r="B624" s="1" t="s">
        <v>1272</v>
      </c>
      <c r="C624" s="1">
        <v>28</v>
      </c>
      <c r="D624" s="1" t="s">
        <v>13</v>
      </c>
      <c r="E624" s="1" t="s">
        <v>14</v>
      </c>
      <c r="F624" s="1" t="s">
        <v>29</v>
      </c>
      <c r="G624" s="1" t="s">
        <v>38</v>
      </c>
      <c r="H624" s="1" t="s">
        <v>17</v>
      </c>
      <c r="I624" s="1" t="s">
        <v>17</v>
      </c>
      <c r="J624" s="1">
        <v>0.19</v>
      </c>
      <c r="K624" s="36">
        <v>44499</v>
      </c>
    </row>
    <row r="625" spans="1:11" x14ac:dyDescent="0.3">
      <c r="A625" s="2" t="s">
        <v>1273</v>
      </c>
      <c r="B625" s="1" t="s">
        <v>1274</v>
      </c>
      <c r="C625" s="1">
        <v>44</v>
      </c>
      <c r="D625" s="1" t="s">
        <v>13</v>
      </c>
      <c r="E625" s="1" t="s">
        <v>14</v>
      </c>
      <c r="F625" s="1" t="s">
        <v>15</v>
      </c>
      <c r="G625" s="1" t="s">
        <v>43</v>
      </c>
      <c r="H625" s="1" t="s">
        <v>30</v>
      </c>
      <c r="I625" s="1" t="s">
        <v>30</v>
      </c>
      <c r="J625" s="1">
        <v>0.56000000000000005</v>
      </c>
      <c r="K625" s="36">
        <v>44339</v>
      </c>
    </row>
    <row r="626" spans="1:11" x14ac:dyDescent="0.3">
      <c r="A626" s="2" t="s">
        <v>1275</v>
      </c>
      <c r="B626" s="1" t="s">
        <v>1276</v>
      </c>
      <c r="C626" s="1">
        <v>56</v>
      </c>
      <c r="D626" s="1" t="s">
        <v>13</v>
      </c>
      <c r="E626" s="1" t="s">
        <v>28</v>
      </c>
      <c r="F626" s="1" t="s">
        <v>46</v>
      </c>
      <c r="G626" s="1" t="s">
        <v>38</v>
      </c>
      <c r="H626" s="1" t="s">
        <v>30</v>
      </c>
      <c r="I626" s="1" t="s">
        <v>30</v>
      </c>
      <c r="J626" s="1">
        <v>0.59</v>
      </c>
      <c r="K626" s="36">
        <v>45251</v>
      </c>
    </row>
    <row r="627" spans="1:11" x14ac:dyDescent="0.3">
      <c r="A627" s="2" t="s">
        <v>1277</v>
      </c>
      <c r="B627" s="1" t="s">
        <v>1278</v>
      </c>
      <c r="C627" s="1">
        <v>32</v>
      </c>
      <c r="D627" s="1" t="s">
        <v>20</v>
      </c>
      <c r="E627" s="1" t="s">
        <v>33</v>
      </c>
      <c r="F627" s="1" t="s">
        <v>15</v>
      </c>
      <c r="G627" s="1" t="s">
        <v>47</v>
      </c>
      <c r="H627" s="1" t="s">
        <v>17</v>
      </c>
      <c r="I627" s="1" t="s">
        <v>30</v>
      </c>
      <c r="J627" s="1">
        <v>0.35</v>
      </c>
      <c r="K627" s="36">
        <v>45747</v>
      </c>
    </row>
    <row r="628" spans="1:11" x14ac:dyDescent="0.3">
      <c r="A628" s="2" t="s">
        <v>1279</v>
      </c>
      <c r="B628" s="1" t="s">
        <v>1280</v>
      </c>
      <c r="C628" s="1">
        <v>39</v>
      </c>
      <c r="D628" s="1" t="s">
        <v>13</v>
      </c>
      <c r="E628" s="1" t="s">
        <v>14</v>
      </c>
      <c r="F628" s="1" t="s">
        <v>62</v>
      </c>
      <c r="G628" s="1" t="s">
        <v>47</v>
      </c>
      <c r="H628" s="1" t="s">
        <v>17</v>
      </c>
      <c r="I628" s="1" t="s">
        <v>17</v>
      </c>
      <c r="J628" s="1">
        <v>0.25</v>
      </c>
      <c r="K628" s="36">
        <v>44482</v>
      </c>
    </row>
    <row r="629" spans="1:11" x14ac:dyDescent="0.3">
      <c r="A629" s="2" t="s">
        <v>1281</v>
      </c>
      <c r="B629" s="1" t="s">
        <v>1282</v>
      </c>
      <c r="C629" s="1">
        <v>41</v>
      </c>
      <c r="D629" s="1" t="s">
        <v>13</v>
      </c>
      <c r="E629" s="1" t="s">
        <v>21</v>
      </c>
      <c r="F629" s="1" t="s">
        <v>29</v>
      </c>
      <c r="G629" s="1" t="s">
        <v>38</v>
      </c>
      <c r="H629" s="1" t="s">
        <v>30</v>
      </c>
      <c r="I629" s="1" t="s">
        <v>17</v>
      </c>
      <c r="J629" s="1">
        <v>0.38</v>
      </c>
      <c r="K629" s="36">
        <v>44551</v>
      </c>
    </row>
    <row r="630" spans="1:11" x14ac:dyDescent="0.3">
      <c r="A630" s="2" t="s">
        <v>1283</v>
      </c>
      <c r="B630" s="1" t="s">
        <v>1284</v>
      </c>
      <c r="C630" s="1">
        <v>49</v>
      </c>
      <c r="D630" s="1" t="s">
        <v>13</v>
      </c>
      <c r="E630" s="1" t="s">
        <v>28</v>
      </c>
      <c r="F630" s="1" t="s">
        <v>15</v>
      </c>
      <c r="G630" s="1" t="s">
        <v>38</v>
      </c>
      <c r="H630" s="1" t="s">
        <v>17</v>
      </c>
      <c r="I630" s="1" t="s">
        <v>17</v>
      </c>
      <c r="J630" s="1">
        <v>0.28999999999999998</v>
      </c>
      <c r="K630" s="36">
        <v>45138</v>
      </c>
    </row>
    <row r="631" spans="1:11" x14ac:dyDescent="0.3">
      <c r="A631" s="2" t="s">
        <v>1285</v>
      </c>
      <c r="B631" s="1" t="s">
        <v>1286</v>
      </c>
      <c r="C631" s="1">
        <v>41</v>
      </c>
      <c r="D631" s="1" t="s">
        <v>13</v>
      </c>
      <c r="E631" s="1" t="s">
        <v>33</v>
      </c>
      <c r="F631" s="1" t="s">
        <v>62</v>
      </c>
      <c r="G631" s="1" t="s">
        <v>16</v>
      </c>
      <c r="H631" s="1" t="s">
        <v>17</v>
      </c>
      <c r="I631" s="1" t="s">
        <v>30</v>
      </c>
      <c r="J631" s="1">
        <v>0.42</v>
      </c>
      <c r="K631" s="36">
        <v>45665</v>
      </c>
    </row>
    <row r="632" spans="1:11" x14ac:dyDescent="0.3">
      <c r="A632" s="2" t="s">
        <v>1287</v>
      </c>
      <c r="B632" s="1" t="s">
        <v>1288</v>
      </c>
      <c r="C632" s="1">
        <v>64</v>
      </c>
      <c r="D632" s="1" t="s">
        <v>20</v>
      </c>
      <c r="E632" s="1" t="s">
        <v>28</v>
      </c>
      <c r="F632" s="1" t="s">
        <v>29</v>
      </c>
      <c r="G632" s="1" t="s">
        <v>16</v>
      </c>
      <c r="H632" s="1" t="s">
        <v>17</v>
      </c>
      <c r="I632" s="1" t="s">
        <v>30</v>
      </c>
      <c r="J632" s="1">
        <v>0.42</v>
      </c>
      <c r="K632" s="36">
        <v>46217</v>
      </c>
    </row>
    <row r="633" spans="1:11" x14ac:dyDescent="0.3">
      <c r="A633" s="2" t="s">
        <v>1289</v>
      </c>
      <c r="B633" s="1" t="s">
        <v>1290</v>
      </c>
      <c r="C633" s="1">
        <v>38</v>
      </c>
      <c r="D633" s="1" t="s">
        <v>20</v>
      </c>
      <c r="E633" s="1" t="s">
        <v>14</v>
      </c>
      <c r="F633" s="1" t="s">
        <v>29</v>
      </c>
      <c r="G633" s="1" t="s">
        <v>38</v>
      </c>
      <c r="H633" s="1" t="s">
        <v>17</v>
      </c>
      <c r="I633" s="1" t="s">
        <v>17</v>
      </c>
      <c r="J633" s="1">
        <v>0.19</v>
      </c>
      <c r="K633" s="36">
        <v>45227</v>
      </c>
    </row>
    <row r="634" spans="1:11" x14ac:dyDescent="0.3">
      <c r="A634" s="2" t="s">
        <v>1291</v>
      </c>
      <c r="B634" s="1" t="s">
        <v>1292</v>
      </c>
      <c r="C634" s="1">
        <v>45</v>
      </c>
      <c r="D634" s="1" t="s">
        <v>20</v>
      </c>
      <c r="E634" s="1" t="s">
        <v>21</v>
      </c>
      <c r="F634" s="1" t="s">
        <v>29</v>
      </c>
      <c r="G634" s="1" t="s">
        <v>43</v>
      </c>
      <c r="H634" s="1" t="s">
        <v>17</v>
      </c>
      <c r="I634" s="1" t="s">
        <v>30</v>
      </c>
      <c r="J634" s="1">
        <v>0.18</v>
      </c>
      <c r="K634" s="36">
        <v>44697</v>
      </c>
    </row>
    <row r="635" spans="1:11" x14ac:dyDescent="0.3">
      <c r="A635" s="2" t="s">
        <v>1293</v>
      </c>
      <c r="B635" s="1" t="s">
        <v>1294</v>
      </c>
      <c r="C635" s="1">
        <v>41</v>
      </c>
      <c r="D635" s="1" t="s">
        <v>20</v>
      </c>
      <c r="E635" s="1" t="s">
        <v>14</v>
      </c>
      <c r="F635" s="1" t="s">
        <v>29</v>
      </c>
      <c r="G635" s="1" t="s">
        <v>38</v>
      </c>
      <c r="H635" s="1" t="s">
        <v>17</v>
      </c>
      <c r="I635" s="1" t="s">
        <v>17</v>
      </c>
      <c r="J635" s="1">
        <v>0.18</v>
      </c>
      <c r="K635" s="36">
        <v>44297</v>
      </c>
    </row>
    <row r="636" spans="1:11" x14ac:dyDescent="0.3">
      <c r="A636" s="2" t="s">
        <v>1295</v>
      </c>
      <c r="B636" s="1" t="s">
        <v>1296</v>
      </c>
      <c r="C636" s="1">
        <v>29</v>
      </c>
      <c r="D636" s="1" t="s">
        <v>13</v>
      </c>
      <c r="E636" s="1" t="s">
        <v>33</v>
      </c>
      <c r="F636" s="1" t="s">
        <v>62</v>
      </c>
      <c r="G636" s="1" t="s">
        <v>25</v>
      </c>
      <c r="H636" s="1" t="s">
        <v>17</v>
      </c>
      <c r="I636" s="1" t="s">
        <v>17</v>
      </c>
      <c r="J636" s="1">
        <v>0.12</v>
      </c>
      <c r="K636" s="36">
        <v>44502</v>
      </c>
    </row>
    <row r="637" spans="1:11" x14ac:dyDescent="0.3">
      <c r="A637" s="2" t="s">
        <v>1297</v>
      </c>
      <c r="B637" s="1" t="s">
        <v>1298</v>
      </c>
      <c r="C637" s="1">
        <v>61</v>
      </c>
      <c r="D637" s="1" t="s">
        <v>20</v>
      </c>
      <c r="E637" s="1" t="s">
        <v>21</v>
      </c>
      <c r="F637" s="1" t="s">
        <v>15</v>
      </c>
      <c r="G637" s="1" t="s">
        <v>25</v>
      </c>
      <c r="H637" s="1" t="s">
        <v>17</v>
      </c>
      <c r="I637" s="1" t="s">
        <v>17</v>
      </c>
      <c r="J637" s="1">
        <v>0.28999999999999998</v>
      </c>
      <c r="K637" s="36">
        <v>44575</v>
      </c>
    </row>
    <row r="638" spans="1:11" x14ac:dyDescent="0.3">
      <c r="A638" s="2" t="s">
        <v>1299</v>
      </c>
      <c r="B638" s="1" t="s">
        <v>1300</v>
      </c>
      <c r="C638" s="1">
        <v>32</v>
      </c>
      <c r="D638" s="1" t="s">
        <v>13</v>
      </c>
      <c r="E638" s="1" t="s">
        <v>21</v>
      </c>
      <c r="F638" s="1" t="s">
        <v>15</v>
      </c>
      <c r="G638" s="1" t="s">
        <v>16</v>
      </c>
      <c r="H638" s="1" t="s">
        <v>30</v>
      </c>
      <c r="I638" s="1" t="s">
        <v>17</v>
      </c>
      <c r="J638" s="1">
        <v>0.39</v>
      </c>
      <c r="K638" s="36">
        <v>44470</v>
      </c>
    </row>
    <row r="639" spans="1:11" x14ac:dyDescent="0.3">
      <c r="A639" s="2" t="s">
        <v>1301</v>
      </c>
      <c r="B639" s="1" t="s">
        <v>1302</v>
      </c>
      <c r="C639" s="1">
        <v>36</v>
      </c>
      <c r="D639" s="1" t="s">
        <v>13</v>
      </c>
      <c r="E639" s="1" t="s">
        <v>28</v>
      </c>
      <c r="F639" s="1" t="s">
        <v>62</v>
      </c>
      <c r="G639" s="1" t="s">
        <v>22</v>
      </c>
      <c r="H639" s="1" t="s">
        <v>17</v>
      </c>
      <c r="I639" s="1" t="s">
        <v>17</v>
      </c>
      <c r="J639" s="1">
        <v>0.24</v>
      </c>
      <c r="K639" s="36">
        <v>44108</v>
      </c>
    </row>
    <row r="640" spans="1:11" x14ac:dyDescent="0.3">
      <c r="A640" s="2" t="s">
        <v>1303</v>
      </c>
      <c r="B640" s="1" t="s">
        <v>1304</v>
      </c>
      <c r="C640" s="1">
        <v>67</v>
      </c>
      <c r="D640" s="1" t="s">
        <v>20</v>
      </c>
      <c r="E640" s="1" t="s">
        <v>33</v>
      </c>
      <c r="F640" s="1" t="s">
        <v>46</v>
      </c>
      <c r="G640" s="1" t="s">
        <v>38</v>
      </c>
      <c r="H640" s="1" t="s">
        <v>17</v>
      </c>
      <c r="I640" s="1" t="s">
        <v>30</v>
      </c>
      <c r="J640" s="1">
        <v>0.51</v>
      </c>
      <c r="K640" s="36">
        <v>45247</v>
      </c>
    </row>
    <row r="641" spans="1:11" x14ac:dyDescent="0.3">
      <c r="A641" s="2" t="s">
        <v>1305</v>
      </c>
      <c r="B641" s="1" t="s">
        <v>1306</v>
      </c>
      <c r="C641" s="1">
        <v>77</v>
      </c>
      <c r="D641" s="1" t="s">
        <v>20</v>
      </c>
      <c r="E641" s="1" t="s">
        <v>14</v>
      </c>
      <c r="F641" s="1" t="s">
        <v>62</v>
      </c>
      <c r="G641" s="1" t="s">
        <v>47</v>
      </c>
      <c r="H641" s="1" t="s">
        <v>17</v>
      </c>
      <c r="I641" s="1" t="s">
        <v>17</v>
      </c>
      <c r="J641" s="1">
        <v>0.28000000000000003</v>
      </c>
      <c r="K641" s="36">
        <v>44678</v>
      </c>
    </row>
    <row r="642" spans="1:11" x14ac:dyDescent="0.3">
      <c r="A642" s="2" t="s">
        <v>1307</v>
      </c>
      <c r="B642" s="1" t="s">
        <v>1308</v>
      </c>
      <c r="C642" s="1">
        <v>60</v>
      </c>
      <c r="D642" s="1" t="s">
        <v>13</v>
      </c>
      <c r="E642" s="1" t="s">
        <v>33</v>
      </c>
      <c r="F642" s="1" t="s">
        <v>62</v>
      </c>
      <c r="G642" s="1" t="s">
        <v>43</v>
      </c>
      <c r="H642" s="1" t="s">
        <v>17</v>
      </c>
      <c r="I642" s="1" t="s">
        <v>30</v>
      </c>
      <c r="J642" s="1">
        <v>0.56999999999999995</v>
      </c>
      <c r="K642" s="36">
        <v>46212</v>
      </c>
    </row>
    <row r="643" spans="1:11" x14ac:dyDescent="0.3">
      <c r="A643" s="2" t="s">
        <v>1309</v>
      </c>
      <c r="B643" s="1" t="s">
        <v>1310</v>
      </c>
      <c r="C643" s="1">
        <v>75</v>
      </c>
      <c r="D643" s="1" t="s">
        <v>13</v>
      </c>
      <c r="E643" s="1" t="s">
        <v>33</v>
      </c>
      <c r="F643" s="1" t="s">
        <v>62</v>
      </c>
      <c r="G643" s="1" t="s">
        <v>22</v>
      </c>
      <c r="H643" s="1" t="s">
        <v>17</v>
      </c>
      <c r="I643" s="1" t="s">
        <v>30</v>
      </c>
      <c r="J643" s="1">
        <v>0.44</v>
      </c>
      <c r="K643" s="36">
        <v>45289</v>
      </c>
    </row>
    <row r="644" spans="1:11" x14ac:dyDescent="0.3">
      <c r="A644" s="2" t="s">
        <v>1311</v>
      </c>
      <c r="B644" s="1" t="s">
        <v>1312</v>
      </c>
      <c r="C644" s="1">
        <v>71</v>
      </c>
      <c r="D644" s="1" t="s">
        <v>20</v>
      </c>
      <c r="E644" s="1" t="s">
        <v>21</v>
      </c>
      <c r="F644" s="1" t="s">
        <v>15</v>
      </c>
      <c r="G644" s="1" t="s">
        <v>38</v>
      </c>
      <c r="H644" s="1" t="s">
        <v>17</v>
      </c>
      <c r="I644" s="1" t="s">
        <v>17</v>
      </c>
      <c r="J644" s="1">
        <v>0.2</v>
      </c>
      <c r="K644" s="36">
        <v>45605</v>
      </c>
    </row>
    <row r="645" spans="1:11" x14ac:dyDescent="0.3">
      <c r="A645" s="2" t="s">
        <v>1313</v>
      </c>
      <c r="B645" s="1" t="s">
        <v>1314</v>
      </c>
      <c r="C645" s="1">
        <v>48</v>
      </c>
      <c r="D645" s="1" t="s">
        <v>20</v>
      </c>
      <c r="E645" s="1" t="s">
        <v>14</v>
      </c>
      <c r="F645" s="1" t="s">
        <v>62</v>
      </c>
      <c r="G645" s="1" t="s">
        <v>25</v>
      </c>
      <c r="H645" s="1" t="s">
        <v>17</v>
      </c>
      <c r="I645" s="1" t="s">
        <v>17</v>
      </c>
      <c r="J645" s="1">
        <v>0.17</v>
      </c>
      <c r="K645" s="36">
        <v>44353</v>
      </c>
    </row>
    <row r="646" spans="1:11" x14ac:dyDescent="0.3">
      <c r="A646" s="2" t="s">
        <v>1315</v>
      </c>
      <c r="B646" s="1" t="s">
        <v>1316</v>
      </c>
      <c r="C646" s="1">
        <v>66</v>
      </c>
      <c r="D646" s="1" t="s">
        <v>13</v>
      </c>
      <c r="E646" s="1" t="s">
        <v>14</v>
      </c>
      <c r="F646" s="1" t="s">
        <v>46</v>
      </c>
      <c r="G646" s="1" t="s">
        <v>25</v>
      </c>
      <c r="H646" s="1" t="s">
        <v>30</v>
      </c>
      <c r="I646" s="1" t="s">
        <v>30</v>
      </c>
      <c r="J646" s="1">
        <v>0.59</v>
      </c>
      <c r="K646" s="36">
        <v>45980</v>
      </c>
    </row>
    <row r="647" spans="1:11" x14ac:dyDescent="0.3">
      <c r="A647" s="2" t="s">
        <v>1317</v>
      </c>
      <c r="B647" s="1" t="s">
        <v>1318</v>
      </c>
      <c r="C647" s="1">
        <v>38</v>
      </c>
      <c r="D647" s="1" t="s">
        <v>20</v>
      </c>
      <c r="E647" s="1" t="s">
        <v>21</v>
      </c>
      <c r="F647" s="1" t="s">
        <v>62</v>
      </c>
      <c r="G647" s="1" t="s">
        <v>38</v>
      </c>
      <c r="H647" s="1" t="s">
        <v>17</v>
      </c>
      <c r="I647" s="1" t="s">
        <v>30</v>
      </c>
      <c r="J647" s="1">
        <v>0.39</v>
      </c>
      <c r="K647" s="36">
        <v>45153</v>
      </c>
    </row>
    <row r="648" spans="1:11" x14ac:dyDescent="0.3">
      <c r="A648" s="2" t="s">
        <v>1319</v>
      </c>
      <c r="B648" s="1" t="s">
        <v>1320</v>
      </c>
      <c r="C648" s="1">
        <v>47</v>
      </c>
      <c r="D648" s="1" t="s">
        <v>13</v>
      </c>
      <c r="E648" s="1" t="s">
        <v>21</v>
      </c>
      <c r="F648" s="1" t="s">
        <v>29</v>
      </c>
      <c r="G648" s="1" t="s">
        <v>38</v>
      </c>
      <c r="H648" s="1" t="s">
        <v>17</v>
      </c>
      <c r="I648" s="1" t="s">
        <v>17</v>
      </c>
      <c r="J648" s="1">
        <v>0.14000000000000001</v>
      </c>
      <c r="K648" s="36">
        <v>45990</v>
      </c>
    </row>
    <row r="649" spans="1:11" x14ac:dyDescent="0.3">
      <c r="A649" s="2" t="s">
        <v>1321</v>
      </c>
      <c r="B649" s="1" t="s">
        <v>1322</v>
      </c>
      <c r="C649" s="1">
        <v>51</v>
      </c>
      <c r="D649" s="1" t="s">
        <v>20</v>
      </c>
      <c r="E649" s="1" t="s">
        <v>14</v>
      </c>
      <c r="F649" s="1" t="s">
        <v>29</v>
      </c>
      <c r="G649" s="1" t="s">
        <v>38</v>
      </c>
      <c r="H649" s="1" t="s">
        <v>17</v>
      </c>
      <c r="I649" s="1" t="s">
        <v>17</v>
      </c>
      <c r="J649" s="1">
        <v>0.18</v>
      </c>
      <c r="K649" s="36">
        <v>45335</v>
      </c>
    </row>
    <row r="650" spans="1:11" x14ac:dyDescent="0.3">
      <c r="A650" s="2" t="s">
        <v>1323</v>
      </c>
      <c r="B650" s="1" t="s">
        <v>1324</v>
      </c>
      <c r="C650" s="1">
        <v>78</v>
      </c>
      <c r="D650" s="1" t="s">
        <v>20</v>
      </c>
      <c r="E650" s="1" t="s">
        <v>33</v>
      </c>
      <c r="F650" s="1" t="s">
        <v>29</v>
      </c>
      <c r="G650" s="1" t="s">
        <v>38</v>
      </c>
      <c r="H650" s="1" t="s">
        <v>30</v>
      </c>
      <c r="I650" s="1" t="s">
        <v>30</v>
      </c>
      <c r="J650" s="1">
        <v>0.6</v>
      </c>
      <c r="K650" s="36">
        <v>45105</v>
      </c>
    </row>
    <row r="651" spans="1:11" x14ac:dyDescent="0.3">
      <c r="A651" s="2" t="s">
        <v>1325</v>
      </c>
      <c r="B651" s="1" t="s">
        <v>1326</v>
      </c>
      <c r="C651" s="1">
        <v>71</v>
      </c>
      <c r="D651" s="1" t="s">
        <v>20</v>
      </c>
      <c r="E651" s="1" t="s">
        <v>33</v>
      </c>
      <c r="F651" s="1" t="s">
        <v>15</v>
      </c>
      <c r="G651" s="1" t="s">
        <v>16</v>
      </c>
      <c r="H651" s="1" t="s">
        <v>17</v>
      </c>
      <c r="I651" s="1" t="s">
        <v>17</v>
      </c>
      <c r="J651" s="1">
        <v>0.25</v>
      </c>
      <c r="K651" s="36">
        <v>45042</v>
      </c>
    </row>
    <row r="652" spans="1:11" x14ac:dyDescent="0.3">
      <c r="A652" s="2" t="s">
        <v>1327</v>
      </c>
      <c r="B652" s="1" t="s">
        <v>1328</v>
      </c>
      <c r="C652" s="1">
        <v>48</v>
      </c>
      <c r="D652" s="1" t="s">
        <v>13</v>
      </c>
      <c r="E652" s="1" t="s">
        <v>28</v>
      </c>
      <c r="F652" s="1" t="s">
        <v>46</v>
      </c>
      <c r="G652" s="1" t="s">
        <v>38</v>
      </c>
      <c r="H652" s="1" t="s">
        <v>17</v>
      </c>
      <c r="I652" s="1" t="s">
        <v>17</v>
      </c>
      <c r="J652" s="1">
        <v>0.25</v>
      </c>
      <c r="K652" s="36">
        <v>44481</v>
      </c>
    </row>
    <row r="653" spans="1:11" x14ac:dyDescent="0.3">
      <c r="A653" s="2" t="s">
        <v>1329</v>
      </c>
      <c r="B653" s="1" t="s">
        <v>1330</v>
      </c>
      <c r="C653" s="1">
        <v>59</v>
      </c>
      <c r="D653" s="1" t="s">
        <v>20</v>
      </c>
      <c r="E653" s="1" t="s">
        <v>14</v>
      </c>
      <c r="F653" s="1" t="s">
        <v>62</v>
      </c>
      <c r="G653" s="1" t="s">
        <v>16</v>
      </c>
      <c r="H653" s="1" t="s">
        <v>17</v>
      </c>
      <c r="I653" s="1" t="s">
        <v>30</v>
      </c>
      <c r="J653" s="1">
        <v>0.47</v>
      </c>
      <c r="K653" s="36">
        <v>44189</v>
      </c>
    </row>
    <row r="654" spans="1:11" x14ac:dyDescent="0.3">
      <c r="A654" s="2" t="s">
        <v>1331</v>
      </c>
      <c r="B654" s="1" t="s">
        <v>1332</v>
      </c>
      <c r="C654" s="1">
        <v>30</v>
      </c>
      <c r="D654" s="1" t="s">
        <v>20</v>
      </c>
      <c r="E654" s="1" t="s">
        <v>33</v>
      </c>
      <c r="F654" s="1" t="s">
        <v>46</v>
      </c>
      <c r="G654" s="1" t="s">
        <v>47</v>
      </c>
      <c r="H654" s="1" t="s">
        <v>17</v>
      </c>
      <c r="I654" s="1" t="s">
        <v>30</v>
      </c>
      <c r="J654" s="1">
        <v>0.42</v>
      </c>
      <c r="K654" s="36">
        <v>46139</v>
      </c>
    </row>
    <row r="655" spans="1:11" x14ac:dyDescent="0.3">
      <c r="A655" s="2" t="s">
        <v>1333</v>
      </c>
      <c r="B655" s="1" t="s">
        <v>1334</v>
      </c>
      <c r="C655" s="1">
        <v>68</v>
      </c>
      <c r="D655" s="1" t="s">
        <v>13</v>
      </c>
      <c r="E655" s="1" t="s">
        <v>28</v>
      </c>
      <c r="F655" s="1" t="s">
        <v>15</v>
      </c>
      <c r="G655" s="1" t="s">
        <v>43</v>
      </c>
      <c r="H655" s="1" t="s">
        <v>17</v>
      </c>
      <c r="I655" s="1" t="s">
        <v>30</v>
      </c>
      <c r="J655" s="1">
        <v>0.41</v>
      </c>
      <c r="K655" s="36">
        <v>45124</v>
      </c>
    </row>
    <row r="656" spans="1:11" x14ac:dyDescent="0.3">
      <c r="A656" s="2" t="s">
        <v>1335</v>
      </c>
      <c r="B656" s="1" t="s">
        <v>1336</v>
      </c>
      <c r="C656" s="1">
        <v>52</v>
      </c>
      <c r="D656" s="1" t="s">
        <v>20</v>
      </c>
      <c r="E656" s="1" t="s">
        <v>33</v>
      </c>
      <c r="F656" s="1" t="s">
        <v>62</v>
      </c>
      <c r="G656" s="1" t="s">
        <v>25</v>
      </c>
      <c r="H656" s="1" t="s">
        <v>17</v>
      </c>
      <c r="I656" s="1" t="s">
        <v>30</v>
      </c>
      <c r="J656" s="1">
        <v>0.42</v>
      </c>
      <c r="K656" s="36">
        <v>45879</v>
      </c>
    </row>
    <row r="657" spans="1:11" x14ac:dyDescent="0.3">
      <c r="A657" s="2" t="s">
        <v>1337</v>
      </c>
      <c r="B657" s="1" t="s">
        <v>1338</v>
      </c>
      <c r="C657" s="1">
        <v>51</v>
      </c>
      <c r="D657" s="1" t="s">
        <v>20</v>
      </c>
      <c r="E657" s="1" t="s">
        <v>28</v>
      </c>
      <c r="F657" s="1" t="s">
        <v>62</v>
      </c>
      <c r="G657" s="1" t="s">
        <v>22</v>
      </c>
      <c r="H657" s="1" t="s">
        <v>30</v>
      </c>
      <c r="I657" s="1" t="s">
        <v>30</v>
      </c>
      <c r="J657" s="1">
        <v>0.45</v>
      </c>
      <c r="K657" s="36">
        <v>44955</v>
      </c>
    </row>
    <row r="658" spans="1:11" x14ac:dyDescent="0.3">
      <c r="A658" s="2" t="s">
        <v>1339</v>
      </c>
      <c r="B658" s="1" t="s">
        <v>1340</v>
      </c>
      <c r="C658" s="1">
        <v>66</v>
      </c>
      <c r="D658" s="1" t="s">
        <v>20</v>
      </c>
      <c r="E658" s="1" t="s">
        <v>21</v>
      </c>
      <c r="F658" s="1" t="s">
        <v>62</v>
      </c>
      <c r="G658" s="1" t="s">
        <v>22</v>
      </c>
      <c r="H658" s="1" t="s">
        <v>17</v>
      </c>
      <c r="I658" s="1" t="s">
        <v>30</v>
      </c>
      <c r="J658" s="1">
        <v>0.35</v>
      </c>
      <c r="K658" s="36">
        <v>44239</v>
      </c>
    </row>
    <row r="659" spans="1:11" x14ac:dyDescent="0.3">
      <c r="A659" s="2" t="s">
        <v>1341</v>
      </c>
      <c r="B659" s="1" t="s">
        <v>1342</v>
      </c>
      <c r="C659" s="1">
        <v>57</v>
      </c>
      <c r="D659" s="1" t="s">
        <v>20</v>
      </c>
      <c r="E659" s="1" t="s">
        <v>28</v>
      </c>
      <c r="F659" s="1" t="s">
        <v>29</v>
      </c>
      <c r="G659" s="1" t="s">
        <v>38</v>
      </c>
      <c r="H659" s="1" t="s">
        <v>17</v>
      </c>
      <c r="I659" s="1" t="s">
        <v>30</v>
      </c>
      <c r="J659" s="1">
        <v>0.36</v>
      </c>
      <c r="K659" s="36">
        <v>45456</v>
      </c>
    </row>
    <row r="660" spans="1:11" x14ac:dyDescent="0.3">
      <c r="A660" s="2" t="s">
        <v>1343</v>
      </c>
      <c r="B660" s="1" t="s">
        <v>1344</v>
      </c>
      <c r="C660" s="1">
        <v>22</v>
      </c>
      <c r="D660" s="1" t="s">
        <v>13</v>
      </c>
      <c r="E660" s="1" t="s">
        <v>33</v>
      </c>
      <c r="F660" s="1" t="s">
        <v>46</v>
      </c>
      <c r="G660" s="1" t="s">
        <v>38</v>
      </c>
      <c r="H660" s="1" t="s">
        <v>17</v>
      </c>
      <c r="I660" s="1" t="s">
        <v>17</v>
      </c>
      <c r="J660" s="1">
        <v>0.25</v>
      </c>
      <c r="K660" s="36">
        <v>44194</v>
      </c>
    </row>
    <row r="661" spans="1:11" x14ac:dyDescent="0.3">
      <c r="A661" s="2" t="s">
        <v>1345</v>
      </c>
      <c r="B661" s="1" t="s">
        <v>1346</v>
      </c>
      <c r="C661" s="1">
        <v>36</v>
      </c>
      <c r="D661" s="1" t="s">
        <v>20</v>
      </c>
      <c r="E661" s="1" t="s">
        <v>33</v>
      </c>
      <c r="F661" s="1" t="s">
        <v>29</v>
      </c>
      <c r="G661" s="1" t="s">
        <v>16</v>
      </c>
      <c r="H661" s="1" t="s">
        <v>17</v>
      </c>
      <c r="I661" s="1" t="s">
        <v>17</v>
      </c>
      <c r="J661" s="1">
        <v>0.27</v>
      </c>
      <c r="K661" s="36">
        <v>44404</v>
      </c>
    </row>
    <row r="662" spans="1:11" x14ac:dyDescent="0.3">
      <c r="A662" s="2" t="s">
        <v>1347</v>
      </c>
      <c r="B662" s="1" t="s">
        <v>1348</v>
      </c>
      <c r="C662" s="1">
        <v>29</v>
      </c>
      <c r="D662" s="1" t="s">
        <v>13</v>
      </c>
      <c r="E662" s="1" t="s">
        <v>21</v>
      </c>
      <c r="F662" s="1" t="s">
        <v>62</v>
      </c>
      <c r="G662" s="1" t="s">
        <v>38</v>
      </c>
      <c r="H662" s="1" t="s">
        <v>30</v>
      </c>
      <c r="I662" s="1" t="s">
        <v>17</v>
      </c>
      <c r="J662" s="1">
        <v>0.34</v>
      </c>
      <c r="K662" s="36">
        <v>45310</v>
      </c>
    </row>
    <row r="663" spans="1:11" x14ac:dyDescent="0.3">
      <c r="A663" s="2" t="s">
        <v>1349</v>
      </c>
      <c r="B663" s="1" t="s">
        <v>1350</v>
      </c>
      <c r="C663" s="1">
        <v>64</v>
      </c>
      <c r="D663" s="1" t="s">
        <v>20</v>
      </c>
      <c r="E663" s="1" t="s">
        <v>33</v>
      </c>
      <c r="F663" s="1" t="s">
        <v>15</v>
      </c>
      <c r="G663" s="1" t="s">
        <v>16</v>
      </c>
      <c r="H663" s="1" t="s">
        <v>30</v>
      </c>
      <c r="I663" s="1" t="s">
        <v>17</v>
      </c>
      <c r="J663" s="1">
        <v>0.43</v>
      </c>
      <c r="K663" s="36">
        <v>44743</v>
      </c>
    </row>
    <row r="664" spans="1:11" x14ac:dyDescent="0.3">
      <c r="A664" s="2" t="s">
        <v>1351</v>
      </c>
      <c r="B664" s="1" t="s">
        <v>1352</v>
      </c>
      <c r="C664" s="1">
        <v>20</v>
      </c>
      <c r="D664" s="1" t="s">
        <v>13</v>
      </c>
      <c r="E664" s="1" t="s">
        <v>28</v>
      </c>
      <c r="F664" s="1" t="s">
        <v>15</v>
      </c>
      <c r="G664" s="1" t="s">
        <v>22</v>
      </c>
      <c r="H664" s="1" t="s">
        <v>17</v>
      </c>
      <c r="I664" s="1" t="s">
        <v>17</v>
      </c>
      <c r="J664" s="1">
        <v>0.24</v>
      </c>
      <c r="K664" s="36">
        <v>46255</v>
      </c>
    </row>
    <row r="665" spans="1:11" x14ac:dyDescent="0.3">
      <c r="A665" s="2" t="s">
        <v>1353</v>
      </c>
      <c r="B665" s="1" t="s">
        <v>171</v>
      </c>
      <c r="C665" s="1">
        <v>30</v>
      </c>
      <c r="D665" s="1" t="s">
        <v>20</v>
      </c>
      <c r="E665" s="1" t="s">
        <v>33</v>
      </c>
      <c r="F665" s="1" t="s">
        <v>62</v>
      </c>
      <c r="G665" s="1" t="s">
        <v>38</v>
      </c>
      <c r="H665" s="1" t="s">
        <v>17</v>
      </c>
      <c r="I665" s="1" t="s">
        <v>17</v>
      </c>
      <c r="J665" s="1">
        <v>0.23</v>
      </c>
      <c r="K665" s="36">
        <v>44336</v>
      </c>
    </row>
    <row r="666" spans="1:11" x14ac:dyDescent="0.3">
      <c r="A666" s="2" t="s">
        <v>1354</v>
      </c>
      <c r="B666" s="1" t="s">
        <v>1355</v>
      </c>
      <c r="C666" s="1">
        <v>55</v>
      </c>
      <c r="D666" s="1" t="s">
        <v>13</v>
      </c>
      <c r="E666" s="1" t="s">
        <v>21</v>
      </c>
      <c r="F666" s="1" t="s">
        <v>62</v>
      </c>
      <c r="G666" s="1" t="s">
        <v>16</v>
      </c>
      <c r="H666" s="1" t="s">
        <v>17</v>
      </c>
      <c r="I666" s="1" t="s">
        <v>17</v>
      </c>
      <c r="J666" s="1">
        <v>0.25</v>
      </c>
      <c r="K666" s="36">
        <v>45752</v>
      </c>
    </row>
    <row r="667" spans="1:11" x14ac:dyDescent="0.3">
      <c r="A667" s="2" t="s">
        <v>1356</v>
      </c>
      <c r="B667" s="1" t="s">
        <v>1357</v>
      </c>
      <c r="C667" s="1">
        <v>61</v>
      </c>
      <c r="D667" s="1" t="s">
        <v>20</v>
      </c>
      <c r="E667" s="1" t="s">
        <v>14</v>
      </c>
      <c r="F667" s="1" t="s">
        <v>15</v>
      </c>
      <c r="G667" s="1" t="s">
        <v>16</v>
      </c>
      <c r="H667" s="1" t="s">
        <v>30</v>
      </c>
      <c r="I667" s="1" t="s">
        <v>17</v>
      </c>
      <c r="J667" s="1">
        <v>0.43</v>
      </c>
      <c r="K667" s="36">
        <v>45406</v>
      </c>
    </row>
    <row r="668" spans="1:11" x14ac:dyDescent="0.3">
      <c r="A668" s="2" t="s">
        <v>1358</v>
      </c>
      <c r="B668" s="1" t="s">
        <v>1359</v>
      </c>
      <c r="C668" s="1">
        <v>49</v>
      </c>
      <c r="D668" s="1" t="s">
        <v>20</v>
      </c>
      <c r="E668" s="1" t="s">
        <v>33</v>
      </c>
      <c r="F668" s="1" t="s">
        <v>46</v>
      </c>
      <c r="G668" s="1" t="s">
        <v>25</v>
      </c>
      <c r="H668" s="1" t="s">
        <v>17</v>
      </c>
      <c r="I668" s="1" t="s">
        <v>30</v>
      </c>
      <c r="J668" s="1">
        <v>0.27</v>
      </c>
      <c r="K668" s="36">
        <v>45810</v>
      </c>
    </row>
    <row r="669" spans="1:11" x14ac:dyDescent="0.3">
      <c r="A669" s="2" t="s">
        <v>1360</v>
      </c>
      <c r="B669" s="1" t="s">
        <v>1361</v>
      </c>
      <c r="C669" s="1">
        <v>72</v>
      </c>
      <c r="D669" s="1" t="s">
        <v>13</v>
      </c>
      <c r="E669" s="1" t="s">
        <v>28</v>
      </c>
      <c r="F669" s="1" t="s">
        <v>46</v>
      </c>
      <c r="G669" s="1" t="s">
        <v>47</v>
      </c>
      <c r="H669" s="1" t="s">
        <v>17</v>
      </c>
      <c r="I669" s="1" t="s">
        <v>17</v>
      </c>
      <c r="J669" s="1">
        <v>0.25</v>
      </c>
      <c r="K669" s="36">
        <v>44571</v>
      </c>
    </row>
    <row r="670" spans="1:11" x14ac:dyDescent="0.3">
      <c r="A670" s="2" t="s">
        <v>1362</v>
      </c>
      <c r="B670" s="1" t="s">
        <v>1363</v>
      </c>
      <c r="C670" s="1">
        <v>75</v>
      </c>
      <c r="D670" s="1" t="s">
        <v>13</v>
      </c>
      <c r="E670" s="1" t="s">
        <v>14</v>
      </c>
      <c r="F670" s="1" t="s">
        <v>15</v>
      </c>
      <c r="G670" s="1" t="s">
        <v>16</v>
      </c>
      <c r="H670" s="1" t="s">
        <v>17</v>
      </c>
      <c r="I670" s="1" t="s">
        <v>30</v>
      </c>
      <c r="J670" s="1">
        <v>0.5</v>
      </c>
      <c r="K670" s="36">
        <v>45222</v>
      </c>
    </row>
    <row r="671" spans="1:11" x14ac:dyDescent="0.3">
      <c r="A671" s="2" t="s">
        <v>1364</v>
      </c>
      <c r="B671" s="1" t="s">
        <v>1365</v>
      </c>
      <c r="C671" s="1">
        <v>26</v>
      </c>
      <c r="D671" s="1" t="s">
        <v>13</v>
      </c>
      <c r="E671" s="1" t="s">
        <v>28</v>
      </c>
      <c r="F671" s="1" t="s">
        <v>15</v>
      </c>
      <c r="G671" s="1" t="s">
        <v>43</v>
      </c>
      <c r="H671" s="1" t="s">
        <v>30</v>
      </c>
      <c r="I671" s="1" t="s">
        <v>17</v>
      </c>
      <c r="J671" s="1">
        <v>0.39</v>
      </c>
      <c r="K671" s="36">
        <v>45064</v>
      </c>
    </row>
    <row r="672" spans="1:11" x14ac:dyDescent="0.3">
      <c r="A672" s="2" t="s">
        <v>1366</v>
      </c>
      <c r="B672" s="1" t="s">
        <v>1367</v>
      </c>
      <c r="C672" s="1">
        <v>78</v>
      </c>
      <c r="D672" s="1" t="s">
        <v>20</v>
      </c>
      <c r="E672" s="1" t="s">
        <v>28</v>
      </c>
      <c r="F672" s="1" t="s">
        <v>62</v>
      </c>
      <c r="G672" s="1" t="s">
        <v>47</v>
      </c>
      <c r="H672" s="1" t="s">
        <v>17</v>
      </c>
      <c r="I672" s="1" t="s">
        <v>30</v>
      </c>
      <c r="J672" s="1">
        <v>0.39</v>
      </c>
      <c r="K672" s="36">
        <v>45047</v>
      </c>
    </row>
    <row r="673" spans="1:11" x14ac:dyDescent="0.3">
      <c r="A673" s="2" t="s">
        <v>1368</v>
      </c>
      <c r="B673" s="1" t="s">
        <v>1369</v>
      </c>
      <c r="C673" s="1">
        <v>56</v>
      </c>
      <c r="D673" s="1" t="s">
        <v>13</v>
      </c>
      <c r="E673" s="1" t="s">
        <v>14</v>
      </c>
      <c r="F673" s="1" t="s">
        <v>29</v>
      </c>
      <c r="G673" s="1" t="s">
        <v>43</v>
      </c>
      <c r="H673" s="1" t="s">
        <v>30</v>
      </c>
      <c r="I673" s="1" t="s">
        <v>30</v>
      </c>
      <c r="J673" s="1">
        <v>0.68</v>
      </c>
      <c r="K673" s="36">
        <v>45962</v>
      </c>
    </row>
    <row r="674" spans="1:11" x14ac:dyDescent="0.3">
      <c r="A674" s="2" t="s">
        <v>1370</v>
      </c>
      <c r="B674" s="1" t="s">
        <v>1371</v>
      </c>
      <c r="C674" s="1">
        <v>58</v>
      </c>
      <c r="D674" s="1" t="s">
        <v>13</v>
      </c>
      <c r="E674" s="1" t="s">
        <v>21</v>
      </c>
      <c r="F674" s="1" t="s">
        <v>46</v>
      </c>
      <c r="G674" s="1" t="s">
        <v>25</v>
      </c>
      <c r="H674" s="1" t="s">
        <v>17</v>
      </c>
      <c r="I674" s="1" t="s">
        <v>30</v>
      </c>
      <c r="J674" s="1">
        <v>0.39</v>
      </c>
      <c r="K674" s="36">
        <v>46247</v>
      </c>
    </row>
    <row r="675" spans="1:11" x14ac:dyDescent="0.3">
      <c r="A675" s="2" t="s">
        <v>1372</v>
      </c>
      <c r="B675" s="1" t="s">
        <v>1373</v>
      </c>
      <c r="C675" s="1">
        <v>23</v>
      </c>
      <c r="D675" s="1" t="s">
        <v>13</v>
      </c>
      <c r="E675" s="1" t="s">
        <v>28</v>
      </c>
      <c r="F675" s="1" t="s">
        <v>15</v>
      </c>
      <c r="G675" s="1" t="s">
        <v>22</v>
      </c>
      <c r="H675" s="1" t="s">
        <v>17</v>
      </c>
      <c r="I675" s="1" t="s">
        <v>17</v>
      </c>
      <c r="J675" s="1">
        <v>0.34</v>
      </c>
      <c r="K675" s="36">
        <v>44746</v>
      </c>
    </row>
    <row r="676" spans="1:11" x14ac:dyDescent="0.3">
      <c r="A676" s="2" t="s">
        <v>1374</v>
      </c>
      <c r="B676" s="1" t="s">
        <v>1375</v>
      </c>
      <c r="C676" s="1">
        <v>57</v>
      </c>
      <c r="D676" s="1" t="s">
        <v>20</v>
      </c>
      <c r="E676" s="1" t="s">
        <v>33</v>
      </c>
      <c r="F676" s="1" t="s">
        <v>46</v>
      </c>
      <c r="G676" s="1" t="s">
        <v>43</v>
      </c>
      <c r="H676" s="1" t="s">
        <v>17</v>
      </c>
      <c r="I676" s="1" t="s">
        <v>30</v>
      </c>
      <c r="J676" s="1">
        <v>0.51</v>
      </c>
      <c r="K676" s="36">
        <v>45438</v>
      </c>
    </row>
    <row r="677" spans="1:11" x14ac:dyDescent="0.3">
      <c r="A677" s="2" t="s">
        <v>1376</v>
      </c>
      <c r="B677" s="1" t="s">
        <v>1377</v>
      </c>
      <c r="C677" s="1">
        <v>63</v>
      </c>
      <c r="D677" s="1" t="s">
        <v>13</v>
      </c>
      <c r="E677" s="1" t="s">
        <v>28</v>
      </c>
      <c r="F677" s="1" t="s">
        <v>29</v>
      </c>
      <c r="G677" s="1" t="s">
        <v>43</v>
      </c>
      <c r="H677" s="1" t="s">
        <v>17</v>
      </c>
      <c r="I677" s="1" t="s">
        <v>30</v>
      </c>
      <c r="J677" s="1">
        <v>0.43</v>
      </c>
      <c r="K677" s="36">
        <v>45413</v>
      </c>
    </row>
    <row r="678" spans="1:11" x14ac:dyDescent="0.3">
      <c r="A678" s="2" t="s">
        <v>1378</v>
      </c>
      <c r="B678" s="1" t="s">
        <v>1379</v>
      </c>
      <c r="C678" s="1">
        <v>54</v>
      </c>
      <c r="D678" s="1" t="s">
        <v>13</v>
      </c>
      <c r="E678" s="1" t="s">
        <v>28</v>
      </c>
      <c r="F678" s="1" t="s">
        <v>62</v>
      </c>
      <c r="G678" s="1" t="s">
        <v>47</v>
      </c>
      <c r="H678" s="1" t="s">
        <v>17</v>
      </c>
      <c r="I678" s="1" t="s">
        <v>30</v>
      </c>
      <c r="J678" s="1">
        <v>0.26</v>
      </c>
      <c r="K678" s="36">
        <v>45699</v>
      </c>
    </row>
    <row r="679" spans="1:11" x14ac:dyDescent="0.3">
      <c r="A679" s="2" t="s">
        <v>1380</v>
      </c>
      <c r="B679" s="1" t="s">
        <v>1381</v>
      </c>
      <c r="C679" s="1">
        <v>23</v>
      </c>
      <c r="D679" s="1" t="s">
        <v>13</v>
      </c>
      <c r="E679" s="1" t="s">
        <v>14</v>
      </c>
      <c r="F679" s="1" t="s">
        <v>46</v>
      </c>
      <c r="G679" s="1" t="s">
        <v>43</v>
      </c>
      <c r="H679" s="1" t="s">
        <v>30</v>
      </c>
      <c r="I679" s="1" t="s">
        <v>17</v>
      </c>
      <c r="J679" s="1">
        <v>0.56999999999999995</v>
      </c>
      <c r="K679" s="36">
        <v>46154</v>
      </c>
    </row>
    <row r="680" spans="1:11" x14ac:dyDescent="0.3">
      <c r="A680" s="2" t="s">
        <v>1382</v>
      </c>
      <c r="B680" s="1" t="s">
        <v>1383</v>
      </c>
      <c r="C680" s="1">
        <v>50</v>
      </c>
      <c r="D680" s="1" t="s">
        <v>20</v>
      </c>
      <c r="E680" s="1" t="s">
        <v>21</v>
      </c>
      <c r="F680" s="1" t="s">
        <v>15</v>
      </c>
      <c r="G680" s="1" t="s">
        <v>38</v>
      </c>
      <c r="H680" s="1" t="s">
        <v>30</v>
      </c>
      <c r="I680" s="1" t="s">
        <v>17</v>
      </c>
      <c r="J680" s="1">
        <v>0.4</v>
      </c>
      <c r="K680" s="36">
        <v>44532</v>
      </c>
    </row>
    <row r="681" spans="1:11" x14ac:dyDescent="0.3">
      <c r="A681" s="2" t="s">
        <v>1384</v>
      </c>
      <c r="B681" s="1" t="s">
        <v>1385</v>
      </c>
      <c r="C681" s="1">
        <v>76</v>
      </c>
      <c r="D681" s="1" t="s">
        <v>20</v>
      </c>
      <c r="E681" s="1" t="s">
        <v>28</v>
      </c>
      <c r="F681" s="1" t="s">
        <v>62</v>
      </c>
      <c r="G681" s="1" t="s">
        <v>38</v>
      </c>
      <c r="H681" s="1" t="s">
        <v>17</v>
      </c>
      <c r="I681" s="1" t="s">
        <v>17</v>
      </c>
      <c r="J681" s="1">
        <v>0.26</v>
      </c>
      <c r="K681" s="36">
        <v>44539</v>
      </c>
    </row>
    <row r="682" spans="1:11" x14ac:dyDescent="0.3">
      <c r="A682" s="2" t="s">
        <v>1386</v>
      </c>
      <c r="B682" s="1" t="s">
        <v>1387</v>
      </c>
      <c r="C682" s="1">
        <v>63</v>
      </c>
      <c r="D682" s="1" t="s">
        <v>13</v>
      </c>
      <c r="E682" s="1" t="s">
        <v>33</v>
      </c>
      <c r="F682" s="1" t="s">
        <v>29</v>
      </c>
      <c r="G682" s="1" t="s">
        <v>38</v>
      </c>
      <c r="H682" s="1" t="s">
        <v>17</v>
      </c>
      <c r="I682" s="1" t="s">
        <v>30</v>
      </c>
      <c r="J682" s="1">
        <v>0.49</v>
      </c>
      <c r="K682" s="36">
        <v>45524</v>
      </c>
    </row>
    <row r="683" spans="1:11" x14ac:dyDescent="0.3">
      <c r="A683" s="2" t="s">
        <v>1388</v>
      </c>
      <c r="B683" s="1" t="s">
        <v>1389</v>
      </c>
      <c r="C683" s="1">
        <v>26</v>
      </c>
      <c r="D683" s="1" t="s">
        <v>20</v>
      </c>
      <c r="E683" s="1" t="s">
        <v>21</v>
      </c>
      <c r="F683" s="1" t="s">
        <v>62</v>
      </c>
      <c r="G683" s="1" t="s">
        <v>22</v>
      </c>
      <c r="H683" s="1" t="s">
        <v>30</v>
      </c>
      <c r="I683" s="1" t="s">
        <v>17</v>
      </c>
      <c r="J683" s="1">
        <v>0.42</v>
      </c>
      <c r="K683" s="36">
        <v>44421</v>
      </c>
    </row>
    <row r="684" spans="1:11" x14ac:dyDescent="0.3">
      <c r="A684" s="2" t="s">
        <v>1390</v>
      </c>
      <c r="B684" s="1" t="s">
        <v>1391</v>
      </c>
      <c r="C684" s="1">
        <v>78</v>
      </c>
      <c r="D684" s="1" t="s">
        <v>13</v>
      </c>
      <c r="E684" s="1" t="s">
        <v>33</v>
      </c>
      <c r="F684" s="1" t="s">
        <v>15</v>
      </c>
      <c r="G684" s="1" t="s">
        <v>43</v>
      </c>
      <c r="H684" s="1" t="s">
        <v>30</v>
      </c>
      <c r="I684" s="1" t="s">
        <v>30</v>
      </c>
      <c r="J684" s="1">
        <v>0.69</v>
      </c>
      <c r="K684" s="36">
        <v>44457</v>
      </c>
    </row>
    <row r="685" spans="1:11" x14ac:dyDescent="0.3">
      <c r="A685" s="2" t="s">
        <v>1392</v>
      </c>
      <c r="B685" s="1" t="s">
        <v>1393</v>
      </c>
      <c r="C685" s="1">
        <v>78</v>
      </c>
      <c r="D685" s="1" t="s">
        <v>20</v>
      </c>
      <c r="E685" s="1" t="s">
        <v>21</v>
      </c>
      <c r="F685" s="1" t="s">
        <v>62</v>
      </c>
      <c r="G685" s="1" t="s">
        <v>16</v>
      </c>
      <c r="H685" s="1" t="s">
        <v>17</v>
      </c>
      <c r="I685" s="1" t="s">
        <v>30</v>
      </c>
      <c r="J685" s="1">
        <v>0.39</v>
      </c>
      <c r="K685" s="36">
        <v>44241</v>
      </c>
    </row>
    <row r="686" spans="1:11" x14ac:dyDescent="0.3">
      <c r="A686" s="2" t="s">
        <v>1394</v>
      </c>
      <c r="B686" s="1" t="s">
        <v>1395</v>
      </c>
      <c r="C686" s="1">
        <v>28</v>
      </c>
      <c r="D686" s="1" t="s">
        <v>20</v>
      </c>
      <c r="E686" s="1" t="s">
        <v>14</v>
      </c>
      <c r="F686" s="1" t="s">
        <v>62</v>
      </c>
      <c r="G686" s="1" t="s">
        <v>16</v>
      </c>
      <c r="H686" s="1" t="s">
        <v>30</v>
      </c>
      <c r="I686" s="1" t="s">
        <v>17</v>
      </c>
      <c r="J686" s="1">
        <v>0.4</v>
      </c>
      <c r="K686" s="36">
        <v>44082</v>
      </c>
    </row>
    <row r="687" spans="1:11" x14ac:dyDescent="0.3">
      <c r="A687" s="2" t="s">
        <v>1396</v>
      </c>
      <c r="B687" s="1" t="s">
        <v>1397</v>
      </c>
      <c r="C687" s="1">
        <v>68</v>
      </c>
      <c r="D687" s="1" t="s">
        <v>13</v>
      </c>
      <c r="E687" s="1" t="s">
        <v>14</v>
      </c>
      <c r="F687" s="1" t="s">
        <v>62</v>
      </c>
      <c r="G687" s="1" t="s">
        <v>38</v>
      </c>
      <c r="H687" s="1" t="s">
        <v>30</v>
      </c>
      <c r="I687" s="1" t="s">
        <v>17</v>
      </c>
      <c r="J687" s="1">
        <v>0.39</v>
      </c>
      <c r="K687" s="36">
        <v>45064</v>
      </c>
    </row>
    <row r="688" spans="1:11" x14ac:dyDescent="0.3">
      <c r="A688" s="2" t="s">
        <v>1398</v>
      </c>
      <c r="B688" s="1" t="s">
        <v>1399</v>
      </c>
      <c r="C688" s="1">
        <v>43</v>
      </c>
      <c r="D688" s="1" t="s">
        <v>20</v>
      </c>
      <c r="E688" s="1" t="s">
        <v>14</v>
      </c>
      <c r="F688" s="1" t="s">
        <v>46</v>
      </c>
      <c r="G688" s="1" t="s">
        <v>16</v>
      </c>
      <c r="H688" s="1" t="s">
        <v>17</v>
      </c>
      <c r="I688" s="1" t="s">
        <v>17</v>
      </c>
      <c r="J688" s="1">
        <v>0.24</v>
      </c>
      <c r="K688" s="36">
        <v>45378</v>
      </c>
    </row>
    <row r="689" spans="1:11" x14ac:dyDescent="0.3">
      <c r="A689" s="2" t="s">
        <v>1400</v>
      </c>
      <c r="B689" s="1" t="s">
        <v>1401</v>
      </c>
      <c r="C689" s="1">
        <v>55</v>
      </c>
      <c r="D689" s="1" t="s">
        <v>20</v>
      </c>
      <c r="E689" s="1" t="s">
        <v>33</v>
      </c>
      <c r="F689" s="1" t="s">
        <v>62</v>
      </c>
      <c r="G689" s="1" t="s">
        <v>22</v>
      </c>
      <c r="H689" s="1" t="s">
        <v>17</v>
      </c>
      <c r="I689" s="1" t="s">
        <v>17</v>
      </c>
      <c r="J689" s="1">
        <v>0.28000000000000003</v>
      </c>
      <c r="K689" s="36">
        <v>44715</v>
      </c>
    </row>
    <row r="690" spans="1:11" x14ac:dyDescent="0.3">
      <c r="A690" s="2" t="s">
        <v>1402</v>
      </c>
      <c r="B690" s="1" t="s">
        <v>1403</v>
      </c>
      <c r="C690" s="1">
        <v>46</v>
      </c>
      <c r="D690" s="1" t="s">
        <v>13</v>
      </c>
      <c r="E690" s="1" t="s">
        <v>28</v>
      </c>
      <c r="F690" s="1" t="s">
        <v>46</v>
      </c>
      <c r="G690" s="1" t="s">
        <v>22</v>
      </c>
      <c r="H690" s="1" t="s">
        <v>17</v>
      </c>
      <c r="I690" s="1" t="s">
        <v>17</v>
      </c>
      <c r="J690" s="1">
        <v>0.22</v>
      </c>
      <c r="K690" s="36">
        <v>44584</v>
      </c>
    </row>
    <row r="691" spans="1:11" x14ac:dyDescent="0.3">
      <c r="A691" s="2" t="s">
        <v>1404</v>
      </c>
      <c r="B691" s="1" t="s">
        <v>1405</v>
      </c>
      <c r="C691" s="1">
        <v>67</v>
      </c>
      <c r="D691" s="1" t="s">
        <v>13</v>
      </c>
      <c r="E691" s="1" t="s">
        <v>14</v>
      </c>
      <c r="F691" s="1" t="s">
        <v>29</v>
      </c>
      <c r="G691" s="1" t="s">
        <v>47</v>
      </c>
      <c r="H691" s="1" t="s">
        <v>17</v>
      </c>
      <c r="I691" s="1" t="s">
        <v>17</v>
      </c>
      <c r="J691" s="1">
        <v>0.27</v>
      </c>
      <c r="K691" s="36">
        <v>45626</v>
      </c>
    </row>
    <row r="692" spans="1:11" x14ac:dyDescent="0.3">
      <c r="A692" s="2" t="s">
        <v>1406</v>
      </c>
      <c r="B692" s="1" t="s">
        <v>1407</v>
      </c>
      <c r="C692" s="1">
        <v>80</v>
      </c>
      <c r="D692" s="1" t="s">
        <v>13</v>
      </c>
      <c r="E692" s="1" t="s">
        <v>33</v>
      </c>
      <c r="F692" s="1" t="s">
        <v>29</v>
      </c>
      <c r="G692" s="1" t="s">
        <v>47</v>
      </c>
      <c r="H692" s="1" t="s">
        <v>30</v>
      </c>
      <c r="I692" s="1" t="s">
        <v>30</v>
      </c>
      <c r="J692" s="1">
        <v>0.59</v>
      </c>
      <c r="K692" s="36">
        <v>45617</v>
      </c>
    </row>
    <row r="693" spans="1:11" x14ac:dyDescent="0.3">
      <c r="A693" s="2" t="s">
        <v>1408</v>
      </c>
      <c r="B693" s="1" t="s">
        <v>1409</v>
      </c>
      <c r="C693" s="1">
        <v>68</v>
      </c>
      <c r="D693" s="1" t="s">
        <v>20</v>
      </c>
      <c r="E693" s="1" t="s">
        <v>28</v>
      </c>
      <c r="F693" s="1" t="s">
        <v>62</v>
      </c>
      <c r="G693" s="1" t="s">
        <v>43</v>
      </c>
      <c r="H693" s="1" t="s">
        <v>17</v>
      </c>
      <c r="I693" s="1" t="s">
        <v>17</v>
      </c>
      <c r="J693" s="1">
        <v>0.23</v>
      </c>
      <c r="K693" s="36">
        <v>45072</v>
      </c>
    </row>
    <row r="694" spans="1:11" x14ac:dyDescent="0.3">
      <c r="A694" s="2" t="s">
        <v>1410</v>
      </c>
      <c r="B694" s="1" t="s">
        <v>1411</v>
      </c>
      <c r="C694" s="1">
        <v>76</v>
      </c>
      <c r="D694" s="1" t="s">
        <v>20</v>
      </c>
      <c r="E694" s="1" t="s">
        <v>33</v>
      </c>
      <c r="F694" s="1" t="s">
        <v>62</v>
      </c>
      <c r="G694" s="1" t="s">
        <v>16</v>
      </c>
      <c r="H694" s="1" t="s">
        <v>17</v>
      </c>
      <c r="I694" s="1" t="s">
        <v>30</v>
      </c>
      <c r="J694" s="1">
        <v>0.48</v>
      </c>
      <c r="K694" s="36">
        <v>45583</v>
      </c>
    </row>
    <row r="695" spans="1:11" x14ac:dyDescent="0.3">
      <c r="A695" s="2" t="s">
        <v>1412</v>
      </c>
      <c r="B695" s="1" t="s">
        <v>1413</v>
      </c>
      <c r="C695" s="1">
        <v>77</v>
      </c>
      <c r="D695" s="1" t="s">
        <v>13</v>
      </c>
      <c r="E695" s="1" t="s">
        <v>14</v>
      </c>
      <c r="F695" s="1" t="s">
        <v>46</v>
      </c>
      <c r="G695" s="1" t="s">
        <v>22</v>
      </c>
      <c r="H695" s="1" t="s">
        <v>17</v>
      </c>
      <c r="I695" s="1" t="s">
        <v>17</v>
      </c>
      <c r="J695" s="1">
        <v>0.37</v>
      </c>
      <c r="K695" s="36">
        <v>46102</v>
      </c>
    </row>
    <row r="696" spans="1:11" x14ac:dyDescent="0.3">
      <c r="A696" s="2" t="s">
        <v>1414</v>
      </c>
      <c r="B696" s="1" t="s">
        <v>476</v>
      </c>
      <c r="C696" s="1">
        <v>23</v>
      </c>
      <c r="D696" s="1" t="s">
        <v>20</v>
      </c>
      <c r="E696" s="1" t="s">
        <v>33</v>
      </c>
      <c r="F696" s="1" t="s">
        <v>29</v>
      </c>
      <c r="G696" s="1" t="s">
        <v>38</v>
      </c>
      <c r="H696" s="1" t="s">
        <v>30</v>
      </c>
      <c r="I696" s="1" t="s">
        <v>17</v>
      </c>
      <c r="J696" s="1">
        <v>0.4</v>
      </c>
      <c r="K696" s="36">
        <v>45803</v>
      </c>
    </row>
    <row r="697" spans="1:11" x14ac:dyDescent="0.3">
      <c r="A697" s="2" t="s">
        <v>1415</v>
      </c>
      <c r="B697" s="1" t="s">
        <v>1416</v>
      </c>
      <c r="C697" s="1">
        <v>33</v>
      </c>
      <c r="D697" s="1" t="s">
        <v>20</v>
      </c>
      <c r="E697" s="1" t="s">
        <v>14</v>
      </c>
      <c r="F697" s="1" t="s">
        <v>15</v>
      </c>
      <c r="G697" s="1" t="s">
        <v>25</v>
      </c>
      <c r="H697" s="1" t="s">
        <v>30</v>
      </c>
      <c r="I697" s="1" t="s">
        <v>30</v>
      </c>
      <c r="J697" s="1">
        <v>0.56000000000000005</v>
      </c>
      <c r="K697" s="36">
        <v>45447</v>
      </c>
    </row>
    <row r="698" spans="1:11" x14ac:dyDescent="0.3">
      <c r="A698" s="2" t="s">
        <v>1417</v>
      </c>
      <c r="B698" s="1" t="s">
        <v>1418</v>
      </c>
      <c r="C698" s="1">
        <v>63</v>
      </c>
      <c r="D698" s="1" t="s">
        <v>20</v>
      </c>
      <c r="E698" s="1" t="s">
        <v>14</v>
      </c>
      <c r="F698" s="1" t="s">
        <v>15</v>
      </c>
      <c r="G698" s="1" t="s">
        <v>22</v>
      </c>
      <c r="H698" s="1" t="s">
        <v>30</v>
      </c>
      <c r="I698" s="1" t="s">
        <v>30</v>
      </c>
      <c r="J698" s="1">
        <v>0.64</v>
      </c>
      <c r="K698" s="36">
        <v>45526</v>
      </c>
    </row>
    <row r="699" spans="1:11" x14ac:dyDescent="0.3">
      <c r="A699" s="2" t="s">
        <v>1419</v>
      </c>
      <c r="B699" s="1" t="s">
        <v>1420</v>
      </c>
      <c r="C699" s="1">
        <v>55</v>
      </c>
      <c r="D699" s="1" t="s">
        <v>13</v>
      </c>
      <c r="E699" s="1" t="s">
        <v>33</v>
      </c>
      <c r="F699" s="1" t="s">
        <v>62</v>
      </c>
      <c r="G699" s="1" t="s">
        <v>22</v>
      </c>
      <c r="H699" s="1" t="s">
        <v>17</v>
      </c>
      <c r="I699" s="1" t="s">
        <v>17</v>
      </c>
      <c r="J699" s="1">
        <v>0.28000000000000003</v>
      </c>
      <c r="K699" s="36">
        <v>46123</v>
      </c>
    </row>
    <row r="700" spans="1:11" x14ac:dyDescent="0.3">
      <c r="A700" s="2" t="s">
        <v>1421</v>
      </c>
      <c r="B700" s="1" t="s">
        <v>1422</v>
      </c>
      <c r="C700" s="1">
        <v>21</v>
      </c>
      <c r="D700" s="1" t="s">
        <v>13</v>
      </c>
      <c r="E700" s="1" t="s">
        <v>14</v>
      </c>
      <c r="F700" s="1" t="s">
        <v>29</v>
      </c>
      <c r="G700" s="1" t="s">
        <v>25</v>
      </c>
      <c r="H700" s="1" t="s">
        <v>17</v>
      </c>
      <c r="I700" s="1" t="s">
        <v>17</v>
      </c>
      <c r="J700" s="1">
        <v>0.16</v>
      </c>
      <c r="K700" s="36">
        <v>45008</v>
      </c>
    </row>
    <row r="701" spans="1:11" x14ac:dyDescent="0.3">
      <c r="A701" s="2" t="s">
        <v>1423</v>
      </c>
      <c r="B701" s="1" t="s">
        <v>1424</v>
      </c>
      <c r="C701" s="1">
        <v>23</v>
      </c>
      <c r="D701" s="1" t="s">
        <v>13</v>
      </c>
      <c r="E701" s="1" t="s">
        <v>21</v>
      </c>
      <c r="F701" s="1" t="s">
        <v>15</v>
      </c>
      <c r="G701" s="1" t="s">
        <v>38</v>
      </c>
      <c r="H701" s="1" t="s">
        <v>17</v>
      </c>
      <c r="I701" s="1" t="s">
        <v>17</v>
      </c>
      <c r="J701" s="1">
        <v>0.17</v>
      </c>
      <c r="K701" s="36">
        <v>45270</v>
      </c>
    </row>
    <row r="702" spans="1:11" x14ac:dyDescent="0.3">
      <c r="A702" s="2" t="s">
        <v>1425</v>
      </c>
      <c r="B702" s="1" t="s">
        <v>1426</v>
      </c>
      <c r="C702" s="1">
        <v>50</v>
      </c>
      <c r="D702" s="1" t="s">
        <v>13</v>
      </c>
      <c r="E702" s="1" t="s">
        <v>28</v>
      </c>
      <c r="F702" s="1" t="s">
        <v>62</v>
      </c>
      <c r="G702" s="1" t="s">
        <v>16</v>
      </c>
      <c r="H702" s="1" t="s">
        <v>17</v>
      </c>
      <c r="I702" s="1" t="s">
        <v>17</v>
      </c>
      <c r="J702" s="1">
        <v>0.15</v>
      </c>
      <c r="K702" s="36">
        <v>45496</v>
      </c>
    </row>
    <row r="703" spans="1:11" x14ac:dyDescent="0.3">
      <c r="A703" s="2" t="s">
        <v>1427</v>
      </c>
      <c r="B703" s="1" t="s">
        <v>1428</v>
      </c>
      <c r="C703" s="1">
        <v>56</v>
      </c>
      <c r="D703" s="1" t="s">
        <v>20</v>
      </c>
      <c r="E703" s="1" t="s">
        <v>33</v>
      </c>
      <c r="F703" s="1" t="s">
        <v>62</v>
      </c>
      <c r="G703" s="1" t="s">
        <v>43</v>
      </c>
      <c r="H703" s="1" t="s">
        <v>17</v>
      </c>
      <c r="I703" s="1" t="s">
        <v>30</v>
      </c>
      <c r="J703" s="1">
        <v>0.3</v>
      </c>
      <c r="K703" s="36">
        <v>46068</v>
      </c>
    </row>
    <row r="704" spans="1:11" x14ac:dyDescent="0.3">
      <c r="A704" s="2" t="s">
        <v>1429</v>
      </c>
      <c r="B704" s="1" t="s">
        <v>1430</v>
      </c>
      <c r="C704" s="1">
        <v>28</v>
      </c>
      <c r="D704" s="1" t="s">
        <v>20</v>
      </c>
      <c r="E704" s="1" t="s">
        <v>21</v>
      </c>
      <c r="F704" s="1" t="s">
        <v>15</v>
      </c>
      <c r="G704" s="1" t="s">
        <v>22</v>
      </c>
      <c r="H704" s="1" t="s">
        <v>17</v>
      </c>
      <c r="I704" s="1" t="s">
        <v>17</v>
      </c>
      <c r="J704" s="1">
        <v>0.28000000000000003</v>
      </c>
      <c r="K704" s="36">
        <v>45888</v>
      </c>
    </row>
    <row r="705" spans="1:11" x14ac:dyDescent="0.3">
      <c r="A705" s="2" t="s">
        <v>1431</v>
      </c>
      <c r="B705" s="1" t="s">
        <v>1432</v>
      </c>
      <c r="C705" s="1">
        <v>28</v>
      </c>
      <c r="D705" s="1" t="s">
        <v>20</v>
      </c>
      <c r="E705" s="1" t="s">
        <v>14</v>
      </c>
      <c r="F705" s="1" t="s">
        <v>62</v>
      </c>
      <c r="G705" s="1" t="s">
        <v>38</v>
      </c>
      <c r="H705" s="1" t="s">
        <v>30</v>
      </c>
      <c r="I705" s="1" t="s">
        <v>17</v>
      </c>
      <c r="J705" s="1">
        <v>0.4</v>
      </c>
      <c r="K705" s="36">
        <v>44233</v>
      </c>
    </row>
    <row r="706" spans="1:11" x14ac:dyDescent="0.3">
      <c r="A706" s="2" t="s">
        <v>1433</v>
      </c>
      <c r="B706" s="1" t="s">
        <v>1434</v>
      </c>
      <c r="C706" s="1">
        <v>26</v>
      </c>
      <c r="D706" s="1" t="s">
        <v>20</v>
      </c>
      <c r="E706" s="1" t="s">
        <v>14</v>
      </c>
      <c r="F706" s="1" t="s">
        <v>29</v>
      </c>
      <c r="G706" s="1" t="s">
        <v>47</v>
      </c>
      <c r="H706" s="1" t="s">
        <v>17</v>
      </c>
      <c r="I706" s="1" t="s">
        <v>17</v>
      </c>
      <c r="J706" s="1">
        <v>0.2</v>
      </c>
      <c r="K706" s="36">
        <v>44440</v>
      </c>
    </row>
    <row r="707" spans="1:11" x14ac:dyDescent="0.3">
      <c r="A707" s="2" t="s">
        <v>1435</v>
      </c>
      <c r="B707" s="1" t="s">
        <v>1436</v>
      </c>
      <c r="C707" s="1">
        <v>53</v>
      </c>
      <c r="D707" s="1" t="s">
        <v>20</v>
      </c>
      <c r="E707" s="1" t="s">
        <v>28</v>
      </c>
      <c r="F707" s="1" t="s">
        <v>15</v>
      </c>
      <c r="G707" s="1" t="s">
        <v>38</v>
      </c>
      <c r="H707" s="1" t="s">
        <v>17</v>
      </c>
      <c r="I707" s="1" t="s">
        <v>30</v>
      </c>
      <c r="J707" s="1">
        <v>0.22</v>
      </c>
      <c r="K707" s="36">
        <v>44751</v>
      </c>
    </row>
    <row r="708" spans="1:11" x14ac:dyDescent="0.3">
      <c r="A708" s="2" t="s">
        <v>1437</v>
      </c>
      <c r="B708" s="1" t="s">
        <v>1438</v>
      </c>
      <c r="C708" s="1">
        <v>18</v>
      </c>
      <c r="D708" s="1" t="s">
        <v>20</v>
      </c>
      <c r="E708" s="1" t="s">
        <v>28</v>
      </c>
      <c r="F708" s="1" t="s">
        <v>29</v>
      </c>
      <c r="G708" s="1" t="s">
        <v>16</v>
      </c>
      <c r="H708" s="1" t="s">
        <v>30</v>
      </c>
      <c r="I708" s="1" t="s">
        <v>17</v>
      </c>
      <c r="J708" s="1">
        <v>0.32</v>
      </c>
      <c r="K708" s="36">
        <v>45718</v>
      </c>
    </row>
    <row r="709" spans="1:11" x14ac:dyDescent="0.3">
      <c r="A709" s="2" t="s">
        <v>1439</v>
      </c>
      <c r="B709" s="1" t="s">
        <v>1440</v>
      </c>
      <c r="C709" s="1">
        <v>54</v>
      </c>
      <c r="D709" s="1" t="s">
        <v>20</v>
      </c>
      <c r="E709" s="1" t="s">
        <v>33</v>
      </c>
      <c r="F709" s="1" t="s">
        <v>29</v>
      </c>
      <c r="G709" s="1" t="s">
        <v>22</v>
      </c>
      <c r="H709" s="1" t="s">
        <v>17</v>
      </c>
      <c r="I709" s="1" t="s">
        <v>30</v>
      </c>
      <c r="J709" s="1">
        <v>0.35</v>
      </c>
      <c r="K709" s="36">
        <v>45324</v>
      </c>
    </row>
    <row r="710" spans="1:11" x14ac:dyDescent="0.3">
      <c r="A710" s="2" t="s">
        <v>1441</v>
      </c>
      <c r="B710" s="1" t="s">
        <v>1442</v>
      </c>
      <c r="C710" s="1">
        <v>47</v>
      </c>
      <c r="D710" s="1" t="s">
        <v>13</v>
      </c>
      <c r="E710" s="1" t="s">
        <v>14</v>
      </c>
      <c r="F710" s="1" t="s">
        <v>29</v>
      </c>
      <c r="G710" s="1" t="s">
        <v>38</v>
      </c>
      <c r="H710" s="1" t="s">
        <v>17</v>
      </c>
      <c r="I710" s="1" t="s">
        <v>17</v>
      </c>
      <c r="J710" s="1">
        <v>0.32</v>
      </c>
      <c r="K710" s="36">
        <v>44709</v>
      </c>
    </row>
    <row r="711" spans="1:11" x14ac:dyDescent="0.3">
      <c r="A711" s="2" t="s">
        <v>1443</v>
      </c>
      <c r="B711" s="1" t="s">
        <v>1444</v>
      </c>
      <c r="C711" s="1">
        <v>47</v>
      </c>
      <c r="D711" s="1" t="s">
        <v>13</v>
      </c>
      <c r="E711" s="1" t="s">
        <v>21</v>
      </c>
      <c r="F711" s="1" t="s">
        <v>62</v>
      </c>
      <c r="G711" s="1" t="s">
        <v>25</v>
      </c>
      <c r="H711" s="1" t="s">
        <v>17</v>
      </c>
      <c r="I711" s="1" t="s">
        <v>17</v>
      </c>
      <c r="J711" s="1">
        <v>0.16</v>
      </c>
      <c r="K711" s="36">
        <v>44349</v>
      </c>
    </row>
    <row r="712" spans="1:11" x14ac:dyDescent="0.3">
      <c r="A712" s="2" t="s">
        <v>1445</v>
      </c>
      <c r="B712" s="1" t="s">
        <v>1446</v>
      </c>
      <c r="C712" s="1">
        <v>60</v>
      </c>
      <c r="D712" s="1" t="s">
        <v>20</v>
      </c>
      <c r="E712" s="1" t="s">
        <v>21</v>
      </c>
      <c r="F712" s="1" t="s">
        <v>29</v>
      </c>
      <c r="G712" s="1" t="s">
        <v>47</v>
      </c>
      <c r="H712" s="1" t="s">
        <v>17</v>
      </c>
      <c r="I712" s="1" t="s">
        <v>17</v>
      </c>
      <c r="J712" s="1">
        <v>0.33</v>
      </c>
      <c r="K712" s="36">
        <v>45586</v>
      </c>
    </row>
    <row r="713" spans="1:11" x14ac:dyDescent="0.3">
      <c r="A713" s="2" t="s">
        <v>1447</v>
      </c>
      <c r="B713" s="1" t="s">
        <v>1448</v>
      </c>
      <c r="C713" s="1">
        <v>50</v>
      </c>
      <c r="D713" s="1" t="s">
        <v>20</v>
      </c>
      <c r="E713" s="1" t="s">
        <v>21</v>
      </c>
      <c r="F713" s="1" t="s">
        <v>62</v>
      </c>
      <c r="G713" s="1" t="s">
        <v>22</v>
      </c>
      <c r="H713" s="1" t="s">
        <v>30</v>
      </c>
      <c r="I713" s="1" t="s">
        <v>30</v>
      </c>
      <c r="J713" s="1">
        <v>0.5</v>
      </c>
      <c r="K713" s="36">
        <v>45610</v>
      </c>
    </row>
    <row r="714" spans="1:11" x14ac:dyDescent="0.3">
      <c r="A714" s="2" t="s">
        <v>1449</v>
      </c>
      <c r="B714" s="1" t="s">
        <v>1450</v>
      </c>
      <c r="C714" s="1">
        <v>63</v>
      </c>
      <c r="D714" s="1" t="s">
        <v>13</v>
      </c>
      <c r="E714" s="1" t="s">
        <v>28</v>
      </c>
      <c r="F714" s="1" t="s">
        <v>29</v>
      </c>
      <c r="G714" s="1" t="s">
        <v>43</v>
      </c>
      <c r="H714" s="1" t="s">
        <v>30</v>
      </c>
      <c r="I714" s="1" t="s">
        <v>17</v>
      </c>
      <c r="J714" s="1">
        <v>0.46</v>
      </c>
      <c r="K714" s="36">
        <v>46143</v>
      </c>
    </row>
    <row r="715" spans="1:11" x14ac:dyDescent="0.3">
      <c r="A715" s="2" t="s">
        <v>1451</v>
      </c>
      <c r="B715" s="1" t="s">
        <v>1452</v>
      </c>
      <c r="C715" s="1">
        <v>66</v>
      </c>
      <c r="D715" s="1" t="s">
        <v>13</v>
      </c>
      <c r="E715" s="1" t="s">
        <v>21</v>
      </c>
      <c r="F715" s="1" t="s">
        <v>62</v>
      </c>
      <c r="G715" s="1" t="s">
        <v>38</v>
      </c>
      <c r="H715" s="1" t="s">
        <v>30</v>
      </c>
      <c r="I715" s="1" t="s">
        <v>17</v>
      </c>
      <c r="J715" s="1">
        <v>0.53</v>
      </c>
      <c r="K715" s="36">
        <v>45174</v>
      </c>
    </row>
    <row r="716" spans="1:11" x14ac:dyDescent="0.3">
      <c r="A716" s="2" t="s">
        <v>1453</v>
      </c>
      <c r="B716" s="1" t="s">
        <v>1454</v>
      </c>
      <c r="C716" s="1">
        <v>75</v>
      </c>
      <c r="D716" s="1" t="s">
        <v>13</v>
      </c>
      <c r="E716" s="1" t="s">
        <v>33</v>
      </c>
      <c r="F716" s="1" t="s">
        <v>29</v>
      </c>
      <c r="G716" s="1" t="s">
        <v>47</v>
      </c>
      <c r="H716" s="1" t="s">
        <v>17</v>
      </c>
      <c r="I716" s="1" t="s">
        <v>30</v>
      </c>
      <c r="J716" s="1">
        <v>0.41</v>
      </c>
      <c r="K716" s="36">
        <v>45159</v>
      </c>
    </row>
    <row r="717" spans="1:11" x14ac:dyDescent="0.3">
      <c r="A717" s="2" t="s">
        <v>1455</v>
      </c>
      <c r="B717" s="1" t="s">
        <v>1456</v>
      </c>
      <c r="C717" s="1">
        <v>68</v>
      </c>
      <c r="D717" s="1" t="s">
        <v>20</v>
      </c>
      <c r="E717" s="1" t="s">
        <v>28</v>
      </c>
      <c r="F717" s="1" t="s">
        <v>29</v>
      </c>
      <c r="G717" s="1" t="s">
        <v>47</v>
      </c>
      <c r="H717" s="1" t="s">
        <v>17</v>
      </c>
      <c r="I717" s="1" t="s">
        <v>17</v>
      </c>
      <c r="J717" s="1">
        <v>0.24</v>
      </c>
      <c r="K717" s="36">
        <v>44253</v>
      </c>
    </row>
    <row r="718" spans="1:11" x14ac:dyDescent="0.3">
      <c r="A718" s="2" t="s">
        <v>1457</v>
      </c>
      <c r="B718" s="1" t="s">
        <v>1458</v>
      </c>
      <c r="C718" s="1">
        <v>50</v>
      </c>
      <c r="D718" s="1" t="s">
        <v>13</v>
      </c>
      <c r="E718" s="1" t="s">
        <v>14</v>
      </c>
      <c r="F718" s="1" t="s">
        <v>29</v>
      </c>
      <c r="G718" s="1" t="s">
        <v>16</v>
      </c>
      <c r="H718" s="1" t="s">
        <v>30</v>
      </c>
      <c r="I718" s="1" t="s">
        <v>30</v>
      </c>
      <c r="J718" s="1">
        <v>0.62</v>
      </c>
      <c r="K718" s="36">
        <v>44164</v>
      </c>
    </row>
    <row r="719" spans="1:11" x14ac:dyDescent="0.3">
      <c r="A719" s="2" t="s">
        <v>1459</v>
      </c>
      <c r="B719" s="1" t="s">
        <v>1460</v>
      </c>
      <c r="C719" s="1">
        <v>49</v>
      </c>
      <c r="D719" s="1" t="s">
        <v>20</v>
      </c>
      <c r="E719" s="1" t="s">
        <v>33</v>
      </c>
      <c r="F719" s="1" t="s">
        <v>62</v>
      </c>
      <c r="G719" s="1" t="s">
        <v>47</v>
      </c>
      <c r="H719" s="1" t="s">
        <v>17</v>
      </c>
      <c r="I719" s="1" t="s">
        <v>30</v>
      </c>
      <c r="J719" s="1">
        <v>0.35</v>
      </c>
      <c r="K719" s="36">
        <v>45024</v>
      </c>
    </row>
    <row r="720" spans="1:11" x14ac:dyDescent="0.3">
      <c r="A720" s="2" t="s">
        <v>1461</v>
      </c>
      <c r="B720" s="1" t="s">
        <v>1462</v>
      </c>
      <c r="C720" s="1">
        <v>32</v>
      </c>
      <c r="D720" s="1" t="s">
        <v>20</v>
      </c>
      <c r="E720" s="1" t="s">
        <v>28</v>
      </c>
      <c r="F720" s="1" t="s">
        <v>62</v>
      </c>
      <c r="G720" s="1" t="s">
        <v>43</v>
      </c>
      <c r="H720" s="1" t="s">
        <v>17</v>
      </c>
      <c r="I720" s="1" t="s">
        <v>30</v>
      </c>
      <c r="J720" s="1">
        <v>0.42</v>
      </c>
      <c r="K720" s="36">
        <v>44783</v>
      </c>
    </row>
    <row r="721" spans="1:11" x14ac:dyDescent="0.3">
      <c r="A721" s="2" t="s">
        <v>1463</v>
      </c>
      <c r="B721" s="1" t="s">
        <v>1464</v>
      </c>
      <c r="C721" s="1">
        <v>55</v>
      </c>
      <c r="D721" s="1" t="s">
        <v>20</v>
      </c>
      <c r="E721" s="1" t="s">
        <v>14</v>
      </c>
      <c r="F721" s="1" t="s">
        <v>29</v>
      </c>
      <c r="G721" s="1" t="s">
        <v>38</v>
      </c>
      <c r="H721" s="1" t="s">
        <v>30</v>
      </c>
      <c r="I721" s="1" t="s">
        <v>30</v>
      </c>
      <c r="J721" s="1">
        <v>0.56999999999999995</v>
      </c>
      <c r="K721" s="36">
        <v>44625</v>
      </c>
    </row>
    <row r="722" spans="1:11" x14ac:dyDescent="0.3">
      <c r="A722" s="2" t="s">
        <v>1465</v>
      </c>
      <c r="B722" s="1" t="s">
        <v>1466</v>
      </c>
      <c r="C722" s="1">
        <v>26</v>
      </c>
      <c r="D722" s="1" t="s">
        <v>20</v>
      </c>
      <c r="E722" s="1" t="s">
        <v>14</v>
      </c>
      <c r="F722" s="1" t="s">
        <v>15</v>
      </c>
      <c r="G722" s="1" t="s">
        <v>43</v>
      </c>
      <c r="H722" s="1" t="s">
        <v>17</v>
      </c>
      <c r="I722" s="1" t="s">
        <v>17</v>
      </c>
      <c r="J722" s="1">
        <v>0.28000000000000003</v>
      </c>
      <c r="K722" s="36">
        <v>44277</v>
      </c>
    </row>
    <row r="723" spans="1:11" x14ac:dyDescent="0.3">
      <c r="A723" s="2" t="s">
        <v>1467</v>
      </c>
      <c r="B723" s="1" t="s">
        <v>1468</v>
      </c>
      <c r="C723" s="1">
        <v>76</v>
      </c>
      <c r="D723" s="1" t="s">
        <v>20</v>
      </c>
      <c r="E723" s="1" t="s">
        <v>21</v>
      </c>
      <c r="F723" s="1" t="s">
        <v>46</v>
      </c>
      <c r="G723" s="1" t="s">
        <v>16</v>
      </c>
      <c r="H723" s="1" t="s">
        <v>17</v>
      </c>
      <c r="I723" s="1" t="s">
        <v>30</v>
      </c>
      <c r="J723" s="1">
        <v>0.45</v>
      </c>
      <c r="K723" s="36">
        <v>46185</v>
      </c>
    </row>
    <row r="724" spans="1:11" x14ac:dyDescent="0.3">
      <c r="A724" s="2" t="s">
        <v>1469</v>
      </c>
      <c r="B724" s="1" t="s">
        <v>1470</v>
      </c>
      <c r="C724" s="1">
        <v>71</v>
      </c>
      <c r="D724" s="1" t="s">
        <v>20</v>
      </c>
      <c r="E724" s="1" t="s">
        <v>14</v>
      </c>
      <c r="F724" s="1" t="s">
        <v>29</v>
      </c>
      <c r="G724" s="1" t="s">
        <v>38</v>
      </c>
      <c r="H724" s="1" t="s">
        <v>17</v>
      </c>
      <c r="I724" s="1" t="s">
        <v>30</v>
      </c>
      <c r="J724" s="1">
        <v>0.46</v>
      </c>
      <c r="K724" s="36">
        <v>45909</v>
      </c>
    </row>
    <row r="725" spans="1:11" x14ac:dyDescent="0.3">
      <c r="A725" s="2" t="s">
        <v>1471</v>
      </c>
      <c r="B725" s="1" t="s">
        <v>1472</v>
      </c>
      <c r="C725" s="1">
        <v>25</v>
      </c>
      <c r="D725" s="1" t="s">
        <v>13</v>
      </c>
      <c r="E725" s="1" t="s">
        <v>28</v>
      </c>
      <c r="F725" s="1" t="s">
        <v>62</v>
      </c>
      <c r="G725" s="1" t="s">
        <v>38</v>
      </c>
      <c r="H725" s="1" t="s">
        <v>17</v>
      </c>
      <c r="I725" s="1" t="s">
        <v>17</v>
      </c>
      <c r="J725" s="1">
        <v>0.26</v>
      </c>
      <c r="K725" s="36">
        <v>45337</v>
      </c>
    </row>
    <row r="726" spans="1:11" x14ac:dyDescent="0.3">
      <c r="A726" s="2" t="s">
        <v>1473</v>
      </c>
      <c r="B726" s="1" t="s">
        <v>1474</v>
      </c>
      <c r="C726" s="1">
        <v>67</v>
      </c>
      <c r="D726" s="1" t="s">
        <v>20</v>
      </c>
      <c r="E726" s="1" t="s">
        <v>33</v>
      </c>
      <c r="F726" s="1" t="s">
        <v>15</v>
      </c>
      <c r="G726" s="1" t="s">
        <v>38</v>
      </c>
      <c r="H726" s="1" t="s">
        <v>17</v>
      </c>
      <c r="I726" s="1" t="s">
        <v>30</v>
      </c>
      <c r="J726" s="1">
        <v>0.4</v>
      </c>
      <c r="K726" s="36">
        <v>46161</v>
      </c>
    </row>
    <row r="727" spans="1:11" x14ac:dyDescent="0.3">
      <c r="A727" s="2" t="s">
        <v>1475</v>
      </c>
      <c r="B727" s="1" t="s">
        <v>1476</v>
      </c>
      <c r="C727" s="1">
        <v>25</v>
      </c>
      <c r="D727" s="1" t="s">
        <v>20</v>
      </c>
      <c r="E727" s="1" t="s">
        <v>21</v>
      </c>
      <c r="F727" s="1" t="s">
        <v>62</v>
      </c>
      <c r="G727" s="1" t="s">
        <v>47</v>
      </c>
      <c r="H727" s="1" t="s">
        <v>30</v>
      </c>
      <c r="I727" s="1" t="s">
        <v>17</v>
      </c>
      <c r="J727" s="1">
        <v>0.43</v>
      </c>
      <c r="K727" s="36">
        <v>46268</v>
      </c>
    </row>
    <row r="728" spans="1:11" x14ac:dyDescent="0.3">
      <c r="A728" s="2" t="s">
        <v>1477</v>
      </c>
      <c r="B728" s="1" t="s">
        <v>1478</v>
      </c>
      <c r="C728" s="1">
        <v>63</v>
      </c>
      <c r="D728" s="1" t="s">
        <v>20</v>
      </c>
      <c r="E728" s="1" t="s">
        <v>33</v>
      </c>
      <c r="F728" s="1" t="s">
        <v>46</v>
      </c>
      <c r="G728" s="1" t="s">
        <v>47</v>
      </c>
      <c r="H728" s="1" t="s">
        <v>30</v>
      </c>
      <c r="I728" s="1" t="s">
        <v>30</v>
      </c>
      <c r="J728" s="1">
        <v>0.57999999999999996</v>
      </c>
      <c r="K728" s="36">
        <v>45550</v>
      </c>
    </row>
    <row r="729" spans="1:11" x14ac:dyDescent="0.3">
      <c r="A729" s="2" t="s">
        <v>1479</v>
      </c>
      <c r="B729" s="1" t="s">
        <v>1480</v>
      </c>
      <c r="C729" s="1">
        <v>23</v>
      </c>
      <c r="D729" s="1" t="s">
        <v>20</v>
      </c>
      <c r="E729" s="1" t="s">
        <v>33</v>
      </c>
      <c r="F729" s="1" t="s">
        <v>15</v>
      </c>
      <c r="G729" s="1" t="s">
        <v>16</v>
      </c>
      <c r="H729" s="1" t="s">
        <v>17</v>
      </c>
      <c r="I729" s="1" t="s">
        <v>17</v>
      </c>
      <c r="J729" s="1">
        <v>0.31</v>
      </c>
      <c r="K729" s="36">
        <v>44667</v>
      </c>
    </row>
    <row r="730" spans="1:11" x14ac:dyDescent="0.3">
      <c r="A730" s="2" t="s">
        <v>1481</v>
      </c>
      <c r="B730" s="1" t="s">
        <v>1482</v>
      </c>
      <c r="C730" s="1">
        <v>48</v>
      </c>
      <c r="D730" s="1" t="s">
        <v>20</v>
      </c>
      <c r="E730" s="1" t="s">
        <v>21</v>
      </c>
      <c r="F730" s="1" t="s">
        <v>15</v>
      </c>
      <c r="G730" s="1" t="s">
        <v>47</v>
      </c>
      <c r="H730" s="1" t="s">
        <v>17</v>
      </c>
      <c r="I730" s="1" t="s">
        <v>30</v>
      </c>
      <c r="J730" s="1">
        <v>0.34</v>
      </c>
      <c r="K730" s="36">
        <v>44165</v>
      </c>
    </row>
    <row r="731" spans="1:11" x14ac:dyDescent="0.3">
      <c r="A731" s="2" t="s">
        <v>1483</v>
      </c>
      <c r="B731" s="1" t="s">
        <v>1484</v>
      </c>
      <c r="C731" s="1">
        <v>59</v>
      </c>
      <c r="D731" s="1" t="s">
        <v>20</v>
      </c>
      <c r="E731" s="1" t="s">
        <v>28</v>
      </c>
      <c r="F731" s="1" t="s">
        <v>15</v>
      </c>
      <c r="G731" s="1" t="s">
        <v>25</v>
      </c>
      <c r="H731" s="1" t="s">
        <v>17</v>
      </c>
      <c r="I731" s="1" t="s">
        <v>17</v>
      </c>
      <c r="J731" s="1">
        <v>0.19</v>
      </c>
      <c r="K731" s="36">
        <v>45734</v>
      </c>
    </row>
    <row r="732" spans="1:11" x14ac:dyDescent="0.3">
      <c r="A732" s="2" t="s">
        <v>1485</v>
      </c>
      <c r="B732" s="1" t="s">
        <v>1486</v>
      </c>
      <c r="C732" s="1">
        <v>63</v>
      </c>
      <c r="D732" s="1" t="s">
        <v>20</v>
      </c>
      <c r="E732" s="1" t="s">
        <v>21</v>
      </c>
      <c r="F732" s="1" t="s">
        <v>29</v>
      </c>
      <c r="G732" s="1" t="s">
        <v>47</v>
      </c>
      <c r="H732" s="1" t="s">
        <v>17</v>
      </c>
      <c r="I732" s="1" t="s">
        <v>30</v>
      </c>
      <c r="J732" s="1">
        <v>0.33</v>
      </c>
      <c r="K732" s="36">
        <v>45108</v>
      </c>
    </row>
    <row r="733" spans="1:11" x14ac:dyDescent="0.3">
      <c r="A733" s="2" t="s">
        <v>1487</v>
      </c>
      <c r="B733" s="1" t="s">
        <v>1488</v>
      </c>
      <c r="C733" s="1">
        <v>44</v>
      </c>
      <c r="D733" s="1" t="s">
        <v>13</v>
      </c>
      <c r="E733" s="1" t="s">
        <v>14</v>
      </c>
      <c r="F733" s="1" t="s">
        <v>62</v>
      </c>
      <c r="G733" s="1" t="s">
        <v>47</v>
      </c>
      <c r="H733" s="1" t="s">
        <v>17</v>
      </c>
      <c r="I733" s="1" t="s">
        <v>17</v>
      </c>
      <c r="J733" s="1">
        <v>0.1</v>
      </c>
      <c r="K733" s="36">
        <v>45505</v>
      </c>
    </row>
    <row r="734" spans="1:11" x14ac:dyDescent="0.3">
      <c r="A734" s="2" t="s">
        <v>1489</v>
      </c>
      <c r="B734" s="1" t="s">
        <v>1490</v>
      </c>
      <c r="C734" s="1">
        <v>76</v>
      </c>
      <c r="D734" s="1" t="s">
        <v>13</v>
      </c>
      <c r="E734" s="1" t="s">
        <v>14</v>
      </c>
      <c r="F734" s="1" t="s">
        <v>46</v>
      </c>
      <c r="G734" s="1" t="s">
        <v>47</v>
      </c>
      <c r="H734" s="1" t="s">
        <v>17</v>
      </c>
      <c r="I734" s="1" t="s">
        <v>17</v>
      </c>
      <c r="J734" s="1">
        <v>0.32</v>
      </c>
      <c r="K734" s="36">
        <v>46085</v>
      </c>
    </row>
    <row r="735" spans="1:11" x14ac:dyDescent="0.3">
      <c r="A735" s="2" t="s">
        <v>1491</v>
      </c>
      <c r="B735" s="1" t="s">
        <v>1492</v>
      </c>
      <c r="C735" s="1">
        <v>66</v>
      </c>
      <c r="D735" s="1" t="s">
        <v>20</v>
      </c>
      <c r="E735" s="1" t="s">
        <v>33</v>
      </c>
      <c r="F735" s="1" t="s">
        <v>15</v>
      </c>
      <c r="G735" s="1" t="s">
        <v>47</v>
      </c>
      <c r="H735" s="1" t="s">
        <v>17</v>
      </c>
      <c r="I735" s="1" t="s">
        <v>30</v>
      </c>
      <c r="J735" s="1">
        <v>0.36</v>
      </c>
      <c r="K735" s="36">
        <v>44474</v>
      </c>
    </row>
    <row r="736" spans="1:11" x14ac:dyDescent="0.3">
      <c r="A736" s="2" t="s">
        <v>1493</v>
      </c>
      <c r="B736" s="1" t="s">
        <v>1494</v>
      </c>
      <c r="C736" s="1">
        <v>31</v>
      </c>
      <c r="D736" s="1" t="s">
        <v>13</v>
      </c>
      <c r="E736" s="1" t="s">
        <v>28</v>
      </c>
      <c r="F736" s="1" t="s">
        <v>46</v>
      </c>
      <c r="G736" s="1" t="s">
        <v>43</v>
      </c>
      <c r="H736" s="1" t="s">
        <v>30</v>
      </c>
      <c r="I736" s="1" t="s">
        <v>30</v>
      </c>
      <c r="J736" s="1">
        <v>0.55000000000000004</v>
      </c>
      <c r="K736" s="36">
        <v>45360</v>
      </c>
    </row>
    <row r="737" spans="1:11" x14ac:dyDescent="0.3">
      <c r="A737" s="2" t="s">
        <v>1495</v>
      </c>
      <c r="B737" s="1" t="s">
        <v>1496</v>
      </c>
      <c r="C737" s="1">
        <v>60</v>
      </c>
      <c r="D737" s="1" t="s">
        <v>13</v>
      </c>
      <c r="E737" s="1" t="s">
        <v>21</v>
      </c>
      <c r="F737" s="1" t="s">
        <v>29</v>
      </c>
      <c r="G737" s="1" t="s">
        <v>47</v>
      </c>
      <c r="H737" s="1" t="s">
        <v>30</v>
      </c>
      <c r="I737" s="1" t="s">
        <v>17</v>
      </c>
      <c r="J737" s="1">
        <v>0.47</v>
      </c>
      <c r="K737" s="36">
        <v>45468</v>
      </c>
    </row>
    <row r="738" spans="1:11" x14ac:dyDescent="0.3">
      <c r="A738" s="2" t="s">
        <v>1497</v>
      </c>
      <c r="B738" s="1" t="s">
        <v>1498</v>
      </c>
      <c r="C738" s="1">
        <v>64</v>
      </c>
      <c r="D738" s="1" t="s">
        <v>13</v>
      </c>
      <c r="E738" s="1" t="s">
        <v>14</v>
      </c>
      <c r="F738" s="1" t="s">
        <v>15</v>
      </c>
      <c r="G738" s="1" t="s">
        <v>47</v>
      </c>
      <c r="H738" s="1" t="s">
        <v>30</v>
      </c>
      <c r="I738" s="1" t="s">
        <v>30</v>
      </c>
      <c r="J738" s="1">
        <v>0.61</v>
      </c>
      <c r="K738" s="36">
        <v>45154</v>
      </c>
    </row>
    <row r="739" spans="1:11" x14ac:dyDescent="0.3">
      <c r="A739" s="2" t="s">
        <v>1499</v>
      </c>
      <c r="B739" s="1" t="s">
        <v>1500</v>
      </c>
      <c r="C739" s="1">
        <v>39</v>
      </c>
      <c r="D739" s="1" t="s">
        <v>13</v>
      </c>
      <c r="E739" s="1" t="s">
        <v>14</v>
      </c>
      <c r="F739" s="1" t="s">
        <v>15</v>
      </c>
      <c r="G739" s="1" t="s">
        <v>43</v>
      </c>
      <c r="H739" s="1" t="s">
        <v>30</v>
      </c>
      <c r="I739" s="1" t="s">
        <v>17</v>
      </c>
      <c r="J739" s="1">
        <v>0.41</v>
      </c>
      <c r="K739" s="36">
        <v>44277</v>
      </c>
    </row>
    <row r="740" spans="1:11" x14ac:dyDescent="0.3">
      <c r="A740" s="2" t="s">
        <v>1501</v>
      </c>
      <c r="B740" s="1" t="s">
        <v>1502</v>
      </c>
      <c r="C740" s="1">
        <v>64</v>
      </c>
      <c r="D740" s="1" t="s">
        <v>13</v>
      </c>
      <c r="E740" s="1" t="s">
        <v>28</v>
      </c>
      <c r="F740" s="1" t="s">
        <v>15</v>
      </c>
      <c r="G740" s="1" t="s">
        <v>16</v>
      </c>
      <c r="H740" s="1" t="s">
        <v>17</v>
      </c>
      <c r="I740" s="1" t="s">
        <v>30</v>
      </c>
      <c r="J740" s="1">
        <v>0.44</v>
      </c>
      <c r="K740" s="36">
        <v>44839</v>
      </c>
    </row>
    <row r="741" spans="1:11" x14ac:dyDescent="0.3">
      <c r="A741" s="2" t="s">
        <v>1503</v>
      </c>
      <c r="B741" s="1" t="s">
        <v>1504</v>
      </c>
      <c r="C741" s="1">
        <v>74</v>
      </c>
      <c r="D741" s="1" t="s">
        <v>13</v>
      </c>
      <c r="E741" s="1" t="s">
        <v>28</v>
      </c>
      <c r="F741" s="1" t="s">
        <v>46</v>
      </c>
      <c r="G741" s="1" t="s">
        <v>47</v>
      </c>
      <c r="H741" s="1" t="s">
        <v>17</v>
      </c>
      <c r="I741" s="1" t="s">
        <v>30</v>
      </c>
      <c r="J741" s="1">
        <v>0.27</v>
      </c>
      <c r="K741" s="36">
        <v>44807</v>
      </c>
    </row>
    <row r="742" spans="1:11" x14ac:dyDescent="0.3">
      <c r="A742" s="2" t="s">
        <v>1505</v>
      </c>
      <c r="B742" s="1" t="s">
        <v>1506</v>
      </c>
      <c r="C742" s="1">
        <v>69</v>
      </c>
      <c r="D742" s="1" t="s">
        <v>13</v>
      </c>
      <c r="E742" s="1" t="s">
        <v>14</v>
      </c>
      <c r="F742" s="1" t="s">
        <v>29</v>
      </c>
      <c r="G742" s="1" t="s">
        <v>43</v>
      </c>
      <c r="H742" s="1" t="s">
        <v>17</v>
      </c>
      <c r="I742" s="1" t="s">
        <v>30</v>
      </c>
      <c r="J742" s="1">
        <v>0.41</v>
      </c>
      <c r="K742" s="36">
        <v>45545</v>
      </c>
    </row>
    <row r="743" spans="1:11" x14ac:dyDescent="0.3">
      <c r="A743" s="2" t="s">
        <v>1507</v>
      </c>
      <c r="B743" s="1" t="s">
        <v>1508</v>
      </c>
      <c r="C743" s="1">
        <v>66</v>
      </c>
      <c r="D743" s="1" t="s">
        <v>20</v>
      </c>
      <c r="E743" s="1" t="s">
        <v>33</v>
      </c>
      <c r="F743" s="1" t="s">
        <v>62</v>
      </c>
      <c r="G743" s="1" t="s">
        <v>47</v>
      </c>
      <c r="H743" s="1" t="s">
        <v>17</v>
      </c>
      <c r="I743" s="1" t="s">
        <v>17</v>
      </c>
      <c r="J743" s="1">
        <v>0.31</v>
      </c>
      <c r="K743" s="36">
        <v>45957</v>
      </c>
    </row>
    <row r="744" spans="1:11" x14ac:dyDescent="0.3">
      <c r="A744" s="2" t="s">
        <v>1509</v>
      </c>
      <c r="B744" s="1" t="s">
        <v>1510</v>
      </c>
      <c r="C744" s="1">
        <v>57</v>
      </c>
      <c r="D744" s="1" t="s">
        <v>20</v>
      </c>
      <c r="E744" s="1" t="s">
        <v>28</v>
      </c>
      <c r="F744" s="1" t="s">
        <v>15</v>
      </c>
      <c r="G744" s="1" t="s">
        <v>38</v>
      </c>
      <c r="H744" s="1" t="s">
        <v>30</v>
      </c>
      <c r="I744" s="1" t="s">
        <v>30</v>
      </c>
      <c r="J744" s="1">
        <v>0.71</v>
      </c>
      <c r="K744" s="36">
        <v>44799</v>
      </c>
    </row>
    <row r="745" spans="1:11" x14ac:dyDescent="0.3">
      <c r="A745" s="2" t="s">
        <v>1511</v>
      </c>
      <c r="B745" s="1" t="s">
        <v>1512</v>
      </c>
      <c r="C745" s="1">
        <v>35</v>
      </c>
      <c r="D745" s="1" t="s">
        <v>20</v>
      </c>
      <c r="E745" s="1" t="s">
        <v>28</v>
      </c>
      <c r="F745" s="1" t="s">
        <v>15</v>
      </c>
      <c r="G745" s="1" t="s">
        <v>22</v>
      </c>
      <c r="H745" s="1" t="s">
        <v>17</v>
      </c>
      <c r="I745" s="1" t="s">
        <v>17</v>
      </c>
      <c r="J745" s="1">
        <v>0.3</v>
      </c>
      <c r="K745" s="36">
        <v>45597</v>
      </c>
    </row>
    <row r="746" spans="1:11" x14ac:dyDescent="0.3">
      <c r="A746" s="2" t="s">
        <v>1513</v>
      </c>
      <c r="B746" s="1" t="s">
        <v>1514</v>
      </c>
      <c r="C746" s="1">
        <v>68</v>
      </c>
      <c r="D746" s="1" t="s">
        <v>20</v>
      </c>
      <c r="E746" s="1" t="s">
        <v>33</v>
      </c>
      <c r="F746" s="1" t="s">
        <v>62</v>
      </c>
      <c r="G746" s="1" t="s">
        <v>25</v>
      </c>
      <c r="H746" s="1" t="s">
        <v>17</v>
      </c>
      <c r="I746" s="1" t="s">
        <v>17</v>
      </c>
      <c r="J746" s="1">
        <v>0.2</v>
      </c>
      <c r="K746" s="36">
        <v>44708</v>
      </c>
    </row>
    <row r="747" spans="1:11" x14ac:dyDescent="0.3">
      <c r="A747" s="2" t="s">
        <v>1515</v>
      </c>
      <c r="B747" s="1" t="s">
        <v>1516</v>
      </c>
      <c r="C747" s="1">
        <v>40</v>
      </c>
      <c r="D747" s="1" t="s">
        <v>20</v>
      </c>
      <c r="E747" s="1" t="s">
        <v>33</v>
      </c>
      <c r="F747" s="1" t="s">
        <v>46</v>
      </c>
      <c r="G747" s="1" t="s">
        <v>47</v>
      </c>
      <c r="H747" s="1" t="s">
        <v>30</v>
      </c>
      <c r="I747" s="1" t="s">
        <v>30</v>
      </c>
      <c r="J747" s="1">
        <v>0.51</v>
      </c>
      <c r="K747" s="36">
        <v>46148</v>
      </c>
    </row>
    <row r="748" spans="1:11" x14ac:dyDescent="0.3">
      <c r="A748" s="2" t="s">
        <v>1517</v>
      </c>
      <c r="B748" s="1" t="s">
        <v>1518</v>
      </c>
      <c r="C748" s="1">
        <v>51</v>
      </c>
      <c r="D748" s="1" t="s">
        <v>20</v>
      </c>
      <c r="E748" s="1" t="s">
        <v>28</v>
      </c>
      <c r="F748" s="1" t="s">
        <v>29</v>
      </c>
      <c r="G748" s="1" t="s">
        <v>25</v>
      </c>
      <c r="H748" s="1" t="s">
        <v>17</v>
      </c>
      <c r="I748" s="1" t="s">
        <v>30</v>
      </c>
      <c r="J748" s="1">
        <v>0.26</v>
      </c>
      <c r="K748" s="36">
        <v>45860</v>
      </c>
    </row>
    <row r="749" spans="1:11" x14ac:dyDescent="0.3">
      <c r="A749" s="2" t="s">
        <v>1519</v>
      </c>
      <c r="B749" s="1" t="s">
        <v>1520</v>
      </c>
      <c r="C749" s="1">
        <v>37</v>
      </c>
      <c r="D749" s="1" t="s">
        <v>13</v>
      </c>
      <c r="E749" s="1" t="s">
        <v>21</v>
      </c>
      <c r="F749" s="1" t="s">
        <v>62</v>
      </c>
      <c r="G749" s="1" t="s">
        <v>38</v>
      </c>
      <c r="H749" s="1" t="s">
        <v>17</v>
      </c>
      <c r="I749" s="1" t="s">
        <v>30</v>
      </c>
      <c r="J749" s="1">
        <v>0.44</v>
      </c>
      <c r="K749" s="36">
        <v>45282</v>
      </c>
    </row>
    <row r="750" spans="1:11" x14ac:dyDescent="0.3">
      <c r="A750" s="2" t="s">
        <v>1521</v>
      </c>
      <c r="B750" s="1" t="s">
        <v>1522</v>
      </c>
      <c r="C750" s="1">
        <v>37</v>
      </c>
      <c r="D750" s="1" t="s">
        <v>13</v>
      </c>
      <c r="E750" s="1" t="s">
        <v>14</v>
      </c>
      <c r="F750" s="1" t="s">
        <v>46</v>
      </c>
      <c r="G750" s="1" t="s">
        <v>25</v>
      </c>
      <c r="H750" s="1" t="s">
        <v>17</v>
      </c>
      <c r="I750" s="1" t="s">
        <v>17</v>
      </c>
      <c r="J750" s="1">
        <v>0.26</v>
      </c>
      <c r="K750" s="36">
        <v>45073</v>
      </c>
    </row>
    <row r="751" spans="1:11" x14ac:dyDescent="0.3">
      <c r="A751" s="2" t="s">
        <v>1523</v>
      </c>
      <c r="B751" s="1" t="s">
        <v>1524</v>
      </c>
      <c r="C751" s="1">
        <v>27</v>
      </c>
      <c r="D751" s="1" t="s">
        <v>13</v>
      </c>
      <c r="E751" s="1" t="s">
        <v>33</v>
      </c>
      <c r="F751" s="1" t="s">
        <v>62</v>
      </c>
      <c r="G751" s="1" t="s">
        <v>38</v>
      </c>
      <c r="H751" s="1" t="s">
        <v>17</v>
      </c>
      <c r="I751" s="1" t="s">
        <v>17</v>
      </c>
      <c r="J751" s="1">
        <v>0.22</v>
      </c>
      <c r="K751" s="36">
        <v>44766</v>
      </c>
    </row>
    <row r="752" spans="1:11" x14ac:dyDescent="0.3">
      <c r="A752" s="2" t="s">
        <v>1525</v>
      </c>
      <c r="B752" s="1" t="s">
        <v>1526</v>
      </c>
      <c r="C752" s="1">
        <v>78</v>
      </c>
      <c r="D752" s="1" t="s">
        <v>20</v>
      </c>
      <c r="E752" s="1" t="s">
        <v>21</v>
      </c>
      <c r="F752" s="1" t="s">
        <v>29</v>
      </c>
      <c r="G752" s="1" t="s">
        <v>22</v>
      </c>
      <c r="H752" s="1" t="s">
        <v>17</v>
      </c>
      <c r="I752" s="1" t="s">
        <v>30</v>
      </c>
      <c r="J752" s="1">
        <v>0.44</v>
      </c>
      <c r="K752" s="36">
        <v>44785</v>
      </c>
    </row>
    <row r="753" spans="1:11" x14ac:dyDescent="0.3">
      <c r="A753" s="2" t="s">
        <v>1527</v>
      </c>
      <c r="B753" s="1" t="s">
        <v>1528</v>
      </c>
      <c r="C753" s="1">
        <v>27</v>
      </c>
      <c r="D753" s="1" t="s">
        <v>20</v>
      </c>
      <c r="E753" s="1" t="s">
        <v>33</v>
      </c>
      <c r="F753" s="1" t="s">
        <v>46</v>
      </c>
      <c r="G753" s="1" t="s">
        <v>16</v>
      </c>
      <c r="H753" s="1" t="s">
        <v>17</v>
      </c>
      <c r="I753" s="1" t="s">
        <v>17</v>
      </c>
      <c r="J753" s="1">
        <v>0.28000000000000003</v>
      </c>
      <c r="K753" s="36">
        <v>46203</v>
      </c>
    </row>
    <row r="754" spans="1:11" x14ac:dyDescent="0.3">
      <c r="A754" s="2" t="s">
        <v>1529</v>
      </c>
      <c r="B754" s="1" t="s">
        <v>1530</v>
      </c>
      <c r="C754" s="1">
        <v>23</v>
      </c>
      <c r="D754" s="1" t="s">
        <v>13</v>
      </c>
      <c r="E754" s="1" t="s">
        <v>28</v>
      </c>
      <c r="F754" s="1" t="s">
        <v>62</v>
      </c>
      <c r="G754" s="1" t="s">
        <v>47</v>
      </c>
      <c r="H754" s="1" t="s">
        <v>30</v>
      </c>
      <c r="I754" s="1" t="s">
        <v>17</v>
      </c>
      <c r="J754" s="1">
        <v>0.5</v>
      </c>
      <c r="K754" s="36">
        <v>44962</v>
      </c>
    </row>
    <row r="755" spans="1:11" x14ac:dyDescent="0.3">
      <c r="A755" s="2" t="s">
        <v>1531</v>
      </c>
      <c r="B755" s="1" t="s">
        <v>1532</v>
      </c>
      <c r="C755" s="1">
        <v>76</v>
      </c>
      <c r="D755" s="1" t="s">
        <v>13</v>
      </c>
      <c r="E755" s="1" t="s">
        <v>21</v>
      </c>
      <c r="F755" s="1" t="s">
        <v>62</v>
      </c>
      <c r="G755" s="1" t="s">
        <v>16</v>
      </c>
      <c r="H755" s="1" t="s">
        <v>17</v>
      </c>
      <c r="I755" s="1" t="s">
        <v>17</v>
      </c>
      <c r="J755" s="1">
        <v>0.35</v>
      </c>
      <c r="K755" s="36">
        <v>45204</v>
      </c>
    </row>
    <row r="756" spans="1:11" x14ac:dyDescent="0.3">
      <c r="A756" s="2" t="s">
        <v>1533</v>
      </c>
      <c r="B756" s="1" t="s">
        <v>1534</v>
      </c>
      <c r="C756" s="1">
        <v>52</v>
      </c>
      <c r="D756" s="1" t="s">
        <v>13</v>
      </c>
      <c r="E756" s="1" t="s">
        <v>28</v>
      </c>
      <c r="F756" s="1" t="s">
        <v>29</v>
      </c>
      <c r="G756" s="1" t="s">
        <v>25</v>
      </c>
      <c r="H756" s="1" t="s">
        <v>17</v>
      </c>
      <c r="I756" s="1" t="s">
        <v>17</v>
      </c>
      <c r="J756" s="1">
        <v>0.23</v>
      </c>
      <c r="K756" s="36">
        <v>46242</v>
      </c>
    </row>
    <row r="757" spans="1:11" x14ac:dyDescent="0.3">
      <c r="A757" s="2" t="s">
        <v>1535</v>
      </c>
      <c r="B757" s="1" t="s">
        <v>1536</v>
      </c>
      <c r="C757" s="1">
        <v>45</v>
      </c>
      <c r="D757" s="1" t="s">
        <v>13</v>
      </c>
      <c r="E757" s="1" t="s">
        <v>14</v>
      </c>
      <c r="F757" s="1" t="s">
        <v>62</v>
      </c>
      <c r="G757" s="1" t="s">
        <v>16</v>
      </c>
      <c r="H757" s="1" t="s">
        <v>17</v>
      </c>
      <c r="I757" s="1" t="s">
        <v>17</v>
      </c>
      <c r="J757" s="1">
        <v>0.18</v>
      </c>
      <c r="K757" s="36">
        <v>45518</v>
      </c>
    </row>
    <row r="758" spans="1:11" x14ac:dyDescent="0.3">
      <c r="A758" s="2" t="s">
        <v>1537</v>
      </c>
      <c r="B758" s="1" t="s">
        <v>1538</v>
      </c>
      <c r="C758" s="1">
        <v>64</v>
      </c>
      <c r="D758" s="1" t="s">
        <v>13</v>
      </c>
      <c r="E758" s="1" t="s">
        <v>28</v>
      </c>
      <c r="F758" s="1" t="s">
        <v>62</v>
      </c>
      <c r="G758" s="1" t="s">
        <v>22</v>
      </c>
      <c r="H758" s="1" t="s">
        <v>17</v>
      </c>
      <c r="I758" s="1" t="s">
        <v>30</v>
      </c>
      <c r="J758" s="1">
        <v>0.48</v>
      </c>
      <c r="K758" s="36">
        <v>45266</v>
      </c>
    </row>
    <row r="759" spans="1:11" x14ac:dyDescent="0.3">
      <c r="A759" s="2" t="s">
        <v>1539</v>
      </c>
      <c r="B759" s="1" t="s">
        <v>1540</v>
      </c>
      <c r="C759" s="1">
        <v>42</v>
      </c>
      <c r="D759" s="1" t="s">
        <v>20</v>
      </c>
      <c r="E759" s="1" t="s">
        <v>33</v>
      </c>
      <c r="F759" s="1" t="s">
        <v>29</v>
      </c>
      <c r="G759" s="1" t="s">
        <v>25</v>
      </c>
      <c r="H759" s="1" t="s">
        <v>17</v>
      </c>
      <c r="I759" s="1" t="s">
        <v>17</v>
      </c>
      <c r="J759" s="1">
        <v>0.25</v>
      </c>
      <c r="K759" s="36">
        <v>44982</v>
      </c>
    </row>
    <row r="760" spans="1:11" x14ac:dyDescent="0.3">
      <c r="A760" s="2" t="s">
        <v>1541</v>
      </c>
      <c r="B760" s="1" t="s">
        <v>1542</v>
      </c>
      <c r="C760" s="1">
        <v>26</v>
      </c>
      <c r="D760" s="1" t="s">
        <v>20</v>
      </c>
      <c r="E760" s="1" t="s">
        <v>21</v>
      </c>
      <c r="F760" s="1" t="s">
        <v>29</v>
      </c>
      <c r="G760" s="1" t="s">
        <v>25</v>
      </c>
      <c r="H760" s="1" t="s">
        <v>17</v>
      </c>
      <c r="I760" s="1" t="s">
        <v>17</v>
      </c>
      <c r="J760" s="1">
        <v>0.19</v>
      </c>
      <c r="K760" s="36">
        <v>44488</v>
      </c>
    </row>
    <row r="761" spans="1:11" x14ac:dyDescent="0.3">
      <c r="A761" s="2" t="s">
        <v>1543</v>
      </c>
      <c r="B761" s="1" t="s">
        <v>1544</v>
      </c>
      <c r="C761" s="1">
        <v>63</v>
      </c>
      <c r="D761" s="1" t="s">
        <v>20</v>
      </c>
      <c r="E761" s="1" t="s">
        <v>33</v>
      </c>
      <c r="F761" s="1" t="s">
        <v>15</v>
      </c>
      <c r="G761" s="1" t="s">
        <v>47</v>
      </c>
      <c r="H761" s="1" t="s">
        <v>30</v>
      </c>
      <c r="I761" s="1" t="s">
        <v>30</v>
      </c>
      <c r="J761" s="1">
        <v>0.59</v>
      </c>
      <c r="K761" s="36">
        <v>44870</v>
      </c>
    </row>
    <row r="762" spans="1:11" x14ac:dyDescent="0.3">
      <c r="A762" s="2" t="s">
        <v>1545</v>
      </c>
      <c r="B762" s="1" t="s">
        <v>1546</v>
      </c>
      <c r="C762" s="1">
        <v>29</v>
      </c>
      <c r="D762" s="1" t="s">
        <v>356</v>
      </c>
      <c r="E762" s="1" t="s">
        <v>21</v>
      </c>
      <c r="F762" s="1" t="s">
        <v>62</v>
      </c>
      <c r="G762" s="1" t="s">
        <v>25</v>
      </c>
      <c r="H762" s="1" t="s">
        <v>17</v>
      </c>
      <c r="I762" s="1" t="s">
        <v>30</v>
      </c>
      <c r="J762" s="1">
        <v>0.42</v>
      </c>
      <c r="K762" s="36">
        <v>45735</v>
      </c>
    </row>
    <row r="763" spans="1:11" x14ac:dyDescent="0.3">
      <c r="A763" s="2" t="s">
        <v>1547</v>
      </c>
      <c r="B763" s="1" t="s">
        <v>1548</v>
      </c>
      <c r="C763" s="1">
        <v>52</v>
      </c>
      <c r="D763" s="1" t="s">
        <v>13</v>
      </c>
      <c r="E763" s="1" t="s">
        <v>21</v>
      </c>
      <c r="F763" s="1" t="s">
        <v>46</v>
      </c>
      <c r="G763" s="1" t="s">
        <v>43</v>
      </c>
      <c r="H763" s="1" t="s">
        <v>30</v>
      </c>
      <c r="I763" s="1" t="s">
        <v>17</v>
      </c>
      <c r="J763" s="1">
        <v>0.48</v>
      </c>
      <c r="K763" s="36">
        <v>45447</v>
      </c>
    </row>
    <row r="764" spans="1:11" x14ac:dyDescent="0.3">
      <c r="A764" s="2" t="s">
        <v>1549</v>
      </c>
      <c r="B764" s="1" t="s">
        <v>1550</v>
      </c>
      <c r="C764" s="1">
        <v>77</v>
      </c>
      <c r="D764" s="1" t="s">
        <v>20</v>
      </c>
      <c r="E764" s="1" t="s">
        <v>28</v>
      </c>
      <c r="F764" s="1" t="s">
        <v>29</v>
      </c>
      <c r="G764" s="1" t="s">
        <v>25</v>
      </c>
      <c r="H764" s="1" t="s">
        <v>30</v>
      </c>
      <c r="I764" s="1" t="s">
        <v>17</v>
      </c>
      <c r="J764" s="1">
        <v>0.42</v>
      </c>
      <c r="K764" s="36">
        <v>45742</v>
      </c>
    </row>
    <row r="765" spans="1:11" x14ac:dyDescent="0.3">
      <c r="A765" s="2" t="s">
        <v>1551</v>
      </c>
      <c r="B765" s="1" t="s">
        <v>1552</v>
      </c>
      <c r="C765" s="1">
        <v>76</v>
      </c>
      <c r="D765" s="1" t="s">
        <v>13</v>
      </c>
      <c r="E765" s="1" t="s">
        <v>28</v>
      </c>
      <c r="F765" s="1" t="s">
        <v>29</v>
      </c>
      <c r="G765" s="1" t="s">
        <v>25</v>
      </c>
      <c r="H765" s="1" t="s">
        <v>30</v>
      </c>
      <c r="I765" s="1" t="s">
        <v>30</v>
      </c>
      <c r="J765" s="1">
        <v>0.59</v>
      </c>
      <c r="K765" s="36">
        <v>44523</v>
      </c>
    </row>
    <row r="766" spans="1:11" x14ac:dyDescent="0.3">
      <c r="A766" s="2" t="s">
        <v>1553</v>
      </c>
      <c r="B766" s="1" t="s">
        <v>1554</v>
      </c>
      <c r="C766" s="1">
        <v>40</v>
      </c>
      <c r="D766" s="1" t="s">
        <v>20</v>
      </c>
      <c r="E766" s="1" t="s">
        <v>21</v>
      </c>
      <c r="F766" s="1" t="s">
        <v>15</v>
      </c>
      <c r="G766" s="1" t="s">
        <v>25</v>
      </c>
      <c r="H766" s="1" t="s">
        <v>17</v>
      </c>
      <c r="I766" s="1" t="s">
        <v>17</v>
      </c>
      <c r="J766" s="1">
        <v>0.22</v>
      </c>
      <c r="K766" s="36">
        <v>45280</v>
      </c>
    </row>
    <row r="767" spans="1:11" x14ac:dyDescent="0.3">
      <c r="A767" s="2" t="s">
        <v>1555</v>
      </c>
      <c r="B767" s="1" t="s">
        <v>1556</v>
      </c>
      <c r="C767" s="1">
        <v>67</v>
      </c>
      <c r="D767" s="1" t="s">
        <v>20</v>
      </c>
      <c r="E767" s="1" t="s">
        <v>14</v>
      </c>
      <c r="F767" s="1" t="s">
        <v>62</v>
      </c>
      <c r="G767" s="1" t="s">
        <v>25</v>
      </c>
      <c r="H767" s="1" t="s">
        <v>17</v>
      </c>
      <c r="I767" s="1" t="s">
        <v>17</v>
      </c>
      <c r="J767" s="1">
        <v>0.31</v>
      </c>
      <c r="K767" s="36">
        <v>46110</v>
      </c>
    </row>
    <row r="768" spans="1:11" x14ac:dyDescent="0.3">
      <c r="A768" s="2" t="s">
        <v>1557</v>
      </c>
      <c r="B768" s="1" t="s">
        <v>1558</v>
      </c>
      <c r="C768" s="1">
        <v>56</v>
      </c>
      <c r="D768" s="1" t="s">
        <v>20</v>
      </c>
      <c r="E768" s="1" t="s">
        <v>21</v>
      </c>
      <c r="F768" s="1" t="s">
        <v>29</v>
      </c>
      <c r="G768" s="1" t="s">
        <v>47</v>
      </c>
      <c r="H768" s="1" t="s">
        <v>17</v>
      </c>
      <c r="I768" s="1" t="s">
        <v>30</v>
      </c>
      <c r="J768" s="1">
        <v>0.4</v>
      </c>
      <c r="K768" s="36">
        <v>45037</v>
      </c>
    </row>
    <row r="769" spans="1:11" x14ac:dyDescent="0.3">
      <c r="A769" s="2" t="s">
        <v>1559</v>
      </c>
      <c r="B769" s="1" t="s">
        <v>1560</v>
      </c>
      <c r="C769" s="1">
        <v>48</v>
      </c>
      <c r="D769" s="1" t="s">
        <v>20</v>
      </c>
      <c r="E769" s="1" t="s">
        <v>14</v>
      </c>
      <c r="F769" s="1" t="s">
        <v>46</v>
      </c>
      <c r="G769" s="1" t="s">
        <v>25</v>
      </c>
      <c r="H769" s="1" t="s">
        <v>17</v>
      </c>
      <c r="I769" s="1" t="s">
        <v>17</v>
      </c>
      <c r="J769" s="1">
        <v>0.31</v>
      </c>
      <c r="K769" s="36">
        <v>45607</v>
      </c>
    </row>
    <row r="770" spans="1:11" x14ac:dyDescent="0.3">
      <c r="A770" s="2" t="s">
        <v>1561</v>
      </c>
      <c r="B770" s="1" t="s">
        <v>315</v>
      </c>
      <c r="C770" s="1">
        <v>26</v>
      </c>
      <c r="D770" s="1" t="s">
        <v>13</v>
      </c>
      <c r="E770" s="1" t="s">
        <v>28</v>
      </c>
      <c r="F770" s="1" t="s">
        <v>62</v>
      </c>
      <c r="G770" s="1" t="s">
        <v>47</v>
      </c>
      <c r="H770" s="1" t="s">
        <v>17</v>
      </c>
      <c r="I770" s="1" t="s">
        <v>17</v>
      </c>
      <c r="J770" s="1">
        <v>0.23</v>
      </c>
      <c r="K770" s="36">
        <v>44343</v>
      </c>
    </row>
    <row r="771" spans="1:11" x14ac:dyDescent="0.3">
      <c r="A771" s="2" t="s">
        <v>1562</v>
      </c>
      <c r="B771" s="1" t="s">
        <v>1563</v>
      </c>
      <c r="C771" s="1">
        <v>41</v>
      </c>
      <c r="D771" s="1" t="s">
        <v>20</v>
      </c>
      <c r="E771" s="1" t="s">
        <v>21</v>
      </c>
      <c r="F771" s="1" t="s">
        <v>29</v>
      </c>
      <c r="G771" s="1" t="s">
        <v>22</v>
      </c>
      <c r="H771" s="1" t="s">
        <v>17</v>
      </c>
      <c r="I771" s="1" t="s">
        <v>17</v>
      </c>
      <c r="J771" s="1">
        <v>0.23</v>
      </c>
      <c r="K771" s="36">
        <v>46210</v>
      </c>
    </row>
    <row r="772" spans="1:11" x14ac:dyDescent="0.3">
      <c r="A772" s="2" t="s">
        <v>1564</v>
      </c>
      <c r="B772" s="1" t="s">
        <v>1565</v>
      </c>
      <c r="C772" s="1">
        <v>59</v>
      </c>
      <c r="D772" s="1" t="s">
        <v>13</v>
      </c>
      <c r="E772" s="1" t="s">
        <v>33</v>
      </c>
      <c r="F772" s="1" t="s">
        <v>29</v>
      </c>
      <c r="G772" s="1" t="s">
        <v>43</v>
      </c>
      <c r="H772" s="1" t="s">
        <v>17</v>
      </c>
      <c r="I772" s="1" t="s">
        <v>30</v>
      </c>
      <c r="J772" s="1">
        <v>0.54</v>
      </c>
      <c r="K772" s="36">
        <v>45411</v>
      </c>
    </row>
    <row r="773" spans="1:11" x14ac:dyDescent="0.3">
      <c r="A773" s="2" t="s">
        <v>1566</v>
      </c>
      <c r="B773" s="1" t="s">
        <v>1567</v>
      </c>
      <c r="C773" s="1">
        <v>80</v>
      </c>
      <c r="D773" s="1" t="s">
        <v>13</v>
      </c>
      <c r="E773" s="1" t="s">
        <v>28</v>
      </c>
      <c r="F773" s="1" t="s">
        <v>46</v>
      </c>
      <c r="G773" s="1" t="s">
        <v>47</v>
      </c>
      <c r="H773" s="1" t="s">
        <v>17</v>
      </c>
      <c r="I773" s="1" t="s">
        <v>30</v>
      </c>
      <c r="J773" s="1">
        <v>0.4</v>
      </c>
      <c r="K773" s="36">
        <v>44601</v>
      </c>
    </row>
    <row r="774" spans="1:11" x14ac:dyDescent="0.3">
      <c r="A774" s="2" t="s">
        <v>1568</v>
      </c>
      <c r="B774" s="1" t="s">
        <v>1569</v>
      </c>
      <c r="C774" s="1">
        <v>18</v>
      </c>
      <c r="D774" s="1" t="s">
        <v>20</v>
      </c>
      <c r="E774" s="1" t="s">
        <v>28</v>
      </c>
      <c r="F774" s="1" t="s">
        <v>29</v>
      </c>
      <c r="G774" s="1" t="s">
        <v>43</v>
      </c>
      <c r="H774" s="1" t="s">
        <v>30</v>
      </c>
      <c r="I774" s="1" t="s">
        <v>17</v>
      </c>
      <c r="J774" s="1">
        <v>0.42</v>
      </c>
      <c r="K774" s="36">
        <v>44424</v>
      </c>
    </row>
    <row r="775" spans="1:11" x14ac:dyDescent="0.3">
      <c r="A775" s="2" t="s">
        <v>1570</v>
      </c>
      <c r="B775" s="1" t="s">
        <v>1571</v>
      </c>
      <c r="C775" s="1">
        <v>63</v>
      </c>
      <c r="D775" s="1" t="s">
        <v>20</v>
      </c>
      <c r="E775" s="1" t="s">
        <v>14</v>
      </c>
      <c r="F775" s="1" t="s">
        <v>29</v>
      </c>
      <c r="G775" s="1" t="s">
        <v>22</v>
      </c>
      <c r="H775" s="1" t="s">
        <v>17</v>
      </c>
      <c r="I775" s="1" t="s">
        <v>30</v>
      </c>
      <c r="J775" s="1">
        <v>0.35</v>
      </c>
      <c r="K775" s="36">
        <v>45284</v>
      </c>
    </row>
    <row r="776" spans="1:11" x14ac:dyDescent="0.3">
      <c r="A776" s="2" t="s">
        <v>1572</v>
      </c>
      <c r="B776" s="1" t="s">
        <v>1573</v>
      </c>
      <c r="C776" s="1">
        <v>71</v>
      </c>
      <c r="D776" s="1" t="s">
        <v>13</v>
      </c>
      <c r="E776" s="1" t="s">
        <v>33</v>
      </c>
      <c r="F776" s="1" t="s">
        <v>46</v>
      </c>
      <c r="G776" s="1" t="s">
        <v>47</v>
      </c>
      <c r="H776" s="1" t="s">
        <v>17</v>
      </c>
      <c r="I776" s="1" t="s">
        <v>17</v>
      </c>
      <c r="J776" s="1">
        <v>0.27</v>
      </c>
      <c r="K776" s="36">
        <v>45287</v>
      </c>
    </row>
    <row r="777" spans="1:11" x14ac:dyDescent="0.3">
      <c r="A777" s="2" t="s">
        <v>1574</v>
      </c>
      <c r="B777" s="1" t="s">
        <v>1575</v>
      </c>
      <c r="C777" s="1">
        <v>77</v>
      </c>
      <c r="D777" s="1" t="s">
        <v>20</v>
      </c>
      <c r="E777" s="1" t="s">
        <v>14</v>
      </c>
      <c r="F777" s="1" t="s">
        <v>62</v>
      </c>
      <c r="G777" s="1" t="s">
        <v>38</v>
      </c>
      <c r="H777" s="1" t="s">
        <v>17</v>
      </c>
      <c r="I777" s="1" t="s">
        <v>30</v>
      </c>
      <c r="J777" s="1">
        <v>0.34</v>
      </c>
      <c r="K777" s="36">
        <v>44281</v>
      </c>
    </row>
    <row r="778" spans="1:11" x14ac:dyDescent="0.3">
      <c r="A778" s="2" t="s">
        <v>1576</v>
      </c>
      <c r="B778" s="1" t="s">
        <v>1577</v>
      </c>
      <c r="C778" s="1">
        <v>44</v>
      </c>
      <c r="D778" s="1" t="s">
        <v>13</v>
      </c>
      <c r="E778" s="1" t="s">
        <v>21</v>
      </c>
      <c r="F778" s="1" t="s">
        <v>62</v>
      </c>
      <c r="G778" s="1" t="s">
        <v>16</v>
      </c>
      <c r="H778" s="1" t="s">
        <v>17</v>
      </c>
      <c r="I778" s="1" t="s">
        <v>30</v>
      </c>
      <c r="J778" s="1">
        <v>0.39</v>
      </c>
      <c r="K778" s="36">
        <v>46252</v>
      </c>
    </row>
    <row r="779" spans="1:11" x14ac:dyDescent="0.3">
      <c r="A779" s="2" t="s">
        <v>1578</v>
      </c>
      <c r="B779" s="1" t="s">
        <v>1579</v>
      </c>
      <c r="C779" s="1">
        <v>25</v>
      </c>
      <c r="D779" s="1" t="s">
        <v>20</v>
      </c>
      <c r="E779" s="1" t="s">
        <v>21</v>
      </c>
      <c r="F779" s="1" t="s">
        <v>29</v>
      </c>
      <c r="G779" s="1" t="s">
        <v>22</v>
      </c>
      <c r="H779" s="1" t="s">
        <v>17</v>
      </c>
      <c r="I779" s="1" t="s">
        <v>17</v>
      </c>
      <c r="J779" s="1">
        <v>0.28000000000000003</v>
      </c>
      <c r="K779" s="36">
        <v>46078</v>
      </c>
    </row>
    <row r="780" spans="1:11" x14ac:dyDescent="0.3">
      <c r="A780" s="2" t="s">
        <v>1580</v>
      </c>
      <c r="B780" s="1" t="s">
        <v>1581</v>
      </c>
      <c r="C780" s="1">
        <v>35</v>
      </c>
      <c r="D780" s="1" t="s">
        <v>13</v>
      </c>
      <c r="E780" s="1" t="s">
        <v>33</v>
      </c>
      <c r="F780" s="1" t="s">
        <v>46</v>
      </c>
      <c r="G780" s="1" t="s">
        <v>16</v>
      </c>
      <c r="H780" s="1" t="s">
        <v>17</v>
      </c>
      <c r="I780" s="1" t="s">
        <v>17</v>
      </c>
      <c r="J780" s="1">
        <v>0.18</v>
      </c>
      <c r="K780" s="36">
        <v>45088</v>
      </c>
    </row>
    <row r="781" spans="1:11" x14ac:dyDescent="0.3">
      <c r="A781" s="2" t="s">
        <v>1582</v>
      </c>
      <c r="B781" s="1" t="s">
        <v>1583</v>
      </c>
      <c r="C781" s="1">
        <v>71</v>
      </c>
      <c r="D781" s="1" t="s">
        <v>13</v>
      </c>
      <c r="E781" s="1" t="s">
        <v>33</v>
      </c>
      <c r="F781" s="1" t="s">
        <v>29</v>
      </c>
      <c r="G781" s="1" t="s">
        <v>38</v>
      </c>
      <c r="H781" s="1" t="s">
        <v>17</v>
      </c>
      <c r="I781" s="1" t="s">
        <v>17</v>
      </c>
      <c r="J781" s="1">
        <v>0.27</v>
      </c>
      <c r="K781" s="36">
        <v>44334</v>
      </c>
    </row>
    <row r="782" spans="1:11" x14ac:dyDescent="0.3">
      <c r="A782" s="2" t="s">
        <v>1584</v>
      </c>
      <c r="B782" s="1" t="s">
        <v>1585</v>
      </c>
      <c r="C782" s="1">
        <v>73</v>
      </c>
      <c r="D782" s="1" t="s">
        <v>20</v>
      </c>
      <c r="E782" s="1" t="s">
        <v>33</v>
      </c>
      <c r="F782" s="1" t="s">
        <v>62</v>
      </c>
      <c r="G782" s="1" t="s">
        <v>47</v>
      </c>
      <c r="H782" s="1" t="s">
        <v>17</v>
      </c>
      <c r="I782" s="1" t="s">
        <v>30</v>
      </c>
      <c r="J782" s="1">
        <v>0.48</v>
      </c>
      <c r="K782" s="36">
        <v>45901</v>
      </c>
    </row>
    <row r="783" spans="1:11" x14ac:dyDescent="0.3">
      <c r="A783" s="2" t="s">
        <v>1586</v>
      </c>
      <c r="B783" s="1" t="s">
        <v>1587</v>
      </c>
      <c r="C783" s="1">
        <v>58</v>
      </c>
      <c r="D783" s="1" t="s">
        <v>20</v>
      </c>
      <c r="E783" s="1" t="s">
        <v>28</v>
      </c>
      <c r="F783" s="1" t="s">
        <v>15</v>
      </c>
      <c r="G783" s="1" t="s">
        <v>38</v>
      </c>
      <c r="H783" s="1" t="s">
        <v>17</v>
      </c>
      <c r="I783" s="1" t="s">
        <v>30</v>
      </c>
      <c r="J783" s="1">
        <v>0.36</v>
      </c>
      <c r="K783" s="36">
        <v>45169</v>
      </c>
    </row>
    <row r="784" spans="1:11" x14ac:dyDescent="0.3">
      <c r="A784" s="2" t="s">
        <v>1588</v>
      </c>
      <c r="B784" s="1" t="s">
        <v>1589</v>
      </c>
      <c r="C784" s="1">
        <v>25</v>
      </c>
      <c r="D784" s="1" t="s">
        <v>13</v>
      </c>
      <c r="E784" s="1" t="s">
        <v>33</v>
      </c>
      <c r="F784" s="1" t="s">
        <v>15</v>
      </c>
      <c r="G784" s="1" t="s">
        <v>47</v>
      </c>
      <c r="H784" s="1" t="s">
        <v>30</v>
      </c>
      <c r="I784" s="1" t="s">
        <v>17</v>
      </c>
      <c r="J784" s="1">
        <v>0.44</v>
      </c>
      <c r="K784" s="36">
        <v>45647</v>
      </c>
    </row>
    <row r="785" spans="1:11" x14ac:dyDescent="0.3">
      <c r="A785" s="2" t="s">
        <v>1590</v>
      </c>
      <c r="B785" s="1" t="s">
        <v>1591</v>
      </c>
      <c r="C785" s="1">
        <v>25</v>
      </c>
      <c r="D785" s="1" t="s">
        <v>20</v>
      </c>
      <c r="E785" s="1" t="s">
        <v>14</v>
      </c>
      <c r="F785" s="1" t="s">
        <v>29</v>
      </c>
      <c r="G785" s="1" t="s">
        <v>43</v>
      </c>
      <c r="H785" s="1" t="s">
        <v>17</v>
      </c>
      <c r="I785" s="1" t="s">
        <v>17</v>
      </c>
      <c r="J785" s="1">
        <v>0.28999999999999998</v>
      </c>
      <c r="K785" s="36">
        <v>45192</v>
      </c>
    </row>
    <row r="786" spans="1:11" x14ac:dyDescent="0.3">
      <c r="A786" s="2" t="s">
        <v>1592</v>
      </c>
      <c r="B786" s="1" t="s">
        <v>1593</v>
      </c>
      <c r="C786" s="1">
        <v>48</v>
      </c>
      <c r="D786" s="1" t="s">
        <v>20</v>
      </c>
      <c r="E786" s="1" t="s">
        <v>14</v>
      </c>
      <c r="F786" s="1" t="s">
        <v>29</v>
      </c>
      <c r="G786" s="1" t="s">
        <v>38</v>
      </c>
      <c r="H786" s="1" t="s">
        <v>30</v>
      </c>
      <c r="I786" s="1" t="s">
        <v>17</v>
      </c>
      <c r="J786" s="1">
        <v>0.27</v>
      </c>
      <c r="K786" s="36">
        <v>44676</v>
      </c>
    </row>
    <row r="787" spans="1:11" x14ac:dyDescent="0.3">
      <c r="A787" s="2" t="s">
        <v>1594</v>
      </c>
      <c r="B787" s="1" t="s">
        <v>1595</v>
      </c>
      <c r="C787" s="1">
        <v>55</v>
      </c>
      <c r="D787" s="1" t="s">
        <v>20</v>
      </c>
      <c r="E787" s="1" t="s">
        <v>28</v>
      </c>
      <c r="F787" s="1" t="s">
        <v>15</v>
      </c>
      <c r="G787" s="1" t="s">
        <v>25</v>
      </c>
      <c r="H787" s="1" t="s">
        <v>17</v>
      </c>
      <c r="I787" s="1" t="s">
        <v>17</v>
      </c>
      <c r="J787" s="1">
        <v>0.32</v>
      </c>
      <c r="K787" s="36">
        <v>45906</v>
      </c>
    </row>
    <row r="788" spans="1:11" x14ac:dyDescent="0.3">
      <c r="A788" s="2" t="s">
        <v>1596</v>
      </c>
      <c r="B788" s="1" t="s">
        <v>1597</v>
      </c>
      <c r="C788" s="1">
        <v>20</v>
      </c>
      <c r="D788" s="1" t="s">
        <v>20</v>
      </c>
      <c r="E788" s="1" t="s">
        <v>28</v>
      </c>
      <c r="F788" s="1" t="s">
        <v>29</v>
      </c>
      <c r="G788" s="1" t="s">
        <v>38</v>
      </c>
      <c r="H788" s="1" t="s">
        <v>17</v>
      </c>
      <c r="I788" s="1" t="s">
        <v>17</v>
      </c>
      <c r="J788" s="1">
        <v>0.15</v>
      </c>
      <c r="K788" s="36">
        <v>46225</v>
      </c>
    </row>
    <row r="789" spans="1:11" x14ac:dyDescent="0.3">
      <c r="A789" s="2" t="s">
        <v>1598</v>
      </c>
      <c r="B789" s="1" t="s">
        <v>1599</v>
      </c>
      <c r="C789" s="1">
        <v>61</v>
      </c>
      <c r="D789" s="1" t="s">
        <v>13</v>
      </c>
      <c r="E789" s="1" t="s">
        <v>21</v>
      </c>
      <c r="F789" s="1" t="s">
        <v>62</v>
      </c>
      <c r="G789" s="1" t="s">
        <v>16</v>
      </c>
      <c r="H789" s="1" t="s">
        <v>30</v>
      </c>
      <c r="I789" s="1" t="s">
        <v>30</v>
      </c>
      <c r="J789" s="1">
        <v>0.6</v>
      </c>
      <c r="K789" s="36">
        <v>44611</v>
      </c>
    </row>
    <row r="790" spans="1:11" x14ac:dyDescent="0.3">
      <c r="A790" s="2" t="s">
        <v>1600</v>
      </c>
      <c r="B790" s="1" t="s">
        <v>1601</v>
      </c>
      <c r="C790" s="1">
        <v>52</v>
      </c>
      <c r="D790" s="1" t="s">
        <v>13</v>
      </c>
      <c r="E790" s="1" t="s">
        <v>28</v>
      </c>
      <c r="F790" s="1" t="s">
        <v>46</v>
      </c>
      <c r="G790" s="1" t="s">
        <v>43</v>
      </c>
      <c r="H790" s="1" t="s">
        <v>30</v>
      </c>
      <c r="I790" s="1" t="s">
        <v>17</v>
      </c>
      <c r="J790" s="1">
        <v>0.31</v>
      </c>
      <c r="K790" s="36">
        <v>45285</v>
      </c>
    </row>
    <row r="791" spans="1:11" x14ac:dyDescent="0.3">
      <c r="A791" s="2" t="s">
        <v>1602</v>
      </c>
      <c r="B791" s="1" t="s">
        <v>1603</v>
      </c>
      <c r="C791" s="1">
        <v>18</v>
      </c>
      <c r="D791" s="1" t="s">
        <v>20</v>
      </c>
      <c r="E791" s="1" t="s">
        <v>21</v>
      </c>
      <c r="F791" s="1" t="s">
        <v>62</v>
      </c>
      <c r="G791" s="1" t="s">
        <v>22</v>
      </c>
      <c r="H791" s="1" t="s">
        <v>17</v>
      </c>
      <c r="I791" s="1" t="s">
        <v>17</v>
      </c>
      <c r="J791" s="1">
        <v>0.34</v>
      </c>
      <c r="K791" s="36">
        <v>44917</v>
      </c>
    </row>
    <row r="792" spans="1:11" x14ac:dyDescent="0.3">
      <c r="A792" s="2" t="s">
        <v>1604</v>
      </c>
      <c r="B792" s="1" t="s">
        <v>1605</v>
      </c>
      <c r="C792" s="1">
        <v>24</v>
      </c>
      <c r="D792" s="1" t="s">
        <v>13</v>
      </c>
      <c r="E792" s="1" t="s">
        <v>28</v>
      </c>
      <c r="F792" s="1" t="s">
        <v>29</v>
      </c>
      <c r="G792" s="1" t="s">
        <v>47</v>
      </c>
      <c r="H792" s="1" t="s">
        <v>30</v>
      </c>
      <c r="I792" s="1" t="s">
        <v>30</v>
      </c>
      <c r="J792" s="1">
        <v>0.51</v>
      </c>
      <c r="K792" s="36">
        <v>46097</v>
      </c>
    </row>
    <row r="793" spans="1:11" x14ac:dyDescent="0.3">
      <c r="A793" s="2" t="s">
        <v>1606</v>
      </c>
      <c r="B793" s="1" t="s">
        <v>1607</v>
      </c>
      <c r="C793" s="1">
        <v>46</v>
      </c>
      <c r="D793" s="1" t="s">
        <v>20</v>
      </c>
      <c r="E793" s="1" t="s">
        <v>33</v>
      </c>
      <c r="F793" s="1" t="s">
        <v>46</v>
      </c>
      <c r="G793" s="1" t="s">
        <v>16</v>
      </c>
      <c r="H793" s="1" t="s">
        <v>17</v>
      </c>
      <c r="I793" s="1" t="s">
        <v>17</v>
      </c>
      <c r="J793" s="1">
        <v>0.1</v>
      </c>
      <c r="K793" s="36">
        <v>45191</v>
      </c>
    </row>
    <row r="794" spans="1:11" x14ac:dyDescent="0.3">
      <c r="A794" s="2" t="s">
        <v>1608</v>
      </c>
      <c r="B794" s="1" t="s">
        <v>1609</v>
      </c>
      <c r="C794" s="1">
        <v>63</v>
      </c>
      <c r="D794" s="1" t="s">
        <v>20</v>
      </c>
      <c r="E794" s="1" t="s">
        <v>33</v>
      </c>
      <c r="F794" s="1" t="s">
        <v>46</v>
      </c>
      <c r="G794" s="1" t="s">
        <v>47</v>
      </c>
      <c r="H794" s="1" t="s">
        <v>17</v>
      </c>
      <c r="I794" s="1" t="s">
        <v>30</v>
      </c>
      <c r="J794" s="1">
        <v>0.44</v>
      </c>
      <c r="K794" s="36">
        <v>46004</v>
      </c>
    </row>
    <row r="795" spans="1:11" x14ac:dyDescent="0.3">
      <c r="A795" s="2" t="s">
        <v>1610</v>
      </c>
      <c r="B795" s="1" t="s">
        <v>1611</v>
      </c>
      <c r="C795" s="1">
        <v>70</v>
      </c>
      <c r="D795" s="1" t="s">
        <v>13</v>
      </c>
      <c r="E795" s="1" t="s">
        <v>33</v>
      </c>
      <c r="F795" s="1" t="s">
        <v>46</v>
      </c>
      <c r="G795" s="1" t="s">
        <v>43</v>
      </c>
      <c r="H795" s="1" t="s">
        <v>17</v>
      </c>
      <c r="I795" s="1" t="s">
        <v>17</v>
      </c>
      <c r="J795" s="1">
        <v>0.26</v>
      </c>
      <c r="K795" s="36">
        <v>45970</v>
      </c>
    </row>
    <row r="796" spans="1:11" x14ac:dyDescent="0.3">
      <c r="A796" s="2" t="s">
        <v>1612</v>
      </c>
      <c r="B796" s="1" t="s">
        <v>1613</v>
      </c>
      <c r="C796" s="1">
        <v>45</v>
      </c>
      <c r="D796" s="1" t="s">
        <v>13</v>
      </c>
      <c r="E796" s="1" t="s">
        <v>33</v>
      </c>
      <c r="F796" s="1" t="s">
        <v>62</v>
      </c>
      <c r="G796" s="1" t="s">
        <v>43</v>
      </c>
      <c r="H796" s="1" t="s">
        <v>30</v>
      </c>
      <c r="I796" s="1" t="s">
        <v>30</v>
      </c>
      <c r="J796" s="1">
        <v>0.44</v>
      </c>
      <c r="K796" s="36">
        <v>44682</v>
      </c>
    </row>
    <row r="797" spans="1:11" x14ac:dyDescent="0.3">
      <c r="A797" s="2" t="s">
        <v>1614</v>
      </c>
      <c r="B797" s="1" t="s">
        <v>1615</v>
      </c>
      <c r="C797" s="1">
        <v>36</v>
      </c>
      <c r="D797" s="1" t="s">
        <v>20</v>
      </c>
      <c r="E797" s="1" t="s">
        <v>14</v>
      </c>
      <c r="F797" s="1" t="s">
        <v>46</v>
      </c>
      <c r="G797" s="1" t="s">
        <v>16</v>
      </c>
      <c r="H797" s="1" t="s">
        <v>17</v>
      </c>
      <c r="I797" s="1" t="s">
        <v>17</v>
      </c>
      <c r="J797" s="1">
        <v>0.23</v>
      </c>
      <c r="K797" s="36">
        <v>45808</v>
      </c>
    </row>
    <row r="798" spans="1:11" x14ac:dyDescent="0.3">
      <c r="A798" s="2" t="s">
        <v>1616</v>
      </c>
      <c r="B798" s="1" t="s">
        <v>1617</v>
      </c>
      <c r="C798" s="1">
        <v>79</v>
      </c>
      <c r="D798" s="1" t="s">
        <v>20</v>
      </c>
      <c r="E798" s="1" t="s">
        <v>28</v>
      </c>
      <c r="F798" s="1" t="s">
        <v>29</v>
      </c>
      <c r="G798" s="1" t="s">
        <v>16</v>
      </c>
      <c r="H798" s="1" t="s">
        <v>17</v>
      </c>
      <c r="I798" s="1" t="s">
        <v>17</v>
      </c>
      <c r="J798" s="1">
        <v>0.16</v>
      </c>
      <c r="K798" s="36">
        <v>44986</v>
      </c>
    </row>
    <row r="799" spans="1:11" x14ac:dyDescent="0.3">
      <c r="A799" s="2" t="s">
        <v>1618</v>
      </c>
      <c r="B799" s="1" t="s">
        <v>1619</v>
      </c>
      <c r="C799" s="1">
        <v>46</v>
      </c>
      <c r="D799" s="1" t="s">
        <v>13</v>
      </c>
      <c r="E799" s="1" t="s">
        <v>33</v>
      </c>
      <c r="F799" s="1" t="s">
        <v>46</v>
      </c>
      <c r="G799" s="1" t="s">
        <v>16</v>
      </c>
      <c r="H799" s="1" t="s">
        <v>30</v>
      </c>
      <c r="I799" s="1" t="s">
        <v>17</v>
      </c>
      <c r="J799" s="1">
        <v>0.32</v>
      </c>
      <c r="K799" s="36">
        <v>46124</v>
      </c>
    </row>
    <row r="800" spans="1:11" x14ac:dyDescent="0.3">
      <c r="A800" s="2" t="s">
        <v>1620</v>
      </c>
      <c r="B800" s="1" t="s">
        <v>1621</v>
      </c>
      <c r="C800" s="1">
        <v>37</v>
      </c>
      <c r="D800" s="1" t="s">
        <v>13</v>
      </c>
      <c r="E800" s="1" t="s">
        <v>33</v>
      </c>
      <c r="F800" s="1" t="s">
        <v>46</v>
      </c>
      <c r="G800" s="1" t="s">
        <v>25</v>
      </c>
      <c r="H800" s="1" t="s">
        <v>17</v>
      </c>
      <c r="I800" s="1" t="s">
        <v>17</v>
      </c>
      <c r="J800" s="1">
        <v>0.17</v>
      </c>
      <c r="K800" s="36">
        <v>45189</v>
      </c>
    </row>
    <row r="801" spans="1:11" x14ac:dyDescent="0.3">
      <c r="A801" s="2" t="s">
        <v>1622</v>
      </c>
      <c r="B801" s="1" t="s">
        <v>1623</v>
      </c>
      <c r="C801" s="1">
        <v>45</v>
      </c>
      <c r="D801" s="1" t="s">
        <v>20</v>
      </c>
      <c r="E801" s="1" t="s">
        <v>14</v>
      </c>
      <c r="F801" s="1" t="s">
        <v>15</v>
      </c>
      <c r="G801" s="1" t="s">
        <v>22</v>
      </c>
      <c r="H801" s="1" t="s">
        <v>17</v>
      </c>
      <c r="I801" s="1" t="s">
        <v>17</v>
      </c>
      <c r="J801" s="1">
        <v>0.25</v>
      </c>
      <c r="K801" s="36">
        <v>45875</v>
      </c>
    </row>
    <row r="802" spans="1:11" x14ac:dyDescent="0.3">
      <c r="A802" s="2" t="s">
        <v>1624</v>
      </c>
      <c r="B802" s="1" t="s">
        <v>1625</v>
      </c>
      <c r="C802" s="1">
        <v>18</v>
      </c>
      <c r="D802" s="1" t="s">
        <v>20</v>
      </c>
      <c r="E802" s="1" t="s">
        <v>21</v>
      </c>
      <c r="F802" s="1" t="s">
        <v>29</v>
      </c>
      <c r="G802" s="1" t="s">
        <v>43</v>
      </c>
      <c r="H802" s="1" t="s">
        <v>17</v>
      </c>
      <c r="I802" s="1" t="s">
        <v>17</v>
      </c>
      <c r="J802" s="1">
        <v>0.33</v>
      </c>
      <c r="K802" s="36">
        <v>44696</v>
      </c>
    </row>
    <row r="803" spans="1:11" x14ac:dyDescent="0.3">
      <c r="A803" s="2" t="s">
        <v>1626</v>
      </c>
      <c r="B803" s="1" t="s">
        <v>1627</v>
      </c>
      <c r="C803" s="1">
        <v>37</v>
      </c>
      <c r="D803" s="1" t="s">
        <v>13</v>
      </c>
      <c r="E803" s="1" t="s">
        <v>33</v>
      </c>
      <c r="F803" s="1" t="s">
        <v>29</v>
      </c>
      <c r="G803" s="1" t="s">
        <v>22</v>
      </c>
      <c r="H803" s="1" t="s">
        <v>17</v>
      </c>
      <c r="I803" s="1" t="s">
        <v>30</v>
      </c>
      <c r="J803" s="1">
        <v>0.42</v>
      </c>
      <c r="K803" s="36">
        <v>44731</v>
      </c>
    </row>
    <row r="804" spans="1:11" x14ac:dyDescent="0.3">
      <c r="A804" s="2" t="s">
        <v>1628</v>
      </c>
      <c r="B804" s="1" t="s">
        <v>1629</v>
      </c>
      <c r="C804" s="1">
        <v>50</v>
      </c>
      <c r="D804" s="1" t="s">
        <v>20</v>
      </c>
      <c r="E804" s="1" t="s">
        <v>14</v>
      </c>
      <c r="F804" s="1" t="s">
        <v>15</v>
      </c>
      <c r="G804" s="1" t="s">
        <v>38</v>
      </c>
      <c r="H804" s="1" t="s">
        <v>17</v>
      </c>
      <c r="I804" s="1" t="s">
        <v>30</v>
      </c>
      <c r="J804" s="1">
        <v>0.34</v>
      </c>
      <c r="K804" s="36">
        <v>45363</v>
      </c>
    </row>
    <row r="805" spans="1:11" x14ac:dyDescent="0.3">
      <c r="A805" s="2" t="s">
        <v>1630</v>
      </c>
      <c r="B805" s="1" t="s">
        <v>1631</v>
      </c>
      <c r="C805" s="1">
        <v>75</v>
      </c>
      <c r="D805" s="1" t="s">
        <v>20</v>
      </c>
      <c r="E805" s="1" t="s">
        <v>33</v>
      </c>
      <c r="F805" s="1" t="s">
        <v>62</v>
      </c>
      <c r="G805" s="1" t="s">
        <v>25</v>
      </c>
      <c r="H805" s="1" t="s">
        <v>17</v>
      </c>
      <c r="I805" s="1" t="s">
        <v>17</v>
      </c>
      <c r="J805" s="1">
        <v>0.13</v>
      </c>
      <c r="K805" s="36">
        <v>46266</v>
      </c>
    </row>
    <row r="806" spans="1:11" x14ac:dyDescent="0.3">
      <c r="A806" s="2" t="s">
        <v>1632</v>
      </c>
      <c r="B806" s="1" t="s">
        <v>1633</v>
      </c>
      <c r="C806" s="1">
        <v>64</v>
      </c>
      <c r="D806" s="1" t="s">
        <v>20</v>
      </c>
      <c r="E806" s="1" t="s">
        <v>14</v>
      </c>
      <c r="F806" s="1" t="s">
        <v>29</v>
      </c>
      <c r="G806" s="1" t="s">
        <v>16</v>
      </c>
      <c r="H806" s="1" t="s">
        <v>17</v>
      </c>
      <c r="I806" s="1" t="s">
        <v>30</v>
      </c>
      <c r="J806" s="1">
        <v>0.45</v>
      </c>
      <c r="K806" s="36">
        <v>45150</v>
      </c>
    </row>
    <row r="807" spans="1:11" x14ac:dyDescent="0.3">
      <c r="A807" s="2" t="s">
        <v>1634</v>
      </c>
      <c r="B807" s="1" t="s">
        <v>1635</v>
      </c>
      <c r="C807" s="1">
        <v>67</v>
      </c>
      <c r="D807" s="1" t="s">
        <v>20</v>
      </c>
      <c r="E807" s="1" t="s">
        <v>28</v>
      </c>
      <c r="F807" s="1" t="s">
        <v>29</v>
      </c>
      <c r="G807" s="1" t="s">
        <v>43</v>
      </c>
      <c r="H807" s="1" t="s">
        <v>17</v>
      </c>
      <c r="I807" s="1" t="s">
        <v>30</v>
      </c>
      <c r="J807" s="1">
        <v>0.52</v>
      </c>
      <c r="K807" s="36">
        <v>44402</v>
      </c>
    </row>
    <row r="808" spans="1:11" x14ac:dyDescent="0.3">
      <c r="A808" s="2" t="s">
        <v>1636</v>
      </c>
      <c r="B808" s="1" t="s">
        <v>1637</v>
      </c>
      <c r="C808" s="1">
        <v>52</v>
      </c>
      <c r="D808" s="1" t="s">
        <v>20</v>
      </c>
      <c r="E808" s="1" t="s">
        <v>33</v>
      </c>
      <c r="F808" s="1" t="s">
        <v>46</v>
      </c>
      <c r="G808" s="1" t="s">
        <v>22</v>
      </c>
      <c r="H808" s="1" t="s">
        <v>17</v>
      </c>
      <c r="I808" s="1" t="s">
        <v>30</v>
      </c>
      <c r="J808" s="1">
        <v>0.42</v>
      </c>
      <c r="K808" s="36">
        <v>45257</v>
      </c>
    </row>
    <row r="809" spans="1:11" x14ac:dyDescent="0.3">
      <c r="A809" s="2" t="s">
        <v>1638</v>
      </c>
      <c r="B809" s="1" t="s">
        <v>1639</v>
      </c>
      <c r="C809" s="1">
        <v>24</v>
      </c>
      <c r="D809" s="1" t="s">
        <v>13</v>
      </c>
      <c r="E809" s="1" t="s">
        <v>14</v>
      </c>
      <c r="F809" s="1" t="s">
        <v>29</v>
      </c>
      <c r="G809" s="1" t="s">
        <v>22</v>
      </c>
      <c r="H809" s="1" t="s">
        <v>30</v>
      </c>
      <c r="I809" s="1" t="s">
        <v>17</v>
      </c>
      <c r="J809" s="1">
        <v>0.46</v>
      </c>
      <c r="K809" s="36">
        <v>44833</v>
      </c>
    </row>
    <row r="810" spans="1:11" x14ac:dyDescent="0.3">
      <c r="A810" s="2" t="s">
        <v>1640</v>
      </c>
      <c r="B810" s="1" t="s">
        <v>1641</v>
      </c>
      <c r="C810" s="1">
        <v>42</v>
      </c>
      <c r="D810" s="1" t="s">
        <v>13</v>
      </c>
      <c r="E810" s="1" t="s">
        <v>33</v>
      </c>
      <c r="F810" s="1" t="s">
        <v>29</v>
      </c>
      <c r="G810" s="1" t="s">
        <v>16</v>
      </c>
      <c r="H810" s="1" t="s">
        <v>17</v>
      </c>
      <c r="I810" s="1" t="s">
        <v>17</v>
      </c>
      <c r="J810" s="1">
        <v>0.13</v>
      </c>
      <c r="K810" s="36">
        <v>45286</v>
      </c>
    </row>
    <row r="811" spans="1:11" x14ac:dyDescent="0.3">
      <c r="A811" s="2" t="s">
        <v>1642</v>
      </c>
      <c r="B811" s="1" t="s">
        <v>1643</v>
      </c>
      <c r="C811" s="1">
        <v>80</v>
      </c>
      <c r="D811" s="1" t="s">
        <v>13</v>
      </c>
      <c r="E811" s="1" t="s">
        <v>33</v>
      </c>
      <c r="F811" s="1" t="s">
        <v>62</v>
      </c>
      <c r="G811" s="1" t="s">
        <v>22</v>
      </c>
      <c r="H811" s="1" t="s">
        <v>30</v>
      </c>
      <c r="I811" s="1" t="s">
        <v>30</v>
      </c>
      <c r="J811" s="1">
        <v>0.57999999999999996</v>
      </c>
      <c r="K811" s="36">
        <v>45268</v>
      </c>
    </row>
    <row r="812" spans="1:11" x14ac:dyDescent="0.3">
      <c r="A812" s="2" t="s">
        <v>1644</v>
      </c>
      <c r="B812" s="1" t="s">
        <v>1645</v>
      </c>
      <c r="C812" s="1">
        <v>20</v>
      </c>
      <c r="D812" s="1" t="s">
        <v>13</v>
      </c>
      <c r="E812" s="1" t="s">
        <v>33</v>
      </c>
      <c r="F812" s="1" t="s">
        <v>62</v>
      </c>
      <c r="G812" s="1" t="s">
        <v>25</v>
      </c>
      <c r="H812" s="1" t="s">
        <v>17</v>
      </c>
      <c r="I812" s="1" t="s">
        <v>17</v>
      </c>
      <c r="J812" s="1">
        <v>0.37</v>
      </c>
      <c r="K812" s="36">
        <v>45075</v>
      </c>
    </row>
    <row r="813" spans="1:11" x14ac:dyDescent="0.3">
      <c r="A813" s="2" t="s">
        <v>1646</v>
      </c>
      <c r="B813" s="1" t="s">
        <v>1647</v>
      </c>
      <c r="C813" s="1">
        <v>73</v>
      </c>
      <c r="D813" s="1" t="s">
        <v>20</v>
      </c>
      <c r="E813" s="1" t="s">
        <v>33</v>
      </c>
      <c r="F813" s="1" t="s">
        <v>15</v>
      </c>
      <c r="G813" s="1" t="s">
        <v>22</v>
      </c>
      <c r="H813" s="1" t="s">
        <v>30</v>
      </c>
      <c r="I813" s="1" t="s">
        <v>17</v>
      </c>
      <c r="J813" s="1">
        <v>0.37</v>
      </c>
      <c r="K813" s="36">
        <v>44782</v>
      </c>
    </row>
    <row r="814" spans="1:11" x14ac:dyDescent="0.3">
      <c r="A814" s="2" t="s">
        <v>1648</v>
      </c>
      <c r="B814" s="1" t="s">
        <v>1649</v>
      </c>
      <c r="C814" s="1">
        <v>61</v>
      </c>
      <c r="D814" s="1" t="s">
        <v>20</v>
      </c>
      <c r="E814" s="1" t="s">
        <v>28</v>
      </c>
      <c r="F814" s="1" t="s">
        <v>29</v>
      </c>
      <c r="G814" s="1" t="s">
        <v>25</v>
      </c>
      <c r="H814" s="1" t="s">
        <v>17</v>
      </c>
      <c r="I814" s="1" t="s">
        <v>17</v>
      </c>
      <c r="J814" s="1">
        <v>0.21</v>
      </c>
      <c r="K814" s="36">
        <v>44490</v>
      </c>
    </row>
    <row r="815" spans="1:11" x14ac:dyDescent="0.3">
      <c r="A815" s="2" t="s">
        <v>1650</v>
      </c>
      <c r="B815" s="1" t="s">
        <v>1651</v>
      </c>
      <c r="C815" s="1">
        <v>35</v>
      </c>
      <c r="D815" s="1" t="s">
        <v>13</v>
      </c>
      <c r="E815" s="1" t="s">
        <v>14</v>
      </c>
      <c r="F815" s="1" t="s">
        <v>29</v>
      </c>
      <c r="G815" s="1" t="s">
        <v>22</v>
      </c>
      <c r="H815" s="1" t="s">
        <v>17</v>
      </c>
      <c r="I815" s="1" t="s">
        <v>30</v>
      </c>
      <c r="J815" s="1">
        <v>0.41</v>
      </c>
      <c r="K815" s="36">
        <v>45605</v>
      </c>
    </row>
    <row r="816" spans="1:11" x14ac:dyDescent="0.3">
      <c r="A816" s="2" t="s">
        <v>1652</v>
      </c>
      <c r="B816" s="1" t="s">
        <v>1653</v>
      </c>
      <c r="C816" s="1">
        <v>67</v>
      </c>
      <c r="D816" s="1" t="s">
        <v>20</v>
      </c>
      <c r="E816" s="1" t="s">
        <v>14</v>
      </c>
      <c r="F816" s="1" t="s">
        <v>62</v>
      </c>
      <c r="G816" s="1" t="s">
        <v>47</v>
      </c>
      <c r="H816" s="1" t="s">
        <v>17</v>
      </c>
      <c r="I816" s="1" t="s">
        <v>17</v>
      </c>
      <c r="J816" s="1">
        <v>0.25</v>
      </c>
      <c r="K816" s="36">
        <v>45330</v>
      </c>
    </row>
    <row r="817" spans="1:11" x14ac:dyDescent="0.3">
      <c r="A817" s="2" t="s">
        <v>1654</v>
      </c>
      <c r="B817" s="1" t="s">
        <v>1655</v>
      </c>
      <c r="C817" s="1">
        <v>70</v>
      </c>
      <c r="D817" s="1" t="s">
        <v>13</v>
      </c>
      <c r="E817" s="1" t="s">
        <v>14</v>
      </c>
      <c r="F817" s="1" t="s">
        <v>62</v>
      </c>
      <c r="G817" s="1" t="s">
        <v>43</v>
      </c>
      <c r="H817" s="1" t="s">
        <v>17</v>
      </c>
      <c r="I817" s="1" t="s">
        <v>30</v>
      </c>
      <c r="J817" s="1">
        <v>0.36</v>
      </c>
      <c r="K817" s="36">
        <v>44588</v>
      </c>
    </row>
    <row r="818" spans="1:11" x14ac:dyDescent="0.3">
      <c r="A818" s="2" t="s">
        <v>1656</v>
      </c>
      <c r="B818" s="1" t="s">
        <v>1657</v>
      </c>
      <c r="C818" s="1">
        <v>20</v>
      </c>
      <c r="D818" s="1" t="s">
        <v>13</v>
      </c>
      <c r="E818" s="1" t="s">
        <v>33</v>
      </c>
      <c r="F818" s="1" t="s">
        <v>15</v>
      </c>
      <c r="G818" s="1" t="s">
        <v>16</v>
      </c>
      <c r="H818" s="1" t="s">
        <v>30</v>
      </c>
      <c r="I818" s="1" t="s">
        <v>17</v>
      </c>
      <c r="J818" s="1">
        <v>0.52</v>
      </c>
      <c r="K818" s="36">
        <v>45776</v>
      </c>
    </row>
    <row r="819" spans="1:11" x14ac:dyDescent="0.3">
      <c r="A819" s="2" t="s">
        <v>1658</v>
      </c>
      <c r="B819" s="1" t="s">
        <v>1659</v>
      </c>
      <c r="C819" s="1">
        <v>24</v>
      </c>
      <c r="D819" s="1" t="s">
        <v>20</v>
      </c>
      <c r="E819" s="1" t="s">
        <v>28</v>
      </c>
      <c r="F819" s="1" t="s">
        <v>62</v>
      </c>
      <c r="G819" s="1" t="s">
        <v>25</v>
      </c>
      <c r="H819" s="1" t="s">
        <v>17</v>
      </c>
      <c r="I819" s="1" t="s">
        <v>17</v>
      </c>
      <c r="J819" s="1">
        <v>0.28000000000000003</v>
      </c>
      <c r="K819" s="36">
        <v>44172</v>
      </c>
    </row>
    <row r="820" spans="1:11" x14ac:dyDescent="0.3">
      <c r="A820" s="2" t="s">
        <v>1660</v>
      </c>
      <c r="B820" s="1" t="s">
        <v>1661</v>
      </c>
      <c r="C820" s="1">
        <v>59</v>
      </c>
      <c r="D820" s="1" t="s">
        <v>20</v>
      </c>
      <c r="E820" s="1" t="s">
        <v>33</v>
      </c>
      <c r="F820" s="1" t="s">
        <v>46</v>
      </c>
      <c r="G820" s="1" t="s">
        <v>16</v>
      </c>
      <c r="H820" s="1" t="s">
        <v>17</v>
      </c>
      <c r="I820" s="1" t="s">
        <v>17</v>
      </c>
      <c r="J820" s="1">
        <v>0.26</v>
      </c>
      <c r="K820" s="36">
        <v>45709</v>
      </c>
    </row>
    <row r="821" spans="1:11" x14ac:dyDescent="0.3">
      <c r="A821" s="2" t="s">
        <v>1662</v>
      </c>
      <c r="B821" s="1" t="s">
        <v>1663</v>
      </c>
      <c r="C821" s="1">
        <v>80</v>
      </c>
      <c r="D821" s="1" t="s">
        <v>20</v>
      </c>
      <c r="E821" s="1" t="s">
        <v>21</v>
      </c>
      <c r="F821" s="1" t="s">
        <v>29</v>
      </c>
      <c r="G821" s="1" t="s">
        <v>22</v>
      </c>
      <c r="H821" s="1" t="s">
        <v>17</v>
      </c>
      <c r="I821" s="1" t="s">
        <v>30</v>
      </c>
      <c r="J821" s="1">
        <v>0.36</v>
      </c>
      <c r="K821" s="36">
        <v>45622</v>
      </c>
    </row>
    <row r="822" spans="1:11" x14ac:dyDescent="0.3">
      <c r="A822" s="2" t="s">
        <v>1664</v>
      </c>
      <c r="B822" s="1" t="s">
        <v>1665</v>
      </c>
      <c r="C822" s="1">
        <v>19</v>
      </c>
      <c r="D822" s="1" t="s">
        <v>20</v>
      </c>
      <c r="E822" s="1" t="s">
        <v>28</v>
      </c>
      <c r="F822" s="1" t="s">
        <v>62</v>
      </c>
      <c r="G822" s="1" t="s">
        <v>43</v>
      </c>
      <c r="H822" s="1" t="s">
        <v>17</v>
      </c>
      <c r="I822" s="1" t="s">
        <v>17</v>
      </c>
      <c r="J822" s="1">
        <v>0.37</v>
      </c>
      <c r="K822" s="36">
        <v>45855</v>
      </c>
    </row>
    <row r="823" spans="1:11" x14ac:dyDescent="0.3">
      <c r="A823" s="2" t="s">
        <v>1666</v>
      </c>
      <c r="B823" s="1" t="s">
        <v>1667</v>
      </c>
      <c r="C823" s="1">
        <v>59</v>
      </c>
      <c r="D823" s="1" t="s">
        <v>20</v>
      </c>
      <c r="E823" s="1" t="s">
        <v>28</v>
      </c>
      <c r="F823" s="1" t="s">
        <v>62</v>
      </c>
      <c r="G823" s="1" t="s">
        <v>22</v>
      </c>
      <c r="H823" s="1" t="s">
        <v>17</v>
      </c>
      <c r="I823" s="1" t="s">
        <v>30</v>
      </c>
      <c r="J823" s="1">
        <v>0.43</v>
      </c>
      <c r="K823" s="36">
        <v>44923</v>
      </c>
    </row>
    <row r="824" spans="1:11" x14ac:dyDescent="0.3">
      <c r="A824" s="2" t="s">
        <v>1668</v>
      </c>
      <c r="B824" s="1" t="s">
        <v>1669</v>
      </c>
      <c r="C824" s="1">
        <v>26</v>
      </c>
      <c r="D824" s="1" t="s">
        <v>20</v>
      </c>
      <c r="E824" s="1" t="s">
        <v>14</v>
      </c>
      <c r="F824" s="1" t="s">
        <v>46</v>
      </c>
      <c r="G824" s="1" t="s">
        <v>43</v>
      </c>
      <c r="H824" s="1" t="s">
        <v>17</v>
      </c>
      <c r="I824" s="1" t="s">
        <v>17</v>
      </c>
      <c r="J824" s="1">
        <v>0.28000000000000003</v>
      </c>
      <c r="K824" s="36">
        <v>45531</v>
      </c>
    </row>
    <row r="825" spans="1:11" x14ac:dyDescent="0.3">
      <c r="A825" s="2" t="s">
        <v>1670</v>
      </c>
      <c r="B825" s="1" t="s">
        <v>1671</v>
      </c>
      <c r="C825" s="1">
        <v>58</v>
      </c>
      <c r="D825" s="1" t="s">
        <v>13</v>
      </c>
      <c r="E825" s="1" t="s">
        <v>21</v>
      </c>
      <c r="F825" s="1" t="s">
        <v>62</v>
      </c>
      <c r="G825" s="1" t="s">
        <v>22</v>
      </c>
      <c r="H825" s="1" t="s">
        <v>17</v>
      </c>
      <c r="I825" s="1" t="s">
        <v>17</v>
      </c>
      <c r="J825" s="1">
        <v>0.33</v>
      </c>
      <c r="K825" s="36">
        <v>45876</v>
      </c>
    </row>
    <row r="826" spans="1:11" x14ac:dyDescent="0.3">
      <c r="A826" s="2" t="s">
        <v>1672</v>
      </c>
      <c r="B826" s="1" t="s">
        <v>1673</v>
      </c>
      <c r="C826" s="1">
        <v>57</v>
      </c>
      <c r="D826" s="1" t="s">
        <v>13</v>
      </c>
      <c r="E826" s="1" t="s">
        <v>14</v>
      </c>
      <c r="F826" s="1" t="s">
        <v>46</v>
      </c>
      <c r="G826" s="1" t="s">
        <v>38</v>
      </c>
      <c r="H826" s="1" t="s">
        <v>17</v>
      </c>
      <c r="I826" s="1" t="s">
        <v>17</v>
      </c>
      <c r="J826" s="1">
        <v>0.25</v>
      </c>
      <c r="K826" s="36">
        <v>46226</v>
      </c>
    </row>
    <row r="827" spans="1:11" x14ac:dyDescent="0.3">
      <c r="A827" s="2" t="s">
        <v>1674</v>
      </c>
      <c r="B827" s="1" t="s">
        <v>1675</v>
      </c>
      <c r="C827" s="1">
        <v>23</v>
      </c>
      <c r="D827" s="1" t="s">
        <v>13</v>
      </c>
      <c r="E827" s="1" t="s">
        <v>28</v>
      </c>
      <c r="F827" s="1" t="s">
        <v>29</v>
      </c>
      <c r="G827" s="1" t="s">
        <v>38</v>
      </c>
      <c r="H827" s="1" t="s">
        <v>17</v>
      </c>
      <c r="I827" s="1" t="s">
        <v>17</v>
      </c>
      <c r="J827" s="1">
        <v>0.22</v>
      </c>
      <c r="K827" s="36">
        <v>45162</v>
      </c>
    </row>
    <row r="828" spans="1:11" x14ac:dyDescent="0.3">
      <c r="A828" s="2" t="s">
        <v>1676</v>
      </c>
      <c r="B828" s="1" t="s">
        <v>1677</v>
      </c>
      <c r="C828" s="1">
        <v>60</v>
      </c>
      <c r="D828" s="1" t="s">
        <v>20</v>
      </c>
      <c r="E828" s="1" t="s">
        <v>33</v>
      </c>
      <c r="F828" s="1" t="s">
        <v>62</v>
      </c>
      <c r="G828" s="1" t="s">
        <v>43</v>
      </c>
      <c r="H828" s="1" t="s">
        <v>17</v>
      </c>
      <c r="I828" s="1" t="s">
        <v>17</v>
      </c>
      <c r="J828" s="1">
        <v>0.37</v>
      </c>
      <c r="K828" s="36">
        <v>44158</v>
      </c>
    </row>
    <row r="829" spans="1:11" x14ac:dyDescent="0.3">
      <c r="A829" s="2" t="s">
        <v>1678</v>
      </c>
      <c r="B829" s="1" t="s">
        <v>1679</v>
      </c>
      <c r="C829" s="1">
        <v>74</v>
      </c>
      <c r="D829" s="1" t="s">
        <v>20</v>
      </c>
      <c r="E829" s="1" t="s">
        <v>21</v>
      </c>
      <c r="F829" s="1" t="s">
        <v>15</v>
      </c>
      <c r="G829" s="1" t="s">
        <v>16</v>
      </c>
      <c r="H829" s="1" t="s">
        <v>30</v>
      </c>
      <c r="I829" s="1" t="s">
        <v>17</v>
      </c>
      <c r="J829" s="1">
        <v>0.55000000000000004</v>
      </c>
      <c r="K829" s="36">
        <v>45178</v>
      </c>
    </row>
    <row r="830" spans="1:11" x14ac:dyDescent="0.3">
      <c r="A830" s="2" t="s">
        <v>1680</v>
      </c>
      <c r="B830" s="1" t="s">
        <v>1681</v>
      </c>
      <c r="C830" s="1">
        <v>72</v>
      </c>
      <c r="D830" s="1" t="s">
        <v>20</v>
      </c>
      <c r="E830" s="1" t="s">
        <v>21</v>
      </c>
      <c r="F830" s="1" t="s">
        <v>29</v>
      </c>
      <c r="G830" s="1" t="s">
        <v>22</v>
      </c>
      <c r="H830" s="1" t="s">
        <v>17</v>
      </c>
      <c r="I830" s="1" t="s">
        <v>17</v>
      </c>
      <c r="J830" s="1">
        <v>0.17</v>
      </c>
      <c r="K830" s="36">
        <v>45370</v>
      </c>
    </row>
    <row r="831" spans="1:11" x14ac:dyDescent="0.3">
      <c r="A831" s="2" t="s">
        <v>1682</v>
      </c>
      <c r="B831" s="1" t="s">
        <v>1683</v>
      </c>
      <c r="C831" s="1">
        <v>19</v>
      </c>
      <c r="D831" s="1" t="s">
        <v>20</v>
      </c>
      <c r="E831" s="1" t="s">
        <v>28</v>
      </c>
      <c r="F831" s="1" t="s">
        <v>29</v>
      </c>
      <c r="G831" s="1" t="s">
        <v>25</v>
      </c>
      <c r="H831" s="1" t="s">
        <v>17</v>
      </c>
      <c r="I831" s="1" t="s">
        <v>17</v>
      </c>
      <c r="J831" s="1">
        <v>0.28000000000000003</v>
      </c>
      <c r="K831" s="36">
        <v>45983</v>
      </c>
    </row>
    <row r="832" spans="1:11" x14ac:dyDescent="0.3">
      <c r="A832" s="2" t="s">
        <v>1684</v>
      </c>
      <c r="B832" s="1" t="s">
        <v>1685</v>
      </c>
      <c r="C832" s="1">
        <v>33</v>
      </c>
      <c r="D832" s="1" t="s">
        <v>13</v>
      </c>
      <c r="E832" s="1" t="s">
        <v>14</v>
      </c>
      <c r="F832" s="1" t="s">
        <v>46</v>
      </c>
      <c r="G832" s="1" t="s">
        <v>16</v>
      </c>
      <c r="H832" s="1" t="s">
        <v>17</v>
      </c>
      <c r="I832" s="1" t="s">
        <v>30</v>
      </c>
      <c r="J832" s="1">
        <v>0.34</v>
      </c>
      <c r="K832" s="36">
        <v>45993</v>
      </c>
    </row>
    <row r="833" spans="1:11" x14ac:dyDescent="0.3">
      <c r="A833" s="2" t="s">
        <v>1686</v>
      </c>
      <c r="B833" s="1" t="s">
        <v>1687</v>
      </c>
      <c r="C833" s="1">
        <v>33</v>
      </c>
      <c r="D833" s="1" t="s">
        <v>20</v>
      </c>
      <c r="E833" s="1" t="s">
        <v>33</v>
      </c>
      <c r="F833" s="1" t="s">
        <v>46</v>
      </c>
      <c r="G833" s="1" t="s">
        <v>16</v>
      </c>
      <c r="H833" s="1" t="s">
        <v>17</v>
      </c>
      <c r="I833" s="1" t="s">
        <v>17</v>
      </c>
      <c r="J833" s="1">
        <v>0.14000000000000001</v>
      </c>
      <c r="K833" s="36">
        <v>45042</v>
      </c>
    </row>
    <row r="834" spans="1:11" x14ac:dyDescent="0.3">
      <c r="A834" s="2" t="s">
        <v>1688</v>
      </c>
      <c r="B834" s="1" t="s">
        <v>1689</v>
      </c>
      <c r="C834" s="1">
        <v>46</v>
      </c>
      <c r="D834" s="1" t="s">
        <v>20</v>
      </c>
      <c r="E834" s="1" t="s">
        <v>14</v>
      </c>
      <c r="F834" s="1" t="s">
        <v>15</v>
      </c>
      <c r="G834" s="1" t="s">
        <v>25</v>
      </c>
      <c r="H834" s="1" t="s">
        <v>17</v>
      </c>
      <c r="I834" s="1" t="s">
        <v>30</v>
      </c>
      <c r="J834" s="1">
        <v>0.37</v>
      </c>
      <c r="K834" s="36">
        <v>45229</v>
      </c>
    </row>
    <row r="835" spans="1:11" x14ac:dyDescent="0.3">
      <c r="A835" s="2" t="s">
        <v>1690</v>
      </c>
      <c r="B835" s="1" t="s">
        <v>1691</v>
      </c>
      <c r="C835" s="1">
        <v>27</v>
      </c>
      <c r="D835" s="1" t="s">
        <v>13</v>
      </c>
      <c r="E835" s="1" t="s">
        <v>21</v>
      </c>
      <c r="F835" s="1" t="s">
        <v>46</v>
      </c>
      <c r="G835" s="1" t="s">
        <v>47</v>
      </c>
      <c r="H835" s="1" t="s">
        <v>30</v>
      </c>
      <c r="I835" s="1" t="s">
        <v>17</v>
      </c>
      <c r="J835" s="1">
        <v>0.3</v>
      </c>
      <c r="K835" s="36">
        <v>45078</v>
      </c>
    </row>
    <row r="836" spans="1:11" x14ac:dyDescent="0.3">
      <c r="A836" s="2" t="s">
        <v>1692</v>
      </c>
      <c r="B836" s="1" t="s">
        <v>1540</v>
      </c>
      <c r="C836" s="1">
        <v>71</v>
      </c>
      <c r="D836" s="1" t="s">
        <v>20</v>
      </c>
      <c r="E836" s="1" t="s">
        <v>14</v>
      </c>
      <c r="F836" s="1" t="s">
        <v>62</v>
      </c>
      <c r="G836" s="1" t="s">
        <v>38</v>
      </c>
      <c r="H836" s="1" t="s">
        <v>30</v>
      </c>
      <c r="I836" s="1" t="s">
        <v>30</v>
      </c>
      <c r="J836" s="1">
        <v>0.57999999999999996</v>
      </c>
      <c r="K836" s="36">
        <v>45660</v>
      </c>
    </row>
    <row r="837" spans="1:11" x14ac:dyDescent="0.3">
      <c r="A837" s="2" t="s">
        <v>1693</v>
      </c>
      <c r="B837" s="1" t="s">
        <v>1694</v>
      </c>
      <c r="C837" s="1">
        <v>66</v>
      </c>
      <c r="D837" s="1" t="s">
        <v>20</v>
      </c>
      <c r="E837" s="1" t="s">
        <v>33</v>
      </c>
      <c r="F837" s="1" t="s">
        <v>62</v>
      </c>
      <c r="G837" s="1" t="s">
        <v>25</v>
      </c>
      <c r="H837" s="1" t="s">
        <v>30</v>
      </c>
      <c r="I837" s="1" t="s">
        <v>30</v>
      </c>
      <c r="J837" s="1">
        <v>0.56000000000000005</v>
      </c>
      <c r="K837" s="36">
        <v>44975</v>
      </c>
    </row>
    <row r="838" spans="1:11" x14ac:dyDescent="0.3">
      <c r="A838" s="2" t="s">
        <v>1695</v>
      </c>
      <c r="B838" s="1" t="s">
        <v>1696</v>
      </c>
      <c r="C838" s="1">
        <v>68</v>
      </c>
      <c r="D838" s="1" t="s">
        <v>13</v>
      </c>
      <c r="E838" s="1" t="s">
        <v>14</v>
      </c>
      <c r="F838" s="1" t="s">
        <v>62</v>
      </c>
      <c r="G838" s="1" t="s">
        <v>38</v>
      </c>
      <c r="H838" s="1" t="s">
        <v>17</v>
      </c>
      <c r="I838" s="1" t="s">
        <v>17</v>
      </c>
      <c r="J838" s="1">
        <v>0.25</v>
      </c>
      <c r="K838" s="36">
        <v>45512</v>
      </c>
    </row>
    <row r="839" spans="1:11" x14ac:dyDescent="0.3">
      <c r="A839" s="2" t="s">
        <v>1697</v>
      </c>
      <c r="B839" s="1" t="s">
        <v>1698</v>
      </c>
      <c r="C839" s="1">
        <v>30</v>
      </c>
      <c r="D839" s="1" t="s">
        <v>13</v>
      </c>
      <c r="E839" s="1" t="s">
        <v>33</v>
      </c>
      <c r="F839" s="1" t="s">
        <v>46</v>
      </c>
      <c r="G839" s="1" t="s">
        <v>25</v>
      </c>
      <c r="H839" s="1" t="s">
        <v>30</v>
      </c>
      <c r="I839" s="1" t="s">
        <v>17</v>
      </c>
      <c r="J839" s="1">
        <v>0.38</v>
      </c>
      <c r="K839" s="36">
        <v>44415</v>
      </c>
    </row>
    <row r="840" spans="1:11" x14ac:dyDescent="0.3">
      <c r="A840" s="2" t="s">
        <v>1699</v>
      </c>
      <c r="B840" s="1" t="s">
        <v>1700</v>
      </c>
      <c r="C840" s="1">
        <v>18</v>
      </c>
      <c r="D840" s="1" t="s">
        <v>13</v>
      </c>
      <c r="E840" s="1" t="s">
        <v>14</v>
      </c>
      <c r="F840" s="1" t="s">
        <v>29</v>
      </c>
      <c r="G840" s="1" t="s">
        <v>38</v>
      </c>
      <c r="H840" s="1" t="s">
        <v>17</v>
      </c>
      <c r="I840" s="1" t="s">
        <v>17</v>
      </c>
      <c r="J840" s="1">
        <v>0.19</v>
      </c>
      <c r="K840" s="36">
        <v>45106</v>
      </c>
    </row>
    <row r="841" spans="1:11" x14ac:dyDescent="0.3">
      <c r="A841" s="2" t="s">
        <v>1701</v>
      </c>
      <c r="B841" s="1" t="s">
        <v>1702</v>
      </c>
      <c r="C841" s="1">
        <v>75</v>
      </c>
      <c r="D841" s="1" t="s">
        <v>20</v>
      </c>
      <c r="E841" s="1" t="s">
        <v>14</v>
      </c>
      <c r="F841" s="1" t="s">
        <v>29</v>
      </c>
      <c r="G841" s="1" t="s">
        <v>47</v>
      </c>
      <c r="H841" s="1" t="s">
        <v>17</v>
      </c>
      <c r="I841" s="1" t="s">
        <v>17</v>
      </c>
      <c r="J841" s="1">
        <v>0.37</v>
      </c>
      <c r="K841" s="36">
        <v>46201</v>
      </c>
    </row>
    <row r="842" spans="1:11" x14ac:dyDescent="0.3">
      <c r="A842" s="2" t="s">
        <v>1703</v>
      </c>
      <c r="B842" s="1" t="s">
        <v>1704</v>
      </c>
      <c r="C842" s="1">
        <v>36</v>
      </c>
      <c r="D842" s="1" t="s">
        <v>13</v>
      </c>
      <c r="E842" s="1" t="s">
        <v>14</v>
      </c>
      <c r="F842" s="1" t="s">
        <v>62</v>
      </c>
      <c r="G842" s="1" t="s">
        <v>25</v>
      </c>
      <c r="H842" s="1" t="s">
        <v>17</v>
      </c>
      <c r="I842" s="1" t="s">
        <v>30</v>
      </c>
      <c r="J842" s="1">
        <v>0.38</v>
      </c>
      <c r="K842" s="36">
        <v>44819</v>
      </c>
    </row>
    <row r="843" spans="1:11" x14ac:dyDescent="0.3">
      <c r="A843" s="2" t="s">
        <v>1705</v>
      </c>
      <c r="B843" s="1" t="s">
        <v>1706</v>
      </c>
      <c r="C843" s="1">
        <v>59</v>
      </c>
      <c r="D843" s="1" t="s">
        <v>13</v>
      </c>
      <c r="E843" s="1" t="s">
        <v>14</v>
      </c>
      <c r="F843" s="1" t="s">
        <v>46</v>
      </c>
      <c r="G843" s="1" t="s">
        <v>16</v>
      </c>
      <c r="H843" s="1" t="s">
        <v>17</v>
      </c>
      <c r="I843" s="1" t="s">
        <v>30</v>
      </c>
      <c r="J843" s="1">
        <v>0.54</v>
      </c>
      <c r="K843" s="36">
        <v>45595</v>
      </c>
    </row>
    <row r="844" spans="1:11" x14ac:dyDescent="0.3">
      <c r="A844" s="2" t="s">
        <v>1707</v>
      </c>
      <c r="B844" s="1" t="s">
        <v>1708</v>
      </c>
      <c r="C844" s="1">
        <v>75</v>
      </c>
      <c r="D844" s="1" t="s">
        <v>13</v>
      </c>
      <c r="E844" s="1" t="s">
        <v>14</v>
      </c>
      <c r="F844" s="1" t="s">
        <v>15</v>
      </c>
      <c r="G844" s="1" t="s">
        <v>25</v>
      </c>
      <c r="H844" s="1" t="s">
        <v>17</v>
      </c>
      <c r="I844" s="1" t="s">
        <v>30</v>
      </c>
      <c r="J844" s="1">
        <v>0.42</v>
      </c>
      <c r="K844" s="36">
        <v>45501</v>
      </c>
    </row>
    <row r="845" spans="1:11" x14ac:dyDescent="0.3">
      <c r="A845" s="2" t="s">
        <v>1709</v>
      </c>
      <c r="B845" s="1" t="s">
        <v>1710</v>
      </c>
      <c r="C845" s="1">
        <v>20</v>
      </c>
      <c r="D845" s="1" t="s">
        <v>20</v>
      </c>
      <c r="E845" s="1" t="s">
        <v>33</v>
      </c>
      <c r="F845" s="1" t="s">
        <v>62</v>
      </c>
      <c r="G845" s="1" t="s">
        <v>16</v>
      </c>
      <c r="H845" s="1" t="s">
        <v>30</v>
      </c>
      <c r="I845" s="1" t="s">
        <v>17</v>
      </c>
      <c r="J845" s="1">
        <v>0.4</v>
      </c>
      <c r="K845" s="36">
        <v>45944</v>
      </c>
    </row>
    <row r="846" spans="1:11" x14ac:dyDescent="0.3">
      <c r="A846" s="2" t="s">
        <v>1711</v>
      </c>
      <c r="B846" s="1" t="s">
        <v>1712</v>
      </c>
      <c r="C846" s="1">
        <v>18</v>
      </c>
      <c r="D846" s="1" t="s">
        <v>20</v>
      </c>
      <c r="E846" s="1" t="s">
        <v>14</v>
      </c>
      <c r="F846" s="1" t="s">
        <v>62</v>
      </c>
      <c r="G846" s="1" t="s">
        <v>38</v>
      </c>
      <c r="H846" s="1" t="s">
        <v>17</v>
      </c>
      <c r="I846" s="1" t="s">
        <v>17</v>
      </c>
      <c r="J846" s="1">
        <v>0.36</v>
      </c>
      <c r="K846" s="36">
        <v>45945</v>
      </c>
    </row>
    <row r="847" spans="1:11" x14ac:dyDescent="0.3">
      <c r="A847" s="2" t="s">
        <v>1713</v>
      </c>
      <c r="B847" s="1" t="s">
        <v>1714</v>
      </c>
      <c r="C847" s="1">
        <v>18</v>
      </c>
      <c r="D847" s="1" t="s">
        <v>13</v>
      </c>
      <c r="E847" s="1" t="s">
        <v>33</v>
      </c>
      <c r="F847" s="1" t="s">
        <v>46</v>
      </c>
      <c r="G847" s="1" t="s">
        <v>43</v>
      </c>
      <c r="H847" s="1" t="s">
        <v>30</v>
      </c>
      <c r="I847" s="1" t="s">
        <v>30</v>
      </c>
      <c r="J847" s="1">
        <v>0.55000000000000004</v>
      </c>
      <c r="K847" s="36">
        <v>45960</v>
      </c>
    </row>
    <row r="848" spans="1:11" x14ac:dyDescent="0.3">
      <c r="A848" s="2" t="s">
        <v>1715</v>
      </c>
      <c r="B848" s="1" t="s">
        <v>1716</v>
      </c>
      <c r="C848" s="1">
        <v>27</v>
      </c>
      <c r="D848" s="1" t="s">
        <v>20</v>
      </c>
      <c r="E848" s="1" t="s">
        <v>14</v>
      </c>
      <c r="F848" s="1" t="s">
        <v>29</v>
      </c>
      <c r="G848" s="1" t="s">
        <v>47</v>
      </c>
      <c r="H848" s="1" t="s">
        <v>30</v>
      </c>
      <c r="I848" s="1" t="s">
        <v>17</v>
      </c>
      <c r="J848" s="1">
        <v>0.37</v>
      </c>
      <c r="K848" s="36">
        <v>44909</v>
      </c>
    </row>
    <row r="849" spans="1:11" x14ac:dyDescent="0.3">
      <c r="A849" s="2" t="s">
        <v>1717</v>
      </c>
      <c r="B849" s="1" t="s">
        <v>1718</v>
      </c>
      <c r="C849" s="1">
        <v>21</v>
      </c>
      <c r="D849" s="1" t="s">
        <v>13</v>
      </c>
      <c r="E849" s="1" t="s">
        <v>14</v>
      </c>
      <c r="F849" s="1" t="s">
        <v>29</v>
      </c>
      <c r="G849" s="1" t="s">
        <v>38</v>
      </c>
      <c r="H849" s="1" t="s">
        <v>17</v>
      </c>
      <c r="I849" s="1" t="s">
        <v>17</v>
      </c>
      <c r="J849" s="1">
        <v>0.28999999999999998</v>
      </c>
      <c r="K849" s="36">
        <v>44771</v>
      </c>
    </row>
    <row r="850" spans="1:11" x14ac:dyDescent="0.3">
      <c r="A850" s="2" t="s">
        <v>1719</v>
      </c>
      <c r="B850" s="1" t="s">
        <v>1720</v>
      </c>
      <c r="C850" s="1">
        <v>69</v>
      </c>
      <c r="D850" s="1" t="s">
        <v>13</v>
      </c>
      <c r="E850" s="1" t="s">
        <v>28</v>
      </c>
      <c r="F850" s="1" t="s">
        <v>62</v>
      </c>
      <c r="G850" s="1" t="s">
        <v>43</v>
      </c>
      <c r="H850" s="1" t="s">
        <v>30</v>
      </c>
      <c r="I850" s="1" t="s">
        <v>30</v>
      </c>
      <c r="J850" s="1">
        <v>0.54</v>
      </c>
      <c r="K850" s="36">
        <v>45652</v>
      </c>
    </row>
    <row r="851" spans="1:11" x14ac:dyDescent="0.3">
      <c r="A851" s="2" t="s">
        <v>1721</v>
      </c>
      <c r="B851" s="1" t="s">
        <v>1722</v>
      </c>
      <c r="C851" s="1">
        <v>56</v>
      </c>
      <c r="D851" s="1" t="s">
        <v>20</v>
      </c>
      <c r="E851" s="1" t="s">
        <v>28</v>
      </c>
      <c r="F851" s="1" t="s">
        <v>15</v>
      </c>
      <c r="G851" s="1" t="s">
        <v>47</v>
      </c>
      <c r="H851" s="1" t="s">
        <v>17</v>
      </c>
      <c r="I851" s="1" t="s">
        <v>17</v>
      </c>
      <c r="J851" s="1">
        <v>0.32</v>
      </c>
      <c r="K851" s="36">
        <v>45741</v>
      </c>
    </row>
    <row r="852" spans="1:11" x14ac:dyDescent="0.3">
      <c r="A852" s="2" t="s">
        <v>1723</v>
      </c>
      <c r="B852" s="1" t="s">
        <v>1724</v>
      </c>
      <c r="C852" s="1">
        <v>79</v>
      </c>
      <c r="D852" s="1" t="s">
        <v>13</v>
      </c>
      <c r="E852" s="1" t="s">
        <v>14</v>
      </c>
      <c r="F852" s="1" t="s">
        <v>62</v>
      </c>
      <c r="G852" s="1" t="s">
        <v>16</v>
      </c>
      <c r="H852" s="1" t="s">
        <v>17</v>
      </c>
      <c r="I852" s="1" t="s">
        <v>17</v>
      </c>
      <c r="J852" s="1">
        <v>0.32</v>
      </c>
      <c r="K852" s="36">
        <v>45989</v>
      </c>
    </row>
    <row r="853" spans="1:11" x14ac:dyDescent="0.3">
      <c r="A853" s="2" t="s">
        <v>1725</v>
      </c>
      <c r="B853" s="1" t="s">
        <v>1726</v>
      </c>
      <c r="C853" s="1">
        <v>68</v>
      </c>
      <c r="D853" s="1" t="s">
        <v>13</v>
      </c>
      <c r="E853" s="1" t="s">
        <v>14</v>
      </c>
      <c r="F853" s="1" t="s">
        <v>46</v>
      </c>
      <c r="G853" s="1" t="s">
        <v>22</v>
      </c>
      <c r="H853" s="1" t="s">
        <v>17</v>
      </c>
      <c r="I853" s="1" t="s">
        <v>30</v>
      </c>
      <c r="J853" s="1">
        <v>0.51</v>
      </c>
      <c r="K853" s="36">
        <v>44155</v>
      </c>
    </row>
    <row r="854" spans="1:11" x14ac:dyDescent="0.3">
      <c r="A854" s="2" t="s">
        <v>1727</v>
      </c>
      <c r="B854" s="1" t="s">
        <v>1728</v>
      </c>
      <c r="C854" s="1">
        <v>78</v>
      </c>
      <c r="D854" s="1" t="s">
        <v>13</v>
      </c>
      <c r="E854" s="1" t="s">
        <v>33</v>
      </c>
      <c r="F854" s="1" t="s">
        <v>62</v>
      </c>
      <c r="G854" s="1" t="s">
        <v>25</v>
      </c>
      <c r="H854" s="1" t="s">
        <v>17</v>
      </c>
      <c r="I854" s="1" t="s">
        <v>30</v>
      </c>
      <c r="J854" s="1">
        <v>0.48</v>
      </c>
      <c r="K854" s="36">
        <v>44226</v>
      </c>
    </row>
    <row r="855" spans="1:11" x14ac:dyDescent="0.3">
      <c r="A855" s="2" t="s">
        <v>1729</v>
      </c>
      <c r="B855" s="1" t="s">
        <v>1730</v>
      </c>
      <c r="C855" s="1">
        <v>33</v>
      </c>
      <c r="D855" s="1" t="s">
        <v>20</v>
      </c>
      <c r="E855" s="1" t="s">
        <v>21</v>
      </c>
      <c r="F855" s="1" t="s">
        <v>46</v>
      </c>
      <c r="G855" s="1" t="s">
        <v>38</v>
      </c>
      <c r="H855" s="1" t="s">
        <v>17</v>
      </c>
      <c r="I855" s="1" t="s">
        <v>17</v>
      </c>
      <c r="J855" s="1">
        <v>0.28000000000000003</v>
      </c>
      <c r="K855" s="36">
        <v>45460</v>
      </c>
    </row>
    <row r="856" spans="1:11" x14ac:dyDescent="0.3">
      <c r="A856" s="2" t="s">
        <v>1731</v>
      </c>
      <c r="B856" s="1" t="s">
        <v>1732</v>
      </c>
      <c r="C856" s="1">
        <v>36</v>
      </c>
      <c r="D856" s="1" t="s">
        <v>13</v>
      </c>
      <c r="E856" s="1" t="s">
        <v>14</v>
      </c>
      <c r="F856" s="1" t="s">
        <v>46</v>
      </c>
      <c r="G856" s="1" t="s">
        <v>38</v>
      </c>
      <c r="H856" s="1" t="s">
        <v>17</v>
      </c>
      <c r="I856" s="1" t="s">
        <v>17</v>
      </c>
      <c r="J856" s="1">
        <v>0.19</v>
      </c>
      <c r="K856" s="36">
        <v>46095</v>
      </c>
    </row>
    <row r="857" spans="1:11" x14ac:dyDescent="0.3">
      <c r="A857" s="2" t="s">
        <v>1733</v>
      </c>
      <c r="B857" s="1" t="s">
        <v>1734</v>
      </c>
      <c r="C857" s="1">
        <v>71</v>
      </c>
      <c r="D857" s="1" t="s">
        <v>13</v>
      </c>
      <c r="E857" s="1" t="s">
        <v>33</v>
      </c>
      <c r="F857" s="1" t="s">
        <v>62</v>
      </c>
      <c r="G857" s="1" t="s">
        <v>22</v>
      </c>
      <c r="H857" s="1" t="s">
        <v>17</v>
      </c>
      <c r="I857" s="1" t="s">
        <v>30</v>
      </c>
      <c r="J857" s="1">
        <v>0.38</v>
      </c>
      <c r="K857" s="36">
        <v>46263</v>
      </c>
    </row>
    <row r="858" spans="1:11" x14ac:dyDescent="0.3">
      <c r="A858" s="2" t="s">
        <v>1735</v>
      </c>
      <c r="B858" s="1" t="s">
        <v>1736</v>
      </c>
      <c r="C858" s="1">
        <v>33</v>
      </c>
      <c r="D858" s="1" t="s">
        <v>13</v>
      </c>
      <c r="E858" s="1" t="s">
        <v>33</v>
      </c>
      <c r="F858" s="1" t="s">
        <v>62</v>
      </c>
      <c r="G858" s="1" t="s">
        <v>22</v>
      </c>
      <c r="H858" s="1" t="s">
        <v>17</v>
      </c>
      <c r="I858" s="1" t="s">
        <v>17</v>
      </c>
      <c r="J858" s="1">
        <v>0.33</v>
      </c>
      <c r="K858" s="36">
        <v>45713</v>
      </c>
    </row>
    <row r="859" spans="1:11" x14ac:dyDescent="0.3">
      <c r="A859" s="2" t="s">
        <v>1737</v>
      </c>
      <c r="B859" s="1" t="s">
        <v>1738</v>
      </c>
      <c r="C859" s="1">
        <v>21</v>
      </c>
      <c r="D859" s="1" t="s">
        <v>13</v>
      </c>
      <c r="E859" s="1" t="s">
        <v>21</v>
      </c>
      <c r="F859" s="1" t="s">
        <v>29</v>
      </c>
      <c r="G859" s="1" t="s">
        <v>25</v>
      </c>
      <c r="H859" s="1" t="s">
        <v>17</v>
      </c>
      <c r="I859" s="1" t="s">
        <v>17</v>
      </c>
      <c r="J859" s="1">
        <v>0.16</v>
      </c>
      <c r="K859" s="36">
        <v>45028</v>
      </c>
    </row>
    <row r="860" spans="1:11" x14ac:dyDescent="0.3">
      <c r="A860" s="2" t="s">
        <v>1739</v>
      </c>
      <c r="B860" s="1" t="s">
        <v>1740</v>
      </c>
      <c r="C860" s="1">
        <v>60</v>
      </c>
      <c r="D860" s="1" t="s">
        <v>13</v>
      </c>
      <c r="E860" s="1" t="s">
        <v>21</v>
      </c>
      <c r="F860" s="1" t="s">
        <v>62</v>
      </c>
      <c r="G860" s="1" t="s">
        <v>16</v>
      </c>
      <c r="H860" s="1" t="s">
        <v>17</v>
      </c>
      <c r="I860" s="1" t="s">
        <v>17</v>
      </c>
      <c r="J860" s="1">
        <v>0.19</v>
      </c>
      <c r="K860" s="36">
        <v>44292</v>
      </c>
    </row>
    <row r="861" spans="1:11" x14ac:dyDescent="0.3">
      <c r="A861" s="2" t="s">
        <v>1741</v>
      </c>
      <c r="B861" s="1" t="s">
        <v>1742</v>
      </c>
      <c r="C861" s="1">
        <v>68</v>
      </c>
      <c r="D861" s="1" t="s">
        <v>20</v>
      </c>
      <c r="E861" s="1" t="s">
        <v>14</v>
      </c>
      <c r="F861" s="1" t="s">
        <v>29</v>
      </c>
      <c r="G861" s="1" t="s">
        <v>38</v>
      </c>
      <c r="H861" s="1" t="s">
        <v>17</v>
      </c>
      <c r="I861" s="1" t="s">
        <v>17</v>
      </c>
      <c r="J861" s="1">
        <v>0.31</v>
      </c>
      <c r="K861" s="36">
        <v>45466</v>
      </c>
    </row>
    <row r="862" spans="1:11" x14ac:dyDescent="0.3">
      <c r="A862" s="2" t="s">
        <v>1743</v>
      </c>
      <c r="B862" s="1" t="s">
        <v>1744</v>
      </c>
      <c r="C862" s="1">
        <v>78</v>
      </c>
      <c r="D862" s="1" t="s">
        <v>20</v>
      </c>
      <c r="E862" s="1" t="s">
        <v>21</v>
      </c>
      <c r="F862" s="1" t="s">
        <v>29</v>
      </c>
      <c r="G862" s="1" t="s">
        <v>43</v>
      </c>
      <c r="H862" s="1" t="s">
        <v>30</v>
      </c>
      <c r="I862" s="1" t="s">
        <v>17</v>
      </c>
      <c r="J862" s="1">
        <v>0.56000000000000005</v>
      </c>
      <c r="K862" s="36">
        <v>45989</v>
      </c>
    </row>
    <row r="863" spans="1:11" x14ac:dyDescent="0.3">
      <c r="A863" s="2" t="s">
        <v>1745</v>
      </c>
      <c r="B863" s="1" t="s">
        <v>1746</v>
      </c>
      <c r="C863" s="1">
        <v>76</v>
      </c>
      <c r="D863" s="1" t="s">
        <v>20</v>
      </c>
      <c r="E863" s="1" t="s">
        <v>33</v>
      </c>
      <c r="F863" s="1" t="s">
        <v>15</v>
      </c>
      <c r="G863" s="1" t="s">
        <v>22</v>
      </c>
      <c r="H863" s="1" t="s">
        <v>17</v>
      </c>
      <c r="I863" s="1" t="s">
        <v>30</v>
      </c>
      <c r="J863" s="1">
        <v>0.44</v>
      </c>
      <c r="K863" s="36">
        <v>45049</v>
      </c>
    </row>
    <row r="864" spans="1:11" x14ac:dyDescent="0.3">
      <c r="A864" s="2" t="s">
        <v>1747</v>
      </c>
      <c r="B864" s="1" t="s">
        <v>1748</v>
      </c>
      <c r="C864" s="1">
        <v>25</v>
      </c>
      <c r="D864" s="1" t="s">
        <v>20</v>
      </c>
      <c r="E864" s="1" t="s">
        <v>28</v>
      </c>
      <c r="F864" s="1" t="s">
        <v>29</v>
      </c>
      <c r="G864" s="1" t="s">
        <v>43</v>
      </c>
      <c r="H864" s="1" t="s">
        <v>17</v>
      </c>
      <c r="I864" s="1" t="s">
        <v>17</v>
      </c>
      <c r="J864" s="1">
        <v>0.31</v>
      </c>
      <c r="K864" s="36">
        <v>45598</v>
      </c>
    </row>
    <row r="865" spans="1:11" x14ac:dyDescent="0.3">
      <c r="A865" s="2" t="s">
        <v>1749</v>
      </c>
      <c r="B865" s="1" t="s">
        <v>1750</v>
      </c>
      <c r="C865" s="1">
        <v>66</v>
      </c>
      <c r="D865" s="1" t="s">
        <v>20</v>
      </c>
      <c r="E865" s="1" t="s">
        <v>14</v>
      </c>
      <c r="F865" s="1" t="s">
        <v>15</v>
      </c>
      <c r="G865" s="1" t="s">
        <v>43</v>
      </c>
      <c r="H865" s="1" t="s">
        <v>17</v>
      </c>
      <c r="I865" s="1" t="s">
        <v>30</v>
      </c>
      <c r="J865" s="1">
        <v>0.31</v>
      </c>
      <c r="K865" s="36">
        <v>46057</v>
      </c>
    </row>
    <row r="866" spans="1:11" x14ac:dyDescent="0.3">
      <c r="A866" s="2" t="s">
        <v>1751</v>
      </c>
      <c r="B866" s="1" t="s">
        <v>1752</v>
      </c>
      <c r="C866" s="1">
        <v>71</v>
      </c>
      <c r="D866" s="1" t="s">
        <v>13</v>
      </c>
      <c r="E866" s="1" t="s">
        <v>14</v>
      </c>
      <c r="F866" s="1" t="s">
        <v>62</v>
      </c>
      <c r="G866" s="1" t="s">
        <v>38</v>
      </c>
      <c r="H866" s="1" t="s">
        <v>17</v>
      </c>
      <c r="I866" s="1" t="s">
        <v>30</v>
      </c>
      <c r="J866" s="1">
        <v>0.4</v>
      </c>
      <c r="K866" s="36">
        <v>44177</v>
      </c>
    </row>
    <row r="867" spans="1:11" x14ac:dyDescent="0.3">
      <c r="A867" s="2" t="s">
        <v>1753</v>
      </c>
      <c r="B867" s="1" t="s">
        <v>1754</v>
      </c>
      <c r="C867" s="1">
        <v>61</v>
      </c>
      <c r="D867" s="1" t="s">
        <v>20</v>
      </c>
      <c r="E867" s="1" t="s">
        <v>21</v>
      </c>
      <c r="F867" s="1" t="s">
        <v>46</v>
      </c>
      <c r="G867" s="1" t="s">
        <v>16</v>
      </c>
      <c r="H867" s="1" t="s">
        <v>17</v>
      </c>
      <c r="I867" s="1" t="s">
        <v>30</v>
      </c>
      <c r="J867" s="1">
        <v>0.32</v>
      </c>
      <c r="K867" s="36">
        <v>45822</v>
      </c>
    </row>
    <row r="868" spans="1:11" x14ac:dyDescent="0.3">
      <c r="A868" s="2" t="s">
        <v>1755</v>
      </c>
      <c r="B868" s="1" t="s">
        <v>1756</v>
      </c>
      <c r="C868" s="1">
        <v>69</v>
      </c>
      <c r="D868" s="1" t="s">
        <v>13</v>
      </c>
      <c r="E868" s="1" t="s">
        <v>21</v>
      </c>
      <c r="F868" s="1" t="s">
        <v>46</v>
      </c>
      <c r="G868" s="1" t="s">
        <v>22</v>
      </c>
      <c r="H868" s="1" t="s">
        <v>17</v>
      </c>
      <c r="I868" s="1" t="s">
        <v>17</v>
      </c>
      <c r="J868" s="1">
        <v>0.33</v>
      </c>
      <c r="K868" s="36">
        <v>44720</v>
      </c>
    </row>
    <row r="869" spans="1:11" x14ac:dyDescent="0.3">
      <c r="A869" s="2" t="s">
        <v>1757</v>
      </c>
      <c r="B869" s="1" t="s">
        <v>1758</v>
      </c>
      <c r="C869" s="1">
        <v>70</v>
      </c>
      <c r="D869" s="1" t="s">
        <v>13</v>
      </c>
      <c r="E869" s="1" t="s">
        <v>33</v>
      </c>
      <c r="F869" s="1" t="s">
        <v>62</v>
      </c>
      <c r="G869" s="1" t="s">
        <v>22</v>
      </c>
      <c r="H869" s="1" t="s">
        <v>17</v>
      </c>
      <c r="I869" s="1" t="s">
        <v>30</v>
      </c>
      <c r="J869" s="1">
        <v>0.34</v>
      </c>
      <c r="K869" s="36">
        <v>44898</v>
      </c>
    </row>
    <row r="870" spans="1:11" x14ac:dyDescent="0.3">
      <c r="A870" s="2" t="s">
        <v>1759</v>
      </c>
      <c r="B870" s="1" t="s">
        <v>1760</v>
      </c>
      <c r="C870" s="1">
        <v>46</v>
      </c>
      <c r="D870" s="1" t="s">
        <v>20</v>
      </c>
      <c r="E870" s="1" t="s">
        <v>14</v>
      </c>
      <c r="F870" s="1" t="s">
        <v>15</v>
      </c>
      <c r="G870" s="1" t="s">
        <v>47</v>
      </c>
      <c r="H870" s="1" t="s">
        <v>17</v>
      </c>
      <c r="I870" s="1" t="s">
        <v>17</v>
      </c>
      <c r="J870" s="1">
        <v>0.12</v>
      </c>
      <c r="K870" s="36">
        <v>44396</v>
      </c>
    </row>
    <row r="871" spans="1:11" x14ac:dyDescent="0.3">
      <c r="A871" s="2" t="s">
        <v>1761</v>
      </c>
      <c r="B871" s="1" t="s">
        <v>1762</v>
      </c>
      <c r="C871" s="1">
        <v>20</v>
      </c>
      <c r="D871" s="1" t="s">
        <v>13</v>
      </c>
      <c r="E871" s="1" t="s">
        <v>33</v>
      </c>
      <c r="F871" s="1" t="s">
        <v>62</v>
      </c>
      <c r="G871" s="1" t="s">
        <v>16</v>
      </c>
      <c r="H871" s="1" t="s">
        <v>17</v>
      </c>
      <c r="I871" s="1" t="s">
        <v>30</v>
      </c>
      <c r="J871" s="1">
        <v>0.43</v>
      </c>
      <c r="K871" s="36">
        <v>45241</v>
      </c>
    </row>
    <row r="872" spans="1:11" x14ac:dyDescent="0.3">
      <c r="A872" s="2" t="s">
        <v>1763</v>
      </c>
      <c r="B872" s="1" t="s">
        <v>1764</v>
      </c>
      <c r="C872" s="1">
        <v>46</v>
      </c>
      <c r="D872" s="1" t="s">
        <v>13</v>
      </c>
      <c r="E872" s="1" t="s">
        <v>33</v>
      </c>
      <c r="F872" s="1" t="s">
        <v>46</v>
      </c>
      <c r="G872" s="1" t="s">
        <v>22</v>
      </c>
      <c r="H872" s="1" t="s">
        <v>30</v>
      </c>
      <c r="I872" s="1" t="s">
        <v>30</v>
      </c>
      <c r="J872" s="1">
        <v>0.59</v>
      </c>
      <c r="K872" s="36">
        <v>45317</v>
      </c>
    </row>
    <row r="873" spans="1:11" x14ac:dyDescent="0.3">
      <c r="A873" s="2" t="s">
        <v>1765</v>
      </c>
      <c r="B873" s="1" t="s">
        <v>1766</v>
      </c>
      <c r="C873" s="1">
        <v>30</v>
      </c>
      <c r="D873" s="1" t="s">
        <v>13</v>
      </c>
      <c r="E873" s="1" t="s">
        <v>28</v>
      </c>
      <c r="F873" s="1" t="s">
        <v>15</v>
      </c>
      <c r="G873" s="1" t="s">
        <v>47</v>
      </c>
      <c r="H873" s="1" t="s">
        <v>30</v>
      </c>
      <c r="I873" s="1" t="s">
        <v>17</v>
      </c>
      <c r="J873" s="1">
        <v>0.37</v>
      </c>
      <c r="K873" s="36">
        <v>45814</v>
      </c>
    </row>
    <row r="874" spans="1:11" x14ac:dyDescent="0.3">
      <c r="A874" s="2" t="s">
        <v>1767</v>
      </c>
      <c r="B874" s="1" t="s">
        <v>1768</v>
      </c>
      <c r="C874" s="1">
        <v>25</v>
      </c>
      <c r="D874" s="1" t="s">
        <v>20</v>
      </c>
      <c r="E874" s="1" t="s">
        <v>21</v>
      </c>
      <c r="F874" s="1" t="s">
        <v>62</v>
      </c>
      <c r="G874" s="1" t="s">
        <v>47</v>
      </c>
      <c r="H874" s="1" t="s">
        <v>17</v>
      </c>
      <c r="I874" s="1" t="s">
        <v>17</v>
      </c>
      <c r="J874" s="1">
        <v>0.28000000000000003</v>
      </c>
      <c r="K874" s="36">
        <v>44449</v>
      </c>
    </row>
    <row r="875" spans="1:11" x14ac:dyDescent="0.3">
      <c r="A875" s="2" t="s">
        <v>1769</v>
      </c>
      <c r="B875" s="1" t="s">
        <v>1770</v>
      </c>
      <c r="C875" s="1">
        <v>25</v>
      </c>
      <c r="D875" s="1" t="s">
        <v>13</v>
      </c>
      <c r="E875" s="1" t="s">
        <v>33</v>
      </c>
      <c r="F875" s="1" t="s">
        <v>62</v>
      </c>
      <c r="G875" s="1" t="s">
        <v>38</v>
      </c>
      <c r="H875" s="1" t="s">
        <v>17</v>
      </c>
      <c r="I875" s="1" t="s">
        <v>17</v>
      </c>
      <c r="J875" s="1">
        <v>0.28000000000000003</v>
      </c>
      <c r="K875" s="36">
        <v>44250</v>
      </c>
    </row>
    <row r="876" spans="1:11" x14ac:dyDescent="0.3">
      <c r="A876" s="2" t="s">
        <v>1771</v>
      </c>
      <c r="B876" s="1" t="s">
        <v>1772</v>
      </c>
      <c r="C876" s="1">
        <v>61</v>
      </c>
      <c r="D876" s="1" t="s">
        <v>13</v>
      </c>
      <c r="E876" s="1" t="s">
        <v>28</v>
      </c>
      <c r="F876" s="1" t="s">
        <v>29</v>
      </c>
      <c r="G876" s="1" t="s">
        <v>43</v>
      </c>
      <c r="H876" s="1" t="s">
        <v>17</v>
      </c>
      <c r="I876" s="1" t="s">
        <v>17</v>
      </c>
      <c r="J876" s="1">
        <v>0.27</v>
      </c>
      <c r="K876" s="36">
        <v>45985</v>
      </c>
    </row>
    <row r="877" spans="1:11" x14ac:dyDescent="0.3">
      <c r="A877" s="2" t="s">
        <v>1773</v>
      </c>
      <c r="B877" s="1" t="s">
        <v>1774</v>
      </c>
      <c r="C877" s="1">
        <v>49</v>
      </c>
      <c r="D877" s="1" t="s">
        <v>13</v>
      </c>
      <c r="E877" s="1" t="s">
        <v>14</v>
      </c>
      <c r="F877" s="1" t="s">
        <v>29</v>
      </c>
      <c r="G877" s="1" t="s">
        <v>25</v>
      </c>
      <c r="H877" s="1" t="s">
        <v>17</v>
      </c>
      <c r="I877" s="1" t="s">
        <v>30</v>
      </c>
      <c r="J877" s="1">
        <v>0.28000000000000003</v>
      </c>
      <c r="K877" s="36">
        <v>45435</v>
      </c>
    </row>
    <row r="878" spans="1:11" x14ac:dyDescent="0.3">
      <c r="A878" s="2" t="s">
        <v>1775</v>
      </c>
      <c r="B878" s="1" t="s">
        <v>1776</v>
      </c>
      <c r="C878" s="1">
        <v>52</v>
      </c>
      <c r="D878" s="1" t="s">
        <v>13</v>
      </c>
      <c r="E878" s="1" t="s">
        <v>21</v>
      </c>
      <c r="F878" s="1" t="s">
        <v>29</v>
      </c>
      <c r="G878" s="1" t="s">
        <v>22</v>
      </c>
      <c r="H878" s="1" t="s">
        <v>17</v>
      </c>
      <c r="I878" s="1" t="s">
        <v>30</v>
      </c>
      <c r="J878" s="1">
        <v>0.38</v>
      </c>
      <c r="K878" s="36">
        <v>44604</v>
      </c>
    </row>
    <row r="879" spans="1:11" x14ac:dyDescent="0.3">
      <c r="A879" s="2" t="s">
        <v>1777</v>
      </c>
      <c r="B879" s="1" t="s">
        <v>1778</v>
      </c>
      <c r="C879" s="1">
        <v>64</v>
      </c>
      <c r="D879" s="1" t="s">
        <v>13</v>
      </c>
      <c r="E879" s="1" t="s">
        <v>14</v>
      </c>
      <c r="F879" s="1" t="s">
        <v>46</v>
      </c>
      <c r="G879" s="1" t="s">
        <v>22</v>
      </c>
      <c r="H879" s="1" t="s">
        <v>17</v>
      </c>
      <c r="I879" s="1" t="s">
        <v>30</v>
      </c>
      <c r="J879" s="1">
        <v>0.47</v>
      </c>
      <c r="K879" s="36">
        <v>46077</v>
      </c>
    </row>
    <row r="880" spans="1:11" x14ac:dyDescent="0.3">
      <c r="A880" s="2" t="s">
        <v>1779</v>
      </c>
      <c r="B880" s="1" t="s">
        <v>1780</v>
      </c>
      <c r="C880" s="1">
        <v>52</v>
      </c>
      <c r="D880" s="1" t="s">
        <v>20</v>
      </c>
      <c r="E880" s="1" t="s">
        <v>28</v>
      </c>
      <c r="F880" s="1" t="s">
        <v>62</v>
      </c>
      <c r="G880" s="1" t="s">
        <v>38</v>
      </c>
      <c r="H880" s="1" t="s">
        <v>30</v>
      </c>
      <c r="I880" s="1" t="s">
        <v>30</v>
      </c>
      <c r="J880" s="1">
        <v>0.57999999999999996</v>
      </c>
      <c r="K880" s="36">
        <v>44390</v>
      </c>
    </row>
    <row r="881" spans="1:11" x14ac:dyDescent="0.3">
      <c r="A881" s="2" t="s">
        <v>1781</v>
      </c>
      <c r="B881" s="1" t="s">
        <v>1782</v>
      </c>
      <c r="C881" s="1">
        <v>57</v>
      </c>
      <c r="D881" s="1" t="s">
        <v>13</v>
      </c>
      <c r="E881" s="1" t="s">
        <v>28</v>
      </c>
      <c r="F881" s="1" t="s">
        <v>46</v>
      </c>
      <c r="G881" s="1" t="s">
        <v>47</v>
      </c>
      <c r="H881" s="1" t="s">
        <v>30</v>
      </c>
      <c r="I881" s="1" t="s">
        <v>17</v>
      </c>
      <c r="J881" s="1">
        <v>0.48</v>
      </c>
      <c r="K881" s="36">
        <v>45087</v>
      </c>
    </row>
    <row r="882" spans="1:11" x14ac:dyDescent="0.3">
      <c r="A882" s="2" t="s">
        <v>1783</v>
      </c>
      <c r="B882" s="1" t="s">
        <v>1784</v>
      </c>
      <c r="C882" s="1">
        <v>23</v>
      </c>
      <c r="D882" s="1" t="s">
        <v>20</v>
      </c>
      <c r="E882" s="1" t="s">
        <v>14</v>
      </c>
      <c r="F882" s="1" t="s">
        <v>15</v>
      </c>
      <c r="G882" s="1" t="s">
        <v>43</v>
      </c>
      <c r="H882" s="1" t="s">
        <v>30</v>
      </c>
      <c r="I882" s="1" t="s">
        <v>17</v>
      </c>
      <c r="J882" s="1">
        <v>0.36</v>
      </c>
      <c r="K882" s="36">
        <v>44633</v>
      </c>
    </row>
    <row r="883" spans="1:11" x14ac:dyDescent="0.3">
      <c r="A883" s="2" t="s">
        <v>1785</v>
      </c>
      <c r="B883" s="1" t="s">
        <v>1786</v>
      </c>
      <c r="C883" s="1">
        <v>71</v>
      </c>
      <c r="D883" s="1" t="s">
        <v>13</v>
      </c>
      <c r="E883" s="1" t="s">
        <v>21</v>
      </c>
      <c r="F883" s="1" t="s">
        <v>46</v>
      </c>
      <c r="G883" s="1" t="s">
        <v>38</v>
      </c>
      <c r="H883" s="1" t="s">
        <v>17</v>
      </c>
      <c r="I883" s="1" t="s">
        <v>17</v>
      </c>
      <c r="J883" s="1">
        <v>0.32</v>
      </c>
      <c r="K883" s="36">
        <v>44636</v>
      </c>
    </row>
    <row r="884" spans="1:11" x14ac:dyDescent="0.3">
      <c r="A884" s="2" t="s">
        <v>1787</v>
      </c>
      <c r="B884" s="1" t="s">
        <v>1788</v>
      </c>
      <c r="C884" s="1">
        <v>46</v>
      </c>
      <c r="D884" s="1" t="s">
        <v>20</v>
      </c>
      <c r="E884" s="1" t="s">
        <v>14</v>
      </c>
      <c r="F884" s="1" t="s">
        <v>15</v>
      </c>
      <c r="G884" s="1" t="s">
        <v>38</v>
      </c>
      <c r="H884" s="1" t="s">
        <v>17</v>
      </c>
      <c r="I884" s="1" t="s">
        <v>17</v>
      </c>
      <c r="J884" s="1">
        <v>0.2</v>
      </c>
      <c r="K884" s="36">
        <v>44097</v>
      </c>
    </row>
    <row r="885" spans="1:11" x14ac:dyDescent="0.3">
      <c r="A885" s="2" t="s">
        <v>1789</v>
      </c>
      <c r="B885" s="1" t="s">
        <v>1790</v>
      </c>
      <c r="C885" s="1">
        <v>27</v>
      </c>
      <c r="D885" s="1" t="s">
        <v>20</v>
      </c>
      <c r="E885" s="1" t="s">
        <v>21</v>
      </c>
      <c r="F885" s="1" t="s">
        <v>46</v>
      </c>
      <c r="G885" s="1" t="s">
        <v>43</v>
      </c>
      <c r="H885" s="1" t="s">
        <v>17</v>
      </c>
      <c r="I885" s="1" t="s">
        <v>30</v>
      </c>
      <c r="J885" s="1">
        <v>0.32</v>
      </c>
      <c r="K885" s="36">
        <v>45840</v>
      </c>
    </row>
    <row r="886" spans="1:11" x14ac:dyDescent="0.3">
      <c r="A886" s="2" t="s">
        <v>1791</v>
      </c>
      <c r="B886" s="1" t="s">
        <v>1792</v>
      </c>
      <c r="C886" s="1">
        <v>69</v>
      </c>
      <c r="D886" s="1" t="s">
        <v>13</v>
      </c>
      <c r="E886" s="1" t="s">
        <v>33</v>
      </c>
      <c r="F886" s="1" t="s">
        <v>62</v>
      </c>
      <c r="G886" s="1" t="s">
        <v>16</v>
      </c>
      <c r="H886" s="1" t="s">
        <v>17</v>
      </c>
      <c r="I886" s="1" t="s">
        <v>30</v>
      </c>
      <c r="J886" s="1">
        <v>0.41</v>
      </c>
      <c r="K886" s="36">
        <v>46052</v>
      </c>
    </row>
    <row r="887" spans="1:11" x14ac:dyDescent="0.3">
      <c r="A887" s="2" t="s">
        <v>1793</v>
      </c>
      <c r="B887" s="1" t="s">
        <v>1794</v>
      </c>
      <c r="C887" s="1">
        <v>64</v>
      </c>
      <c r="D887" s="1" t="s">
        <v>20</v>
      </c>
      <c r="E887" s="1" t="s">
        <v>28</v>
      </c>
      <c r="F887" s="1" t="s">
        <v>46</v>
      </c>
      <c r="G887" s="1" t="s">
        <v>38</v>
      </c>
      <c r="H887" s="1" t="s">
        <v>17</v>
      </c>
      <c r="I887" s="1" t="s">
        <v>30</v>
      </c>
      <c r="J887" s="1">
        <v>0.39</v>
      </c>
      <c r="K887" s="36">
        <v>45562</v>
      </c>
    </row>
    <row r="888" spans="1:11" x14ac:dyDescent="0.3">
      <c r="A888" s="2" t="s">
        <v>1795</v>
      </c>
      <c r="B888" s="1" t="s">
        <v>1796</v>
      </c>
      <c r="C888" s="1">
        <v>21</v>
      </c>
      <c r="D888" s="1" t="s">
        <v>13</v>
      </c>
      <c r="E888" s="1" t="s">
        <v>21</v>
      </c>
      <c r="F888" s="1" t="s">
        <v>62</v>
      </c>
      <c r="G888" s="1" t="s">
        <v>22</v>
      </c>
      <c r="H888" s="1" t="s">
        <v>17</v>
      </c>
      <c r="I888" s="1" t="s">
        <v>17</v>
      </c>
      <c r="J888" s="1">
        <v>0.3</v>
      </c>
      <c r="K888" s="36">
        <v>44423</v>
      </c>
    </row>
    <row r="889" spans="1:11" x14ac:dyDescent="0.3">
      <c r="A889" s="2" t="s">
        <v>1797</v>
      </c>
      <c r="B889" s="1" t="s">
        <v>1798</v>
      </c>
      <c r="C889" s="1">
        <v>30</v>
      </c>
      <c r="D889" s="1" t="s">
        <v>20</v>
      </c>
      <c r="E889" s="1" t="s">
        <v>33</v>
      </c>
      <c r="F889" s="1" t="s">
        <v>62</v>
      </c>
      <c r="G889" s="1" t="s">
        <v>25</v>
      </c>
      <c r="H889" s="1" t="s">
        <v>17</v>
      </c>
      <c r="I889" s="1" t="s">
        <v>17</v>
      </c>
      <c r="J889" s="1">
        <v>0.11</v>
      </c>
      <c r="K889" s="36">
        <v>45045</v>
      </c>
    </row>
    <row r="890" spans="1:11" x14ac:dyDescent="0.3">
      <c r="A890" s="2" t="s">
        <v>1799</v>
      </c>
      <c r="B890" s="1" t="s">
        <v>1800</v>
      </c>
      <c r="C890" s="1">
        <v>18</v>
      </c>
      <c r="D890" s="1" t="s">
        <v>13</v>
      </c>
      <c r="E890" s="1" t="s">
        <v>28</v>
      </c>
      <c r="F890" s="1" t="s">
        <v>46</v>
      </c>
      <c r="G890" s="1" t="s">
        <v>22</v>
      </c>
      <c r="H890" s="1" t="s">
        <v>17</v>
      </c>
      <c r="I890" s="1" t="s">
        <v>17</v>
      </c>
      <c r="J890" s="1">
        <v>0.19</v>
      </c>
      <c r="K890" s="36">
        <v>44834</v>
      </c>
    </row>
    <row r="891" spans="1:11" x14ac:dyDescent="0.3">
      <c r="A891" s="2" t="s">
        <v>1801</v>
      </c>
      <c r="B891" s="1" t="s">
        <v>1802</v>
      </c>
      <c r="C891" s="1">
        <v>35</v>
      </c>
      <c r="D891" s="1" t="s">
        <v>13</v>
      </c>
      <c r="E891" s="1" t="s">
        <v>33</v>
      </c>
      <c r="F891" s="1" t="s">
        <v>46</v>
      </c>
      <c r="G891" s="1" t="s">
        <v>22</v>
      </c>
      <c r="H891" s="1" t="s">
        <v>17</v>
      </c>
      <c r="I891" s="1" t="s">
        <v>17</v>
      </c>
      <c r="J891" s="1">
        <v>0.18</v>
      </c>
      <c r="K891" s="36">
        <v>45364</v>
      </c>
    </row>
    <row r="892" spans="1:11" x14ac:dyDescent="0.3">
      <c r="A892" s="2" t="s">
        <v>1803</v>
      </c>
      <c r="B892" s="1" t="s">
        <v>1804</v>
      </c>
      <c r="C892" s="1">
        <v>24</v>
      </c>
      <c r="D892" s="1" t="s">
        <v>20</v>
      </c>
      <c r="E892" s="1" t="s">
        <v>28</v>
      </c>
      <c r="F892" s="1" t="s">
        <v>29</v>
      </c>
      <c r="G892" s="1" t="s">
        <v>16</v>
      </c>
      <c r="H892" s="1" t="s">
        <v>17</v>
      </c>
      <c r="I892" s="1" t="s">
        <v>17</v>
      </c>
      <c r="J892" s="1">
        <v>0.35</v>
      </c>
      <c r="K892" s="36">
        <v>45477</v>
      </c>
    </row>
    <row r="893" spans="1:11" x14ac:dyDescent="0.3">
      <c r="A893" s="2" t="s">
        <v>1805</v>
      </c>
      <c r="B893" s="1" t="s">
        <v>1806</v>
      </c>
      <c r="C893" s="1">
        <v>62</v>
      </c>
      <c r="D893" s="1" t="s">
        <v>13</v>
      </c>
      <c r="E893" s="1" t="s">
        <v>21</v>
      </c>
      <c r="F893" s="1" t="s">
        <v>62</v>
      </c>
      <c r="G893" s="1" t="s">
        <v>16</v>
      </c>
      <c r="H893" s="1" t="s">
        <v>17</v>
      </c>
      <c r="I893" s="1" t="s">
        <v>30</v>
      </c>
      <c r="J893" s="1">
        <v>0.49</v>
      </c>
      <c r="K893" s="36">
        <v>45007</v>
      </c>
    </row>
    <row r="894" spans="1:11" x14ac:dyDescent="0.3">
      <c r="A894" s="2" t="s">
        <v>1807</v>
      </c>
      <c r="B894" s="1" t="s">
        <v>1808</v>
      </c>
      <c r="C894" s="1">
        <v>50</v>
      </c>
      <c r="D894" s="1" t="s">
        <v>20</v>
      </c>
      <c r="E894" s="1" t="s">
        <v>33</v>
      </c>
      <c r="F894" s="1" t="s">
        <v>15</v>
      </c>
      <c r="G894" s="1" t="s">
        <v>43</v>
      </c>
      <c r="H894" s="1" t="s">
        <v>17</v>
      </c>
      <c r="I894" s="1" t="s">
        <v>30</v>
      </c>
      <c r="J894" s="1">
        <v>0.25</v>
      </c>
      <c r="K894" s="36">
        <v>44625</v>
      </c>
    </row>
    <row r="895" spans="1:11" x14ac:dyDescent="0.3">
      <c r="A895" s="2" t="s">
        <v>1809</v>
      </c>
      <c r="B895" s="1" t="s">
        <v>1810</v>
      </c>
      <c r="C895" s="1">
        <v>79</v>
      </c>
      <c r="D895" s="1" t="s">
        <v>13</v>
      </c>
      <c r="E895" s="1" t="s">
        <v>21</v>
      </c>
      <c r="F895" s="1" t="s">
        <v>29</v>
      </c>
      <c r="G895" s="1" t="s">
        <v>47</v>
      </c>
      <c r="H895" s="1" t="s">
        <v>17</v>
      </c>
      <c r="I895" s="1" t="s">
        <v>17</v>
      </c>
      <c r="J895" s="1">
        <v>0.36</v>
      </c>
      <c r="K895" s="36">
        <v>45929</v>
      </c>
    </row>
    <row r="896" spans="1:11" x14ac:dyDescent="0.3">
      <c r="A896" s="2" t="s">
        <v>1811</v>
      </c>
      <c r="B896" s="1" t="s">
        <v>1812</v>
      </c>
      <c r="C896" s="1">
        <v>65</v>
      </c>
      <c r="D896" s="1" t="s">
        <v>13</v>
      </c>
      <c r="E896" s="1" t="s">
        <v>28</v>
      </c>
      <c r="F896" s="1" t="s">
        <v>46</v>
      </c>
      <c r="G896" s="1" t="s">
        <v>47</v>
      </c>
      <c r="H896" s="1" t="s">
        <v>17</v>
      </c>
      <c r="I896" s="1" t="s">
        <v>30</v>
      </c>
      <c r="J896" s="1">
        <v>0.51</v>
      </c>
      <c r="K896" s="36">
        <v>44513</v>
      </c>
    </row>
    <row r="897" spans="1:11" x14ac:dyDescent="0.3">
      <c r="A897" s="2" t="s">
        <v>1813</v>
      </c>
      <c r="B897" s="1" t="s">
        <v>1814</v>
      </c>
      <c r="C897" s="1">
        <v>56</v>
      </c>
      <c r="D897" s="1" t="s">
        <v>13</v>
      </c>
      <c r="E897" s="1" t="s">
        <v>14</v>
      </c>
      <c r="F897" s="1" t="s">
        <v>29</v>
      </c>
      <c r="G897" s="1" t="s">
        <v>38</v>
      </c>
      <c r="H897" s="1" t="s">
        <v>17</v>
      </c>
      <c r="I897" s="1" t="s">
        <v>30</v>
      </c>
      <c r="J897" s="1">
        <v>0.36</v>
      </c>
      <c r="K897" s="36">
        <v>44920</v>
      </c>
    </row>
    <row r="898" spans="1:11" x14ac:dyDescent="0.3">
      <c r="A898" s="2" t="s">
        <v>1815</v>
      </c>
      <c r="B898" s="1" t="s">
        <v>1816</v>
      </c>
      <c r="C898" s="1">
        <v>50</v>
      </c>
      <c r="D898" s="1" t="s">
        <v>20</v>
      </c>
      <c r="E898" s="1" t="s">
        <v>21</v>
      </c>
      <c r="F898" s="1" t="s">
        <v>46</v>
      </c>
      <c r="G898" s="1" t="s">
        <v>16</v>
      </c>
      <c r="H898" s="1" t="s">
        <v>30</v>
      </c>
      <c r="I898" s="1" t="s">
        <v>17</v>
      </c>
      <c r="J898" s="1">
        <v>0.23</v>
      </c>
      <c r="K898" s="36">
        <v>45136</v>
      </c>
    </row>
    <row r="899" spans="1:11" x14ac:dyDescent="0.3">
      <c r="A899" s="2" t="s">
        <v>1817</v>
      </c>
      <c r="B899" s="1" t="s">
        <v>1818</v>
      </c>
      <c r="C899" s="1">
        <v>21</v>
      </c>
      <c r="D899" s="1" t="s">
        <v>20</v>
      </c>
      <c r="E899" s="1" t="s">
        <v>33</v>
      </c>
      <c r="F899" s="1" t="s">
        <v>62</v>
      </c>
      <c r="G899" s="1" t="s">
        <v>16</v>
      </c>
      <c r="H899" s="1" t="s">
        <v>17</v>
      </c>
      <c r="I899" s="1" t="s">
        <v>17</v>
      </c>
      <c r="J899" s="1">
        <v>0.25</v>
      </c>
      <c r="K899" s="36">
        <v>44596</v>
      </c>
    </row>
    <row r="900" spans="1:11" x14ac:dyDescent="0.3">
      <c r="A900" s="2" t="s">
        <v>1819</v>
      </c>
      <c r="B900" s="1" t="s">
        <v>1820</v>
      </c>
      <c r="C900" s="1">
        <v>22</v>
      </c>
      <c r="D900" s="1" t="s">
        <v>13</v>
      </c>
      <c r="E900" s="1" t="s">
        <v>33</v>
      </c>
      <c r="F900" s="1" t="s">
        <v>46</v>
      </c>
      <c r="G900" s="1" t="s">
        <v>22</v>
      </c>
      <c r="H900" s="1" t="s">
        <v>17</v>
      </c>
      <c r="I900" s="1" t="s">
        <v>17</v>
      </c>
      <c r="J900" s="1">
        <v>0.32</v>
      </c>
      <c r="K900" s="36">
        <v>45330</v>
      </c>
    </row>
    <row r="901" spans="1:11" x14ac:dyDescent="0.3">
      <c r="A901" s="2" t="s">
        <v>1821</v>
      </c>
      <c r="B901" s="1" t="s">
        <v>1822</v>
      </c>
      <c r="C901" s="1">
        <v>56</v>
      </c>
      <c r="D901" s="1" t="s">
        <v>13</v>
      </c>
      <c r="E901" s="1" t="s">
        <v>14</v>
      </c>
      <c r="F901" s="1" t="s">
        <v>46</v>
      </c>
      <c r="G901" s="1" t="s">
        <v>25</v>
      </c>
      <c r="H901" s="1" t="s">
        <v>30</v>
      </c>
      <c r="I901" s="1" t="s">
        <v>30</v>
      </c>
      <c r="J901" s="1">
        <v>0.71</v>
      </c>
      <c r="K901" s="36">
        <v>45336</v>
      </c>
    </row>
    <row r="902" spans="1:11" x14ac:dyDescent="0.3">
      <c r="A902" s="2" t="s">
        <v>1823</v>
      </c>
      <c r="B902" s="1" t="s">
        <v>1824</v>
      </c>
      <c r="C902" s="1">
        <v>18</v>
      </c>
      <c r="D902" s="1" t="s">
        <v>20</v>
      </c>
      <c r="E902" s="1" t="s">
        <v>14</v>
      </c>
      <c r="F902" s="1" t="s">
        <v>15</v>
      </c>
      <c r="G902" s="1" t="s">
        <v>22</v>
      </c>
      <c r="H902" s="1" t="s">
        <v>17</v>
      </c>
      <c r="I902" s="1" t="s">
        <v>17</v>
      </c>
      <c r="J902" s="1">
        <v>0.2</v>
      </c>
      <c r="K902" s="36">
        <v>46252</v>
      </c>
    </row>
    <row r="903" spans="1:11" x14ac:dyDescent="0.3">
      <c r="A903" s="2" t="s">
        <v>1825</v>
      </c>
      <c r="B903" s="1" t="s">
        <v>1826</v>
      </c>
      <c r="C903" s="1">
        <v>20</v>
      </c>
      <c r="D903" s="1" t="s">
        <v>20</v>
      </c>
      <c r="E903" s="1" t="s">
        <v>21</v>
      </c>
      <c r="F903" s="1" t="s">
        <v>46</v>
      </c>
      <c r="G903" s="1" t="s">
        <v>38</v>
      </c>
      <c r="H903" s="1" t="s">
        <v>30</v>
      </c>
      <c r="I903" s="1" t="s">
        <v>17</v>
      </c>
      <c r="J903" s="1">
        <v>0.54</v>
      </c>
      <c r="K903" s="36">
        <v>44724</v>
      </c>
    </row>
    <row r="904" spans="1:11" x14ac:dyDescent="0.3">
      <c r="A904" s="2" t="s">
        <v>1827</v>
      </c>
      <c r="B904" s="1" t="s">
        <v>1828</v>
      </c>
      <c r="C904" s="1">
        <v>31</v>
      </c>
      <c r="D904" s="1" t="s">
        <v>20</v>
      </c>
      <c r="E904" s="1" t="s">
        <v>28</v>
      </c>
      <c r="F904" s="1" t="s">
        <v>15</v>
      </c>
      <c r="G904" s="1" t="s">
        <v>16</v>
      </c>
      <c r="H904" s="1" t="s">
        <v>17</v>
      </c>
      <c r="I904" s="1" t="s">
        <v>17</v>
      </c>
      <c r="J904" s="1">
        <v>7.0000000000000007E-2</v>
      </c>
      <c r="K904" s="36">
        <v>46220</v>
      </c>
    </row>
    <row r="905" spans="1:11" x14ac:dyDescent="0.3">
      <c r="A905" s="2" t="s">
        <v>1829</v>
      </c>
      <c r="B905" s="1" t="s">
        <v>1830</v>
      </c>
      <c r="C905" s="1">
        <v>73</v>
      </c>
      <c r="D905" s="1" t="s">
        <v>13</v>
      </c>
      <c r="E905" s="1" t="s">
        <v>21</v>
      </c>
      <c r="F905" s="1" t="s">
        <v>46</v>
      </c>
      <c r="G905" s="1" t="s">
        <v>22</v>
      </c>
      <c r="H905" s="1" t="s">
        <v>17</v>
      </c>
      <c r="I905" s="1" t="s">
        <v>17</v>
      </c>
      <c r="J905" s="1">
        <v>0.26</v>
      </c>
      <c r="K905" s="36">
        <v>45519</v>
      </c>
    </row>
    <row r="906" spans="1:11" x14ac:dyDescent="0.3">
      <c r="A906" s="2" t="s">
        <v>1831</v>
      </c>
      <c r="B906" s="1" t="s">
        <v>1832</v>
      </c>
      <c r="C906" s="1">
        <v>46</v>
      </c>
      <c r="D906" s="1" t="s">
        <v>20</v>
      </c>
      <c r="E906" s="1" t="s">
        <v>28</v>
      </c>
      <c r="F906" s="1" t="s">
        <v>46</v>
      </c>
      <c r="G906" s="1" t="s">
        <v>22</v>
      </c>
      <c r="H906" s="1" t="s">
        <v>30</v>
      </c>
      <c r="I906" s="1" t="s">
        <v>17</v>
      </c>
      <c r="J906" s="1">
        <v>0.35</v>
      </c>
      <c r="K906" s="36">
        <v>44678</v>
      </c>
    </row>
    <row r="907" spans="1:11" x14ac:dyDescent="0.3">
      <c r="A907" s="2" t="s">
        <v>1833</v>
      </c>
      <c r="B907" s="1" t="s">
        <v>1834</v>
      </c>
      <c r="C907" s="1">
        <v>62</v>
      </c>
      <c r="D907" s="1" t="s">
        <v>20</v>
      </c>
      <c r="E907" s="1" t="s">
        <v>33</v>
      </c>
      <c r="F907" s="1" t="s">
        <v>29</v>
      </c>
      <c r="G907" s="1" t="s">
        <v>22</v>
      </c>
      <c r="H907" s="1" t="s">
        <v>17</v>
      </c>
      <c r="I907" s="1" t="s">
        <v>17</v>
      </c>
      <c r="J907" s="1">
        <v>0.35</v>
      </c>
      <c r="K907" s="36">
        <v>45317</v>
      </c>
    </row>
    <row r="908" spans="1:11" x14ac:dyDescent="0.3">
      <c r="A908" s="2" t="s">
        <v>1835</v>
      </c>
      <c r="B908" s="1" t="s">
        <v>1836</v>
      </c>
      <c r="C908" s="1">
        <v>43</v>
      </c>
      <c r="D908" s="1" t="s">
        <v>13</v>
      </c>
      <c r="E908" s="1" t="s">
        <v>33</v>
      </c>
      <c r="F908" s="1" t="s">
        <v>29</v>
      </c>
      <c r="G908" s="1" t="s">
        <v>43</v>
      </c>
      <c r="H908" s="1" t="s">
        <v>17</v>
      </c>
      <c r="I908" s="1" t="s">
        <v>17</v>
      </c>
      <c r="J908" s="1">
        <v>0.28000000000000003</v>
      </c>
      <c r="K908" s="36">
        <v>45580</v>
      </c>
    </row>
    <row r="909" spans="1:11" x14ac:dyDescent="0.3">
      <c r="A909" s="2" t="s">
        <v>1837</v>
      </c>
      <c r="B909" s="1" t="s">
        <v>1838</v>
      </c>
      <c r="C909" s="1">
        <v>28</v>
      </c>
      <c r="D909" s="1" t="s">
        <v>20</v>
      </c>
      <c r="E909" s="1" t="s">
        <v>33</v>
      </c>
      <c r="F909" s="1" t="s">
        <v>29</v>
      </c>
      <c r="G909" s="1" t="s">
        <v>47</v>
      </c>
      <c r="H909" s="1" t="s">
        <v>17</v>
      </c>
      <c r="I909" s="1" t="s">
        <v>17</v>
      </c>
      <c r="J909" s="1">
        <v>0.26</v>
      </c>
      <c r="K909" s="36">
        <v>45709</v>
      </c>
    </row>
    <row r="910" spans="1:11" x14ac:dyDescent="0.3">
      <c r="A910" s="2" t="s">
        <v>1839</v>
      </c>
      <c r="B910" s="1" t="s">
        <v>1840</v>
      </c>
      <c r="C910" s="1">
        <v>41</v>
      </c>
      <c r="D910" s="1" t="s">
        <v>13</v>
      </c>
      <c r="E910" s="1" t="s">
        <v>28</v>
      </c>
      <c r="F910" s="1" t="s">
        <v>46</v>
      </c>
      <c r="G910" s="1" t="s">
        <v>47</v>
      </c>
      <c r="H910" s="1" t="s">
        <v>17</v>
      </c>
      <c r="I910" s="1" t="s">
        <v>17</v>
      </c>
      <c r="J910" s="1">
        <v>0.12</v>
      </c>
      <c r="K910" s="36">
        <v>44184</v>
      </c>
    </row>
    <row r="911" spans="1:11" x14ac:dyDescent="0.3">
      <c r="A911" s="2" t="s">
        <v>1841</v>
      </c>
      <c r="B911" s="1" t="s">
        <v>1842</v>
      </c>
      <c r="C911" s="1">
        <v>23</v>
      </c>
      <c r="D911" s="1" t="s">
        <v>20</v>
      </c>
      <c r="E911" s="1" t="s">
        <v>21</v>
      </c>
      <c r="F911" s="1" t="s">
        <v>15</v>
      </c>
      <c r="G911" s="1" t="s">
        <v>16</v>
      </c>
      <c r="H911" s="1" t="s">
        <v>17</v>
      </c>
      <c r="I911" s="1" t="s">
        <v>30</v>
      </c>
      <c r="J911" s="1">
        <v>0.45</v>
      </c>
      <c r="K911" s="36">
        <v>45406</v>
      </c>
    </row>
    <row r="912" spans="1:11" x14ac:dyDescent="0.3">
      <c r="A912" s="2" t="s">
        <v>1843</v>
      </c>
      <c r="B912" s="1" t="s">
        <v>1844</v>
      </c>
      <c r="C912" s="1">
        <v>66</v>
      </c>
      <c r="D912" s="1" t="s">
        <v>13</v>
      </c>
      <c r="E912" s="1" t="s">
        <v>28</v>
      </c>
      <c r="F912" s="1" t="s">
        <v>15</v>
      </c>
      <c r="G912" s="1" t="s">
        <v>38</v>
      </c>
      <c r="H912" s="1" t="s">
        <v>17</v>
      </c>
      <c r="I912" s="1" t="s">
        <v>30</v>
      </c>
      <c r="J912" s="1">
        <v>0.46</v>
      </c>
      <c r="K912" s="36">
        <v>45165</v>
      </c>
    </row>
    <row r="913" spans="1:11" x14ac:dyDescent="0.3">
      <c r="A913" s="2" t="s">
        <v>1845</v>
      </c>
      <c r="B913" s="1" t="s">
        <v>1846</v>
      </c>
      <c r="C913" s="1">
        <v>29</v>
      </c>
      <c r="D913" s="1" t="s">
        <v>13</v>
      </c>
      <c r="E913" s="1" t="s">
        <v>21</v>
      </c>
      <c r="F913" s="1" t="s">
        <v>15</v>
      </c>
      <c r="G913" s="1" t="s">
        <v>38</v>
      </c>
      <c r="H913" s="1" t="s">
        <v>17</v>
      </c>
      <c r="I913" s="1" t="s">
        <v>17</v>
      </c>
      <c r="J913" s="1">
        <v>0.1</v>
      </c>
      <c r="K913" s="36">
        <v>46058</v>
      </c>
    </row>
    <row r="914" spans="1:11" x14ac:dyDescent="0.3">
      <c r="A914" s="2" t="s">
        <v>1847</v>
      </c>
      <c r="B914" s="1" t="s">
        <v>1848</v>
      </c>
      <c r="C914" s="1">
        <v>41</v>
      </c>
      <c r="D914" s="1" t="s">
        <v>13</v>
      </c>
      <c r="E914" s="1" t="s">
        <v>28</v>
      </c>
      <c r="F914" s="1" t="s">
        <v>15</v>
      </c>
      <c r="G914" s="1" t="s">
        <v>16</v>
      </c>
      <c r="H914" s="1" t="s">
        <v>17</v>
      </c>
      <c r="I914" s="1" t="s">
        <v>30</v>
      </c>
      <c r="J914" s="1">
        <v>0.23</v>
      </c>
      <c r="K914" s="36">
        <v>44704</v>
      </c>
    </row>
    <row r="915" spans="1:11" x14ac:dyDescent="0.3">
      <c r="A915" s="2" t="s">
        <v>1849</v>
      </c>
      <c r="B915" s="1" t="s">
        <v>1850</v>
      </c>
      <c r="C915" s="1">
        <v>79</v>
      </c>
      <c r="D915" s="1" t="s">
        <v>20</v>
      </c>
      <c r="E915" s="1" t="s">
        <v>14</v>
      </c>
      <c r="F915" s="1" t="s">
        <v>62</v>
      </c>
      <c r="G915" s="1" t="s">
        <v>16</v>
      </c>
      <c r="H915" s="1" t="s">
        <v>17</v>
      </c>
      <c r="I915" s="1" t="s">
        <v>30</v>
      </c>
      <c r="J915" s="1">
        <v>0.49</v>
      </c>
      <c r="K915" s="36">
        <v>45828</v>
      </c>
    </row>
    <row r="916" spans="1:11" x14ac:dyDescent="0.3">
      <c r="A916" s="2" t="s">
        <v>1851</v>
      </c>
      <c r="B916" s="1" t="s">
        <v>1852</v>
      </c>
      <c r="C916" s="1">
        <v>55</v>
      </c>
      <c r="D916" s="1" t="s">
        <v>13</v>
      </c>
      <c r="E916" s="1" t="s">
        <v>28</v>
      </c>
      <c r="F916" s="1" t="s">
        <v>15</v>
      </c>
      <c r="G916" s="1" t="s">
        <v>16</v>
      </c>
      <c r="H916" s="1" t="s">
        <v>17</v>
      </c>
      <c r="I916" s="1" t="s">
        <v>17</v>
      </c>
      <c r="J916" s="1">
        <v>0.27</v>
      </c>
      <c r="K916" s="36">
        <v>45407</v>
      </c>
    </row>
    <row r="917" spans="1:11" x14ac:dyDescent="0.3">
      <c r="A917" s="2" t="s">
        <v>1853</v>
      </c>
      <c r="B917" s="1" t="s">
        <v>1854</v>
      </c>
      <c r="C917" s="1">
        <v>46</v>
      </c>
      <c r="D917" s="1" t="s">
        <v>13</v>
      </c>
      <c r="E917" s="1" t="s">
        <v>21</v>
      </c>
      <c r="F917" s="1" t="s">
        <v>15</v>
      </c>
      <c r="G917" s="1" t="s">
        <v>38</v>
      </c>
      <c r="H917" s="1" t="s">
        <v>17</v>
      </c>
      <c r="I917" s="1" t="s">
        <v>30</v>
      </c>
      <c r="J917" s="1">
        <v>0.27</v>
      </c>
      <c r="K917" s="36">
        <v>44849</v>
      </c>
    </row>
    <row r="918" spans="1:11" x14ac:dyDescent="0.3">
      <c r="A918" s="2" t="s">
        <v>1855</v>
      </c>
      <c r="B918" s="1" t="s">
        <v>1856</v>
      </c>
      <c r="C918" s="1">
        <v>52</v>
      </c>
      <c r="D918" s="1" t="s">
        <v>20</v>
      </c>
      <c r="E918" s="1" t="s">
        <v>14</v>
      </c>
      <c r="F918" s="1" t="s">
        <v>29</v>
      </c>
      <c r="G918" s="1" t="s">
        <v>43</v>
      </c>
      <c r="H918" s="1" t="s">
        <v>17</v>
      </c>
      <c r="I918" s="1" t="s">
        <v>17</v>
      </c>
      <c r="J918" s="1">
        <v>0.19</v>
      </c>
      <c r="K918" s="36">
        <v>45472</v>
      </c>
    </row>
    <row r="919" spans="1:11" x14ac:dyDescent="0.3">
      <c r="A919" s="2" t="s">
        <v>1857</v>
      </c>
      <c r="B919" s="1" t="s">
        <v>1858</v>
      </c>
      <c r="C919" s="1">
        <v>67</v>
      </c>
      <c r="D919" s="1" t="s">
        <v>20</v>
      </c>
      <c r="E919" s="1" t="s">
        <v>33</v>
      </c>
      <c r="F919" s="1" t="s">
        <v>29</v>
      </c>
      <c r="G919" s="1" t="s">
        <v>22</v>
      </c>
      <c r="H919" s="1" t="s">
        <v>17</v>
      </c>
      <c r="I919" s="1" t="s">
        <v>30</v>
      </c>
      <c r="J919" s="1">
        <v>0.45</v>
      </c>
      <c r="K919" s="36">
        <v>45437</v>
      </c>
    </row>
    <row r="920" spans="1:11" x14ac:dyDescent="0.3">
      <c r="A920" s="2" t="s">
        <v>1859</v>
      </c>
      <c r="B920" s="1" t="s">
        <v>1860</v>
      </c>
      <c r="C920" s="1">
        <v>34</v>
      </c>
      <c r="D920" s="1" t="s">
        <v>20</v>
      </c>
      <c r="E920" s="1" t="s">
        <v>28</v>
      </c>
      <c r="F920" s="1" t="s">
        <v>15</v>
      </c>
      <c r="G920" s="1" t="s">
        <v>38</v>
      </c>
      <c r="H920" s="1" t="s">
        <v>30</v>
      </c>
      <c r="I920" s="1" t="s">
        <v>17</v>
      </c>
      <c r="J920" s="1">
        <v>0.38</v>
      </c>
      <c r="K920" s="36">
        <v>45562</v>
      </c>
    </row>
    <row r="921" spans="1:11" x14ac:dyDescent="0.3">
      <c r="A921" s="2" t="s">
        <v>1861</v>
      </c>
      <c r="B921" s="1" t="s">
        <v>1862</v>
      </c>
      <c r="C921" s="1">
        <v>58</v>
      </c>
      <c r="D921" s="1" t="s">
        <v>13</v>
      </c>
      <c r="E921" s="1" t="s">
        <v>21</v>
      </c>
      <c r="F921" s="1" t="s">
        <v>46</v>
      </c>
      <c r="G921" s="1" t="s">
        <v>47</v>
      </c>
      <c r="H921" s="1" t="s">
        <v>17</v>
      </c>
      <c r="I921" s="1" t="s">
        <v>17</v>
      </c>
      <c r="J921" s="1">
        <v>0.19</v>
      </c>
      <c r="K921" s="36">
        <v>45657</v>
      </c>
    </row>
    <row r="922" spans="1:11" x14ac:dyDescent="0.3">
      <c r="A922" s="2" t="s">
        <v>1863</v>
      </c>
      <c r="B922" s="1" t="s">
        <v>1864</v>
      </c>
      <c r="C922" s="1">
        <v>72</v>
      </c>
      <c r="D922" s="1" t="s">
        <v>13</v>
      </c>
      <c r="E922" s="1" t="s">
        <v>21</v>
      </c>
      <c r="F922" s="1" t="s">
        <v>62</v>
      </c>
      <c r="G922" s="1" t="s">
        <v>47</v>
      </c>
      <c r="H922" s="1" t="s">
        <v>17</v>
      </c>
      <c r="I922" s="1" t="s">
        <v>30</v>
      </c>
      <c r="J922" s="1">
        <v>0.54</v>
      </c>
      <c r="K922" s="36">
        <v>45521</v>
      </c>
    </row>
    <row r="923" spans="1:11" x14ac:dyDescent="0.3">
      <c r="A923" s="2" t="s">
        <v>1865</v>
      </c>
      <c r="B923" s="1" t="s">
        <v>1866</v>
      </c>
      <c r="C923" s="1">
        <v>54</v>
      </c>
      <c r="D923" s="1" t="s">
        <v>13</v>
      </c>
      <c r="E923" s="1" t="s">
        <v>33</v>
      </c>
      <c r="F923" s="1" t="s">
        <v>15</v>
      </c>
      <c r="G923" s="1" t="s">
        <v>22</v>
      </c>
      <c r="H923" s="1" t="s">
        <v>30</v>
      </c>
      <c r="I923" s="1" t="s">
        <v>30</v>
      </c>
      <c r="J923" s="1">
        <v>0.59</v>
      </c>
      <c r="K923" s="36">
        <v>45914</v>
      </c>
    </row>
    <row r="924" spans="1:11" x14ac:dyDescent="0.3">
      <c r="A924" s="2" t="s">
        <v>1867</v>
      </c>
      <c r="B924" s="1" t="s">
        <v>1868</v>
      </c>
      <c r="C924" s="1">
        <v>46</v>
      </c>
      <c r="D924" s="1" t="s">
        <v>13</v>
      </c>
      <c r="E924" s="1" t="s">
        <v>21</v>
      </c>
      <c r="F924" s="1" t="s">
        <v>29</v>
      </c>
      <c r="G924" s="1" t="s">
        <v>22</v>
      </c>
      <c r="H924" s="1" t="s">
        <v>17</v>
      </c>
      <c r="I924" s="1" t="s">
        <v>30</v>
      </c>
      <c r="J924" s="1">
        <v>0.33</v>
      </c>
      <c r="K924" s="36">
        <v>45454</v>
      </c>
    </row>
    <row r="925" spans="1:11" x14ac:dyDescent="0.3">
      <c r="A925" s="2" t="s">
        <v>1869</v>
      </c>
      <c r="B925" s="1" t="s">
        <v>1870</v>
      </c>
      <c r="C925" s="1">
        <v>27</v>
      </c>
      <c r="D925" s="1" t="s">
        <v>13</v>
      </c>
      <c r="E925" s="1" t="s">
        <v>28</v>
      </c>
      <c r="F925" s="1" t="s">
        <v>15</v>
      </c>
      <c r="G925" s="1" t="s">
        <v>22</v>
      </c>
      <c r="H925" s="1" t="s">
        <v>17</v>
      </c>
      <c r="I925" s="1" t="s">
        <v>17</v>
      </c>
      <c r="J925" s="1">
        <v>0.18</v>
      </c>
      <c r="K925" s="36">
        <v>46057</v>
      </c>
    </row>
    <row r="926" spans="1:11" x14ac:dyDescent="0.3">
      <c r="A926" s="2" t="s">
        <v>1871</v>
      </c>
      <c r="B926" s="1" t="s">
        <v>1872</v>
      </c>
      <c r="C926" s="1">
        <v>33</v>
      </c>
      <c r="D926" s="1" t="s">
        <v>20</v>
      </c>
      <c r="E926" s="1" t="s">
        <v>21</v>
      </c>
      <c r="F926" s="1" t="s">
        <v>46</v>
      </c>
      <c r="G926" s="1" t="s">
        <v>22</v>
      </c>
      <c r="H926" s="1" t="s">
        <v>30</v>
      </c>
      <c r="I926" s="1" t="s">
        <v>30</v>
      </c>
      <c r="J926" s="1">
        <v>0.55000000000000004</v>
      </c>
      <c r="K926" s="36">
        <v>45493</v>
      </c>
    </row>
    <row r="927" spans="1:11" x14ac:dyDescent="0.3">
      <c r="A927" s="2" t="s">
        <v>1873</v>
      </c>
      <c r="B927" s="1" t="s">
        <v>1874</v>
      </c>
      <c r="C927" s="1">
        <v>77</v>
      </c>
      <c r="D927" s="1" t="s">
        <v>20</v>
      </c>
      <c r="E927" s="1" t="s">
        <v>28</v>
      </c>
      <c r="F927" s="1" t="s">
        <v>46</v>
      </c>
      <c r="G927" s="1" t="s">
        <v>43</v>
      </c>
      <c r="H927" s="1" t="s">
        <v>30</v>
      </c>
      <c r="I927" s="1" t="s">
        <v>17</v>
      </c>
      <c r="J927" s="1">
        <v>0.39</v>
      </c>
      <c r="K927" s="36">
        <v>44754</v>
      </c>
    </row>
    <row r="928" spans="1:11" x14ac:dyDescent="0.3">
      <c r="A928" s="2" t="s">
        <v>1875</v>
      </c>
      <c r="B928" s="1" t="s">
        <v>1876</v>
      </c>
      <c r="C928" s="1">
        <v>52</v>
      </c>
      <c r="D928" s="1" t="s">
        <v>13</v>
      </c>
      <c r="E928" s="1" t="s">
        <v>33</v>
      </c>
      <c r="F928" s="1" t="s">
        <v>46</v>
      </c>
      <c r="G928" s="1" t="s">
        <v>43</v>
      </c>
      <c r="H928" s="1" t="s">
        <v>17</v>
      </c>
      <c r="I928" s="1" t="s">
        <v>30</v>
      </c>
      <c r="J928" s="1">
        <v>0.37</v>
      </c>
      <c r="K928" s="36">
        <v>45043</v>
      </c>
    </row>
    <row r="929" spans="1:11" x14ac:dyDescent="0.3">
      <c r="A929" s="2" t="s">
        <v>1877</v>
      </c>
      <c r="B929" s="1" t="s">
        <v>1878</v>
      </c>
      <c r="C929" s="1">
        <v>36</v>
      </c>
      <c r="D929" s="1" t="s">
        <v>20</v>
      </c>
      <c r="E929" s="1" t="s">
        <v>28</v>
      </c>
      <c r="F929" s="1" t="s">
        <v>15</v>
      </c>
      <c r="G929" s="1" t="s">
        <v>22</v>
      </c>
      <c r="H929" s="1" t="s">
        <v>17</v>
      </c>
      <c r="I929" s="1" t="s">
        <v>17</v>
      </c>
      <c r="J929" s="1">
        <v>0.12</v>
      </c>
      <c r="K929" s="36">
        <v>45347</v>
      </c>
    </row>
    <row r="930" spans="1:11" x14ac:dyDescent="0.3">
      <c r="A930" s="2" t="s">
        <v>1879</v>
      </c>
      <c r="B930" s="1" t="s">
        <v>1880</v>
      </c>
      <c r="C930" s="1">
        <v>44</v>
      </c>
      <c r="D930" s="1" t="s">
        <v>13</v>
      </c>
      <c r="E930" s="1" t="s">
        <v>21</v>
      </c>
      <c r="F930" s="1" t="s">
        <v>15</v>
      </c>
      <c r="G930" s="1" t="s">
        <v>43</v>
      </c>
      <c r="H930" s="1" t="s">
        <v>30</v>
      </c>
      <c r="I930" s="1" t="s">
        <v>30</v>
      </c>
      <c r="J930" s="1">
        <v>0.53</v>
      </c>
      <c r="K930" s="36">
        <v>45682</v>
      </c>
    </row>
    <row r="931" spans="1:11" x14ac:dyDescent="0.3">
      <c r="A931" s="2" t="s">
        <v>1881</v>
      </c>
      <c r="B931" s="1" t="s">
        <v>1882</v>
      </c>
      <c r="C931" s="1">
        <v>54</v>
      </c>
      <c r="D931" s="1" t="s">
        <v>13</v>
      </c>
      <c r="E931" s="1" t="s">
        <v>14</v>
      </c>
      <c r="F931" s="1" t="s">
        <v>29</v>
      </c>
      <c r="G931" s="1" t="s">
        <v>25</v>
      </c>
      <c r="H931" s="1" t="s">
        <v>17</v>
      </c>
      <c r="I931" s="1" t="s">
        <v>17</v>
      </c>
      <c r="J931" s="1">
        <v>0.13</v>
      </c>
      <c r="K931" s="36">
        <v>44274</v>
      </c>
    </row>
    <row r="932" spans="1:11" x14ac:dyDescent="0.3">
      <c r="A932" s="2" t="s">
        <v>1883</v>
      </c>
      <c r="B932" s="1" t="s">
        <v>1884</v>
      </c>
      <c r="C932" s="1">
        <v>51</v>
      </c>
      <c r="D932" s="1" t="s">
        <v>20</v>
      </c>
      <c r="E932" s="1" t="s">
        <v>14</v>
      </c>
      <c r="F932" s="1" t="s">
        <v>29</v>
      </c>
      <c r="G932" s="1" t="s">
        <v>25</v>
      </c>
      <c r="H932" s="1" t="s">
        <v>17</v>
      </c>
      <c r="I932" s="1" t="s">
        <v>30</v>
      </c>
      <c r="J932" s="1">
        <v>0.28000000000000003</v>
      </c>
      <c r="K932" s="36">
        <v>44723</v>
      </c>
    </row>
    <row r="933" spans="1:11" x14ac:dyDescent="0.3">
      <c r="A933" s="2" t="s">
        <v>1885</v>
      </c>
      <c r="B933" s="1" t="s">
        <v>1886</v>
      </c>
      <c r="C933" s="1">
        <v>62</v>
      </c>
      <c r="D933" s="1" t="s">
        <v>13</v>
      </c>
      <c r="E933" s="1" t="s">
        <v>21</v>
      </c>
      <c r="F933" s="1" t="s">
        <v>46</v>
      </c>
      <c r="G933" s="1" t="s">
        <v>47</v>
      </c>
      <c r="H933" s="1" t="s">
        <v>17</v>
      </c>
      <c r="I933" s="1" t="s">
        <v>30</v>
      </c>
      <c r="J933" s="1">
        <v>0.53</v>
      </c>
      <c r="K933" s="36">
        <v>45715</v>
      </c>
    </row>
    <row r="934" spans="1:11" x14ac:dyDescent="0.3">
      <c r="A934" s="2" t="s">
        <v>1887</v>
      </c>
      <c r="B934" s="1" t="s">
        <v>1888</v>
      </c>
      <c r="C934" s="1">
        <v>34</v>
      </c>
      <c r="D934" s="1" t="s">
        <v>20</v>
      </c>
      <c r="E934" s="1" t="s">
        <v>21</v>
      </c>
      <c r="F934" s="1" t="s">
        <v>29</v>
      </c>
      <c r="G934" s="1" t="s">
        <v>22</v>
      </c>
      <c r="H934" s="1" t="s">
        <v>17</v>
      </c>
      <c r="I934" s="1" t="s">
        <v>17</v>
      </c>
      <c r="J934" s="1">
        <v>0.2</v>
      </c>
      <c r="K934" s="36">
        <v>44462</v>
      </c>
    </row>
    <row r="935" spans="1:11" x14ac:dyDescent="0.3">
      <c r="A935" s="2" t="s">
        <v>1889</v>
      </c>
      <c r="B935" s="1" t="s">
        <v>1890</v>
      </c>
      <c r="C935" s="1">
        <v>58</v>
      </c>
      <c r="D935" s="1" t="s">
        <v>13</v>
      </c>
      <c r="E935" s="1" t="s">
        <v>14</v>
      </c>
      <c r="F935" s="1" t="s">
        <v>62</v>
      </c>
      <c r="G935" s="1" t="s">
        <v>22</v>
      </c>
      <c r="H935" s="1" t="s">
        <v>17</v>
      </c>
      <c r="I935" s="1" t="s">
        <v>30</v>
      </c>
      <c r="J935" s="1">
        <v>0.44</v>
      </c>
      <c r="K935" s="36">
        <v>44366</v>
      </c>
    </row>
    <row r="936" spans="1:11" x14ac:dyDescent="0.3">
      <c r="A936" s="2" t="s">
        <v>1891</v>
      </c>
      <c r="B936" s="1" t="s">
        <v>1892</v>
      </c>
      <c r="C936" s="1">
        <v>45</v>
      </c>
      <c r="D936" s="1" t="s">
        <v>13</v>
      </c>
      <c r="E936" s="1" t="s">
        <v>33</v>
      </c>
      <c r="F936" s="1" t="s">
        <v>15</v>
      </c>
      <c r="G936" s="1" t="s">
        <v>38</v>
      </c>
      <c r="H936" s="1" t="s">
        <v>17</v>
      </c>
      <c r="I936" s="1" t="s">
        <v>17</v>
      </c>
      <c r="J936" s="1">
        <v>0.08</v>
      </c>
      <c r="K936" s="36">
        <v>45259</v>
      </c>
    </row>
    <row r="937" spans="1:11" x14ac:dyDescent="0.3">
      <c r="A937" s="2" t="s">
        <v>1893</v>
      </c>
      <c r="B937" s="1" t="s">
        <v>1894</v>
      </c>
      <c r="C937" s="1">
        <v>77</v>
      </c>
      <c r="D937" s="1" t="s">
        <v>13</v>
      </c>
      <c r="E937" s="1" t="s">
        <v>33</v>
      </c>
      <c r="F937" s="1" t="s">
        <v>15</v>
      </c>
      <c r="G937" s="1" t="s">
        <v>38</v>
      </c>
      <c r="H937" s="1" t="s">
        <v>17</v>
      </c>
      <c r="I937" s="1" t="s">
        <v>30</v>
      </c>
      <c r="J937" s="1">
        <v>0.39</v>
      </c>
      <c r="K937" s="36">
        <v>46206</v>
      </c>
    </row>
    <row r="938" spans="1:11" x14ac:dyDescent="0.3">
      <c r="A938" s="2" t="s">
        <v>1895</v>
      </c>
      <c r="B938" s="1" t="s">
        <v>1896</v>
      </c>
      <c r="C938" s="1">
        <v>27</v>
      </c>
      <c r="D938" s="1" t="s">
        <v>20</v>
      </c>
      <c r="E938" s="1" t="s">
        <v>21</v>
      </c>
      <c r="F938" s="1" t="s">
        <v>15</v>
      </c>
      <c r="G938" s="1" t="s">
        <v>16</v>
      </c>
      <c r="H938" s="1" t="s">
        <v>17</v>
      </c>
      <c r="I938" s="1" t="s">
        <v>17</v>
      </c>
      <c r="J938" s="1">
        <v>0.23</v>
      </c>
      <c r="K938" s="36">
        <v>45240</v>
      </c>
    </row>
    <row r="939" spans="1:11" x14ac:dyDescent="0.3">
      <c r="A939" s="2" t="s">
        <v>1897</v>
      </c>
      <c r="B939" s="1" t="s">
        <v>1898</v>
      </c>
      <c r="C939" s="1">
        <v>27</v>
      </c>
      <c r="D939" s="1" t="s">
        <v>20</v>
      </c>
      <c r="E939" s="1" t="s">
        <v>21</v>
      </c>
      <c r="F939" s="1" t="s">
        <v>46</v>
      </c>
      <c r="G939" s="1" t="s">
        <v>22</v>
      </c>
      <c r="H939" s="1" t="s">
        <v>30</v>
      </c>
      <c r="I939" s="1" t="s">
        <v>17</v>
      </c>
      <c r="J939" s="1">
        <v>0.39</v>
      </c>
      <c r="K939" s="36">
        <v>46079</v>
      </c>
    </row>
    <row r="940" spans="1:11" x14ac:dyDescent="0.3">
      <c r="A940" s="2" t="s">
        <v>1899</v>
      </c>
      <c r="B940" s="1" t="s">
        <v>1900</v>
      </c>
      <c r="C940" s="1">
        <v>47</v>
      </c>
      <c r="D940" s="1" t="s">
        <v>20</v>
      </c>
      <c r="E940" s="1" t="s">
        <v>33</v>
      </c>
      <c r="F940" s="1" t="s">
        <v>29</v>
      </c>
      <c r="G940" s="1" t="s">
        <v>25</v>
      </c>
      <c r="H940" s="1" t="s">
        <v>17</v>
      </c>
      <c r="I940" s="1" t="s">
        <v>17</v>
      </c>
      <c r="J940" s="1">
        <v>7.0000000000000007E-2</v>
      </c>
      <c r="K940" s="36">
        <v>45897</v>
      </c>
    </row>
    <row r="941" spans="1:11" x14ac:dyDescent="0.3">
      <c r="A941" s="2" t="s">
        <v>1901</v>
      </c>
      <c r="B941" s="1" t="s">
        <v>1902</v>
      </c>
      <c r="C941" s="1">
        <v>50</v>
      </c>
      <c r="D941" s="1" t="s">
        <v>20</v>
      </c>
      <c r="E941" s="1" t="s">
        <v>14</v>
      </c>
      <c r="F941" s="1" t="s">
        <v>46</v>
      </c>
      <c r="G941" s="1" t="s">
        <v>25</v>
      </c>
      <c r="H941" s="1" t="s">
        <v>30</v>
      </c>
      <c r="I941" s="1" t="s">
        <v>30</v>
      </c>
      <c r="J941" s="1">
        <v>0.54</v>
      </c>
      <c r="K941" s="36">
        <v>44640</v>
      </c>
    </row>
    <row r="942" spans="1:11" x14ac:dyDescent="0.3">
      <c r="A942" s="2" t="s">
        <v>1903</v>
      </c>
      <c r="B942" s="1" t="s">
        <v>1904</v>
      </c>
      <c r="C942" s="1">
        <v>61</v>
      </c>
      <c r="D942" s="1" t="s">
        <v>20</v>
      </c>
      <c r="E942" s="1" t="s">
        <v>28</v>
      </c>
      <c r="F942" s="1" t="s">
        <v>46</v>
      </c>
      <c r="G942" s="1" t="s">
        <v>38</v>
      </c>
      <c r="H942" s="1" t="s">
        <v>17</v>
      </c>
      <c r="I942" s="1" t="s">
        <v>30</v>
      </c>
      <c r="J942" s="1">
        <v>0.45</v>
      </c>
      <c r="K942" s="36">
        <v>45884</v>
      </c>
    </row>
    <row r="943" spans="1:11" x14ac:dyDescent="0.3">
      <c r="A943" s="2" t="s">
        <v>1905</v>
      </c>
      <c r="B943" s="1" t="s">
        <v>1906</v>
      </c>
      <c r="C943" s="1">
        <v>43</v>
      </c>
      <c r="D943" s="1" t="s">
        <v>20</v>
      </c>
      <c r="E943" s="1" t="s">
        <v>14</v>
      </c>
      <c r="F943" s="1" t="s">
        <v>15</v>
      </c>
      <c r="G943" s="1" t="s">
        <v>43</v>
      </c>
      <c r="H943" s="1" t="s">
        <v>30</v>
      </c>
      <c r="I943" s="1" t="s">
        <v>30</v>
      </c>
      <c r="J943" s="1">
        <v>0.61</v>
      </c>
      <c r="K943" s="36">
        <v>45133</v>
      </c>
    </row>
    <row r="944" spans="1:11" x14ac:dyDescent="0.3">
      <c r="A944" s="2" t="s">
        <v>1907</v>
      </c>
      <c r="B944" s="1" t="s">
        <v>1908</v>
      </c>
      <c r="C944" s="1">
        <v>75</v>
      </c>
      <c r="D944" s="1" t="s">
        <v>13</v>
      </c>
      <c r="E944" s="1" t="s">
        <v>14</v>
      </c>
      <c r="F944" s="1" t="s">
        <v>46</v>
      </c>
      <c r="G944" s="1" t="s">
        <v>22</v>
      </c>
      <c r="H944" s="1" t="s">
        <v>17</v>
      </c>
      <c r="I944" s="1" t="s">
        <v>30</v>
      </c>
      <c r="J944" s="1">
        <v>0.39</v>
      </c>
      <c r="K944" s="36">
        <v>45844</v>
      </c>
    </row>
    <row r="945" spans="1:11" x14ac:dyDescent="0.3">
      <c r="A945" s="2" t="s">
        <v>1909</v>
      </c>
      <c r="B945" s="1" t="s">
        <v>1910</v>
      </c>
      <c r="C945" s="1">
        <v>47</v>
      </c>
      <c r="D945" s="1" t="s">
        <v>20</v>
      </c>
      <c r="E945" s="1" t="s">
        <v>21</v>
      </c>
      <c r="F945" s="1" t="s">
        <v>46</v>
      </c>
      <c r="G945" s="1" t="s">
        <v>16</v>
      </c>
      <c r="H945" s="1" t="s">
        <v>17</v>
      </c>
      <c r="I945" s="1" t="s">
        <v>30</v>
      </c>
      <c r="J945" s="1">
        <v>0.22</v>
      </c>
      <c r="K945" s="36">
        <v>45713</v>
      </c>
    </row>
    <row r="946" spans="1:11" x14ac:dyDescent="0.3">
      <c r="A946" s="2" t="s">
        <v>1911</v>
      </c>
      <c r="B946" s="1" t="s">
        <v>1912</v>
      </c>
      <c r="C946" s="1">
        <v>26</v>
      </c>
      <c r="D946" s="1" t="s">
        <v>20</v>
      </c>
      <c r="E946" s="1" t="s">
        <v>14</v>
      </c>
      <c r="F946" s="1" t="s">
        <v>15</v>
      </c>
      <c r="G946" s="1" t="s">
        <v>43</v>
      </c>
      <c r="H946" s="1" t="s">
        <v>17</v>
      </c>
      <c r="I946" s="1" t="s">
        <v>17</v>
      </c>
      <c r="J946" s="1">
        <v>0.14000000000000001</v>
      </c>
      <c r="K946" s="36">
        <v>44819</v>
      </c>
    </row>
    <row r="947" spans="1:11" x14ac:dyDescent="0.3">
      <c r="A947" s="2" t="s">
        <v>1913</v>
      </c>
      <c r="B947" s="1" t="s">
        <v>1914</v>
      </c>
      <c r="C947" s="1">
        <v>25</v>
      </c>
      <c r="D947" s="1" t="s">
        <v>13</v>
      </c>
      <c r="E947" s="1" t="s">
        <v>33</v>
      </c>
      <c r="F947" s="1" t="s">
        <v>15</v>
      </c>
      <c r="G947" s="1" t="s">
        <v>16</v>
      </c>
      <c r="H947" s="1" t="s">
        <v>17</v>
      </c>
      <c r="I947" s="1" t="s">
        <v>17</v>
      </c>
      <c r="J947" s="1">
        <v>0.18</v>
      </c>
      <c r="K947" s="36">
        <v>44329</v>
      </c>
    </row>
    <row r="948" spans="1:11" x14ac:dyDescent="0.3">
      <c r="A948" s="2" t="s">
        <v>1915</v>
      </c>
      <c r="B948" s="1" t="s">
        <v>1916</v>
      </c>
      <c r="C948" s="1">
        <v>79</v>
      </c>
      <c r="D948" s="1" t="s">
        <v>13</v>
      </c>
      <c r="E948" s="1" t="s">
        <v>14</v>
      </c>
      <c r="F948" s="1" t="s">
        <v>46</v>
      </c>
      <c r="G948" s="1" t="s">
        <v>38</v>
      </c>
      <c r="H948" s="1" t="s">
        <v>30</v>
      </c>
      <c r="I948" s="1" t="s">
        <v>17</v>
      </c>
      <c r="J948" s="1">
        <v>0.5</v>
      </c>
      <c r="K948" s="36">
        <v>46187</v>
      </c>
    </row>
    <row r="949" spans="1:11" x14ac:dyDescent="0.3">
      <c r="A949" s="2" t="s">
        <v>1917</v>
      </c>
      <c r="B949" s="1" t="s">
        <v>1918</v>
      </c>
      <c r="C949" s="1">
        <v>26</v>
      </c>
      <c r="D949" s="1" t="s">
        <v>13</v>
      </c>
      <c r="E949" s="1" t="s">
        <v>33</v>
      </c>
      <c r="F949" s="1" t="s">
        <v>29</v>
      </c>
      <c r="G949" s="1" t="s">
        <v>47</v>
      </c>
      <c r="H949" s="1" t="s">
        <v>17</v>
      </c>
      <c r="I949" s="1" t="s">
        <v>17</v>
      </c>
      <c r="J949" s="1">
        <v>0.04</v>
      </c>
      <c r="K949" s="36">
        <v>44385</v>
      </c>
    </row>
    <row r="950" spans="1:11" x14ac:dyDescent="0.3">
      <c r="A950" s="2" t="s">
        <v>1919</v>
      </c>
      <c r="B950" s="1" t="s">
        <v>1920</v>
      </c>
      <c r="C950" s="1">
        <v>77</v>
      </c>
      <c r="D950" s="1" t="s">
        <v>13</v>
      </c>
      <c r="E950" s="1" t="s">
        <v>21</v>
      </c>
      <c r="F950" s="1" t="s">
        <v>29</v>
      </c>
      <c r="G950" s="1" t="s">
        <v>22</v>
      </c>
      <c r="H950" s="1" t="s">
        <v>17</v>
      </c>
      <c r="I950" s="1" t="s">
        <v>30</v>
      </c>
      <c r="J950" s="1">
        <v>0.4</v>
      </c>
      <c r="K950" s="36">
        <v>46195</v>
      </c>
    </row>
    <row r="951" spans="1:11" x14ac:dyDescent="0.3">
      <c r="A951" s="2" t="s">
        <v>1921</v>
      </c>
      <c r="B951" s="1" t="s">
        <v>1922</v>
      </c>
      <c r="C951" s="1">
        <v>35</v>
      </c>
      <c r="D951" s="1" t="s">
        <v>13</v>
      </c>
      <c r="E951" s="1" t="s">
        <v>33</v>
      </c>
      <c r="F951" s="1" t="s">
        <v>62</v>
      </c>
      <c r="G951" s="1" t="s">
        <v>47</v>
      </c>
      <c r="H951" s="1" t="s">
        <v>17</v>
      </c>
      <c r="I951" s="1" t="s">
        <v>17</v>
      </c>
      <c r="J951" s="1">
        <v>0.28999999999999998</v>
      </c>
      <c r="K951" s="36">
        <v>45962</v>
      </c>
    </row>
    <row r="952" spans="1:11" x14ac:dyDescent="0.3">
      <c r="A952" s="2" t="s">
        <v>1923</v>
      </c>
      <c r="B952" s="1" t="s">
        <v>1924</v>
      </c>
      <c r="C952" s="1">
        <v>23</v>
      </c>
      <c r="D952" s="1" t="s">
        <v>13</v>
      </c>
      <c r="E952" s="1" t="s">
        <v>14</v>
      </c>
      <c r="F952" s="1" t="s">
        <v>62</v>
      </c>
      <c r="G952" s="1" t="s">
        <v>47</v>
      </c>
      <c r="H952" s="1" t="s">
        <v>17</v>
      </c>
      <c r="I952" s="1" t="s">
        <v>17</v>
      </c>
      <c r="J952" s="1">
        <v>0.25</v>
      </c>
      <c r="K952" s="36">
        <v>45664</v>
      </c>
    </row>
    <row r="953" spans="1:11" x14ac:dyDescent="0.3">
      <c r="A953" s="2" t="s">
        <v>1925</v>
      </c>
      <c r="B953" s="1" t="s">
        <v>1926</v>
      </c>
      <c r="C953" s="1">
        <v>37</v>
      </c>
      <c r="D953" s="1" t="s">
        <v>13</v>
      </c>
      <c r="E953" s="1" t="s">
        <v>28</v>
      </c>
      <c r="F953" s="1" t="s">
        <v>29</v>
      </c>
      <c r="G953" s="1" t="s">
        <v>25</v>
      </c>
      <c r="H953" s="1" t="s">
        <v>17</v>
      </c>
      <c r="I953" s="1" t="s">
        <v>17</v>
      </c>
      <c r="J953" s="1">
        <v>0.25</v>
      </c>
      <c r="K953" s="36">
        <v>46225</v>
      </c>
    </row>
    <row r="954" spans="1:11" x14ac:dyDescent="0.3">
      <c r="A954" s="2" t="s">
        <v>1927</v>
      </c>
      <c r="B954" s="1" t="s">
        <v>1928</v>
      </c>
      <c r="C954" s="1">
        <v>56</v>
      </c>
      <c r="D954" s="1" t="s">
        <v>13</v>
      </c>
      <c r="E954" s="1" t="s">
        <v>14</v>
      </c>
      <c r="F954" s="1" t="s">
        <v>15</v>
      </c>
      <c r="G954" s="1" t="s">
        <v>38</v>
      </c>
      <c r="H954" s="1" t="s">
        <v>30</v>
      </c>
      <c r="I954" s="1" t="s">
        <v>30</v>
      </c>
      <c r="J954" s="1">
        <v>0.51</v>
      </c>
      <c r="K954" s="36">
        <v>46197</v>
      </c>
    </row>
    <row r="955" spans="1:11" x14ac:dyDescent="0.3">
      <c r="A955" s="2" t="s">
        <v>1929</v>
      </c>
      <c r="B955" s="1" t="s">
        <v>1930</v>
      </c>
      <c r="C955" s="1">
        <v>44</v>
      </c>
      <c r="D955" s="1" t="s">
        <v>20</v>
      </c>
      <c r="E955" s="1" t="s">
        <v>21</v>
      </c>
      <c r="F955" s="1" t="s">
        <v>15</v>
      </c>
      <c r="G955" s="1" t="s">
        <v>47</v>
      </c>
      <c r="H955" s="1" t="s">
        <v>17</v>
      </c>
      <c r="I955" s="1" t="s">
        <v>17</v>
      </c>
      <c r="J955" s="1">
        <v>0.1</v>
      </c>
      <c r="K955" s="36">
        <v>45840</v>
      </c>
    </row>
    <row r="956" spans="1:11" x14ac:dyDescent="0.3">
      <c r="A956" s="2" t="s">
        <v>1931</v>
      </c>
      <c r="B956" s="1" t="s">
        <v>1932</v>
      </c>
      <c r="C956" s="1">
        <v>67</v>
      </c>
      <c r="D956" s="1" t="s">
        <v>20</v>
      </c>
      <c r="E956" s="1" t="s">
        <v>33</v>
      </c>
      <c r="F956" s="1" t="s">
        <v>46</v>
      </c>
      <c r="G956" s="1" t="s">
        <v>16</v>
      </c>
      <c r="H956" s="1" t="s">
        <v>30</v>
      </c>
      <c r="I956" s="1" t="s">
        <v>17</v>
      </c>
      <c r="J956" s="1">
        <v>0.55000000000000004</v>
      </c>
      <c r="K956" s="36">
        <v>44878</v>
      </c>
    </row>
    <row r="957" spans="1:11" x14ac:dyDescent="0.3">
      <c r="A957" s="2" t="s">
        <v>1933</v>
      </c>
      <c r="B957" s="1" t="s">
        <v>1934</v>
      </c>
      <c r="C957" s="1">
        <v>56</v>
      </c>
      <c r="D957" s="1" t="s">
        <v>20</v>
      </c>
      <c r="E957" s="1" t="s">
        <v>21</v>
      </c>
      <c r="F957" s="1" t="s">
        <v>62</v>
      </c>
      <c r="G957" s="1" t="s">
        <v>38</v>
      </c>
      <c r="H957" s="1" t="s">
        <v>17</v>
      </c>
      <c r="I957" s="1" t="s">
        <v>30</v>
      </c>
      <c r="J957" s="1">
        <v>0.44</v>
      </c>
      <c r="K957" s="36">
        <v>45810</v>
      </c>
    </row>
    <row r="958" spans="1:11" x14ac:dyDescent="0.3">
      <c r="A958" s="2" t="s">
        <v>1935</v>
      </c>
      <c r="B958" s="1" t="s">
        <v>1609</v>
      </c>
      <c r="C958" s="1">
        <v>43</v>
      </c>
      <c r="D958" s="1" t="s">
        <v>20</v>
      </c>
      <c r="E958" s="1" t="s">
        <v>28</v>
      </c>
      <c r="F958" s="1" t="s">
        <v>46</v>
      </c>
      <c r="G958" s="1" t="s">
        <v>47</v>
      </c>
      <c r="H958" s="1" t="s">
        <v>17</v>
      </c>
      <c r="I958" s="1" t="s">
        <v>17</v>
      </c>
      <c r="J958" s="1">
        <v>0.21</v>
      </c>
      <c r="K958" s="36">
        <v>44107</v>
      </c>
    </row>
    <row r="959" spans="1:11" x14ac:dyDescent="0.3">
      <c r="A959" s="2" t="s">
        <v>1936</v>
      </c>
      <c r="B959" s="1" t="s">
        <v>1937</v>
      </c>
      <c r="C959" s="1">
        <v>57</v>
      </c>
      <c r="D959" s="1" t="s">
        <v>13</v>
      </c>
      <c r="E959" s="1" t="s">
        <v>14</v>
      </c>
      <c r="F959" s="1" t="s">
        <v>62</v>
      </c>
      <c r="G959" s="1" t="s">
        <v>43</v>
      </c>
      <c r="H959" s="1" t="s">
        <v>17</v>
      </c>
      <c r="I959" s="1" t="s">
        <v>30</v>
      </c>
      <c r="J959" s="1">
        <v>0.36</v>
      </c>
      <c r="K959" s="36">
        <v>45253</v>
      </c>
    </row>
    <row r="960" spans="1:11" x14ac:dyDescent="0.3">
      <c r="A960" s="2" t="s">
        <v>1938</v>
      </c>
      <c r="B960" s="1" t="s">
        <v>1939</v>
      </c>
      <c r="C960" s="1">
        <v>79</v>
      </c>
      <c r="D960" s="1" t="s">
        <v>20</v>
      </c>
      <c r="E960" s="1" t="s">
        <v>28</v>
      </c>
      <c r="F960" s="1" t="s">
        <v>29</v>
      </c>
      <c r="G960" s="1" t="s">
        <v>16</v>
      </c>
      <c r="H960" s="1" t="s">
        <v>17</v>
      </c>
      <c r="I960" s="1" t="s">
        <v>30</v>
      </c>
      <c r="J960" s="1">
        <v>0.44</v>
      </c>
      <c r="K960" s="36">
        <v>45073</v>
      </c>
    </row>
    <row r="961" spans="1:11" x14ac:dyDescent="0.3">
      <c r="A961" s="2" t="s">
        <v>1940</v>
      </c>
      <c r="B961" s="1" t="s">
        <v>1941</v>
      </c>
      <c r="C961" s="1">
        <v>43</v>
      </c>
      <c r="D961" s="1" t="s">
        <v>20</v>
      </c>
      <c r="E961" s="1" t="s">
        <v>33</v>
      </c>
      <c r="F961" s="1" t="s">
        <v>46</v>
      </c>
      <c r="G961" s="1" t="s">
        <v>43</v>
      </c>
      <c r="H961" s="1" t="s">
        <v>17</v>
      </c>
      <c r="I961" s="1" t="s">
        <v>17</v>
      </c>
      <c r="J961" s="1">
        <v>0.13</v>
      </c>
      <c r="K961" s="36">
        <v>45551</v>
      </c>
    </row>
    <row r="962" spans="1:11" x14ac:dyDescent="0.3">
      <c r="A962" s="2" t="s">
        <v>1942</v>
      </c>
      <c r="B962" s="1" t="s">
        <v>1943</v>
      </c>
      <c r="C962" s="1">
        <v>27</v>
      </c>
      <c r="D962" s="1" t="s">
        <v>20</v>
      </c>
      <c r="E962" s="1" t="s">
        <v>14</v>
      </c>
      <c r="F962" s="1" t="s">
        <v>62</v>
      </c>
      <c r="G962" s="1" t="s">
        <v>22</v>
      </c>
      <c r="H962" s="1" t="s">
        <v>17</v>
      </c>
      <c r="I962" s="1" t="s">
        <v>30</v>
      </c>
      <c r="J962" s="1">
        <v>0.42</v>
      </c>
      <c r="K962" s="36">
        <v>45550</v>
      </c>
    </row>
    <row r="963" spans="1:11" x14ac:dyDescent="0.3">
      <c r="A963" s="2" t="s">
        <v>1944</v>
      </c>
      <c r="B963" s="1" t="s">
        <v>1945</v>
      </c>
      <c r="C963" s="1">
        <v>43</v>
      </c>
      <c r="D963" s="1" t="s">
        <v>13</v>
      </c>
      <c r="E963" s="1" t="s">
        <v>33</v>
      </c>
      <c r="F963" s="1" t="s">
        <v>15</v>
      </c>
      <c r="G963" s="1" t="s">
        <v>16</v>
      </c>
      <c r="H963" s="1" t="s">
        <v>17</v>
      </c>
      <c r="I963" s="1" t="s">
        <v>17</v>
      </c>
      <c r="J963" s="1">
        <v>0.36</v>
      </c>
      <c r="K963" s="36">
        <v>45358</v>
      </c>
    </row>
    <row r="964" spans="1:11" x14ac:dyDescent="0.3">
      <c r="A964" s="2" t="s">
        <v>1946</v>
      </c>
      <c r="B964" s="1" t="s">
        <v>1947</v>
      </c>
      <c r="C964" s="1">
        <v>70</v>
      </c>
      <c r="D964" s="1" t="s">
        <v>20</v>
      </c>
      <c r="E964" s="1" t="s">
        <v>21</v>
      </c>
      <c r="F964" s="1" t="s">
        <v>15</v>
      </c>
      <c r="G964" s="1" t="s">
        <v>47</v>
      </c>
      <c r="H964" s="1" t="s">
        <v>30</v>
      </c>
      <c r="I964" s="1" t="s">
        <v>30</v>
      </c>
      <c r="J964" s="1">
        <v>0.64</v>
      </c>
      <c r="K964" s="36">
        <v>45879</v>
      </c>
    </row>
    <row r="965" spans="1:11" x14ac:dyDescent="0.3">
      <c r="A965" s="2" t="s">
        <v>1948</v>
      </c>
      <c r="B965" s="1" t="s">
        <v>1949</v>
      </c>
      <c r="C965" s="1">
        <v>31</v>
      </c>
      <c r="D965" s="1" t="s">
        <v>13</v>
      </c>
      <c r="E965" s="1" t="s">
        <v>21</v>
      </c>
      <c r="F965" s="1" t="s">
        <v>62</v>
      </c>
      <c r="G965" s="1" t="s">
        <v>22</v>
      </c>
      <c r="H965" s="1" t="s">
        <v>17</v>
      </c>
      <c r="I965" s="1" t="s">
        <v>30</v>
      </c>
      <c r="J965" s="1">
        <v>0.31</v>
      </c>
      <c r="K965" s="36">
        <v>46138</v>
      </c>
    </row>
    <row r="966" spans="1:11" x14ac:dyDescent="0.3">
      <c r="A966" s="2" t="s">
        <v>1950</v>
      </c>
      <c r="B966" s="1" t="s">
        <v>1951</v>
      </c>
      <c r="C966" s="1">
        <v>77</v>
      </c>
      <c r="D966" s="1" t="s">
        <v>13</v>
      </c>
      <c r="E966" s="1" t="s">
        <v>28</v>
      </c>
      <c r="F966" s="1" t="s">
        <v>46</v>
      </c>
      <c r="G966" s="1" t="s">
        <v>47</v>
      </c>
      <c r="H966" s="1" t="s">
        <v>17</v>
      </c>
      <c r="I966" s="1" t="s">
        <v>17</v>
      </c>
      <c r="J966" s="1">
        <v>0.13</v>
      </c>
      <c r="K966" s="36">
        <v>44314</v>
      </c>
    </row>
    <row r="967" spans="1:11" x14ac:dyDescent="0.3">
      <c r="A967" s="2" t="s">
        <v>1952</v>
      </c>
      <c r="B967" s="1" t="s">
        <v>1953</v>
      </c>
      <c r="C967" s="1">
        <v>55</v>
      </c>
      <c r="D967" s="1" t="s">
        <v>20</v>
      </c>
      <c r="E967" s="1" t="s">
        <v>28</v>
      </c>
      <c r="F967" s="1" t="s">
        <v>29</v>
      </c>
      <c r="G967" s="1" t="s">
        <v>25</v>
      </c>
      <c r="H967" s="1" t="s">
        <v>17</v>
      </c>
      <c r="I967" s="1" t="s">
        <v>30</v>
      </c>
      <c r="J967" s="1">
        <v>0.33</v>
      </c>
      <c r="K967" s="36">
        <v>44589</v>
      </c>
    </row>
    <row r="968" spans="1:11" x14ac:dyDescent="0.3">
      <c r="A968" s="2" t="s">
        <v>1954</v>
      </c>
      <c r="B968" s="1" t="s">
        <v>1955</v>
      </c>
      <c r="C968" s="1">
        <v>55</v>
      </c>
      <c r="D968" s="1" t="s">
        <v>13</v>
      </c>
      <c r="E968" s="1" t="s">
        <v>28</v>
      </c>
      <c r="F968" s="1" t="s">
        <v>15</v>
      </c>
      <c r="G968" s="1" t="s">
        <v>47</v>
      </c>
      <c r="H968" s="1" t="s">
        <v>30</v>
      </c>
      <c r="I968" s="1" t="s">
        <v>17</v>
      </c>
      <c r="J968" s="1">
        <v>0.55000000000000004</v>
      </c>
      <c r="K968" s="36">
        <v>44131</v>
      </c>
    </row>
    <row r="969" spans="1:11" x14ac:dyDescent="0.3">
      <c r="A969" s="2" t="s">
        <v>1956</v>
      </c>
      <c r="B969" s="1" t="s">
        <v>1957</v>
      </c>
      <c r="C969" s="1">
        <v>37</v>
      </c>
      <c r="D969" s="1" t="s">
        <v>20</v>
      </c>
      <c r="E969" s="1" t="s">
        <v>14</v>
      </c>
      <c r="F969" s="1" t="s">
        <v>15</v>
      </c>
      <c r="G969" s="1" t="s">
        <v>47</v>
      </c>
      <c r="H969" s="1" t="s">
        <v>17</v>
      </c>
      <c r="I969" s="1" t="s">
        <v>17</v>
      </c>
      <c r="J969" s="1">
        <v>0.14000000000000001</v>
      </c>
      <c r="K969" s="36">
        <v>46015</v>
      </c>
    </row>
    <row r="970" spans="1:11" x14ac:dyDescent="0.3">
      <c r="A970" s="2" t="s">
        <v>1958</v>
      </c>
      <c r="B970" s="1" t="s">
        <v>1959</v>
      </c>
      <c r="C970" s="1">
        <v>75</v>
      </c>
      <c r="D970" s="1" t="s">
        <v>20</v>
      </c>
      <c r="E970" s="1" t="s">
        <v>14</v>
      </c>
      <c r="F970" s="1" t="s">
        <v>29</v>
      </c>
      <c r="G970" s="1" t="s">
        <v>22</v>
      </c>
      <c r="H970" s="1" t="s">
        <v>17</v>
      </c>
      <c r="I970" s="1" t="s">
        <v>17</v>
      </c>
      <c r="J970" s="1">
        <v>0.26</v>
      </c>
      <c r="K970" s="36">
        <v>45307</v>
      </c>
    </row>
    <row r="971" spans="1:11" x14ac:dyDescent="0.3">
      <c r="A971" s="2" t="s">
        <v>1960</v>
      </c>
      <c r="B971" s="1" t="s">
        <v>1961</v>
      </c>
      <c r="C971" s="1">
        <v>20</v>
      </c>
      <c r="D971" s="1" t="s">
        <v>13</v>
      </c>
      <c r="E971" s="1" t="s">
        <v>14</v>
      </c>
      <c r="F971" s="1" t="s">
        <v>46</v>
      </c>
      <c r="G971" s="1" t="s">
        <v>22</v>
      </c>
      <c r="H971" s="1" t="s">
        <v>30</v>
      </c>
      <c r="I971" s="1" t="s">
        <v>17</v>
      </c>
      <c r="J971" s="1">
        <v>0.47</v>
      </c>
      <c r="K971" s="36">
        <v>46083</v>
      </c>
    </row>
    <row r="972" spans="1:11" x14ac:dyDescent="0.3">
      <c r="A972" s="2" t="s">
        <v>1962</v>
      </c>
      <c r="B972" s="1" t="s">
        <v>1963</v>
      </c>
      <c r="C972" s="1">
        <v>36</v>
      </c>
      <c r="D972" s="1" t="s">
        <v>13</v>
      </c>
      <c r="E972" s="1" t="s">
        <v>33</v>
      </c>
      <c r="F972" s="1" t="s">
        <v>15</v>
      </c>
      <c r="G972" s="1" t="s">
        <v>47</v>
      </c>
      <c r="H972" s="1" t="s">
        <v>30</v>
      </c>
      <c r="I972" s="1" t="s">
        <v>17</v>
      </c>
      <c r="J972" s="1">
        <v>0.47</v>
      </c>
      <c r="K972" s="36">
        <v>44562</v>
      </c>
    </row>
    <row r="973" spans="1:11" x14ac:dyDescent="0.3">
      <c r="A973" s="2" t="s">
        <v>1964</v>
      </c>
      <c r="B973" s="1" t="s">
        <v>1965</v>
      </c>
      <c r="C973" s="1">
        <v>44</v>
      </c>
      <c r="D973" s="1" t="s">
        <v>20</v>
      </c>
      <c r="E973" s="1" t="s">
        <v>33</v>
      </c>
      <c r="F973" s="1" t="s">
        <v>29</v>
      </c>
      <c r="G973" s="1" t="s">
        <v>22</v>
      </c>
      <c r="H973" s="1" t="s">
        <v>17</v>
      </c>
      <c r="I973" s="1" t="s">
        <v>17</v>
      </c>
      <c r="J973" s="1">
        <v>0.19</v>
      </c>
      <c r="K973" s="36">
        <v>44215</v>
      </c>
    </row>
    <row r="974" spans="1:11" x14ac:dyDescent="0.3">
      <c r="A974" s="2" t="s">
        <v>1966</v>
      </c>
      <c r="B974" s="1" t="s">
        <v>1967</v>
      </c>
      <c r="C974" s="1">
        <v>48</v>
      </c>
      <c r="D974" s="1" t="s">
        <v>13</v>
      </c>
      <c r="E974" s="1" t="s">
        <v>28</v>
      </c>
      <c r="F974" s="1" t="s">
        <v>15</v>
      </c>
      <c r="G974" s="1" t="s">
        <v>47</v>
      </c>
      <c r="H974" s="1" t="s">
        <v>17</v>
      </c>
      <c r="I974" s="1" t="s">
        <v>30</v>
      </c>
      <c r="J974" s="1">
        <v>0.33</v>
      </c>
      <c r="K974" s="36">
        <v>45882</v>
      </c>
    </row>
    <row r="975" spans="1:11" x14ac:dyDescent="0.3">
      <c r="A975" s="2" t="s">
        <v>1968</v>
      </c>
      <c r="B975" s="1" t="s">
        <v>1969</v>
      </c>
      <c r="C975" s="1">
        <v>47</v>
      </c>
      <c r="D975" s="1" t="s">
        <v>20</v>
      </c>
      <c r="E975" s="1" t="s">
        <v>28</v>
      </c>
      <c r="F975" s="1" t="s">
        <v>46</v>
      </c>
      <c r="G975" s="1" t="s">
        <v>43</v>
      </c>
      <c r="H975" s="1" t="s">
        <v>17</v>
      </c>
      <c r="I975" s="1" t="s">
        <v>30</v>
      </c>
      <c r="J975" s="1">
        <v>0.35</v>
      </c>
      <c r="K975" s="36">
        <v>46070</v>
      </c>
    </row>
    <row r="976" spans="1:11" x14ac:dyDescent="0.3">
      <c r="A976" s="2" t="s">
        <v>1970</v>
      </c>
      <c r="B976" s="1" t="s">
        <v>1971</v>
      </c>
      <c r="C976" s="1">
        <v>27</v>
      </c>
      <c r="D976" s="1" t="s">
        <v>13</v>
      </c>
      <c r="E976" s="1" t="s">
        <v>14</v>
      </c>
      <c r="F976" s="1" t="s">
        <v>15</v>
      </c>
      <c r="G976" s="1" t="s">
        <v>16</v>
      </c>
      <c r="H976" s="1" t="s">
        <v>17</v>
      </c>
      <c r="I976" s="1" t="s">
        <v>17</v>
      </c>
      <c r="J976" s="1">
        <v>0.16</v>
      </c>
      <c r="K976" s="36">
        <v>44739</v>
      </c>
    </row>
    <row r="977" spans="1:11" x14ac:dyDescent="0.3">
      <c r="A977" s="2" t="s">
        <v>1972</v>
      </c>
      <c r="B977" s="1" t="s">
        <v>1973</v>
      </c>
      <c r="C977" s="1">
        <v>32</v>
      </c>
      <c r="D977" s="1" t="s">
        <v>13</v>
      </c>
      <c r="E977" s="1" t="s">
        <v>33</v>
      </c>
      <c r="F977" s="1" t="s">
        <v>29</v>
      </c>
      <c r="G977" s="1" t="s">
        <v>43</v>
      </c>
      <c r="H977" s="1" t="s">
        <v>17</v>
      </c>
      <c r="I977" s="1" t="s">
        <v>17</v>
      </c>
      <c r="J977" s="1">
        <v>0.17</v>
      </c>
      <c r="K977" s="36">
        <v>44971</v>
      </c>
    </row>
    <row r="978" spans="1:11" x14ac:dyDescent="0.3">
      <c r="A978" s="2" t="s">
        <v>1974</v>
      </c>
      <c r="B978" s="1" t="s">
        <v>1975</v>
      </c>
      <c r="C978" s="1">
        <v>24</v>
      </c>
      <c r="D978" s="1" t="s">
        <v>13</v>
      </c>
      <c r="E978" s="1" t="s">
        <v>33</v>
      </c>
      <c r="F978" s="1" t="s">
        <v>29</v>
      </c>
      <c r="G978" s="1" t="s">
        <v>43</v>
      </c>
      <c r="H978" s="1" t="s">
        <v>17</v>
      </c>
      <c r="I978" s="1" t="s">
        <v>17</v>
      </c>
      <c r="J978" s="1">
        <v>0.27</v>
      </c>
      <c r="K978" s="36">
        <v>44383</v>
      </c>
    </row>
    <row r="979" spans="1:11" x14ac:dyDescent="0.3">
      <c r="A979" s="2" t="s">
        <v>1976</v>
      </c>
      <c r="B979" s="1" t="s">
        <v>1977</v>
      </c>
      <c r="C979" s="1">
        <v>54</v>
      </c>
      <c r="D979" s="1" t="s">
        <v>13</v>
      </c>
      <c r="E979" s="1" t="s">
        <v>28</v>
      </c>
      <c r="F979" s="1" t="s">
        <v>29</v>
      </c>
      <c r="G979" s="1" t="s">
        <v>16</v>
      </c>
      <c r="H979" s="1" t="s">
        <v>17</v>
      </c>
      <c r="I979" s="1" t="s">
        <v>17</v>
      </c>
      <c r="J979" s="1">
        <v>0.21</v>
      </c>
      <c r="K979" s="36">
        <v>46151</v>
      </c>
    </row>
    <row r="980" spans="1:11" x14ac:dyDescent="0.3">
      <c r="A980" s="2" t="s">
        <v>1978</v>
      </c>
      <c r="B980" s="1" t="s">
        <v>1979</v>
      </c>
      <c r="C980" s="1">
        <v>40</v>
      </c>
      <c r="D980" s="1" t="s">
        <v>20</v>
      </c>
      <c r="E980" s="1" t="s">
        <v>14</v>
      </c>
      <c r="F980" s="1" t="s">
        <v>15</v>
      </c>
      <c r="G980" s="1" t="s">
        <v>25</v>
      </c>
      <c r="H980" s="1" t="s">
        <v>17</v>
      </c>
      <c r="I980" s="1" t="s">
        <v>17</v>
      </c>
      <c r="J980" s="1">
        <v>0.33</v>
      </c>
      <c r="K980" s="36">
        <v>44744</v>
      </c>
    </row>
    <row r="981" spans="1:11" x14ac:dyDescent="0.3">
      <c r="A981" s="2" t="s">
        <v>1980</v>
      </c>
      <c r="B981" s="1" t="s">
        <v>1981</v>
      </c>
      <c r="C981" s="1">
        <v>53</v>
      </c>
      <c r="D981" s="1" t="s">
        <v>13</v>
      </c>
      <c r="E981" s="1" t="s">
        <v>21</v>
      </c>
      <c r="F981" s="1" t="s">
        <v>29</v>
      </c>
      <c r="G981" s="1" t="s">
        <v>38</v>
      </c>
      <c r="H981" s="1" t="s">
        <v>17</v>
      </c>
      <c r="I981" s="1" t="s">
        <v>17</v>
      </c>
      <c r="J981" s="1">
        <v>0.23</v>
      </c>
      <c r="K981" s="36">
        <v>45156</v>
      </c>
    </row>
    <row r="982" spans="1:11" x14ac:dyDescent="0.3">
      <c r="A982" s="2" t="s">
        <v>1982</v>
      </c>
      <c r="B982" s="1" t="s">
        <v>1983</v>
      </c>
      <c r="C982" s="1">
        <v>55</v>
      </c>
      <c r="D982" s="1" t="s">
        <v>13</v>
      </c>
      <c r="E982" s="1" t="s">
        <v>14</v>
      </c>
      <c r="F982" s="1" t="s">
        <v>15</v>
      </c>
      <c r="G982" s="1" t="s">
        <v>43</v>
      </c>
      <c r="H982" s="1" t="s">
        <v>30</v>
      </c>
      <c r="I982" s="1" t="s">
        <v>17</v>
      </c>
      <c r="J982" s="1">
        <v>0.53</v>
      </c>
      <c r="K982" s="36">
        <v>44290</v>
      </c>
    </row>
    <row r="983" spans="1:11" x14ac:dyDescent="0.3">
      <c r="A983" s="2" t="s">
        <v>1984</v>
      </c>
      <c r="B983" s="1" t="s">
        <v>1985</v>
      </c>
      <c r="C983" s="1">
        <v>62</v>
      </c>
      <c r="D983" s="1" t="s">
        <v>13</v>
      </c>
      <c r="E983" s="1" t="s">
        <v>33</v>
      </c>
      <c r="F983" s="1" t="s">
        <v>29</v>
      </c>
      <c r="G983" s="1" t="s">
        <v>22</v>
      </c>
      <c r="H983" s="1" t="s">
        <v>30</v>
      </c>
      <c r="I983" s="1" t="s">
        <v>30</v>
      </c>
      <c r="J983" s="1">
        <v>0.55000000000000004</v>
      </c>
      <c r="K983" s="36">
        <v>46021</v>
      </c>
    </row>
    <row r="984" spans="1:11" x14ac:dyDescent="0.3">
      <c r="A984" s="2" t="s">
        <v>1986</v>
      </c>
      <c r="B984" s="1" t="s">
        <v>1987</v>
      </c>
      <c r="C984" s="1">
        <v>52</v>
      </c>
      <c r="D984" s="1" t="s">
        <v>20</v>
      </c>
      <c r="E984" s="1" t="s">
        <v>28</v>
      </c>
      <c r="F984" s="1" t="s">
        <v>29</v>
      </c>
      <c r="G984" s="1" t="s">
        <v>25</v>
      </c>
      <c r="H984" s="1" t="s">
        <v>17</v>
      </c>
      <c r="I984" s="1" t="s">
        <v>30</v>
      </c>
      <c r="J984" s="1">
        <v>0.38</v>
      </c>
      <c r="K984" s="36">
        <v>44374</v>
      </c>
    </row>
    <row r="985" spans="1:11" x14ac:dyDescent="0.3">
      <c r="A985" s="2" t="s">
        <v>1988</v>
      </c>
      <c r="B985" s="1" t="s">
        <v>1989</v>
      </c>
      <c r="C985" s="1">
        <v>58</v>
      </c>
      <c r="D985" s="1" t="s">
        <v>20</v>
      </c>
      <c r="E985" s="1" t="s">
        <v>28</v>
      </c>
      <c r="F985" s="1" t="s">
        <v>46</v>
      </c>
      <c r="G985" s="1" t="s">
        <v>47</v>
      </c>
      <c r="H985" s="1" t="s">
        <v>17</v>
      </c>
      <c r="I985" s="1" t="s">
        <v>17</v>
      </c>
      <c r="J985" s="1">
        <v>0.24</v>
      </c>
      <c r="K985" s="36">
        <v>45071</v>
      </c>
    </row>
    <row r="986" spans="1:11" x14ac:dyDescent="0.3">
      <c r="A986" s="2" t="s">
        <v>1990</v>
      </c>
      <c r="B986" s="1" t="s">
        <v>1991</v>
      </c>
      <c r="C986" s="1">
        <v>54</v>
      </c>
      <c r="D986" s="1" t="s">
        <v>20</v>
      </c>
      <c r="E986" s="1" t="s">
        <v>21</v>
      </c>
      <c r="F986" s="1" t="s">
        <v>29</v>
      </c>
      <c r="G986" s="1" t="s">
        <v>38</v>
      </c>
      <c r="H986" s="1" t="s">
        <v>17</v>
      </c>
      <c r="I986" s="1" t="s">
        <v>17</v>
      </c>
      <c r="J986" s="1">
        <v>0.22</v>
      </c>
      <c r="K986" s="36">
        <v>45546</v>
      </c>
    </row>
    <row r="987" spans="1:11" x14ac:dyDescent="0.3">
      <c r="A987" s="2" t="s">
        <v>1992</v>
      </c>
      <c r="B987" s="1" t="s">
        <v>1993</v>
      </c>
      <c r="C987" s="1">
        <v>59</v>
      </c>
      <c r="D987" s="1" t="s">
        <v>20</v>
      </c>
      <c r="E987" s="1" t="s">
        <v>33</v>
      </c>
      <c r="F987" s="1" t="s">
        <v>62</v>
      </c>
      <c r="G987" s="1" t="s">
        <v>43</v>
      </c>
      <c r="H987" s="1" t="s">
        <v>17</v>
      </c>
      <c r="I987" s="1" t="s">
        <v>30</v>
      </c>
      <c r="J987" s="1">
        <v>0.47</v>
      </c>
      <c r="K987" s="36">
        <v>45705</v>
      </c>
    </row>
    <row r="988" spans="1:11" x14ac:dyDescent="0.3">
      <c r="A988" s="2" t="s">
        <v>1994</v>
      </c>
      <c r="B988" s="1" t="s">
        <v>1995</v>
      </c>
      <c r="C988" s="1">
        <v>56</v>
      </c>
      <c r="D988" s="1" t="s">
        <v>20</v>
      </c>
      <c r="E988" s="1" t="s">
        <v>21</v>
      </c>
      <c r="F988" s="1" t="s">
        <v>62</v>
      </c>
      <c r="G988" s="1" t="s">
        <v>22</v>
      </c>
      <c r="H988" s="1" t="s">
        <v>30</v>
      </c>
      <c r="I988" s="1" t="s">
        <v>30</v>
      </c>
      <c r="J988" s="1">
        <v>0.61</v>
      </c>
      <c r="K988" s="36">
        <v>46150</v>
      </c>
    </row>
    <row r="989" spans="1:11" x14ac:dyDescent="0.3">
      <c r="A989" s="2" t="s">
        <v>1996</v>
      </c>
      <c r="B989" s="1" t="s">
        <v>1997</v>
      </c>
      <c r="C989" s="1">
        <v>37</v>
      </c>
      <c r="D989" s="1" t="s">
        <v>20</v>
      </c>
      <c r="E989" s="1" t="s">
        <v>14</v>
      </c>
      <c r="F989" s="1" t="s">
        <v>29</v>
      </c>
      <c r="G989" s="1" t="s">
        <v>38</v>
      </c>
      <c r="H989" s="1" t="s">
        <v>17</v>
      </c>
      <c r="I989" s="1" t="s">
        <v>30</v>
      </c>
      <c r="J989" s="1">
        <v>0.49</v>
      </c>
      <c r="K989" s="36">
        <v>44995</v>
      </c>
    </row>
    <row r="990" spans="1:11" x14ac:dyDescent="0.3">
      <c r="A990" s="2" t="s">
        <v>1998</v>
      </c>
      <c r="B990" s="1" t="s">
        <v>1999</v>
      </c>
      <c r="C990" s="1">
        <v>33</v>
      </c>
      <c r="D990" s="1" t="s">
        <v>13</v>
      </c>
      <c r="E990" s="1" t="s">
        <v>28</v>
      </c>
      <c r="F990" s="1" t="s">
        <v>46</v>
      </c>
      <c r="G990" s="1" t="s">
        <v>16</v>
      </c>
      <c r="H990" s="1" t="s">
        <v>17</v>
      </c>
      <c r="I990" s="1" t="s">
        <v>17</v>
      </c>
      <c r="J990" s="1">
        <v>0.28999999999999998</v>
      </c>
      <c r="K990" s="36">
        <v>45704</v>
      </c>
    </row>
    <row r="991" spans="1:11" x14ac:dyDescent="0.3">
      <c r="A991" s="2" t="s">
        <v>2000</v>
      </c>
      <c r="B991" s="1" t="s">
        <v>2001</v>
      </c>
      <c r="C991" s="1">
        <v>67</v>
      </c>
      <c r="D991" s="1" t="s">
        <v>20</v>
      </c>
      <c r="E991" s="1" t="s">
        <v>28</v>
      </c>
      <c r="F991" s="1" t="s">
        <v>62</v>
      </c>
      <c r="G991" s="1" t="s">
        <v>38</v>
      </c>
      <c r="H991" s="1" t="s">
        <v>17</v>
      </c>
      <c r="I991" s="1" t="s">
        <v>17</v>
      </c>
      <c r="J991" s="1">
        <v>0.35</v>
      </c>
      <c r="K991" s="36">
        <v>44415</v>
      </c>
    </row>
    <row r="992" spans="1:11" x14ac:dyDescent="0.3">
      <c r="A992" s="2" t="s">
        <v>2002</v>
      </c>
      <c r="B992" s="1" t="s">
        <v>2003</v>
      </c>
      <c r="C992" s="1">
        <v>39</v>
      </c>
      <c r="D992" s="1" t="s">
        <v>13</v>
      </c>
      <c r="E992" s="1" t="s">
        <v>21</v>
      </c>
      <c r="F992" s="1" t="s">
        <v>46</v>
      </c>
      <c r="G992" s="1" t="s">
        <v>22</v>
      </c>
      <c r="H992" s="1" t="s">
        <v>30</v>
      </c>
      <c r="I992" s="1" t="s">
        <v>30</v>
      </c>
      <c r="J992" s="1">
        <v>0.57999999999999996</v>
      </c>
      <c r="K992" s="36">
        <v>44986</v>
      </c>
    </row>
    <row r="993" spans="1:11" x14ac:dyDescent="0.3">
      <c r="A993" s="2" t="s">
        <v>2004</v>
      </c>
      <c r="B993" s="1" t="s">
        <v>2005</v>
      </c>
      <c r="C993" s="1">
        <v>52</v>
      </c>
      <c r="D993" s="1" t="s">
        <v>13</v>
      </c>
      <c r="E993" s="1" t="s">
        <v>21</v>
      </c>
      <c r="F993" s="1" t="s">
        <v>15</v>
      </c>
      <c r="G993" s="1" t="s">
        <v>25</v>
      </c>
      <c r="H993" s="1" t="s">
        <v>17</v>
      </c>
      <c r="I993" s="1" t="s">
        <v>17</v>
      </c>
      <c r="J993" s="1">
        <v>0.31</v>
      </c>
      <c r="K993" s="36">
        <v>44294</v>
      </c>
    </row>
    <row r="994" spans="1:11" x14ac:dyDescent="0.3">
      <c r="A994" s="2" t="s">
        <v>2006</v>
      </c>
      <c r="B994" s="1" t="s">
        <v>2007</v>
      </c>
      <c r="C994" s="1">
        <v>30</v>
      </c>
      <c r="D994" s="1" t="s">
        <v>13</v>
      </c>
      <c r="E994" s="1" t="s">
        <v>33</v>
      </c>
      <c r="F994" s="1" t="s">
        <v>46</v>
      </c>
      <c r="G994" s="1" t="s">
        <v>25</v>
      </c>
      <c r="H994" s="1" t="s">
        <v>17</v>
      </c>
      <c r="I994" s="1" t="s">
        <v>17</v>
      </c>
      <c r="J994" s="1">
        <v>0.11</v>
      </c>
      <c r="K994" s="36">
        <v>45149</v>
      </c>
    </row>
    <row r="995" spans="1:11" x14ac:dyDescent="0.3">
      <c r="A995" s="2" t="s">
        <v>2008</v>
      </c>
      <c r="B995" s="1" t="s">
        <v>2009</v>
      </c>
      <c r="C995" s="1">
        <v>45</v>
      </c>
      <c r="D995" s="1" t="s">
        <v>20</v>
      </c>
      <c r="E995" s="1" t="s">
        <v>14</v>
      </c>
      <c r="F995" s="1" t="s">
        <v>46</v>
      </c>
      <c r="G995" s="1" t="s">
        <v>22</v>
      </c>
      <c r="H995" s="1" t="s">
        <v>17</v>
      </c>
      <c r="I995" s="1" t="s">
        <v>17</v>
      </c>
      <c r="J995" s="1">
        <v>0.28000000000000003</v>
      </c>
      <c r="K995" s="36">
        <v>44971</v>
      </c>
    </row>
    <row r="996" spans="1:11" x14ac:dyDescent="0.3">
      <c r="A996" s="2" t="s">
        <v>2010</v>
      </c>
      <c r="B996" s="1" t="s">
        <v>2011</v>
      </c>
      <c r="C996" s="1">
        <v>51</v>
      </c>
      <c r="D996" s="1" t="s">
        <v>20</v>
      </c>
      <c r="E996" s="1" t="s">
        <v>14</v>
      </c>
      <c r="F996" s="1" t="s">
        <v>29</v>
      </c>
      <c r="G996" s="1" t="s">
        <v>22</v>
      </c>
      <c r="H996" s="1" t="s">
        <v>17</v>
      </c>
      <c r="I996" s="1" t="s">
        <v>30</v>
      </c>
      <c r="J996" s="1">
        <v>0.28999999999999998</v>
      </c>
      <c r="K996" s="36">
        <v>46162</v>
      </c>
    </row>
    <row r="997" spans="1:11" x14ac:dyDescent="0.3">
      <c r="A997" s="2" t="s">
        <v>2012</v>
      </c>
      <c r="B997" s="1" t="s">
        <v>2013</v>
      </c>
      <c r="C997" s="1">
        <v>57</v>
      </c>
      <c r="D997" s="1" t="s">
        <v>13</v>
      </c>
      <c r="E997" s="1" t="s">
        <v>28</v>
      </c>
      <c r="F997" s="1" t="s">
        <v>15</v>
      </c>
      <c r="G997" s="1" t="s">
        <v>43</v>
      </c>
      <c r="H997" s="1" t="s">
        <v>17</v>
      </c>
      <c r="I997" s="1" t="s">
        <v>17</v>
      </c>
      <c r="J997" s="1">
        <v>0.25</v>
      </c>
      <c r="K997" s="36">
        <v>44148</v>
      </c>
    </row>
    <row r="998" spans="1:11" x14ac:dyDescent="0.3">
      <c r="A998" s="2" t="s">
        <v>2014</v>
      </c>
      <c r="B998" s="1" t="s">
        <v>2015</v>
      </c>
      <c r="C998" s="1">
        <v>51</v>
      </c>
      <c r="D998" s="1" t="s">
        <v>13</v>
      </c>
      <c r="E998" s="1" t="s">
        <v>28</v>
      </c>
      <c r="F998" s="1" t="s">
        <v>15</v>
      </c>
      <c r="G998" s="1" t="s">
        <v>47</v>
      </c>
      <c r="H998" s="1" t="s">
        <v>17</v>
      </c>
      <c r="I998" s="1" t="s">
        <v>17</v>
      </c>
      <c r="J998" s="1">
        <v>0.23</v>
      </c>
      <c r="K998" s="36">
        <v>44889</v>
      </c>
    </row>
    <row r="999" spans="1:11" x14ac:dyDescent="0.3">
      <c r="A999" s="2" t="s">
        <v>2016</v>
      </c>
      <c r="B999" s="1" t="s">
        <v>2017</v>
      </c>
      <c r="C999" s="1">
        <v>40</v>
      </c>
      <c r="D999" s="1" t="s">
        <v>20</v>
      </c>
      <c r="E999" s="1" t="s">
        <v>28</v>
      </c>
      <c r="F999" s="1" t="s">
        <v>15</v>
      </c>
      <c r="G999" s="1" t="s">
        <v>38</v>
      </c>
      <c r="H999" s="1" t="s">
        <v>17</v>
      </c>
      <c r="I999" s="1" t="s">
        <v>17</v>
      </c>
      <c r="J999" s="1">
        <v>0.27</v>
      </c>
      <c r="K999" s="36">
        <v>45048</v>
      </c>
    </row>
    <row r="1000" spans="1:11" x14ac:dyDescent="0.3">
      <c r="A1000" s="2" t="s">
        <v>2018</v>
      </c>
      <c r="B1000" s="1" t="s">
        <v>2019</v>
      </c>
      <c r="C1000" s="1">
        <v>78</v>
      </c>
      <c r="D1000" s="1" t="s">
        <v>13</v>
      </c>
      <c r="E1000" s="1" t="s">
        <v>28</v>
      </c>
      <c r="F1000" s="1" t="s">
        <v>62</v>
      </c>
      <c r="G1000" s="1" t="s">
        <v>38</v>
      </c>
      <c r="H1000" s="1" t="s">
        <v>17</v>
      </c>
      <c r="I1000" s="1" t="s">
        <v>30</v>
      </c>
      <c r="J1000" s="1">
        <v>0.36</v>
      </c>
      <c r="K1000" s="36">
        <v>46160</v>
      </c>
    </row>
    <row r="1001" spans="1:11" x14ac:dyDescent="0.3">
      <c r="A1001" s="2" t="s">
        <v>2020</v>
      </c>
      <c r="B1001" s="1" t="s">
        <v>2021</v>
      </c>
      <c r="C1001" s="1">
        <v>50</v>
      </c>
      <c r="D1001" s="1" t="s">
        <v>13</v>
      </c>
      <c r="E1001" s="1" t="s">
        <v>28</v>
      </c>
      <c r="F1001" s="1" t="s">
        <v>62</v>
      </c>
      <c r="G1001" s="1" t="s">
        <v>25</v>
      </c>
      <c r="H1001" s="1" t="s">
        <v>17</v>
      </c>
      <c r="I1001" s="1" t="s">
        <v>17</v>
      </c>
      <c r="J1001" s="1">
        <v>0.17</v>
      </c>
      <c r="K1001" s="36">
        <v>45952</v>
      </c>
    </row>
    <row r="1002" spans="1:11" x14ac:dyDescent="0.3">
      <c r="A1002" s="2" t="s">
        <v>2022</v>
      </c>
      <c r="B1002" s="1" t="s">
        <v>2023</v>
      </c>
      <c r="C1002" s="1">
        <v>68</v>
      </c>
      <c r="D1002" s="1" t="s">
        <v>13</v>
      </c>
      <c r="E1002" s="1" t="s">
        <v>33</v>
      </c>
      <c r="F1002" s="1" t="s">
        <v>62</v>
      </c>
      <c r="G1002" s="1" t="s">
        <v>22</v>
      </c>
      <c r="H1002" s="1" t="s">
        <v>17</v>
      </c>
      <c r="I1002" s="1" t="s">
        <v>17</v>
      </c>
      <c r="J1002" s="1">
        <v>0.28999999999999998</v>
      </c>
      <c r="K1002" s="36">
        <v>44294</v>
      </c>
    </row>
    <row r="1003" spans="1:11" x14ac:dyDescent="0.3">
      <c r="A1003" s="2" t="s">
        <v>2024</v>
      </c>
      <c r="B1003" s="1" t="s">
        <v>2025</v>
      </c>
      <c r="C1003" s="1">
        <v>64</v>
      </c>
      <c r="D1003" s="1" t="s">
        <v>20</v>
      </c>
      <c r="E1003" s="1" t="s">
        <v>28</v>
      </c>
      <c r="F1003" s="1" t="s">
        <v>29</v>
      </c>
      <c r="G1003" s="1" t="s">
        <v>38</v>
      </c>
      <c r="H1003" s="1" t="s">
        <v>17</v>
      </c>
      <c r="I1003" s="1" t="s">
        <v>30</v>
      </c>
      <c r="J1003" s="1">
        <v>0.42</v>
      </c>
      <c r="K1003" s="36">
        <v>45580</v>
      </c>
    </row>
    <row r="1004" spans="1:11" x14ac:dyDescent="0.3">
      <c r="A1004" s="2" t="s">
        <v>2026</v>
      </c>
      <c r="B1004" s="1" t="s">
        <v>2027</v>
      </c>
      <c r="C1004" s="1">
        <v>53</v>
      </c>
      <c r="D1004" s="1" t="s">
        <v>13</v>
      </c>
      <c r="E1004" s="1" t="s">
        <v>33</v>
      </c>
      <c r="F1004" s="1" t="s">
        <v>15</v>
      </c>
      <c r="G1004" s="1" t="s">
        <v>47</v>
      </c>
      <c r="H1004" s="1" t="s">
        <v>17</v>
      </c>
      <c r="I1004" s="1" t="s">
        <v>30</v>
      </c>
      <c r="J1004" s="1">
        <v>0.4</v>
      </c>
      <c r="K1004" s="36">
        <v>45270</v>
      </c>
    </row>
    <row r="1005" spans="1:11" x14ac:dyDescent="0.3">
      <c r="A1005" s="2" t="s">
        <v>2028</v>
      </c>
      <c r="B1005" s="1" t="s">
        <v>2029</v>
      </c>
      <c r="C1005" s="1">
        <v>73</v>
      </c>
      <c r="D1005" s="1" t="s">
        <v>20</v>
      </c>
      <c r="E1005" s="1" t="s">
        <v>21</v>
      </c>
      <c r="F1005" s="1" t="s">
        <v>29</v>
      </c>
      <c r="G1005" s="1" t="s">
        <v>38</v>
      </c>
      <c r="H1005" s="1" t="s">
        <v>17</v>
      </c>
      <c r="I1005" s="1" t="s">
        <v>17</v>
      </c>
      <c r="J1005" s="1">
        <v>0.49</v>
      </c>
      <c r="K1005" s="36">
        <v>46220</v>
      </c>
    </row>
    <row r="1006" spans="1:11" x14ac:dyDescent="0.3">
      <c r="A1006" s="2" t="s">
        <v>2030</v>
      </c>
      <c r="B1006" s="1" t="s">
        <v>2031</v>
      </c>
      <c r="C1006" s="1">
        <v>26</v>
      </c>
      <c r="D1006" s="1" t="s">
        <v>13</v>
      </c>
      <c r="E1006" s="1" t="s">
        <v>28</v>
      </c>
      <c r="F1006" s="1" t="s">
        <v>29</v>
      </c>
      <c r="G1006" s="1" t="s">
        <v>25</v>
      </c>
      <c r="H1006" s="1" t="s">
        <v>17</v>
      </c>
      <c r="I1006" s="1" t="s">
        <v>17</v>
      </c>
      <c r="J1006" s="1">
        <v>0.23</v>
      </c>
      <c r="K1006" s="36">
        <v>44863</v>
      </c>
    </row>
    <row r="1007" spans="1:11" x14ac:dyDescent="0.3">
      <c r="A1007" s="2" t="s">
        <v>2032</v>
      </c>
      <c r="B1007" s="1" t="s">
        <v>2033</v>
      </c>
      <c r="C1007" s="1">
        <v>76</v>
      </c>
      <c r="D1007" s="1" t="s">
        <v>20</v>
      </c>
      <c r="E1007" s="1" t="s">
        <v>28</v>
      </c>
      <c r="F1007" s="1" t="s">
        <v>62</v>
      </c>
      <c r="G1007" s="1" t="s">
        <v>22</v>
      </c>
      <c r="H1007" s="1" t="s">
        <v>17</v>
      </c>
      <c r="I1007" s="1" t="s">
        <v>30</v>
      </c>
      <c r="J1007" s="1">
        <v>0.39</v>
      </c>
      <c r="K1007" s="36">
        <v>44949</v>
      </c>
    </row>
    <row r="1008" spans="1:11" x14ac:dyDescent="0.3">
      <c r="A1008" s="2" t="s">
        <v>2034</v>
      </c>
      <c r="B1008" s="1" t="s">
        <v>2035</v>
      </c>
      <c r="C1008" s="1">
        <v>71</v>
      </c>
      <c r="D1008" s="1" t="s">
        <v>20</v>
      </c>
      <c r="E1008" s="1" t="s">
        <v>14</v>
      </c>
      <c r="F1008" s="1" t="s">
        <v>46</v>
      </c>
      <c r="G1008" s="1" t="s">
        <v>38</v>
      </c>
      <c r="H1008" s="1" t="s">
        <v>17</v>
      </c>
      <c r="I1008" s="1" t="s">
        <v>30</v>
      </c>
      <c r="J1008" s="1">
        <v>0.35</v>
      </c>
      <c r="K1008" s="36">
        <v>44493</v>
      </c>
    </row>
    <row r="1009" spans="1:11" x14ac:dyDescent="0.3">
      <c r="A1009" s="2" t="s">
        <v>2036</v>
      </c>
      <c r="B1009" s="1" t="s">
        <v>2037</v>
      </c>
      <c r="C1009" s="1">
        <v>49</v>
      </c>
      <c r="D1009" s="1" t="s">
        <v>13</v>
      </c>
      <c r="E1009" s="1" t="s">
        <v>14</v>
      </c>
      <c r="F1009" s="1" t="s">
        <v>15</v>
      </c>
      <c r="G1009" s="1" t="s">
        <v>47</v>
      </c>
      <c r="H1009" s="1" t="s">
        <v>17</v>
      </c>
      <c r="I1009" s="1" t="s">
        <v>30</v>
      </c>
      <c r="J1009" s="1">
        <v>0.33</v>
      </c>
      <c r="K1009" s="36">
        <v>44344</v>
      </c>
    </row>
    <row r="1010" spans="1:11" x14ac:dyDescent="0.3">
      <c r="A1010" s="2" t="s">
        <v>2038</v>
      </c>
      <c r="B1010" s="1" t="s">
        <v>2039</v>
      </c>
      <c r="C1010" s="1">
        <v>64</v>
      </c>
      <c r="D1010" s="1" t="s">
        <v>20</v>
      </c>
      <c r="E1010" s="1" t="s">
        <v>33</v>
      </c>
      <c r="F1010" s="1" t="s">
        <v>62</v>
      </c>
      <c r="G1010" s="1" t="s">
        <v>16</v>
      </c>
      <c r="H1010" s="1" t="s">
        <v>17</v>
      </c>
      <c r="I1010" s="1" t="s">
        <v>17</v>
      </c>
      <c r="J1010" s="1">
        <v>0.22</v>
      </c>
      <c r="K1010" s="36">
        <v>45935</v>
      </c>
    </row>
    <row r="1011" spans="1:11" x14ac:dyDescent="0.3">
      <c r="A1011" s="2" t="s">
        <v>2040</v>
      </c>
      <c r="B1011" s="1" t="s">
        <v>2041</v>
      </c>
      <c r="C1011" s="1">
        <v>50</v>
      </c>
      <c r="D1011" s="1" t="s">
        <v>20</v>
      </c>
      <c r="E1011" s="1" t="s">
        <v>33</v>
      </c>
      <c r="F1011" s="1" t="s">
        <v>15</v>
      </c>
      <c r="G1011" s="1" t="s">
        <v>16</v>
      </c>
      <c r="H1011" s="1" t="s">
        <v>17</v>
      </c>
      <c r="I1011" s="1" t="s">
        <v>17</v>
      </c>
      <c r="J1011" s="1">
        <v>0.23</v>
      </c>
      <c r="K1011" s="36">
        <v>45073</v>
      </c>
    </row>
    <row r="1012" spans="1:11" x14ac:dyDescent="0.3">
      <c r="A1012" s="2" t="s">
        <v>2042</v>
      </c>
      <c r="B1012" s="1" t="s">
        <v>2043</v>
      </c>
      <c r="C1012" s="1">
        <v>34</v>
      </c>
      <c r="D1012" s="1" t="s">
        <v>20</v>
      </c>
      <c r="E1012" s="1" t="s">
        <v>33</v>
      </c>
      <c r="F1012" s="1" t="s">
        <v>15</v>
      </c>
      <c r="G1012" s="1" t="s">
        <v>25</v>
      </c>
      <c r="H1012" s="1" t="s">
        <v>17</v>
      </c>
      <c r="I1012" s="1" t="s">
        <v>17</v>
      </c>
      <c r="J1012" s="1">
        <v>0.23</v>
      </c>
      <c r="K1012" s="36">
        <v>45529</v>
      </c>
    </row>
    <row r="1013" spans="1:11" x14ac:dyDescent="0.3">
      <c r="A1013" s="2" t="s">
        <v>2044</v>
      </c>
      <c r="B1013" s="1" t="s">
        <v>2045</v>
      </c>
      <c r="C1013" s="1">
        <v>68</v>
      </c>
      <c r="D1013" s="1" t="s">
        <v>20</v>
      </c>
      <c r="E1013" s="1" t="s">
        <v>14</v>
      </c>
      <c r="F1013" s="1" t="s">
        <v>15</v>
      </c>
      <c r="G1013" s="1" t="s">
        <v>38</v>
      </c>
      <c r="H1013" s="1" t="s">
        <v>17</v>
      </c>
      <c r="I1013" s="1" t="s">
        <v>30</v>
      </c>
      <c r="J1013" s="1">
        <v>0.4</v>
      </c>
      <c r="K1013" s="36">
        <v>45483</v>
      </c>
    </row>
    <row r="1014" spans="1:11" x14ac:dyDescent="0.3">
      <c r="A1014" s="2" t="s">
        <v>2046</v>
      </c>
      <c r="B1014" s="1" t="s">
        <v>2047</v>
      </c>
      <c r="C1014" s="1">
        <v>33</v>
      </c>
      <c r="D1014" s="1" t="s">
        <v>20</v>
      </c>
      <c r="E1014" s="1" t="s">
        <v>28</v>
      </c>
      <c r="F1014" s="1" t="s">
        <v>46</v>
      </c>
      <c r="G1014" s="1" t="s">
        <v>38</v>
      </c>
      <c r="H1014" s="1" t="s">
        <v>17</v>
      </c>
      <c r="I1014" s="1" t="s">
        <v>30</v>
      </c>
      <c r="J1014" s="1">
        <v>0.47</v>
      </c>
      <c r="K1014" s="36">
        <v>45385</v>
      </c>
    </row>
    <row r="1015" spans="1:11" x14ac:dyDescent="0.3">
      <c r="A1015" s="2" t="s">
        <v>2048</v>
      </c>
      <c r="B1015" s="1" t="s">
        <v>2049</v>
      </c>
      <c r="C1015" s="1">
        <v>37</v>
      </c>
      <c r="D1015" s="1" t="s">
        <v>20</v>
      </c>
      <c r="E1015" s="1" t="s">
        <v>28</v>
      </c>
      <c r="F1015" s="1" t="s">
        <v>46</v>
      </c>
      <c r="G1015" s="1" t="s">
        <v>38</v>
      </c>
      <c r="H1015" s="1" t="s">
        <v>17</v>
      </c>
      <c r="I1015" s="1" t="s">
        <v>17</v>
      </c>
      <c r="J1015" s="1">
        <v>0.16</v>
      </c>
      <c r="K1015" s="36">
        <v>44123</v>
      </c>
    </row>
    <row r="1016" spans="1:11" x14ac:dyDescent="0.3">
      <c r="A1016" s="2" t="s">
        <v>2050</v>
      </c>
      <c r="B1016" s="1" t="s">
        <v>2051</v>
      </c>
      <c r="C1016" s="1">
        <v>50</v>
      </c>
      <c r="D1016" s="1" t="s">
        <v>13</v>
      </c>
      <c r="E1016" s="1" t="s">
        <v>28</v>
      </c>
      <c r="F1016" s="1" t="s">
        <v>29</v>
      </c>
      <c r="G1016" s="1" t="s">
        <v>22</v>
      </c>
      <c r="H1016" s="1" t="s">
        <v>17</v>
      </c>
      <c r="I1016" s="1" t="s">
        <v>17</v>
      </c>
      <c r="J1016" s="1">
        <v>0.19</v>
      </c>
      <c r="K1016" s="36">
        <v>45801</v>
      </c>
    </row>
    <row r="1017" spans="1:11" x14ac:dyDescent="0.3">
      <c r="A1017" s="2" t="s">
        <v>2052</v>
      </c>
      <c r="B1017" s="1" t="s">
        <v>2053</v>
      </c>
      <c r="C1017" s="1">
        <v>70</v>
      </c>
      <c r="D1017" s="1" t="s">
        <v>13</v>
      </c>
      <c r="E1017" s="1" t="s">
        <v>33</v>
      </c>
      <c r="F1017" s="1" t="s">
        <v>46</v>
      </c>
      <c r="G1017" s="1" t="s">
        <v>25</v>
      </c>
      <c r="H1017" s="1" t="s">
        <v>17</v>
      </c>
      <c r="I1017" s="1" t="s">
        <v>30</v>
      </c>
      <c r="J1017" s="1">
        <v>0.47</v>
      </c>
      <c r="K1017" s="36">
        <v>44610</v>
      </c>
    </row>
    <row r="1018" spans="1:11" x14ac:dyDescent="0.3">
      <c r="A1018" s="2" t="s">
        <v>2054</v>
      </c>
      <c r="B1018" s="1" t="s">
        <v>2055</v>
      </c>
      <c r="C1018" s="1">
        <v>42</v>
      </c>
      <c r="D1018" s="1" t="s">
        <v>20</v>
      </c>
      <c r="E1018" s="1" t="s">
        <v>21</v>
      </c>
      <c r="F1018" s="1" t="s">
        <v>29</v>
      </c>
      <c r="G1018" s="1" t="s">
        <v>16</v>
      </c>
      <c r="H1018" s="1" t="s">
        <v>17</v>
      </c>
      <c r="I1018" s="1" t="s">
        <v>30</v>
      </c>
      <c r="J1018" s="1">
        <v>0.4</v>
      </c>
      <c r="K1018" s="36">
        <v>44353</v>
      </c>
    </row>
    <row r="1019" spans="1:11" x14ac:dyDescent="0.3">
      <c r="A1019" s="2" t="s">
        <v>2056</v>
      </c>
      <c r="B1019" s="1" t="s">
        <v>2057</v>
      </c>
      <c r="C1019" s="1">
        <v>49</v>
      </c>
      <c r="D1019" s="1" t="s">
        <v>13</v>
      </c>
      <c r="E1019" s="1" t="s">
        <v>28</v>
      </c>
      <c r="F1019" s="1" t="s">
        <v>15</v>
      </c>
      <c r="G1019" s="1" t="s">
        <v>47</v>
      </c>
      <c r="H1019" s="1" t="s">
        <v>17</v>
      </c>
      <c r="I1019" s="1" t="s">
        <v>30</v>
      </c>
      <c r="J1019" s="1">
        <v>0.43</v>
      </c>
      <c r="K1019" s="36">
        <v>45314</v>
      </c>
    </row>
    <row r="1020" spans="1:11" x14ac:dyDescent="0.3">
      <c r="A1020" s="2" t="s">
        <v>2058</v>
      </c>
      <c r="B1020" s="1" t="s">
        <v>2059</v>
      </c>
      <c r="C1020" s="1">
        <v>20</v>
      </c>
      <c r="D1020" s="1" t="s">
        <v>20</v>
      </c>
      <c r="E1020" s="1" t="s">
        <v>21</v>
      </c>
      <c r="F1020" s="1" t="s">
        <v>29</v>
      </c>
      <c r="G1020" s="1" t="s">
        <v>16</v>
      </c>
      <c r="H1020" s="1" t="s">
        <v>17</v>
      </c>
      <c r="I1020" s="1" t="s">
        <v>17</v>
      </c>
      <c r="J1020" s="1">
        <v>0.28000000000000003</v>
      </c>
      <c r="K1020" s="36">
        <v>44227</v>
      </c>
    </row>
    <row r="1021" spans="1:11" x14ac:dyDescent="0.3">
      <c r="A1021" s="2" t="s">
        <v>2060</v>
      </c>
      <c r="B1021" s="1" t="s">
        <v>2061</v>
      </c>
      <c r="C1021" s="1">
        <v>25</v>
      </c>
      <c r="D1021" s="1" t="s">
        <v>13</v>
      </c>
      <c r="E1021" s="1" t="s">
        <v>21</v>
      </c>
      <c r="F1021" s="1" t="s">
        <v>15</v>
      </c>
      <c r="G1021" s="1" t="s">
        <v>16</v>
      </c>
      <c r="H1021" s="1" t="s">
        <v>30</v>
      </c>
      <c r="I1021" s="1" t="s">
        <v>17</v>
      </c>
      <c r="J1021" s="1">
        <v>0.49</v>
      </c>
      <c r="K1021" s="36">
        <v>45754</v>
      </c>
    </row>
    <row r="1022" spans="1:11" x14ac:dyDescent="0.3">
      <c r="A1022" s="2" t="s">
        <v>2062</v>
      </c>
      <c r="B1022" s="1" t="s">
        <v>2063</v>
      </c>
      <c r="C1022" s="1">
        <v>21</v>
      </c>
      <c r="D1022" s="1" t="s">
        <v>20</v>
      </c>
      <c r="E1022" s="1" t="s">
        <v>14</v>
      </c>
      <c r="F1022" s="1" t="s">
        <v>29</v>
      </c>
      <c r="G1022" s="1" t="s">
        <v>47</v>
      </c>
      <c r="H1022" s="1" t="s">
        <v>17</v>
      </c>
      <c r="I1022" s="1" t="s">
        <v>17</v>
      </c>
      <c r="J1022" s="1">
        <v>0.21</v>
      </c>
      <c r="K1022" s="36">
        <v>44531</v>
      </c>
    </row>
    <row r="1023" spans="1:11" x14ac:dyDescent="0.3">
      <c r="A1023" s="2" t="s">
        <v>2064</v>
      </c>
      <c r="B1023" s="1" t="s">
        <v>2065</v>
      </c>
      <c r="C1023" s="1">
        <v>22</v>
      </c>
      <c r="D1023" s="1" t="s">
        <v>13</v>
      </c>
      <c r="E1023" s="1" t="s">
        <v>21</v>
      </c>
      <c r="F1023" s="1" t="s">
        <v>62</v>
      </c>
      <c r="G1023" s="1" t="s">
        <v>25</v>
      </c>
      <c r="H1023" s="1" t="s">
        <v>17</v>
      </c>
      <c r="I1023" s="1" t="s">
        <v>17</v>
      </c>
      <c r="J1023" s="1">
        <v>0.31</v>
      </c>
      <c r="K1023" s="36">
        <v>44550</v>
      </c>
    </row>
    <row r="1024" spans="1:11" x14ac:dyDescent="0.3">
      <c r="A1024" s="2" t="s">
        <v>2066</v>
      </c>
      <c r="B1024" s="1" t="s">
        <v>2067</v>
      </c>
      <c r="C1024" s="1">
        <v>72</v>
      </c>
      <c r="D1024" s="1" t="s">
        <v>20</v>
      </c>
      <c r="E1024" s="1" t="s">
        <v>33</v>
      </c>
      <c r="F1024" s="1" t="s">
        <v>29</v>
      </c>
      <c r="G1024" s="1" t="s">
        <v>22</v>
      </c>
      <c r="H1024" s="1" t="s">
        <v>30</v>
      </c>
      <c r="I1024" s="1" t="s">
        <v>30</v>
      </c>
      <c r="J1024" s="1">
        <v>0.66</v>
      </c>
      <c r="K1024" s="36">
        <v>45983</v>
      </c>
    </row>
    <row r="1025" spans="1:11" x14ac:dyDescent="0.3">
      <c r="A1025" s="2" t="s">
        <v>2068</v>
      </c>
      <c r="B1025" s="1" t="s">
        <v>398</v>
      </c>
      <c r="C1025" s="1">
        <v>71</v>
      </c>
      <c r="D1025" s="1" t="s">
        <v>13</v>
      </c>
      <c r="E1025" s="1" t="s">
        <v>14</v>
      </c>
      <c r="F1025" s="1" t="s">
        <v>46</v>
      </c>
      <c r="G1025" s="1" t="s">
        <v>38</v>
      </c>
      <c r="H1025" s="1" t="s">
        <v>17</v>
      </c>
      <c r="I1025" s="1" t="s">
        <v>17</v>
      </c>
      <c r="J1025" s="1">
        <v>0.37</v>
      </c>
      <c r="K1025" s="36">
        <v>44797</v>
      </c>
    </row>
    <row r="1026" spans="1:11" x14ac:dyDescent="0.3">
      <c r="A1026" s="2" t="s">
        <v>2069</v>
      </c>
      <c r="B1026" s="1" t="s">
        <v>2070</v>
      </c>
      <c r="C1026" s="1">
        <v>69</v>
      </c>
      <c r="D1026" s="1" t="s">
        <v>20</v>
      </c>
      <c r="E1026" s="1" t="s">
        <v>21</v>
      </c>
      <c r="F1026" s="1" t="s">
        <v>29</v>
      </c>
      <c r="G1026" s="1" t="s">
        <v>22</v>
      </c>
      <c r="H1026" s="1" t="s">
        <v>17</v>
      </c>
      <c r="I1026" s="1" t="s">
        <v>30</v>
      </c>
      <c r="J1026" s="1">
        <v>0.33</v>
      </c>
      <c r="K1026" s="36">
        <v>44400</v>
      </c>
    </row>
    <row r="1027" spans="1:11" x14ac:dyDescent="0.3">
      <c r="A1027" s="2" t="s">
        <v>2071</v>
      </c>
      <c r="B1027" s="1" t="s">
        <v>2072</v>
      </c>
      <c r="C1027" s="1">
        <v>21</v>
      </c>
      <c r="D1027" s="1" t="s">
        <v>13</v>
      </c>
      <c r="E1027" s="1" t="s">
        <v>21</v>
      </c>
      <c r="F1027" s="1" t="s">
        <v>15</v>
      </c>
      <c r="G1027" s="1" t="s">
        <v>25</v>
      </c>
      <c r="H1027" s="1" t="s">
        <v>17</v>
      </c>
      <c r="I1027" s="1" t="s">
        <v>17</v>
      </c>
      <c r="J1027" s="1">
        <v>0.2</v>
      </c>
      <c r="K1027" s="36">
        <v>46050</v>
      </c>
    </row>
    <row r="1028" spans="1:11" x14ac:dyDescent="0.3">
      <c r="A1028" s="2" t="s">
        <v>2073</v>
      </c>
      <c r="B1028" s="1" t="s">
        <v>2074</v>
      </c>
      <c r="C1028" s="1">
        <v>22</v>
      </c>
      <c r="D1028" s="1" t="s">
        <v>20</v>
      </c>
      <c r="E1028" s="1" t="s">
        <v>21</v>
      </c>
      <c r="F1028" s="1" t="s">
        <v>15</v>
      </c>
      <c r="G1028" s="1" t="s">
        <v>25</v>
      </c>
      <c r="H1028" s="1" t="s">
        <v>17</v>
      </c>
      <c r="I1028" s="1" t="s">
        <v>17</v>
      </c>
      <c r="J1028" s="1">
        <v>0.3</v>
      </c>
      <c r="K1028" s="36">
        <v>44083</v>
      </c>
    </row>
    <row r="1029" spans="1:11" x14ac:dyDescent="0.3">
      <c r="A1029" s="2" t="s">
        <v>2075</v>
      </c>
      <c r="B1029" s="1" t="s">
        <v>2076</v>
      </c>
      <c r="C1029" s="1">
        <v>35</v>
      </c>
      <c r="D1029" s="1" t="s">
        <v>13</v>
      </c>
      <c r="E1029" s="1" t="s">
        <v>33</v>
      </c>
      <c r="F1029" s="1" t="s">
        <v>46</v>
      </c>
      <c r="G1029" s="1" t="s">
        <v>47</v>
      </c>
      <c r="H1029" s="1" t="s">
        <v>17</v>
      </c>
      <c r="I1029" s="1" t="s">
        <v>17</v>
      </c>
      <c r="J1029" s="1">
        <v>0.04</v>
      </c>
      <c r="K1029" s="36">
        <v>45958</v>
      </c>
    </row>
    <row r="1030" spans="1:11" x14ac:dyDescent="0.3">
      <c r="A1030" s="2" t="s">
        <v>2077</v>
      </c>
      <c r="B1030" s="1" t="s">
        <v>2078</v>
      </c>
      <c r="C1030" s="1">
        <v>53</v>
      </c>
      <c r="D1030" s="1" t="s">
        <v>20</v>
      </c>
      <c r="E1030" s="1" t="s">
        <v>28</v>
      </c>
      <c r="F1030" s="1" t="s">
        <v>29</v>
      </c>
      <c r="G1030" s="1" t="s">
        <v>25</v>
      </c>
      <c r="H1030" s="1" t="s">
        <v>17</v>
      </c>
      <c r="I1030" s="1" t="s">
        <v>17</v>
      </c>
      <c r="J1030" s="1">
        <v>0.23</v>
      </c>
      <c r="K1030" s="36">
        <v>44394</v>
      </c>
    </row>
    <row r="1031" spans="1:11" x14ac:dyDescent="0.3">
      <c r="A1031" s="2" t="s">
        <v>2079</v>
      </c>
      <c r="B1031" s="1" t="s">
        <v>2080</v>
      </c>
      <c r="C1031" s="1">
        <v>39</v>
      </c>
      <c r="D1031" s="1" t="s">
        <v>13</v>
      </c>
      <c r="E1031" s="1" t="s">
        <v>14</v>
      </c>
      <c r="F1031" s="1" t="s">
        <v>62</v>
      </c>
      <c r="G1031" s="1" t="s">
        <v>22</v>
      </c>
      <c r="H1031" s="1" t="s">
        <v>17</v>
      </c>
      <c r="I1031" s="1" t="s">
        <v>30</v>
      </c>
      <c r="J1031" s="1">
        <v>0.41</v>
      </c>
      <c r="K1031" s="36">
        <v>44361</v>
      </c>
    </row>
    <row r="1032" spans="1:11" x14ac:dyDescent="0.3">
      <c r="A1032" s="2" t="s">
        <v>2081</v>
      </c>
      <c r="B1032" s="1" t="s">
        <v>2082</v>
      </c>
      <c r="C1032" s="1">
        <v>48</v>
      </c>
      <c r="D1032" s="1" t="s">
        <v>13</v>
      </c>
      <c r="E1032" s="1" t="s">
        <v>21</v>
      </c>
      <c r="F1032" s="1" t="s">
        <v>29</v>
      </c>
      <c r="G1032" s="1" t="s">
        <v>22</v>
      </c>
      <c r="H1032" s="1" t="s">
        <v>30</v>
      </c>
      <c r="I1032" s="1" t="s">
        <v>17</v>
      </c>
      <c r="J1032" s="1">
        <v>0.35</v>
      </c>
      <c r="K1032" s="36">
        <v>44626</v>
      </c>
    </row>
    <row r="1033" spans="1:11" x14ac:dyDescent="0.3">
      <c r="A1033" s="2" t="s">
        <v>2083</v>
      </c>
      <c r="B1033" s="1" t="s">
        <v>2084</v>
      </c>
      <c r="C1033" s="1">
        <v>28</v>
      </c>
      <c r="D1033" s="1" t="s">
        <v>13</v>
      </c>
      <c r="E1033" s="1" t="s">
        <v>33</v>
      </c>
      <c r="F1033" s="1" t="s">
        <v>62</v>
      </c>
      <c r="G1033" s="1" t="s">
        <v>38</v>
      </c>
      <c r="H1033" s="1" t="s">
        <v>17</v>
      </c>
      <c r="I1033" s="1" t="s">
        <v>30</v>
      </c>
      <c r="J1033" s="1">
        <v>0.32</v>
      </c>
      <c r="K1033" s="36">
        <v>44459</v>
      </c>
    </row>
    <row r="1034" spans="1:11" x14ac:dyDescent="0.3">
      <c r="A1034" s="2" t="s">
        <v>2085</v>
      </c>
      <c r="B1034" s="1" t="s">
        <v>2086</v>
      </c>
      <c r="C1034" s="1">
        <v>64</v>
      </c>
      <c r="D1034" s="1" t="s">
        <v>20</v>
      </c>
      <c r="E1034" s="1" t="s">
        <v>28</v>
      </c>
      <c r="F1034" s="1" t="s">
        <v>46</v>
      </c>
      <c r="G1034" s="1" t="s">
        <v>43</v>
      </c>
      <c r="H1034" s="1" t="s">
        <v>17</v>
      </c>
      <c r="I1034" s="1" t="s">
        <v>30</v>
      </c>
      <c r="J1034" s="1">
        <v>0.37</v>
      </c>
      <c r="K1034" s="36">
        <v>45526</v>
      </c>
    </row>
    <row r="1035" spans="1:11" x14ac:dyDescent="0.3">
      <c r="A1035" s="2" t="s">
        <v>2087</v>
      </c>
      <c r="B1035" s="1" t="s">
        <v>2088</v>
      </c>
      <c r="C1035" s="1">
        <v>37</v>
      </c>
      <c r="D1035" s="1" t="s">
        <v>20</v>
      </c>
      <c r="E1035" s="1" t="s">
        <v>21</v>
      </c>
      <c r="F1035" s="1" t="s">
        <v>15</v>
      </c>
      <c r="G1035" s="1" t="s">
        <v>43</v>
      </c>
      <c r="H1035" s="1" t="s">
        <v>17</v>
      </c>
      <c r="I1035" s="1" t="s">
        <v>30</v>
      </c>
      <c r="J1035" s="1">
        <v>0.32</v>
      </c>
      <c r="K1035" s="36">
        <v>44133</v>
      </c>
    </row>
    <row r="1036" spans="1:11" x14ac:dyDescent="0.3">
      <c r="A1036" s="2" t="s">
        <v>2089</v>
      </c>
      <c r="B1036" s="1" t="s">
        <v>2090</v>
      </c>
      <c r="C1036" s="1">
        <v>22</v>
      </c>
      <c r="D1036" s="1" t="s">
        <v>20</v>
      </c>
      <c r="E1036" s="1" t="s">
        <v>28</v>
      </c>
      <c r="F1036" s="1" t="s">
        <v>15</v>
      </c>
      <c r="G1036" s="1" t="s">
        <v>47</v>
      </c>
      <c r="H1036" s="1" t="s">
        <v>17</v>
      </c>
      <c r="I1036" s="1" t="s">
        <v>30</v>
      </c>
      <c r="J1036" s="1">
        <v>0.37</v>
      </c>
      <c r="K1036" s="36">
        <v>44109</v>
      </c>
    </row>
    <row r="1037" spans="1:11" x14ac:dyDescent="0.3">
      <c r="A1037" s="2" t="s">
        <v>2091</v>
      </c>
      <c r="B1037" s="1" t="s">
        <v>2092</v>
      </c>
      <c r="C1037" s="1">
        <v>64</v>
      </c>
      <c r="D1037" s="1" t="s">
        <v>20</v>
      </c>
      <c r="E1037" s="1" t="s">
        <v>21</v>
      </c>
      <c r="F1037" s="1" t="s">
        <v>46</v>
      </c>
      <c r="G1037" s="1" t="s">
        <v>16</v>
      </c>
      <c r="H1037" s="1" t="s">
        <v>17</v>
      </c>
      <c r="I1037" s="1" t="s">
        <v>30</v>
      </c>
      <c r="J1037" s="1">
        <v>0.39</v>
      </c>
      <c r="K1037" s="36">
        <v>45808</v>
      </c>
    </row>
    <row r="1038" spans="1:11" x14ac:dyDescent="0.3">
      <c r="A1038" s="2" t="s">
        <v>2093</v>
      </c>
      <c r="B1038" s="1" t="s">
        <v>2094</v>
      </c>
      <c r="C1038" s="1">
        <v>74</v>
      </c>
      <c r="D1038" s="1" t="s">
        <v>13</v>
      </c>
      <c r="E1038" s="1" t="s">
        <v>14</v>
      </c>
      <c r="F1038" s="1" t="s">
        <v>29</v>
      </c>
      <c r="G1038" s="1" t="s">
        <v>38</v>
      </c>
      <c r="H1038" s="1" t="s">
        <v>17</v>
      </c>
      <c r="I1038" s="1" t="s">
        <v>30</v>
      </c>
      <c r="J1038" s="1">
        <v>0.39</v>
      </c>
      <c r="K1038" s="36">
        <v>44598</v>
      </c>
    </row>
    <row r="1039" spans="1:11" x14ac:dyDescent="0.3">
      <c r="A1039" s="2" t="s">
        <v>2095</v>
      </c>
      <c r="B1039" s="1" t="s">
        <v>2096</v>
      </c>
      <c r="C1039" s="1">
        <v>18</v>
      </c>
      <c r="D1039" s="1" t="s">
        <v>13</v>
      </c>
      <c r="E1039" s="1" t="s">
        <v>33</v>
      </c>
      <c r="F1039" s="1" t="s">
        <v>29</v>
      </c>
      <c r="G1039" s="1" t="s">
        <v>16</v>
      </c>
      <c r="H1039" s="1" t="s">
        <v>17</v>
      </c>
      <c r="I1039" s="1" t="s">
        <v>17</v>
      </c>
      <c r="J1039" s="1">
        <v>0.23</v>
      </c>
      <c r="K1039" s="36">
        <v>44786</v>
      </c>
    </row>
    <row r="1040" spans="1:11" x14ac:dyDescent="0.3">
      <c r="A1040" s="2" t="s">
        <v>2097</v>
      </c>
      <c r="B1040" s="1" t="s">
        <v>2098</v>
      </c>
      <c r="C1040" s="1">
        <v>45</v>
      </c>
      <c r="D1040" s="1" t="s">
        <v>13</v>
      </c>
      <c r="E1040" s="1" t="s">
        <v>21</v>
      </c>
      <c r="F1040" s="1" t="s">
        <v>62</v>
      </c>
      <c r="G1040" s="1" t="s">
        <v>47</v>
      </c>
      <c r="H1040" s="1" t="s">
        <v>17</v>
      </c>
      <c r="I1040" s="1" t="s">
        <v>17</v>
      </c>
      <c r="J1040" s="1">
        <v>0.18</v>
      </c>
      <c r="K1040" s="36">
        <v>44458</v>
      </c>
    </row>
    <row r="1041" spans="1:11" x14ac:dyDescent="0.3">
      <c r="A1041" s="2" t="s">
        <v>2099</v>
      </c>
      <c r="B1041" s="1" t="s">
        <v>2100</v>
      </c>
      <c r="C1041" s="1">
        <v>70</v>
      </c>
      <c r="D1041" s="1" t="s">
        <v>13</v>
      </c>
      <c r="E1041" s="1" t="s">
        <v>14</v>
      </c>
      <c r="F1041" s="1" t="s">
        <v>62</v>
      </c>
      <c r="G1041" s="1" t="s">
        <v>43</v>
      </c>
      <c r="H1041" s="1" t="s">
        <v>17</v>
      </c>
      <c r="I1041" s="1" t="s">
        <v>30</v>
      </c>
      <c r="J1041" s="1">
        <v>0.54</v>
      </c>
      <c r="K1041" s="36">
        <v>44191</v>
      </c>
    </row>
    <row r="1042" spans="1:11" x14ac:dyDescent="0.3">
      <c r="A1042" s="2" t="s">
        <v>2101</v>
      </c>
      <c r="B1042" s="1" t="s">
        <v>2102</v>
      </c>
      <c r="C1042" s="1">
        <v>62</v>
      </c>
      <c r="D1042" s="1" t="s">
        <v>13</v>
      </c>
      <c r="E1042" s="1" t="s">
        <v>21</v>
      </c>
      <c r="F1042" s="1" t="s">
        <v>62</v>
      </c>
      <c r="G1042" s="1" t="s">
        <v>47</v>
      </c>
      <c r="H1042" s="1" t="s">
        <v>17</v>
      </c>
      <c r="I1042" s="1" t="s">
        <v>17</v>
      </c>
      <c r="J1042" s="1">
        <v>0.26</v>
      </c>
      <c r="K1042" s="36">
        <v>45702</v>
      </c>
    </row>
    <row r="1043" spans="1:11" x14ac:dyDescent="0.3">
      <c r="A1043" s="2" t="s">
        <v>2103</v>
      </c>
      <c r="B1043" s="1" t="s">
        <v>2104</v>
      </c>
      <c r="C1043" s="1">
        <v>71</v>
      </c>
      <c r="D1043" s="1" t="s">
        <v>13</v>
      </c>
      <c r="E1043" s="1" t="s">
        <v>21</v>
      </c>
      <c r="F1043" s="1" t="s">
        <v>62</v>
      </c>
      <c r="G1043" s="1" t="s">
        <v>22</v>
      </c>
      <c r="H1043" s="1" t="s">
        <v>17</v>
      </c>
      <c r="I1043" s="1" t="s">
        <v>17</v>
      </c>
      <c r="J1043" s="1">
        <v>0.3</v>
      </c>
      <c r="K1043" s="36">
        <v>45230</v>
      </c>
    </row>
    <row r="1044" spans="1:11" x14ac:dyDescent="0.3">
      <c r="A1044" s="2" t="s">
        <v>2105</v>
      </c>
      <c r="B1044" s="1" t="s">
        <v>2106</v>
      </c>
      <c r="C1044" s="1">
        <v>44</v>
      </c>
      <c r="D1044" s="1" t="s">
        <v>13</v>
      </c>
      <c r="E1044" s="1" t="s">
        <v>28</v>
      </c>
      <c r="F1044" s="1" t="s">
        <v>46</v>
      </c>
      <c r="G1044" s="1" t="s">
        <v>22</v>
      </c>
      <c r="H1044" s="1" t="s">
        <v>17</v>
      </c>
      <c r="I1044" s="1" t="s">
        <v>30</v>
      </c>
      <c r="J1044" s="1">
        <v>0.32</v>
      </c>
      <c r="K1044" s="36">
        <v>45711</v>
      </c>
    </row>
    <row r="1045" spans="1:11" x14ac:dyDescent="0.3">
      <c r="A1045" s="2" t="s">
        <v>2107</v>
      </c>
      <c r="B1045" s="1" t="s">
        <v>2108</v>
      </c>
      <c r="C1045" s="1">
        <v>41</v>
      </c>
      <c r="D1045" s="1" t="s">
        <v>20</v>
      </c>
      <c r="E1045" s="1" t="s">
        <v>21</v>
      </c>
      <c r="F1045" s="1" t="s">
        <v>62</v>
      </c>
      <c r="G1045" s="1" t="s">
        <v>43</v>
      </c>
      <c r="H1045" s="1" t="s">
        <v>17</v>
      </c>
      <c r="I1045" s="1" t="s">
        <v>17</v>
      </c>
      <c r="J1045" s="1">
        <v>0.16</v>
      </c>
      <c r="K1045" s="36">
        <v>45120</v>
      </c>
    </row>
    <row r="1046" spans="1:11" x14ac:dyDescent="0.3">
      <c r="A1046" s="2" t="s">
        <v>2109</v>
      </c>
      <c r="B1046" s="1" t="s">
        <v>2110</v>
      </c>
      <c r="C1046" s="1">
        <v>62</v>
      </c>
      <c r="D1046" s="1" t="s">
        <v>13</v>
      </c>
      <c r="E1046" s="1" t="s">
        <v>21</v>
      </c>
      <c r="F1046" s="1" t="s">
        <v>29</v>
      </c>
      <c r="G1046" s="1" t="s">
        <v>16</v>
      </c>
      <c r="H1046" s="1" t="s">
        <v>17</v>
      </c>
      <c r="I1046" s="1" t="s">
        <v>17</v>
      </c>
      <c r="J1046" s="1">
        <v>0.18</v>
      </c>
      <c r="K1046" s="36">
        <v>45782</v>
      </c>
    </row>
    <row r="1047" spans="1:11" x14ac:dyDescent="0.3">
      <c r="A1047" s="2" t="s">
        <v>2111</v>
      </c>
      <c r="B1047" s="1" t="s">
        <v>2112</v>
      </c>
      <c r="C1047" s="1">
        <v>27</v>
      </c>
      <c r="D1047" s="1" t="s">
        <v>13</v>
      </c>
      <c r="E1047" s="1" t="s">
        <v>21</v>
      </c>
      <c r="F1047" s="1" t="s">
        <v>29</v>
      </c>
      <c r="G1047" s="1" t="s">
        <v>25</v>
      </c>
      <c r="H1047" s="1" t="s">
        <v>30</v>
      </c>
      <c r="I1047" s="1" t="s">
        <v>17</v>
      </c>
      <c r="J1047" s="1">
        <v>0.28999999999999998</v>
      </c>
      <c r="K1047" s="36">
        <v>45202</v>
      </c>
    </row>
    <row r="1048" spans="1:11" x14ac:dyDescent="0.3">
      <c r="A1048" s="2" t="s">
        <v>2113</v>
      </c>
      <c r="B1048" s="1" t="s">
        <v>2114</v>
      </c>
      <c r="C1048" s="1">
        <v>33</v>
      </c>
      <c r="D1048" s="1" t="s">
        <v>20</v>
      </c>
      <c r="E1048" s="1" t="s">
        <v>21</v>
      </c>
      <c r="F1048" s="1" t="s">
        <v>62</v>
      </c>
      <c r="G1048" s="1" t="s">
        <v>43</v>
      </c>
      <c r="H1048" s="1" t="s">
        <v>17</v>
      </c>
      <c r="I1048" s="1" t="s">
        <v>17</v>
      </c>
      <c r="J1048" s="1">
        <v>0.13</v>
      </c>
      <c r="K1048" s="36">
        <v>44316</v>
      </c>
    </row>
    <row r="1049" spans="1:11" x14ac:dyDescent="0.3">
      <c r="A1049" s="2" t="s">
        <v>2115</v>
      </c>
      <c r="B1049" s="1" t="s">
        <v>2116</v>
      </c>
      <c r="C1049" s="1">
        <v>55</v>
      </c>
      <c r="D1049" s="1" t="s">
        <v>20</v>
      </c>
      <c r="E1049" s="1" t="s">
        <v>33</v>
      </c>
      <c r="F1049" s="1" t="s">
        <v>29</v>
      </c>
      <c r="G1049" s="1" t="s">
        <v>43</v>
      </c>
      <c r="H1049" s="1" t="s">
        <v>17</v>
      </c>
      <c r="I1049" s="1" t="s">
        <v>17</v>
      </c>
      <c r="J1049" s="1">
        <v>0.28999999999999998</v>
      </c>
      <c r="K1049" s="36">
        <v>45181</v>
      </c>
    </row>
    <row r="1050" spans="1:11" x14ac:dyDescent="0.3">
      <c r="A1050" s="2" t="s">
        <v>2117</v>
      </c>
      <c r="B1050" s="1" t="s">
        <v>2118</v>
      </c>
      <c r="C1050" s="1">
        <v>60</v>
      </c>
      <c r="D1050" s="1" t="s">
        <v>13</v>
      </c>
      <c r="E1050" s="1" t="s">
        <v>28</v>
      </c>
      <c r="F1050" s="1" t="s">
        <v>62</v>
      </c>
      <c r="G1050" s="1" t="s">
        <v>43</v>
      </c>
      <c r="H1050" s="1" t="s">
        <v>17</v>
      </c>
      <c r="I1050" s="1" t="s">
        <v>30</v>
      </c>
      <c r="J1050" s="1">
        <v>0.49</v>
      </c>
      <c r="K1050" s="36">
        <v>46149</v>
      </c>
    </row>
    <row r="1051" spans="1:11" x14ac:dyDescent="0.3">
      <c r="A1051" s="2" t="s">
        <v>2119</v>
      </c>
      <c r="B1051" s="1" t="s">
        <v>2120</v>
      </c>
      <c r="C1051" s="1">
        <v>25</v>
      </c>
      <c r="D1051" s="1" t="s">
        <v>13</v>
      </c>
      <c r="E1051" s="1" t="s">
        <v>21</v>
      </c>
      <c r="F1051" s="1" t="s">
        <v>15</v>
      </c>
      <c r="G1051" s="1" t="s">
        <v>43</v>
      </c>
      <c r="H1051" s="1" t="s">
        <v>17</v>
      </c>
      <c r="I1051" s="1" t="s">
        <v>17</v>
      </c>
      <c r="J1051" s="1">
        <v>0.14000000000000001</v>
      </c>
      <c r="K1051" s="36">
        <v>44172</v>
      </c>
    </row>
    <row r="1052" spans="1:11" x14ac:dyDescent="0.3">
      <c r="A1052" s="2" t="s">
        <v>2121</v>
      </c>
      <c r="B1052" s="1" t="s">
        <v>2122</v>
      </c>
      <c r="C1052" s="1">
        <v>50</v>
      </c>
      <c r="D1052" s="1" t="s">
        <v>13</v>
      </c>
      <c r="E1052" s="1" t="s">
        <v>33</v>
      </c>
      <c r="F1052" s="1" t="s">
        <v>15</v>
      </c>
      <c r="G1052" s="1" t="s">
        <v>43</v>
      </c>
      <c r="H1052" s="1" t="s">
        <v>30</v>
      </c>
      <c r="I1052" s="1" t="s">
        <v>17</v>
      </c>
      <c r="J1052" s="1">
        <v>0.35</v>
      </c>
      <c r="K1052" s="36">
        <v>45793</v>
      </c>
    </row>
    <row r="1053" spans="1:11" x14ac:dyDescent="0.3">
      <c r="A1053" s="2" t="s">
        <v>2123</v>
      </c>
      <c r="B1053" s="1" t="s">
        <v>2124</v>
      </c>
      <c r="C1053" s="1">
        <v>40</v>
      </c>
      <c r="D1053" s="1" t="s">
        <v>13</v>
      </c>
      <c r="E1053" s="1" t="s">
        <v>14</v>
      </c>
      <c r="F1053" s="1" t="s">
        <v>62</v>
      </c>
      <c r="G1053" s="1" t="s">
        <v>43</v>
      </c>
      <c r="H1053" s="1" t="s">
        <v>17</v>
      </c>
      <c r="I1053" s="1" t="s">
        <v>17</v>
      </c>
      <c r="J1053" s="1">
        <v>0.12</v>
      </c>
      <c r="K1053" s="36">
        <v>45977</v>
      </c>
    </row>
    <row r="1054" spans="1:11" x14ac:dyDescent="0.3">
      <c r="A1054" s="2" t="s">
        <v>2125</v>
      </c>
      <c r="B1054" s="1" t="s">
        <v>2126</v>
      </c>
      <c r="C1054" s="1">
        <v>49</v>
      </c>
      <c r="D1054" s="1" t="s">
        <v>20</v>
      </c>
      <c r="E1054" s="1" t="s">
        <v>21</v>
      </c>
      <c r="F1054" s="1" t="s">
        <v>29</v>
      </c>
      <c r="G1054" s="1" t="s">
        <v>16</v>
      </c>
      <c r="H1054" s="1" t="s">
        <v>17</v>
      </c>
      <c r="I1054" s="1" t="s">
        <v>17</v>
      </c>
      <c r="J1054" s="1">
        <v>0.18</v>
      </c>
      <c r="K1054" s="36">
        <v>45220</v>
      </c>
    </row>
    <row r="1055" spans="1:11" x14ac:dyDescent="0.3">
      <c r="A1055" s="2" t="s">
        <v>2127</v>
      </c>
      <c r="B1055" s="1" t="s">
        <v>2128</v>
      </c>
      <c r="C1055" s="1">
        <v>78</v>
      </c>
      <c r="D1055" s="1" t="s">
        <v>20</v>
      </c>
      <c r="E1055" s="1" t="s">
        <v>33</v>
      </c>
      <c r="F1055" s="1" t="s">
        <v>46</v>
      </c>
      <c r="G1055" s="1" t="s">
        <v>38</v>
      </c>
      <c r="H1055" s="1" t="s">
        <v>17</v>
      </c>
      <c r="I1055" s="1" t="s">
        <v>30</v>
      </c>
      <c r="J1055" s="1">
        <v>0.49</v>
      </c>
      <c r="K1055" s="36">
        <v>45081</v>
      </c>
    </row>
    <row r="1056" spans="1:11" x14ac:dyDescent="0.3">
      <c r="A1056" s="2" t="s">
        <v>2129</v>
      </c>
      <c r="B1056" s="1" t="s">
        <v>2130</v>
      </c>
      <c r="C1056" s="1">
        <v>22</v>
      </c>
      <c r="D1056" s="1" t="s">
        <v>13</v>
      </c>
      <c r="E1056" s="1" t="s">
        <v>21</v>
      </c>
      <c r="F1056" s="1" t="s">
        <v>15</v>
      </c>
      <c r="G1056" s="1" t="s">
        <v>38</v>
      </c>
      <c r="H1056" s="1" t="s">
        <v>30</v>
      </c>
      <c r="I1056" s="1" t="s">
        <v>17</v>
      </c>
      <c r="J1056" s="1">
        <v>0.4</v>
      </c>
      <c r="K1056" s="36">
        <v>46190</v>
      </c>
    </row>
    <row r="1057" spans="1:11" x14ac:dyDescent="0.3">
      <c r="A1057" s="2" t="s">
        <v>2131</v>
      </c>
      <c r="B1057" s="1" t="s">
        <v>2132</v>
      </c>
      <c r="C1057" s="1">
        <v>80</v>
      </c>
      <c r="D1057" s="1" t="s">
        <v>13</v>
      </c>
      <c r="E1057" s="1" t="s">
        <v>33</v>
      </c>
      <c r="F1057" s="1" t="s">
        <v>62</v>
      </c>
      <c r="G1057" s="1" t="s">
        <v>25</v>
      </c>
      <c r="H1057" s="1" t="s">
        <v>30</v>
      </c>
      <c r="I1057" s="1" t="s">
        <v>30</v>
      </c>
      <c r="J1057" s="1">
        <v>0.61</v>
      </c>
      <c r="K1057" s="36">
        <v>44210</v>
      </c>
    </row>
    <row r="1058" spans="1:11" x14ac:dyDescent="0.3">
      <c r="A1058" s="2" t="s">
        <v>2133</v>
      </c>
      <c r="B1058" s="1" t="s">
        <v>2134</v>
      </c>
      <c r="C1058" s="1">
        <v>46</v>
      </c>
      <c r="D1058" s="1" t="s">
        <v>20</v>
      </c>
      <c r="E1058" s="1" t="s">
        <v>33</v>
      </c>
      <c r="F1058" s="1" t="s">
        <v>29</v>
      </c>
      <c r="G1058" s="1" t="s">
        <v>47</v>
      </c>
      <c r="H1058" s="1" t="s">
        <v>17</v>
      </c>
      <c r="I1058" s="1" t="s">
        <v>30</v>
      </c>
      <c r="J1058" s="1">
        <v>0.44</v>
      </c>
      <c r="K1058" s="36">
        <v>45126</v>
      </c>
    </row>
    <row r="1059" spans="1:11" x14ac:dyDescent="0.3">
      <c r="A1059" s="2" t="s">
        <v>2135</v>
      </c>
      <c r="B1059" s="1" t="s">
        <v>2136</v>
      </c>
      <c r="C1059" s="1">
        <v>66</v>
      </c>
      <c r="D1059" s="1" t="s">
        <v>13</v>
      </c>
      <c r="E1059" s="1" t="s">
        <v>33</v>
      </c>
      <c r="F1059" s="1" t="s">
        <v>15</v>
      </c>
      <c r="G1059" s="1" t="s">
        <v>25</v>
      </c>
      <c r="H1059" s="1" t="s">
        <v>17</v>
      </c>
      <c r="I1059" s="1" t="s">
        <v>30</v>
      </c>
      <c r="J1059" s="1">
        <v>0.46</v>
      </c>
      <c r="K1059" s="36">
        <v>44957</v>
      </c>
    </row>
    <row r="1060" spans="1:11" x14ac:dyDescent="0.3">
      <c r="A1060" s="2" t="s">
        <v>2137</v>
      </c>
      <c r="B1060" s="1" t="s">
        <v>2138</v>
      </c>
      <c r="C1060" s="1">
        <v>44</v>
      </c>
      <c r="D1060" s="1" t="s">
        <v>20</v>
      </c>
      <c r="E1060" s="1" t="s">
        <v>21</v>
      </c>
      <c r="F1060" s="1" t="s">
        <v>62</v>
      </c>
      <c r="G1060" s="1" t="s">
        <v>43</v>
      </c>
      <c r="H1060" s="1" t="s">
        <v>30</v>
      </c>
      <c r="I1060" s="1" t="s">
        <v>17</v>
      </c>
      <c r="J1060" s="1">
        <v>0.33</v>
      </c>
      <c r="K1060" s="36">
        <v>45580</v>
      </c>
    </row>
    <row r="1061" spans="1:11" x14ac:dyDescent="0.3">
      <c r="A1061" s="2" t="s">
        <v>2139</v>
      </c>
      <c r="B1061" s="1" t="s">
        <v>2140</v>
      </c>
      <c r="C1061" s="1">
        <v>37</v>
      </c>
      <c r="D1061" s="1" t="s">
        <v>13</v>
      </c>
      <c r="E1061" s="1" t="s">
        <v>14</v>
      </c>
      <c r="F1061" s="1" t="s">
        <v>46</v>
      </c>
      <c r="G1061" s="1" t="s">
        <v>16</v>
      </c>
      <c r="H1061" s="1" t="s">
        <v>30</v>
      </c>
      <c r="I1061" s="1" t="s">
        <v>17</v>
      </c>
      <c r="J1061" s="1">
        <v>0.39</v>
      </c>
      <c r="K1061" s="36">
        <v>45151</v>
      </c>
    </row>
    <row r="1062" spans="1:11" x14ac:dyDescent="0.3">
      <c r="A1062" s="2" t="s">
        <v>2141</v>
      </c>
      <c r="B1062" s="1" t="s">
        <v>2142</v>
      </c>
      <c r="C1062" s="1">
        <v>66</v>
      </c>
      <c r="D1062" s="1" t="s">
        <v>20</v>
      </c>
      <c r="E1062" s="1" t="s">
        <v>33</v>
      </c>
      <c r="F1062" s="1" t="s">
        <v>15</v>
      </c>
      <c r="G1062" s="1" t="s">
        <v>25</v>
      </c>
      <c r="H1062" s="1" t="s">
        <v>17</v>
      </c>
      <c r="I1062" s="1" t="s">
        <v>17</v>
      </c>
      <c r="J1062" s="1">
        <v>0.23</v>
      </c>
      <c r="K1062" s="36">
        <v>46071</v>
      </c>
    </row>
    <row r="1063" spans="1:11" x14ac:dyDescent="0.3">
      <c r="A1063" s="2" t="s">
        <v>2143</v>
      </c>
      <c r="B1063" s="1" t="s">
        <v>1170</v>
      </c>
      <c r="C1063" s="1">
        <v>61</v>
      </c>
      <c r="D1063" s="1" t="s">
        <v>20</v>
      </c>
      <c r="E1063" s="1" t="s">
        <v>28</v>
      </c>
      <c r="F1063" s="1" t="s">
        <v>29</v>
      </c>
      <c r="G1063" s="1" t="s">
        <v>47</v>
      </c>
      <c r="H1063" s="1" t="s">
        <v>30</v>
      </c>
      <c r="I1063" s="1" t="s">
        <v>30</v>
      </c>
      <c r="J1063" s="1">
        <v>0.64</v>
      </c>
      <c r="K1063" s="36">
        <v>44238</v>
      </c>
    </row>
    <row r="1064" spans="1:11" x14ac:dyDescent="0.3">
      <c r="A1064" s="2" t="s">
        <v>2144</v>
      </c>
      <c r="B1064" s="1" t="s">
        <v>2145</v>
      </c>
      <c r="C1064" s="1">
        <v>27</v>
      </c>
      <c r="D1064" s="1" t="s">
        <v>20</v>
      </c>
      <c r="E1064" s="1" t="s">
        <v>21</v>
      </c>
      <c r="F1064" s="1" t="s">
        <v>62</v>
      </c>
      <c r="G1064" s="1" t="s">
        <v>22</v>
      </c>
      <c r="H1064" s="1" t="s">
        <v>17</v>
      </c>
      <c r="I1064" s="1" t="s">
        <v>30</v>
      </c>
      <c r="J1064" s="1">
        <v>0.38</v>
      </c>
      <c r="K1064" s="36">
        <v>44254</v>
      </c>
    </row>
    <row r="1065" spans="1:11" x14ac:dyDescent="0.3">
      <c r="A1065" s="2" t="s">
        <v>2146</v>
      </c>
      <c r="B1065" s="1" t="s">
        <v>2147</v>
      </c>
      <c r="C1065" s="1">
        <v>62</v>
      </c>
      <c r="D1065" s="1" t="s">
        <v>20</v>
      </c>
      <c r="E1065" s="1" t="s">
        <v>14</v>
      </c>
      <c r="F1065" s="1" t="s">
        <v>29</v>
      </c>
      <c r="G1065" s="1" t="s">
        <v>43</v>
      </c>
      <c r="H1065" s="1" t="s">
        <v>17</v>
      </c>
      <c r="I1065" s="1" t="s">
        <v>17</v>
      </c>
      <c r="J1065" s="1">
        <v>0.2</v>
      </c>
      <c r="K1065" s="36">
        <v>45410</v>
      </c>
    </row>
    <row r="1066" spans="1:11" x14ac:dyDescent="0.3">
      <c r="A1066" s="2" t="s">
        <v>2148</v>
      </c>
      <c r="B1066" s="1" t="s">
        <v>2149</v>
      </c>
      <c r="C1066" s="1">
        <v>65</v>
      </c>
      <c r="D1066" s="1" t="s">
        <v>13</v>
      </c>
      <c r="E1066" s="1" t="s">
        <v>28</v>
      </c>
      <c r="F1066" s="1" t="s">
        <v>46</v>
      </c>
      <c r="G1066" s="1" t="s">
        <v>25</v>
      </c>
      <c r="H1066" s="1" t="s">
        <v>17</v>
      </c>
      <c r="I1066" s="1" t="s">
        <v>30</v>
      </c>
      <c r="J1066" s="1">
        <v>0.44</v>
      </c>
      <c r="K1066" s="36">
        <v>44220</v>
      </c>
    </row>
    <row r="1067" spans="1:11" x14ac:dyDescent="0.3">
      <c r="A1067" s="2" t="s">
        <v>2150</v>
      </c>
      <c r="B1067" s="1" t="s">
        <v>2151</v>
      </c>
      <c r="C1067" s="1">
        <v>42</v>
      </c>
      <c r="D1067" s="1" t="s">
        <v>20</v>
      </c>
      <c r="E1067" s="1" t="s">
        <v>14</v>
      </c>
      <c r="F1067" s="1" t="s">
        <v>15</v>
      </c>
      <c r="G1067" s="1" t="s">
        <v>47</v>
      </c>
      <c r="H1067" s="1" t="s">
        <v>17</v>
      </c>
      <c r="I1067" s="1" t="s">
        <v>17</v>
      </c>
      <c r="J1067" s="1">
        <v>0.19</v>
      </c>
      <c r="K1067" s="36">
        <v>44679</v>
      </c>
    </row>
    <row r="1068" spans="1:11" x14ac:dyDescent="0.3">
      <c r="A1068" s="2" t="s">
        <v>2152</v>
      </c>
      <c r="B1068" s="1" t="s">
        <v>2153</v>
      </c>
      <c r="C1068" s="1">
        <v>76</v>
      </c>
      <c r="D1068" s="1" t="s">
        <v>20</v>
      </c>
      <c r="E1068" s="1" t="s">
        <v>14</v>
      </c>
      <c r="F1068" s="1" t="s">
        <v>29</v>
      </c>
      <c r="G1068" s="1" t="s">
        <v>43</v>
      </c>
      <c r="H1068" s="1" t="s">
        <v>30</v>
      </c>
      <c r="I1068" s="1" t="s">
        <v>30</v>
      </c>
      <c r="J1068" s="1">
        <v>0.64</v>
      </c>
      <c r="K1068" s="36">
        <v>45464</v>
      </c>
    </row>
    <row r="1069" spans="1:11" x14ac:dyDescent="0.3">
      <c r="A1069" s="2" t="s">
        <v>2154</v>
      </c>
      <c r="B1069" s="1" t="s">
        <v>2155</v>
      </c>
      <c r="C1069" s="1">
        <v>58</v>
      </c>
      <c r="D1069" s="1" t="s">
        <v>13</v>
      </c>
      <c r="E1069" s="1" t="s">
        <v>28</v>
      </c>
      <c r="F1069" s="1" t="s">
        <v>29</v>
      </c>
      <c r="G1069" s="1" t="s">
        <v>22</v>
      </c>
      <c r="H1069" s="1" t="s">
        <v>17</v>
      </c>
      <c r="I1069" s="1" t="s">
        <v>17</v>
      </c>
      <c r="J1069" s="1">
        <v>0.33</v>
      </c>
      <c r="K1069" s="36">
        <v>45278</v>
      </c>
    </row>
    <row r="1070" spans="1:11" x14ac:dyDescent="0.3">
      <c r="A1070" s="2" t="s">
        <v>2156</v>
      </c>
      <c r="B1070" s="1" t="s">
        <v>2157</v>
      </c>
      <c r="C1070" s="1">
        <v>39</v>
      </c>
      <c r="D1070" s="1" t="s">
        <v>13</v>
      </c>
      <c r="E1070" s="1" t="s">
        <v>28</v>
      </c>
      <c r="F1070" s="1" t="s">
        <v>29</v>
      </c>
      <c r="G1070" s="1" t="s">
        <v>43</v>
      </c>
      <c r="H1070" s="1" t="s">
        <v>17</v>
      </c>
      <c r="I1070" s="1" t="s">
        <v>17</v>
      </c>
      <c r="J1070" s="1">
        <v>0.23</v>
      </c>
      <c r="K1070" s="36">
        <v>44789</v>
      </c>
    </row>
    <row r="1071" spans="1:11" x14ac:dyDescent="0.3">
      <c r="A1071" s="2" t="s">
        <v>2158</v>
      </c>
      <c r="B1071" s="1" t="s">
        <v>2159</v>
      </c>
      <c r="C1071" s="1">
        <v>18</v>
      </c>
      <c r="D1071" s="1" t="s">
        <v>20</v>
      </c>
      <c r="E1071" s="1" t="s">
        <v>33</v>
      </c>
      <c r="F1071" s="1" t="s">
        <v>15</v>
      </c>
      <c r="G1071" s="1" t="s">
        <v>16</v>
      </c>
      <c r="H1071" s="1" t="s">
        <v>17</v>
      </c>
      <c r="I1071" s="1" t="s">
        <v>17</v>
      </c>
      <c r="J1071" s="1">
        <v>0.23</v>
      </c>
      <c r="K1071" s="36">
        <v>46257</v>
      </c>
    </row>
    <row r="1072" spans="1:11" x14ac:dyDescent="0.3">
      <c r="A1072" s="2" t="s">
        <v>2160</v>
      </c>
      <c r="B1072" s="1" t="s">
        <v>2161</v>
      </c>
      <c r="C1072" s="1">
        <v>60</v>
      </c>
      <c r="D1072" s="1" t="s">
        <v>20</v>
      </c>
      <c r="E1072" s="1" t="s">
        <v>33</v>
      </c>
      <c r="F1072" s="1" t="s">
        <v>29</v>
      </c>
      <c r="G1072" s="1" t="s">
        <v>16</v>
      </c>
      <c r="H1072" s="1" t="s">
        <v>17</v>
      </c>
      <c r="I1072" s="1" t="s">
        <v>17</v>
      </c>
      <c r="J1072" s="1">
        <v>0.34</v>
      </c>
      <c r="K1072" s="36">
        <v>45239</v>
      </c>
    </row>
    <row r="1073" spans="1:11" x14ac:dyDescent="0.3">
      <c r="A1073" s="2" t="s">
        <v>2162</v>
      </c>
      <c r="B1073" s="1" t="s">
        <v>2163</v>
      </c>
      <c r="C1073" s="1">
        <v>31</v>
      </c>
      <c r="D1073" s="1" t="s">
        <v>20</v>
      </c>
      <c r="E1073" s="1" t="s">
        <v>33</v>
      </c>
      <c r="F1073" s="1" t="s">
        <v>15</v>
      </c>
      <c r="G1073" s="1" t="s">
        <v>38</v>
      </c>
      <c r="H1073" s="1" t="s">
        <v>17</v>
      </c>
      <c r="I1073" s="1" t="s">
        <v>17</v>
      </c>
      <c r="J1073" s="1">
        <v>0.15</v>
      </c>
      <c r="K1073" s="36">
        <v>45071</v>
      </c>
    </row>
    <row r="1074" spans="1:11" x14ac:dyDescent="0.3">
      <c r="A1074" s="2" t="s">
        <v>2164</v>
      </c>
      <c r="B1074" s="1" t="s">
        <v>2165</v>
      </c>
      <c r="C1074" s="1">
        <v>65</v>
      </c>
      <c r="D1074" s="1" t="s">
        <v>13</v>
      </c>
      <c r="E1074" s="1" t="s">
        <v>14</v>
      </c>
      <c r="F1074" s="1" t="s">
        <v>29</v>
      </c>
      <c r="G1074" s="1" t="s">
        <v>22</v>
      </c>
      <c r="H1074" s="1" t="s">
        <v>17</v>
      </c>
      <c r="I1074" s="1" t="s">
        <v>30</v>
      </c>
      <c r="J1074" s="1">
        <v>0.35</v>
      </c>
      <c r="K1074" s="36">
        <v>45404</v>
      </c>
    </row>
    <row r="1075" spans="1:11" x14ac:dyDescent="0.3">
      <c r="A1075" s="2" t="s">
        <v>2166</v>
      </c>
      <c r="B1075" s="1" t="s">
        <v>2167</v>
      </c>
      <c r="C1075" s="1">
        <v>51</v>
      </c>
      <c r="D1075" s="1" t="s">
        <v>20</v>
      </c>
      <c r="E1075" s="1" t="s">
        <v>28</v>
      </c>
      <c r="F1075" s="1" t="s">
        <v>29</v>
      </c>
      <c r="G1075" s="1" t="s">
        <v>25</v>
      </c>
      <c r="H1075" s="1" t="s">
        <v>17</v>
      </c>
      <c r="I1075" s="1" t="s">
        <v>17</v>
      </c>
      <c r="J1075" s="1">
        <v>0.02</v>
      </c>
      <c r="K1075" s="36">
        <v>44294</v>
      </c>
    </row>
    <row r="1076" spans="1:11" x14ac:dyDescent="0.3">
      <c r="A1076" s="2" t="s">
        <v>2168</v>
      </c>
      <c r="B1076" s="1" t="s">
        <v>2169</v>
      </c>
      <c r="C1076" s="1">
        <v>47</v>
      </c>
      <c r="D1076" s="1" t="s">
        <v>20</v>
      </c>
      <c r="E1076" s="1" t="s">
        <v>21</v>
      </c>
      <c r="F1076" s="1" t="s">
        <v>15</v>
      </c>
      <c r="G1076" s="1" t="s">
        <v>43</v>
      </c>
      <c r="H1076" s="1" t="s">
        <v>17</v>
      </c>
      <c r="I1076" s="1" t="s">
        <v>17</v>
      </c>
      <c r="J1076" s="1">
        <v>0.2</v>
      </c>
      <c r="K1076" s="36">
        <v>45615</v>
      </c>
    </row>
    <row r="1077" spans="1:11" x14ac:dyDescent="0.3">
      <c r="A1077" s="2" t="s">
        <v>2170</v>
      </c>
      <c r="B1077" s="1" t="s">
        <v>2171</v>
      </c>
      <c r="C1077" s="1">
        <v>28</v>
      </c>
      <c r="D1077" s="1" t="s">
        <v>20</v>
      </c>
      <c r="E1077" s="1" t="s">
        <v>21</v>
      </c>
      <c r="F1077" s="1" t="s">
        <v>15</v>
      </c>
      <c r="G1077" s="1" t="s">
        <v>38</v>
      </c>
      <c r="H1077" s="1" t="s">
        <v>17</v>
      </c>
      <c r="I1077" s="1" t="s">
        <v>17</v>
      </c>
      <c r="J1077" s="1">
        <v>0.15</v>
      </c>
      <c r="K1077" s="36">
        <v>45946</v>
      </c>
    </row>
    <row r="1078" spans="1:11" x14ac:dyDescent="0.3">
      <c r="A1078" s="2" t="s">
        <v>2172</v>
      </c>
      <c r="B1078" s="1" t="s">
        <v>2173</v>
      </c>
      <c r="C1078" s="1">
        <v>62</v>
      </c>
      <c r="D1078" s="1" t="s">
        <v>13</v>
      </c>
      <c r="E1078" s="1" t="s">
        <v>33</v>
      </c>
      <c r="F1078" s="1" t="s">
        <v>29</v>
      </c>
      <c r="G1078" s="1" t="s">
        <v>38</v>
      </c>
      <c r="H1078" s="1" t="s">
        <v>30</v>
      </c>
      <c r="I1078" s="1" t="s">
        <v>30</v>
      </c>
      <c r="J1078" s="1">
        <v>0.63</v>
      </c>
      <c r="K1078" s="36">
        <v>45503</v>
      </c>
    </row>
    <row r="1079" spans="1:11" x14ac:dyDescent="0.3">
      <c r="A1079" s="2" t="s">
        <v>2174</v>
      </c>
      <c r="B1079" s="1" t="s">
        <v>2175</v>
      </c>
      <c r="C1079" s="1">
        <v>28</v>
      </c>
      <c r="D1079" s="1" t="s">
        <v>20</v>
      </c>
      <c r="E1079" s="1" t="s">
        <v>28</v>
      </c>
      <c r="F1079" s="1" t="s">
        <v>15</v>
      </c>
      <c r="G1079" s="1" t="s">
        <v>25</v>
      </c>
      <c r="H1079" s="1" t="s">
        <v>17</v>
      </c>
      <c r="I1079" s="1" t="s">
        <v>17</v>
      </c>
      <c r="J1079" s="1">
        <v>0.08</v>
      </c>
      <c r="K1079" s="36">
        <v>45762</v>
      </c>
    </row>
    <row r="1080" spans="1:11" x14ac:dyDescent="0.3">
      <c r="A1080" s="2" t="s">
        <v>2176</v>
      </c>
      <c r="B1080" s="1" t="s">
        <v>2177</v>
      </c>
      <c r="C1080" s="1">
        <v>44</v>
      </c>
      <c r="D1080" s="1" t="s">
        <v>13</v>
      </c>
      <c r="E1080" s="1" t="s">
        <v>28</v>
      </c>
      <c r="F1080" s="1" t="s">
        <v>15</v>
      </c>
      <c r="G1080" s="1" t="s">
        <v>22</v>
      </c>
      <c r="H1080" s="1" t="s">
        <v>17</v>
      </c>
      <c r="I1080" s="1" t="s">
        <v>17</v>
      </c>
      <c r="J1080" s="1">
        <v>0.16</v>
      </c>
      <c r="K1080" s="36">
        <v>45657</v>
      </c>
    </row>
    <row r="1081" spans="1:11" x14ac:dyDescent="0.3">
      <c r="A1081" s="2" t="s">
        <v>2178</v>
      </c>
      <c r="B1081" s="1" t="s">
        <v>2179</v>
      </c>
      <c r="C1081" s="1">
        <v>70</v>
      </c>
      <c r="D1081" s="1" t="s">
        <v>20</v>
      </c>
      <c r="E1081" s="1" t="s">
        <v>33</v>
      </c>
      <c r="F1081" s="1" t="s">
        <v>62</v>
      </c>
      <c r="G1081" s="1" t="s">
        <v>43</v>
      </c>
      <c r="H1081" s="1" t="s">
        <v>17</v>
      </c>
      <c r="I1081" s="1" t="s">
        <v>30</v>
      </c>
      <c r="J1081" s="1">
        <v>0.46</v>
      </c>
      <c r="K1081" s="36">
        <v>44548</v>
      </c>
    </row>
    <row r="1082" spans="1:11" x14ac:dyDescent="0.3">
      <c r="A1082" s="2" t="s">
        <v>2180</v>
      </c>
      <c r="B1082" s="1" t="s">
        <v>2181</v>
      </c>
      <c r="C1082" s="1">
        <v>75</v>
      </c>
      <c r="D1082" s="1" t="s">
        <v>13</v>
      </c>
      <c r="E1082" s="1" t="s">
        <v>14</v>
      </c>
      <c r="F1082" s="1" t="s">
        <v>29</v>
      </c>
      <c r="G1082" s="1" t="s">
        <v>38</v>
      </c>
      <c r="H1082" s="1" t="s">
        <v>17</v>
      </c>
      <c r="I1082" s="1" t="s">
        <v>30</v>
      </c>
      <c r="J1082" s="1">
        <v>0.37</v>
      </c>
      <c r="K1082" s="36">
        <v>45066</v>
      </c>
    </row>
    <row r="1083" spans="1:11" x14ac:dyDescent="0.3">
      <c r="A1083" s="2" t="s">
        <v>2182</v>
      </c>
      <c r="B1083" s="1" t="s">
        <v>2183</v>
      </c>
      <c r="C1083" s="1">
        <v>80</v>
      </c>
      <c r="D1083" s="1" t="s">
        <v>20</v>
      </c>
      <c r="E1083" s="1" t="s">
        <v>14</v>
      </c>
      <c r="F1083" s="1" t="s">
        <v>46</v>
      </c>
      <c r="G1083" s="1" t="s">
        <v>22</v>
      </c>
      <c r="H1083" s="1" t="s">
        <v>17</v>
      </c>
      <c r="I1083" s="1" t="s">
        <v>30</v>
      </c>
      <c r="J1083" s="1">
        <v>0.45</v>
      </c>
      <c r="K1083" s="36">
        <v>44577</v>
      </c>
    </row>
    <row r="1084" spans="1:11" x14ac:dyDescent="0.3">
      <c r="A1084" s="2" t="s">
        <v>2184</v>
      </c>
      <c r="B1084" s="1" t="s">
        <v>2185</v>
      </c>
      <c r="C1084" s="1">
        <v>78</v>
      </c>
      <c r="D1084" s="1" t="s">
        <v>20</v>
      </c>
      <c r="E1084" s="1" t="s">
        <v>14</v>
      </c>
      <c r="F1084" s="1" t="s">
        <v>29</v>
      </c>
      <c r="G1084" s="1" t="s">
        <v>38</v>
      </c>
      <c r="H1084" s="1" t="s">
        <v>17</v>
      </c>
      <c r="I1084" s="1" t="s">
        <v>30</v>
      </c>
      <c r="J1084" s="1">
        <v>0.4</v>
      </c>
      <c r="K1084" s="36">
        <v>44819</v>
      </c>
    </row>
    <row r="1085" spans="1:11" x14ac:dyDescent="0.3">
      <c r="A1085" s="2" t="s">
        <v>2186</v>
      </c>
      <c r="B1085" s="1" t="s">
        <v>2187</v>
      </c>
      <c r="C1085" s="1">
        <v>53</v>
      </c>
      <c r="D1085" s="1" t="s">
        <v>20</v>
      </c>
      <c r="E1085" s="1" t="s">
        <v>14</v>
      </c>
      <c r="F1085" s="1" t="s">
        <v>15</v>
      </c>
      <c r="G1085" s="1" t="s">
        <v>25</v>
      </c>
      <c r="H1085" s="1" t="s">
        <v>17</v>
      </c>
      <c r="I1085" s="1" t="s">
        <v>17</v>
      </c>
      <c r="J1085" s="1">
        <v>0.2</v>
      </c>
      <c r="K1085" s="36">
        <v>45071</v>
      </c>
    </row>
    <row r="1086" spans="1:11" x14ac:dyDescent="0.3">
      <c r="A1086" s="2" t="s">
        <v>2188</v>
      </c>
      <c r="B1086" s="1" t="s">
        <v>2189</v>
      </c>
      <c r="C1086" s="1">
        <v>30</v>
      </c>
      <c r="D1086" s="1" t="s">
        <v>13</v>
      </c>
      <c r="E1086" s="1" t="s">
        <v>14</v>
      </c>
      <c r="F1086" s="1" t="s">
        <v>46</v>
      </c>
      <c r="G1086" s="1" t="s">
        <v>43</v>
      </c>
      <c r="H1086" s="1" t="s">
        <v>17</v>
      </c>
      <c r="I1086" s="1" t="s">
        <v>30</v>
      </c>
      <c r="J1086" s="1">
        <v>0.39</v>
      </c>
      <c r="K1086" s="36">
        <v>44988</v>
      </c>
    </row>
    <row r="1087" spans="1:11" x14ac:dyDescent="0.3">
      <c r="A1087" s="2" t="s">
        <v>2190</v>
      </c>
      <c r="B1087" s="1" t="s">
        <v>2191</v>
      </c>
      <c r="C1087" s="1">
        <v>70</v>
      </c>
      <c r="D1087" s="1" t="s">
        <v>13</v>
      </c>
      <c r="E1087" s="1" t="s">
        <v>21</v>
      </c>
      <c r="F1087" s="1" t="s">
        <v>15</v>
      </c>
      <c r="G1087" s="1" t="s">
        <v>38</v>
      </c>
      <c r="H1087" s="1" t="s">
        <v>17</v>
      </c>
      <c r="I1087" s="1" t="s">
        <v>30</v>
      </c>
      <c r="J1087" s="1">
        <v>0.49</v>
      </c>
      <c r="K1087" s="36">
        <v>44285</v>
      </c>
    </row>
    <row r="1088" spans="1:11" x14ac:dyDescent="0.3">
      <c r="A1088" s="2" t="s">
        <v>2192</v>
      </c>
      <c r="B1088" s="1" t="s">
        <v>2193</v>
      </c>
      <c r="C1088" s="1">
        <v>68</v>
      </c>
      <c r="D1088" s="1" t="s">
        <v>20</v>
      </c>
      <c r="E1088" s="1" t="s">
        <v>14</v>
      </c>
      <c r="F1088" s="1" t="s">
        <v>15</v>
      </c>
      <c r="G1088" s="1" t="s">
        <v>47</v>
      </c>
      <c r="H1088" s="1" t="s">
        <v>17</v>
      </c>
      <c r="I1088" s="1" t="s">
        <v>30</v>
      </c>
      <c r="J1088" s="1">
        <v>0.44</v>
      </c>
      <c r="K1088" s="36">
        <v>45012</v>
      </c>
    </row>
    <row r="1089" spans="1:11" x14ac:dyDescent="0.3">
      <c r="A1089" s="2" t="s">
        <v>2194</v>
      </c>
      <c r="B1089" s="1" t="s">
        <v>2195</v>
      </c>
      <c r="C1089" s="1">
        <v>80</v>
      </c>
      <c r="D1089" s="1" t="s">
        <v>20</v>
      </c>
      <c r="E1089" s="1" t="s">
        <v>28</v>
      </c>
      <c r="F1089" s="1" t="s">
        <v>62</v>
      </c>
      <c r="G1089" s="1" t="s">
        <v>43</v>
      </c>
      <c r="H1089" s="1" t="s">
        <v>17</v>
      </c>
      <c r="I1089" s="1" t="s">
        <v>17</v>
      </c>
      <c r="J1089" s="1">
        <v>0.23</v>
      </c>
      <c r="K1089" s="36">
        <v>45534</v>
      </c>
    </row>
    <row r="1090" spans="1:11" x14ac:dyDescent="0.3">
      <c r="A1090" s="2" t="s">
        <v>2196</v>
      </c>
      <c r="B1090" s="1" t="s">
        <v>2197</v>
      </c>
      <c r="C1090" s="1">
        <v>59</v>
      </c>
      <c r="D1090" s="1" t="s">
        <v>13</v>
      </c>
      <c r="E1090" s="1" t="s">
        <v>33</v>
      </c>
      <c r="F1090" s="1" t="s">
        <v>62</v>
      </c>
      <c r="G1090" s="1" t="s">
        <v>38</v>
      </c>
      <c r="H1090" s="1" t="s">
        <v>17</v>
      </c>
      <c r="I1090" s="1" t="s">
        <v>30</v>
      </c>
      <c r="J1090" s="1">
        <v>0.4</v>
      </c>
      <c r="K1090" s="36">
        <v>44897</v>
      </c>
    </row>
    <row r="1091" spans="1:11" x14ac:dyDescent="0.3">
      <c r="A1091" s="2" t="s">
        <v>2198</v>
      </c>
      <c r="B1091" s="1" t="s">
        <v>2199</v>
      </c>
      <c r="C1091" s="1">
        <v>26</v>
      </c>
      <c r="D1091" s="1" t="s">
        <v>20</v>
      </c>
      <c r="E1091" s="1" t="s">
        <v>21</v>
      </c>
      <c r="F1091" s="1" t="s">
        <v>46</v>
      </c>
      <c r="G1091" s="1" t="s">
        <v>43</v>
      </c>
      <c r="H1091" s="1" t="s">
        <v>17</v>
      </c>
      <c r="I1091" s="1" t="s">
        <v>30</v>
      </c>
      <c r="J1091" s="1">
        <v>0.39</v>
      </c>
      <c r="K1091" s="36">
        <v>44411</v>
      </c>
    </row>
    <row r="1092" spans="1:11" x14ac:dyDescent="0.3">
      <c r="A1092" s="2" t="s">
        <v>2200</v>
      </c>
      <c r="B1092" s="1" t="s">
        <v>2201</v>
      </c>
      <c r="C1092" s="1">
        <v>49</v>
      </c>
      <c r="D1092" s="1" t="s">
        <v>20</v>
      </c>
      <c r="E1092" s="1" t="s">
        <v>14</v>
      </c>
      <c r="F1092" s="1" t="s">
        <v>15</v>
      </c>
      <c r="G1092" s="1" t="s">
        <v>43</v>
      </c>
      <c r="H1092" s="1" t="s">
        <v>17</v>
      </c>
      <c r="I1092" s="1" t="s">
        <v>17</v>
      </c>
      <c r="J1092" s="1">
        <v>0.14000000000000001</v>
      </c>
      <c r="K1092" s="36">
        <v>46100</v>
      </c>
    </row>
    <row r="1093" spans="1:11" x14ac:dyDescent="0.3">
      <c r="A1093" s="2" t="s">
        <v>2202</v>
      </c>
      <c r="B1093" s="1" t="s">
        <v>2203</v>
      </c>
      <c r="C1093" s="1">
        <v>46</v>
      </c>
      <c r="D1093" s="1" t="s">
        <v>20</v>
      </c>
      <c r="E1093" s="1" t="s">
        <v>14</v>
      </c>
      <c r="F1093" s="1" t="s">
        <v>46</v>
      </c>
      <c r="G1093" s="1" t="s">
        <v>38</v>
      </c>
      <c r="H1093" s="1" t="s">
        <v>30</v>
      </c>
      <c r="I1093" s="1" t="s">
        <v>30</v>
      </c>
      <c r="J1093" s="1">
        <v>0.52</v>
      </c>
      <c r="K1093" s="36">
        <v>44224</v>
      </c>
    </row>
    <row r="1094" spans="1:11" x14ac:dyDescent="0.3">
      <c r="A1094" s="2" t="s">
        <v>2204</v>
      </c>
      <c r="B1094" s="1" t="s">
        <v>2205</v>
      </c>
      <c r="C1094" s="1">
        <v>71</v>
      </c>
      <c r="D1094" s="1" t="s">
        <v>13</v>
      </c>
      <c r="E1094" s="1" t="s">
        <v>14</v>
      </c>
      <c r="F1094" s="1" t="s">
        <v>15</v>
      </c>
      <c r="G1094" s="1" t="s">
        <v>38</v>
      </c>
      <c r="H1094" s="1" t="s">
        <v>17</v>
      </c>
      <c r="I1094" s="1" t="s">
        <v>17</v>
      </c>
      <c r="J1094" s="1">
        <v>0.26</v>
      </c>
      <c r="K1094" s="36">
        <v>45900</v>
      </c>
    </row>
    <row r="1095" spans="1:11" x14ac:dyDescent="0.3">
      <c r="A1095" s="2" t="s">
        <v>2206</v>
      </c>
      <c r="B1095" s="1" t="s">
        <v>2207</v>
      </c>
      <c r="C1095" s="1">
        <v>42</v>
      </c>
      <c r="D1095" s="1" t="s">
        <v>13</v>
      </c>
      <c r="E1095" s="1" t="s">
        <v>33</v>
      </c>
      <c r="F1095" s="1" t="s">
        <v>62</v>
      </c>
      <c r="G1095" s="1" t="s">
        <v>25</v>
      </c>
      <c r="H1095" s="1" t="s">
        <v>17</v>
      </c>
      <c r="I1095" s="1" t="s">
        <v>17</v>
      </c>
      <c r="J1095" s="1">
        <v>0.19</v>
      </c>
      <c r="K1095" s="36">
        <v>44281</v>
      </c>
    </row>
    <row r="1096" spans="1:11" x14ac:dyDescent="0.3">
      <c r="A1096" s="2" t="s">
        <v>2208</v>
      </c>
      <c r="B1096" s="1" t="s">
        <v>2209</v>
      </c>
      <c r="C1096" s="1">
        <v>38</v>
      </c>
      <c r="D1096" s="1" t="s">
        <v>13</v>
      </c>
      <c r="E1096" s="1" t="s">
        <v>28</v>
      </c>
      <c r="F1096" s="1" t="s">
        <v>29</v>
      </c>
      <c r="G1096" s="1" t="s">
        <v>38</v>
      </c>
      <c r="H1096" s="1" t="s">
        <v>17</v>
      </c>
      <c r="I1096" s="1" t="s">
        <v>17</v>
      </c>
      <c r="J1096" s="1">
        <v>0.14000000000000001</v>
      </c>
      <c r="K1096" s="36">
        <v>44288</v>
      </c>
    </row>
    <row r="1097" spans="1:11" x14ac:dyDescent="0.3">
      <c r="A1097" s="2" t="s">
        <v>2210</v>
      </c>
      <c r="B1097" s="1" t="s">
        <v>2211</v>
      </c>
      <c r="C1097" s="1">
        <v>23</v>
      </c>
      <c r="D1097" s="1" t="s">
        <v>13</v>
      </c>
      <c r="E1097" s="1" t="s">
        <v>33</v>
      </c>
      <c r="F1097" s="1" t="s">
        <v>46</v>
      </c>
      <c r="G1097" s="1" t="s">
        <v>16</v>
      </c>
      <c r="H1097" s="1" t="s">
        <v>17</v>
      </c>
      <c r="I1097" s="1" t="s">
        <v>17</v>
      </c>
      <c r="J1097" s="1">
        <v>0.14000000000000001</v>
      </c>
      <c r="K1097" s="36">
        <v>45696</v>
      </c>
    </row>
    <row r="1098" spans="1:11" x14ac:dyDescent="0.3">
      <c r="A1098" s="2" t="s">
        <v>2212</v>
      </c>
      <c r="B1098" s="1" t="s">
        <v>2213</v>
      </c>
      <c r="C1098" s="1">
        <v>70</v>
      </c>
      <c r="D1098" s="1" t="s">
        <v>20</v>
      </c>
      <c r="E1098" s="1" t="s">
        <v>14</v>
      </c>
      <c r="F1098" s="1" t="s">
        <v>62</v>
      </c>
      <c r="G1098" s="1" t="s">
        <v>38</v>
      </c>
      <c r="H1098" s="1" t="s">
        <v>17</v>
      </c>
      <c r="I1098" s="1" t="s">
        <v>30</v>
      </c>
      <c r="J1098" s="1">
        <v>0.46</v>
      </c>
      <c r="K1098" s="36">
        <v>45856</v>
      </c>
    </row>
    <row r="1099" spans="1:11" x14ac:dyDescent="0.3">
      <c r="A1099" s="2" t="s">
        <v>2214</v>
      </c>
      <c r="B1099" s="1" t="s">
        <v>2215</v>
      </c>
      <c r="C1099" s="1">
        <v>65</v>
      </c>
      <c r="D1099" s="1" t="s">
        <v>20</v>
      </c>
      <c r="E1099" s="1" t="s">
        <v>21</v>
      </c>
      <c r="F1099" s="1" t="s">
        <v>15</v>
      </c>
      <c r="G1099" s="1" t="s">
        <v>16</v>
      </c>
      <c r="H1099" s="1" t="s">
        <v>17</v>
      </c>
      <c r="I1099" s="1" t="s">
        <v>30</v>
      </c>
      <c r="J1099" s="1">
        <v>0.49</v>
      </c>
      <c r="K1099" s="36">
        <v>45296</v>
      </c>
    </row>
    <row r="1100" spans="1:11" x14ac:dyDescent="0.3">
      <c r="A1100" s="2" t="s">
        <v>2216</v>
      </c>
      <c r="B1100" s="1" t="s">
        <v>2217</v>
      </c>
      <c r="C1100" s="1">
        <v>20</v>
      </c>
      <c r="D1100" s="1" t="s">
        <v>20</v>
      </c>
      <c r="E1100" s="1" t="s">
        <v>21</v>
      </c>
      <c r="F1100" s="1" t="s">
        <v>15</v>
      </c>
      <c r="G1100" s="1" t="s">
        <v>22</v>
      </c>
      <c r="H1100" s="1" t="s">
        <v>17</v>
      </c>
      <c r="I1100" s="1" t="s">
        <v>17</v>
      </c>
      <c r="J1100" s="1">
        <v>0.14000000000000001</v>
      </c>
      <c r="K1100" s="36">
        <v>45362</v>
      </c>
    </row>
    <row r="1101" spans="1:11" x14ac:dyDescent="0.3">
      <c r="A1101" s="2" t="s">
        <v>2218</v>
      </c>
      <c r="B1101" s="1" t="s">
        <v>2219</v>
      </c>
      <c r="C1101" s="1">
        <v>45</v>
      </c>
      <c r="D1101" s="1" t="s">
        <v>20</v>
      </c>
      <c r="E1101" s="1" t="s">
        <v>28</v>
      </c>
      <c r="F1101" s="1" t="s">
        <v>62</v>
      </c>
      <c r="G1101" s="1" t="s">
        <v>25</v>
      </c>
      <c r="H1101" s="1" t="s">
        <v>30</v>
      </c>
      <c r="I1101" s="1" t="s">
        <v>30</v>
      </c>
      <c r="J1101" s="1">
        <v>0.55000000000000004</v>
      </c>
      <c r="K1101" s="36">
        <v>45307</v>
      </c>
    </row>
    <row r="1102" spans="1:11" x14ac:dyDescent="0.3">
      <c r="A1102" s="2" t="s">
        <v>2220</v>
      </c>
      <c r="B1102" s="1" t="s">
        <v>2221</v>
      </c>
      <c r="C1102" s="1">
        <v>48</v>
      </c>
      <c r="D1102" s="1" t="s">
        <v>20</v>
      </c>
      <c r="E1102" s="1" t="s">
        <v>33</v>
      </c>
      <c r="F1102" s="1" t="s">
        <v>46</v>
      </c>
      <c r="G1102" s="1" t="s">
        <v>43</v>
      </c>
      <c r="H1102" s="1" t="s">
        <v>17</v>
      </c>
      <c r="I1102" s="1" t="s">
        <v>30</v>
      </c>
      <c r="J1102" s="1">
        <v>0.41</v>
      </c>
      <c r="K1102" s="36">
        <v>44799</v>
      </c>
    </row>
    <row r="1103" spans="1:11" x14ac:dyDescent="0.3">
      <c r="A1103" s="2" t="s">
        <v>2222</v>
      </c>
      <c r="B1103" s="1" t="s">
        <v>2223</v>
      </c>
      <c r="C1103" s="1">
        <v>47</v>
      </c>
      <c r="D1103" s="1" t="s">
        <v>20</v>
      </c>
      <c r="E1103" s="1" t="s">
        <v>33</v>
      </c>
      <c r="F1103" s="1" t="s">
        <v>29</v>
      </c>
      <c r="G1103" s="1" t="s">
        <v>22</v>
      </c>
      <c r="H1103" s="1" t="s">
        <v>17</v>
      </c>
      <c r="I1103" s="1" t="s">
        <v>17</v>
      </c>
      <c r="J1103" s="1">
        <v>0.24</v>
      </c>
      <c r="K1103" s="36">
        <v>44344</v>
      </c>
    </row>
    <row r="1104" spans="1:11" x14ac:dyDescent="0.3">
      <c r="A1104" s="2" t="s">
        <v>2224</v>
      </c>
      <c r="B1104" s="1" t="s">
        <v>2225</v>
      </c>
      <c r="C1104" s="1">
        <v>75</v>
      </c>
      <c r="D1104" s="1" t="s">
        <v>20</v>
      </c>
      <c r="E1104" s="1" t="s">
        <v>33</v>
      </c>
      <c r="F1104" s="1" t="s">
        <v>15</v>
      </c>
      <c r="G1104" s="1" t="s">
        <v>16</v>
      </c>
      <c r="H1104" s="1" t="s">
        <v>17</v>
      </c>
      <c r="I1104" s="1" t="s">
        <v>30</v>
      </c>
      <c r="J1104" s="1">
        <v>0.4</v>
      </c>
      <c r="K1104" s="36">
        <v>44852</v>
      </c>
    </row>
    <row r="1105" spans="1:11" x14ac:dyDescent="0.3">
      <c r="A1105" s="2" t="s">
        <v>2226</v>
      </c>
      <c r="B1105" s="1" t="s">
        <v>2227</v>
      </c>
      <c r="C1105" s="1">
        <v>27</v>
      </c>
      <c r="D1105" s="1" t="s">
        <v>13</v>
      </c>
      <c r="E1105" s="1" t="s">
        <v>28</v>
      </c>
      <c r="F1105" s="1" t="s">
        <v>46</v>
      </c>
      <c r="G1105" s="1" t="s">
        <v>16</v>
      </c>
      <c r="H1105" s="1" t="s">
        <v>17</v>
      </c>
      <c r="I1105" s="1" t="s">
        <v>30</v>
      </c>
      <c r="J1105" s="1">
        <v>0.28999999999999998</v>
      </c>
      <c r="K1105" s="36">
        <v>45535</v>
      </c>
    </row>
    <row r="1106" spans="1:11" x14ac:dyDescent="0.3">
      <c r="A1106" s="2" t="s">
        <v>2228</v>
      </c>
      <c r="B1106" s="1" t="s">
        <v>2229</v>
      </c>
      <c r="C1106" s="1">
        <v>37</v>
      </c>
      <c r="D1106" s="1" t="s">
        <v>20</v>
      </c>
      <c r="E1106" s="1" t="s">
        <v>28</v>
      </c>
      <c r="F1106" s="1" t="s">
        <v>29</v>
      </c>
      <c r="G1106" s="1" t="s">
        <v>43</v>
      </c>
      <c r="H1106" s="1" t="s">
        <v>17</v>
      </c>
      <c r="I1106" s="1" t="s">
        <v>17</v>
      </c>
      <c r="J1106" s="1">
        <v>0.2</v>
      </c>
      <c r="K1106" s="36">
        <v>45721</v>
      </c>
    </row>
    <row r="1107" spans="1:11" x14ac:dyDescent="0.3">
      <c r="A1107" s="2" t="s">
        <v>2230</v>
      </c>
      <c r="B1107" s="1" t="s">
        <v>2231</v>
      </c>
      <c r="C1107" s="1">
        <v>29</v>
      </c>
      <c r="D1107" s="1" t="s">
        <v>20</v>
      </c>
      <c r="E1107" s="1" t="s">
        <v>21</v>
      </c>
      <c r="F1107" s="1" t="s">
        <v>29</v>
      </c>
      <c r="G1107" s="1" t="s">
        <v>47</v>
      </c>
      <c r="H1107" s="1" t="s">
        <v>17</v>
      </c>
      <c r="I1107" s="1" t="s">
        <v>17</v>
      </c>
      <c r="J1107" s="1">
        <v>0.21</v>
      </c>
      <c r="K1107" s="36">
        <v>45979</v>
      </c>
    </row>
    <row r="1108" spans="1:11" x14ac:dyDescent="0.3">
      <c r="A1108" s="2" t="s">
        <v>2232</v>
      </c>
      <c r="B1108" s="1" t="s">
        <v>2233</v>
      </c>
      <c r="C1108" s="1">
        <v>33</v>
      </c>
      <c r="D1108" s="1" t="s">
        <v>13</v>
      </c>
      <c r="E1108" s="1" t="s">
        <v>14</v>
      </c>
      <c r="F1108" s="1" t="s">
        <v>62</v>
      </c>
      <c r="G1108" s="1" t="s">
        <v>47</v>
      </c>
      <c r="H1108" s="1" t="s">
        <v>17</v>
      </c>
      <c r="I1108" s="1" t="s">
        <v>30</v>
      </c>
      <c r="J1108" s="1">
        <v>0.36</v>
      </c>
      <c r="K1108" s="36">
        <v>45657</v>
      </c>
    </row>
    <row r="1109" spans="1:11" x14ac:dyDescent="0.3">
      <c r="A1109" s="2" t="s">
        <v>2234</v>
      </c>
      <c r="B1109" s="1" t="s">
        <v>2235</v>
      </c>
      <c r="C1109" s="1">
        <v>75</v>
      </c>
      <c r="D1109" s="1" t="s">
        <v>13</v>
      </c>
      <c r="E1109" s="1" t="s">
        <v>21</v>
      </c>
      <c r="F1109" s="1" t="s">
        <v>62</v>
      </c>
      <c r="G1109" s="1" t="s">
        <v>22</v>
      </c>
      <c r="H1109" s="1" t="s">
        <v>30</v>
      </c>
      <c r="I1109" s="1" t="s">
        <v>30</v>
      </c>
      <c r="J1109" s="1">
        <v>0.6</v>
      </c>
      <c r="K1109" s="36">
        <v>46199</v>
      </c>
    </row>
    <row r="1110" spans="1:11" x14ac:dyDescent="0.3">
      <c r="A1110" s="2" t="s">
        <v>2236</v>
      </c>
      <c r="B1110" s="1" t="s">
        <v>2237</v>
      </c>
      <c r="C1110" s="1">
        <v>77</v>
      </c>
      <c r="D1110" s="1" t="s">
        <v>13</v>
      </c>
      <c r="E1110" s="1" t="s">
        <v>14</v>
      </c>
      <c r="F1110" s="1" t="s">
        <v>46</v>
      </c>
      <c r="G1110" s="1" t="s">
        <v>25</v>
      </c>
      <c r="H1110" s="1" t="s">
        <v>17</v>
      </c>
      <c r="I1110" s="1" t="s">
        <v>30</v>
      </c>
      <c r="J1110" s="1">
        <v>0.37</v>
      </c>
      <c r="K1110" s="36">
        <v>45393</v>
      </c>
    </row>
    <row r="1111" spans="1:11" x14ac:dyDescent="0.3">
      <c r="A1111" s="2" t="s">
        <v>2238</v>
      </c>
      <c r="B1111" s="1" t="s">
        <v>2239</v>
      </c>
      <c r="C1111" s="1">
        <v>20</v>
      </c>
      <c r="D1111" s="1" t="s">
        <v>13</v>
      </c>
      <c r="E1111" s="1" t="s">
        <v>33</v>
      </c>
      <c r="F1111" s="1" t="s">
        <v>15</v>
      </c>
      <c r="G1111" s="1" t="s">
        <v>43</v>
      </c>
      <c r="H1111" s="1" t="s">
        <v>17</v>
      </c>
      <c r="I1111" s="1" t="s">
        <v>17</v>
      </c>
      <c r="J1111" s="1">
        <v>0.28000000000000003</v>
      </c>
      <c r="K1111" s="36">
        <v>44847</v>
      </c>
    </row>
    <row r="1112" spans="1:11" x14ac:dyDescent="0.3">
      <c r="A1112" s="2" t="s">
        <v>2240</v>
      </c>
      <c r="B1112" s="1" t="s">
        <v>2241</v>
      </c>
      <c r="C1112" s="1">
        <v>57</v>
      </c>
      <c r="D1112" s="1" t="s">
        <v>13</v>
      </c>
      <c r="E1112" s="1" t="s">
        <v>21</v>
      </c>
      <c r="F1112" s="1" t="s">
        <v>15</v>
      </c>
      <c r="G1112" s="1" t="s">
        <v>47</v>
      </c>
      <c r="H1112" s="1" t="s">
        <v>17</v>
      </c>
      <c r="I1112" s="1" t="s">
        <v>17</v>
      </c>
      <c r="J1112" s="1">
        <v>0.31</v>
      </c>
      <c r="K1112" s="36">
        <v>45343</v>
      </c>
    </row>
    <row r="1113" spans="1:11" x14ac:dyDescent="0.3">
      <c r="A1113" s="2" t="s">
        <v>2242</v>
      </c>
      <c r="B1113" s="1" t="s">
        <v>2243</v>
      </c>
      <c r="C1113" s="1">
        <v>32</v>
      </c>
      <c r="D1113" s="1" t="s">
        <v>20</v>
      </c>
      <c r="E1113" s="1" t="s">
        <v>21</v>
      </c>
      <c r="F1113" s="1" t="s">
        <v>29</v>
      </c>
      <c r="G1113" s="1" t="s">
        <v>38</v>
      </c>
      <c r="H1113" s="1" t="s">
        <v>17</v>
      </c>
      <c r="I1113" s="1" t="s">
        <v>17</v>
      </c>
      <c r="J1113" s="1">
        <v>0.21</v>
      </c>
      <c r="K1113" s="36">
        <v>44543</v>
      </c>
    </row>
    <row r="1114" spans="1:11" x14ac:dyDescent="0.3">
      <c r="A1114" s="2" t="s">
        <v>2244</v>
      </c>
      <c r="B1114" s="1" t="s">
        <v>2245</v>
      </c>
      <c r="C1114" s="1">
        <v>30</v>
      </c>
      <c r="D1114" s="1" t="s">
        <v>20</v>
      </c>
      <c r="E1114" s="1" t="s">
        <v>14</v>
      </c>
      <c r="F1114" s="1" t="s">
        <v>15</v>
      </c>
      <c r="G1114" s="1" t="s">
        <v>16</v>
      </c>
      <c r="H1114" s="1" t="s">
        <v>17</v>
      </c>
      <c r="I1114" s="1" t="s">
        <v>17</v>
      </c>
      <c r="J1114" s="1">
        <v>0.21</v>
      </c>
      <c r="K1114" s="36">
        <v>45516</v>
      </c>
    </row>
    <row r="1115" spans="1:11" x14ac:dyDescent="0.3">
      <c r="A1115" s="2" t="s">
        <v>2246</v>
      </c>
      <c r="B1115" s="1" t="s">
        <v>2247</v>
      </c>
      <c r="C1115" s="1">
        <v>36</v>
      </c>
      <c r="D1115" s="1" t="s">
        <v>13</v>
      </c>
      <c r="E1115" s="1" t="s">
        <v>33</v>
      </c>
      <c r="F1115" s="1" t="s">
        <v>62</v>
      </c>
      <c r="G1115" s="1" t="s">
        <v>16</v>
      </c>
      <c r="H1115" s="1" t="s">
        <v>17</v>
      </c>
      <c r="I1115" s="1" t="s">
        <v>17</v>
      </c>
      <c r="J1115" s="1">
        <v>0.3</v>
      </c>
      <c r="K1115" s="36">
        <v>44568</v>
      </c>
    </row>
    <row r="1116" spans="1:11" x14ac:dyDescent="0.3">
      <c r="A1116" s="2" t="s">
        <v>2248</v>
      </c>
      <c r="B1116" s="1" t="s">
        <v>2249</v>
      </c>
      <c r="C1116" s="1">
        <v>30</v>
      </c>
      <c r="D1116" s="1" t="s">
        <v>20</v>
      </c>
      <c r="E1116" s="1" t="s">
        <v>33</v>
      </c>
      <c r="F1116" s="1" t="s">
        <v>15</v>
      </c>
      <c r="G1116" s="1" t="s">
        <v>22</v>
      </c>
      <c r="H1116" s="1" t="s">
        <v>17</v>
      </c>
      <c r="I1116" s="1" t="s">
        <v>17</v>
      </c>
      <c r="J1116" s="1">
        <v>0.16</v>
      </c>
      <c r="K1116" s="36">
        <v>44314</v>
      </c>
    </row>
    <row r="1117" spans="1:11" x14ac:dyDescent="0.3">
      <c r="A1117" s="2" t="s">
        <v>2250</v>
      </c>
      <c r="B1117" s="1" t="s">
        <v>2251</v>
      </c>
      <c r="C1117" s="1">
        <v>48</v>
      </c>
      <c r="D1117" s="1" t="s">
        <v>20</v>
      </c>
      <c r="E1117" s="1" t="s">
        <v>21</v>
      </c>
      <c r="F1117" s="1" t="s">
        <v>62</v>
      </c>
      <c r="G1117" s="1" t="s">
        <v>47</v>
      </c>
      <c r="H1117" s="1" t="s">
        <v>17</v>
      </c>
      <c r="I1117" s="1" t="s">
        <v>17</v>
      </c>
      <c r="J1117" s="1">
        <v>0.28000000000000003</v>
      </c>
      <c r="K1117" s="36">
        <v>45930</v>
      </c>
    </row>
    <row r="1118" spans="1:11" x14ac:dyDescent="0.3">
      <c r="A1118" s="2" t="s">
        <v>2252</v>
      </c>
      <c r="B1118" s="1" t="s">
        <v>2253</v>
      </c>
      <c r="C1118" s="1">
        <v>80</v>
      </c>
      <c r="D1118" s="1" t="s">
        <v>20</v>
      </c>
      <c r="E1118" s="1" t="s">
        <v>21</v>
      </c>
      <c r="F1118" s="1" t="s">
        <v>46</v>
      </c>
      <c r="G1118" s="1" t="s">
        <v>43</v>
      </c>
      <c r="H1118" s="1" t="s">
        <v>17</v>
      </c>
      <c r="I1118" s="1" t="s">
        <v>30</v>
      </c>
      <c r="J1118" s="1">
        <v>0.39</v>
      </c>
      <c r="K1118" s="36">
        <v>44882</v>
      </c>
    </row>
    <row r="1119" spans="1:11" x14ac:dyDescent="0.3">
      <c r="A1119" s="2" t="s">
        <v>2254</v>
      </c>
      <c r="B1119" s="1" t="s">
        <v>2255</v>
      </c>
      <c r="C1119" s="1">
        <v>54</v>
      </c>
      <c r="D1119" s="1" t="s">
        <v>20</v>
      </c>
      <c r="E1119" s="1" t="s">
        <v>28</v>
      </c>
      <c r="F1119" s="1" t="s">
        <v>62</v>
      </c>
      <c r="G1119" s="1" t="s">
        <v>43</v>
      </c>
      <c r="H1119" s="1" t="s">
        <v>17</v>
      </c>
      <c r="I1119" s="1" t="s">
        <v>30</v>
      </c>
      <c r="J1119" s="1">
        <v>0.42</v>
      </c>
      <c r="K1119" s="36">
        <v>45748</v>
      </c>
    </row>
    <row r="1120" spans="1:11" x14ac:dyDescent="0.3">
      <c r="A1120" s="2" t="s">
        <v>2256</v>
      </c>
      <c r="B1120" s="1" t="s">
        <v>2257</v>
      </c>
      <c r="C1120" s="1">
        <v>63</v>
      </c>
      <c r="D1120" s="1" t="s">
        <v>20</v>
      </c>
      <c r="E1120" s="1" t="s">
        <v>33</v>
      </c>
      <c r="F1120" s="1" t="s">
        <v>46</v>
      </c>
      <c r="G1120" s="1" t="s">
        <v>25</v>
      </c>
      <c r="H1120" s="1" t="s">
        <v>17</v>
      </c>
      <c r="I1120" s="1" t="s">
        <v>30</v>
      </c>
      <c r="J1120" s="1">
        <v>0.5</v>
      </c>
      <c r="K1120" s="36">
        <v>45335</v>
      </c>
    </row>
    <row r="1121" spans="1:11" x14ac:dyDescent="0.3">
      <c r="A1121" s="2" t="s">
        <v>2258</v>
      </c>
      <c r="B1121" s="1" t="s">
        <v>2259</v>
      </c>
      <c r="C1121" s="1">
        <v>49</v>
      </c>
      <c r="D1121" s="1" t="s">
        <v>20</v>
      </c>
      <c r="E1121" s="1" t="s">
        <v>28</v>
      </c>
      <c r="F1121" s="1" t="s">
        <v>62</v>
      </c>
      <c r="G1121" s="1" t="s">
        <v>16</v>
      </c>
      <c r="H1121" s="1" t="s">
        <v>17</v>
      </c>
      <c r="I1121" s="1" t="s">
        <v>17</v>
      </c>
      <c r="J1121" s="1">
        <v>0.18</v>
      </c>
      <c r="K1121" s="36">
        <v>45846</v>
      </c>
    </row>
    <row r="1122" spans="1:11" x14ac:dyDescent="0.3">
      <c r="A1122" s="2" t="s">
        <v>2260</v>
      </c>
      <c r="B1122" s="1" t="s">
        <v>2261</v>
      </c>
      <c r="C1122" s="1">
        <v>18</v>
      </c>
      <c r="D1122" s="1" t="s">
        <v>13</v>
      </c>
      <c r="E1122" s="1" t="s">
        <v>28</v>
      </c>
      <c r="F1122" s="1" t="s">
        <v>46</v>
      </c>
      <c r="G1122" s="1" t="s">
        <v>47</v>
      </c>
      <c r="H1122" s="1" t="s">
        <v>17</v>
      </c>
      <c r="I1122" s="1" t="s">
        <v>17</v>
      </c>
      <c r="J1122" s="1">
        <v>0.35</v>
      </c>
      <c r="K1122" s="36">
        <v>45929</v>
      </c>
    </row>
    <row r="1123" spans="1:11" x14ac:dyDescent="0.3">
      <c r="A1123" s="2" t="s">
        <v>2262</v>
      </c>
      <c r="B1123" s="1" t="s">
        <v>2263</v>
      </c>
      <c r="C1123" s="1">
        <v>23</v>
      </c>
      <c r="D1123" s="1" t="s">
        <v>13</v>
      </c>
      <c r="E1123" s="1" t="s">
        <v>28</v>
      </c>
      <c r="F1123" s="1" t="s">
        <v>29</v>
      </c>
      <c r="G1123" s="1" t="s">
        <v>22</v>
      </c>
      <c r="H1123" s="1" t="s">
        <v>30</v>
      </c>
      <c r="I1123" s="1" t="s">
        <v>17</v>
      </c>
      <c r="J1123" s="1">
        <v>0.46</v>
      </c>
      <c r="K1123" s="36">
        <v>46213</v>
      </c>
    </row>
    <row r="1124" spans="1:11" x14ac:dyDescent="0.3">
      <c r="A1124" s="2" t="s">
        <v>2264</v>
      </c>
      <c r="B1124" s="1" t="s">
        <v>2265</v>
      </c>
      <c r="C1124" s="1">
        <v>34</v>
      </c>
      <c r="D1124" s="1" t="s">
        <v>20</v>
      </c>
      <c r="E1124" s="1" t="s">
        <v>33</v>
      </c>
      <c r="F1124" s="1" t="s">
        <v>29</v>
      </c>
      <c r="G1124" s="1" t="s">
        <v>38</v>
      </c>
      <c r="H1124" s="1" t="s">
        <v>30</v>
      </c>
      <c r="I1124" s="1" t="s">
        <v>17</v>
      </c>
      <c r="J1124" s="1">
        <v>0.33</v>
      </c>
      <c r="K1124" s="36">
        <v>45870</v>
      </c>
    </row>
    <row r="1125" spans="1:11" x14ac:dyDescent="0.3">
      <c r="A1125" s="2" t="s">
        <v>2266</v>
      </c>
      <c r="B1125" s="1" t="s">
        <v>2267</v>
      </c>
      <c r="C1125" s="1">
        <v>33</v>
      </c>
      <c r="D1125" s="1" t="s">
        <v>13</v>
      </c>
      <c r="E1125" s="1" t="s">
        <v>28</v>
      </c>
      <c r="F1125" s="1" t="s">
        <v>62</v>
      </c>
      <c r="G1125" s="1" t="s">
        <v>47</v>
      </c>
      <c r="H1125" s="1" t="s">
        <v>17</v>
      </c>
      <c r="I1125" s="1" t="s">
        <v>17</v>
      </c>
      <c r="J1125" s="1">
        <v>0.18</v>
      </c>
      <c r="K1125" s="36">
        <v>45421</v>
      </c>
    </row>
    <row r="1126" spans="1:11" x14ac:dyDescent="0.3">
      <c r="A1126" s="2" t="s">
        <v>2268</v>
      </c>
      <c r="B1126" s="1" t="s">
        <v>2269</v>
      </c>
      <c r="C1126" s="1">
        <v>70</v>
      </c>
      <c r="D1126" s="1" t="s">
        <v>20</v>
      </c>
      <c r="E1126" s="1" t="s">
        <v>14</v>
      </c>
      <c r="F1126" s="1" t="s">
        <v>29</v>
      </c>
      <c r="G1126" s="1" t="s">
        <v>22</v>
      </c>
      <c r="H1126" s="1" t="s">
        <v>17</v>
      </c>
      <c r="I1126" s="1" t="s">
        <v>30</v>
      </c>
      <c r="J1126" s="1">
        <v>0.5</v>
      </c>
      <c r="K1126" s="36">
        <v>45485</v>
      </c>
    </row>
    <row r="1127" spans="1:11" x14ac:dyDescent="0.3">
      <c r="A1127" s="2" t="s">
        <v>2270</v>
      </c>
      <c r="B1127" s="1" t="s">
        <v>2271</v>
      </c>
      <c r="C1127" s="1">
        <v>71</v>
      </c>
      <c r="D1127" s="1" t="s">
        <v>13</v>
      </c>
      <c r="E1127" s="1" t="s">
        <v>28</v>
      </c>
      <c r="F1127" s="1" t="s">
        <v>29</v>
      </c>
      <c r="G1127" s="1" t="s">
        <v>22</v>
      </c>
      <c r="H1127" s="1" t="s">
        <v>17</v>
      </c>
      <c r="I1127" s="1" t="s">
        <v>17</v>
      </c>
      <c r="J1127" s="1">
        <v>0.34</v>
      </c>
      <c r="K1127" s="36">
        <v>44134</v>
      </c>
    </row>
    <row r="1128" spans="1:11" x14ac:dyDescent="0.3">
      <c r="A1128" s="2" t="s">
        <v>2272</v>
      </c>
      <c r="B1128" s="1" t="s">
        <v>2273</v>
      </c>
      <c r="C1128" s="1">
        <v>71</v>
      </c>
      <c r="D1128" s="1" t="s">
        <v>13</v>
      </c>
      <c r="E1128" s="1" t="s">
        <v>14</v>
      </c>
      <c r="F1128" s="1" t="s">
        <v>46</v>
      </c>
      <c r="G1128" s="1" t="s">
        <v>38</v>
      </c>
      <c r="H1128" s="1" t="s">
        <v>17</v>
      </c>
      <c r="I1128" s="1" t="s">
        <v>30</v>
      </c>
      <c r="J1128" s="1">
        <v>0.37</v>
      </c>
      <c r="K1128" s="36">
        <v>46113</v>
      </c>
    </row>
    <row r="1129" spans="1:11" x14ac:dyDescent="0.3">
      <c r="A1129" s="2" t="s">
        <v>2274</v>
      </c>
      <c r="B1129" s="1" t="s">
        <v>2275</v>
      </c>
      <c r="C1129" s="1">
        <v>58</v>
      </c>
      <c r="D1129" s="1" t="s">
        <v>20</v>
      </c>
      <c r="E1129" s="1" t="s">
        <v>14</v>
      </c>
      <c r="F1129" s="1" t="s">
        <v>62</v>
      </c>
      <c r="G1129" s="1" t="s">
        <v>43</v>
      </c>
      <c r="H1129" s="1" t="s">
        <v>17</v>
      </c>
      <c r="I1129" s="1" t="s">
        <v>30</v>
      </c>
      <c r="J1129" s="1">
        <v>0.42</v>
      </c>
      <c r="K1129" s="36">
        <v>45895</v>
      </c>
    </row>
    <row r="1130" spans="1:11" x14ac:dyDescent="0.3">
      <c r="A1130" s="2" t="s">
        <v>2276</v>
      </c>
      <c r="B1130" s="1" t="s">
        <v>2277</v>
      </c>
      <c r="C1130" s="1">
        <v>53</v>
      </c>
      <c r="D1130" s="1" t="s">
        <v>13</v>
      </c>
      <c r="E1130" s="1" t="s">
        <v>33</v>
      </c>
      <c r="F1130" s="1" t="s">
        <v>15</v>
      </c>
      <c r="G1130" s="1" t="s">
        <v>47</v>
      </c>
      <c r="H1130" s="1" t="s">
        <v>17</v>
      </c>
      <c r="I1130" s="1" t="s">
        <v>30</v>
      </c>
      <c r="J1130" s="1">
        <v>0.36</v>
      </c>
      <c r="K1130" s="36">
        <v>44663</v>
      </c>
    </row>
    <row r="1131" spans="1:11" x14ac:dyDescent="0.3">
      <c r="A1131" s="2" t="s">
        <v>2278</v>
      </c>
      <c r="B1131" s="1" t="s">
        <v>2279</v>
      </c>
      <c r="C1131" s="1">
        <v>58</v>
      </c>
      <c r="D1131" s="1" t="s">
        <v>13</v>
      </c>
      <c r="E1131" s="1" t="s">
        <v>14</v>
      </c>
      <c r="F1131" s="1" t="s">
        <v>29</v>
      </c>
      <c r="G1131" s="1" t="s">
        <v>16</v>
      </c>
      <c r="H1131" s="1" t="s">
        <v>30</v>
      </c>
      <c r="I1131" s="1" t="s">
        <v>17</v>
      </c>
      <c r="J1131" s="1">
        <v>0.43</v>
      </c>
      <c r="K1131" s="36">
        <v>44472</v>
      </c>
    </row>
    <row r="1132" spans="1:11" x14ac:dyDescent="0.3">
      <c r="A1132" s="2" t="s">
        <v>2280</v>
      </c>
      <c r="B1132" s="1" t="s">
        <v>2281</v>
      </c>
      <c r="C1132" s="1">
        <v>43</v>
      </c>
      <c r="D1132" s="1" t="s">
        <v>13</v>
      </c>
      <c r="E1132" s="1" t="s">
        <v>21</v>
      </c>
      <c r="F1132" s="1" t="s">
        <v>29</v>
      </c>
      <c r="G1132" s="1" t="s">
        <v>22</v>
      </c>
      <c r="H1132" s="1" t="s">
        <v>17</v>
      </c>
      <c r="I1132" s="1" t="s">
        <v>17</v>
      </c>
      <c r="J1132" s="1">
        <v>0.34</v>
      </c>
      <c r="K1132" s="36">
        <v>45617</v>
      </c>
    </row>
    <row r="1133" spans="1:11" x14ac:dyDescent="0.3">
      <c r="A1133" s="2" t="s">
        <v>2282</v>
      </c>
      <c r="B1133" s="1" t="s">
        <v>2283</v>
      </c>
      <c r="C1133" s="1">
        <v>60</v>
      </c>
      <c r="D1133" s="1" t="s">
        <v>13</v>
      </c>
      <c r="E1133" s="1" t="s">
        <v>28</v>
      </c>
      <c r="F1133" s="1" t="s">
        <v>29</v>
      </c>
      <c r="G1133" s="1" t="s">
        <v>22</v>
      </c>
      <c r="H1133" s="1" t="s">
        <v>17</v>
      </c>
      <c r="I1133" s="1" t="s">
        <v>30</v>
      </c>
      <c r="J1133" s="1">
        <v>0.44</v>
      </c>
      <c r="K1133" s="36">
        <v>44754</v>
      </c>
    </row>
    <row r="1134" spans="1:11" x14ac:dyDescent="0.3">
      <c r="A1134" s="2" t="s">
        <v>2284</v>
      </c>
      <c r="B1134" s="1" t="s">
        <v>2285</v>
      </c>
      <c r="C1134" s="1">
        <v>68</v>
      </c>
      <c r="D1134" s="1" t="s">
        <v>13</v>
      </c>
      <c r="E1134" s="1" t="s">
        <v>14</v>
      </c>
      <c r="F1134" s="1" t="s">
        <v>15</v>
      </c>
      <c r="G1134" s="1" t="s">
        <v>43</v>
      </c>
      <c r="H1134" s="1" t="s">
        <v>17</v>
      </c>
      <c r="I1134" s="1" t="s">
        <v>30</v>
      </c>
      <c r="J1134" s="1">
        <v>0.43</v>
      </c>
      <c r="K1134" s="36">
        <v>44821</v>
      </c>
    </row>
    <row r="1135" spans="1:11" x14ac:dyDescent="0.3">
      <c r="A1135" s="2" t="s">
        <v>2286</v>
      </c>
      <c r="B1135" s="1" t="s">
        <v>2287</v>
      </c>
      <c r="C1135" s="1">
        <v>66</v>
      </c>
      <c r="D1135" s="1" t="s">
        <v>20</v>
      </c>
      <c r="E1135" s="1" t="s">
        <v>28</v>
      </c>
      <c r="F1135" s="1" t="s">
        <v>46</v>
      </c>
      <c r="G1135" s="1" t="s">
        <v>25</v>
      </c>
      <c r="H1135" s="1" t="s">
        <v>30</v>
      </c>
      <c r="I1135" s="1" t="s">
        <v>17</v>
      </c>
      <c r="J1135" s="1">
        <v>0.53</v>
      </c>
      <c r="K1135" s="36">
        <v>44090</v>
      </c>
    </row>
    <row r="1136" spans="1:11" x14ac:dyDescent="0.3">
      <c r="A1136" s="2" t="s">
        <v>2288</v>
      </c>
      <c r="B1136" s="1" t="s">
        <v>2289</v>
      </c>
      <c r="C1136" s="1">
        <v>56</v>
      </c>
      <c r="D1136" s="1" t="s">
        <v>13</v>
      </c>
      <c r="E1136" s="1" t="s">
        <v>14</v>
      </c>
      <c r="F1136" s="1" t="s">
        <v>46</v>
      </c>
      <c r="G1136" s="1" t="s">
        <v>43</v>
      </c>
      <c r="H1136" s="1" t="s">
        <v>30</v>
      </c>
      <c r="I1136" s="1" t="s">
        <v>17</v>
      </c>
      <c r="J1136" s="1">
        <v>0.44</v>
      </c>
      <c r="K1136" s="36">
        <v>45983</v>
      </c>
    </row>
    <row r="1137" spans="1:11" x14ac:dyDescent="0.3">
      <c r="A1137" s="2" t="s">
        <v>2290</v>
      </c>
      <c r="B1137" s="1" t="s">
        <v>2291</v>
      </c>
      <c r="C1137" s="1">
        <v>21</v>
      </c>
      <c r="D1137" s="1" t="s">
        <v>13</v>
      </c>
      <c r="E1137" s="1" t="s">
        <v>28</v>
      </c>
      <c r="F1137" s="1" t="s">
        <v>46</v>
      </c>
      <c r="G1137" s="1" t="s">
        <v>22</v>
      </c>
      <c r="H1137" s="1" t="s">
        <v>17</v>
      </c>
      <c r="I1137" s="1" t="s">
        <v>17</v>
      </c>
      <c r="J1137" s="1">
        <v>0.31</v>
      </c>
      <c r="K1137" s="36">
        <v>45318</v>
      </c>
    </row>
    <row r="1138" spans="1:11" x14ac:dyDescent="0.3">
      <c r="A1138" s="2" t="s">
        <v>2292</v>
      </c>
      <c r="B1138" s="1" t="s">
        <v>2293</v>
      </c>
      <c r="C1138" s="1">
        <v>63</v>
      </c>
      <c r="D1138" s="1" t="s">
        <v>13</v>
      </c>
      <c r="E1138" s="1" t="s">
        <v>33</v>
      </c>
      <c r="F1138" s="1" t="s">
        <v>29</v>
      </c>
      <c r="G1138" s="1" t="s">
        <v>47</v>
      </c>
      <c r="H1138" s="1" t="s">
        <v>17</v>
      </c>
      <c r="I1138" s="1" t="s">
        <v>17</v>
      </c>
      <c r="J1138" s="1">
        <v>0.18</v>
      </c>
      <c r="K1138" s="36">
        <v>44955</v>
      </c>
    </row>
    <row r="1139" spans="1:11" x14ac:dyDescent="0.3">
      <c r="A1139" s="2" t="s">
        <v>2294</v>
      </c>
      <c r="B1139" s="1" t="s">
        <v>2295</v>
      </c>
      <c r="C1139" s="1">
        <v>41</v>
      </c>
      <c r="D1139" s="1" t="s">
        <v>20</v>
      </c>
      <c r="E1139" s="1" t="s">
        <v>28</v>
      </c>
      <c r="F1139" s="1" t="s">
        <v>62</v>
      </c>
      <c r="G1139" s="1" t="s">
        <v>22</v>
      </c>
      <c r="H1139" s="1" t="s">
        <v>17</v>
      </c>
      <c r="I1139" s="1" t="s">
        <v>17</v>
      </c>
      <c r="J1139" s="1">
        <v>0.17</v>
      </c>
      <c r="K1139" s="36">
        <v>44387</v>
      </c>
    </row>
    <row r="1140" spans="1:11" x14ac:dyDescent="0.3">
      <c r="A1140" s="2" t="s">
        <v>2296</v>
      </c>
      <c r="B1140" s="1" t="s">
        <v>2297</v>
      </c>
      <c r="C1140" s="1">
        <v>64</v>
      </c>
      <c r="D1140" s="1" t="s">
        <v>13</v>
      </c>
      <c r="E1140" s="1" t="s">
        <v>28</v>
      </c>
      <c r="F1140" s="1" t="s">
        <v>15</v>
      </c>
      <c r="G1140" s="1" t="s">
        <v>16</v>
      </c>
      <c r="H1140" s="1" t="s">
        <v>17</v>
      </c>
      <c r="I1140" s="1" t="s">
        <v>30</v>
      </c>
      <c r="J1140" s="1">
        <v>0.49</v>
      </c>
      <c r="K1140" s="36">
        <v>45464</v>
      </c>
    </row>
    <row r="1141" spans="1:11" x14ac:dyDescent="0.3">
      <c r="A1141" s="2" t="s">
        <v>2298</v>
      </c>
      <c r="B1141" s="1" t="s">
        <v>2299</v>
      </c>
      <c r="C1141" s="1">
        <v>51</v>
      </c>
      <c r="D1141" s="1" t="s">
        <v>20</v>
      </c>
      <c r="E1141" s="1" t="s">
        <v>21</v>
      </c>
      <c r="F1141" s="1" t="s">
        <v>15</v>
      </c>
      <c r="G1141" s="1" t="s">
        <v>22</v>
      </c>
      <c r="H1141" s="1" t="s">
        <v>17</v>
      </c>
      <c r="I1141" s="1" t="s">
        <v>30</v>
      </c>
      <c r="J1141" s="1">
        <v>0.44</v>
      </c>
      <c r="K1141" s="36">
        <v>44144</v>
      </c>
    </row>
    <row r="1142" spans="1:11" x14ac:dyDescent="0.3">
      <c r="A1142" s="2" t="s">
        <v>2300</v>
      </c>
      <c r="B1142" s="1" t="s">
        <v>2301</v>
      </c>
      <c r="C1142" s="1">
        <v>73</v>
      </c>
      <c r="D1142" s="1" t="s">
        <v>13</v>
      </c>
      <c r="E1142" s="1" t="s">
        <v>28</v>
      </c>
      <c r="F1142" s="1" t="s">
        <v>46</v>
      </c>
      <c r="G1142" s="1" t="s">
        <v>22</v>
      </c>
      <c r="H1142" s="1" t="s">
        <v>17</v>
      </c>
      <c r="I1142" s="1" t="s">
        <v>17</v>
      </c>
      <c r="J1142" s="1">
        <v>0.23</v>
      </c>
      <c r="K1142" s="36">
        <v>45712</v>
      </c>
    </row>
    <row r="1143" spans="1:11" x14ac:dyDescent="0.3">
      <c r="A1143" s="2" t="s">
        <v>2302</v>
      </c>
      <c r="B1143" s="1" t="s">
        <v>2303</v>
      </c>
      <c r="C1143" s="1">
        <v>39</v>
      </c>
      <c r="D1143" s="1" t="s">
        <v>20</v>
      </c>
      <c r="E1143" s="1" t="s">
        <v>28</v>
      </c>
      <c r="F1143" s="1" t="s">
        <v>62</v>
      </c>
      <c r="G1143" s="1" t="s">
        <v>38</v>
      </c>
      <c r="H1143" s="1" t="s">
        <v>17</v>
      </c>
      <c r="I1143" s="1" t="s">
        <v>17</v>
      </c>
      <c r="J1143" s="1">
        <v>0.15</v>
      </c>
      <c r="K1143" s="36">
        <v>44548</v>
      </c>
    </row>
    <row r="1144" spans="1:11" x14ac:dyDescent="0.3">
      <c r="A1144" s="2" t="s">
        <v>2304</v>
      </c>
      <c r="B1144" s="1" t="s">
        <v>2305</v>
      </c>
      <c r="C1144" s="1">
        <v>76</v>
      </c>
      <c r="D1144" s="1" t="s">
        <v>13</v>
      </c>
      <c r="E1144" s="1" t="s">
        <v>33</v>
      </c>
      <c r="F1144" s="1" t="s">
        <v>15</v>
      </c>
      <c r="G1144" s="1" t="s">
        <v>16</v>
      </c>
      <c r="H1144" s="1" t="s">
        <v>17</v>
      </c>
      <c r="I1144" s="1" t="s">
        <v>30</v>
      </c>
      <c r="J1144" s="1">
        <v>0.46</v>
      </c>
      <c r="K1144" s="36">
        <v>44997</v>
      </c>
    </row>
    <row r="1145" spans="1:11" x14ac:dyDescent="0.3">
      <c r="A1145" s="2" t="s">
        <v>2306</v>
      </c>
      <c r="B1145" s="1" t="s">
        <v>2307</v>
      </c>
      <c r="C1145" s="1">
        <v>71</v>
      </c>
      <c r="D1145" s="1" t="s">
        <v>13</v>
      </c>
      <c r="E1145" s="1" t="s">
        <v>28</v>
      </c>
      <c r="F1145" s="1" t="s">
        <v>29</v>
      </c>
      <c r="G1145" s="1" t="s">
        <v>25</v>
      </c>
      <c r="H1145" s="1" t="s">
        <v>17</v>
      </c>
      <c r="I1145" s="1" t="s">
        <v>17</v>
      </c>
      <c r="J1145" s="1">
        <v>0.24</v>
      </c>
      <c r="K1145" s="36">
        <v>44824</v>
      </c>
    </row>
    <row r="1146" spans="1:11" x14ac:dyDescent="0.3">
      <c r="A1146" s="2" t="s">
        <v>2308</v>
      </c>
      <c r="B1146" s="1" t="s">
        <v>2309</v>
      </c>
      <c r="C1146" s="1">
        <v>38</v>
      </c>
      <c r="D1146" s="1" t="s">
        <v>20</v>
      </c>
      <c r="E1146" s="1" t="s">
        <v>28</v>
      </c>
      <c r="F1146" s="1" t="s">
        <v>46</v>
      </c>
      <c r="G1146" s="1" t="s">
        <v>16</v>
      </c>
      <c r="H1146" s="1" t="s">
        <v>17</v>
      </c>
      <c r="I1146" s="1" t="s">
        <v>17</v>
      </c>
      <c r="J1146" s="1">
        <v>0.18</v>
      </c>
      <c r="K1146" s="36">
        <v>44888</v>
      </c>
    </row>
    <row r="1147" spans="1:11" x14ac:dyDescent="0.3">
      <c r="A1147" s="2" t="s">
        <v>2310</v>
      </c>
      <c r="B1147" s="1" t="s">
        <v>2311</v>
      </c>
      <c r="C1147" s="1">
        <v>48</v>
      </c>
      <c r="D1147" s="1" t="s">
        <v>20</v>
      </c>
      <c r="E1147" s="1" t="s">
        <v>33</v>
      </c>
      <c r="F1147" s="1" t="s">
        <v>29</v>
      </c>
      <c r="G1147" s="1" t="s">
        <v>43</v>
      </c>
      <c r="H1147" s="1" t="s">
        <v>30</v>
      </c>
      <c r="I1147" s="1" t="s">
        <v>30</v>
      </c>
      <c r="J1147" s="1">
        <v>0.57999999999999996</v>
      </c>
      <c r="K1147" s="36">
        <v>45658</v>
      </c>
    </row>
    <row r="1148" spans="1:11" x14ac:dyDescent="0.3">
      <c r="A1148" s="2" t="s">
        <v>2312</v>
      </c>
      <c r="B1148" s="1" t="s">
        <v>2313</v>
      </c>
      <c r="C1148" s="1">
        <v>51</v>
      </c>
      <c r="D1148" s="1" t="s">
        <v>20</v>
      </c>
      <c r="E1148" s="1" t="s">
        <v>14</v>
      </c>
      <c r="F1148" s="1" t="s">
        <v>46</v>
      </c>
      <c r="G1148" s="1" t="s">
        <v>43</v>
      </c>
      <c r="H1148" s="1" t="s">
        <v>17</v>
      </c>
      <c r="I1148" s="1" t="s">
        <v>30</v>
      </c>
      <c r="J1148" s="1">
        <v>0.32</v>
      </c>
      <c r="K1148" s="36">
        <v>45779</v>
      </c>
    </row>
    <row r="1149" spans="1:11" x14ac:dyDescent="0.3">
      <c r="A1149" s="2" t="s">
        <v>2314</v>
      </c>
      <c r="B1149" s="1" t="s">
        <v>2315</v>
      </c>
      <c r="C1149" s="1">
        <v>66</v>
      </c>
      <c r="D1149" s="1" t="s">
        <v>13</v>
      </c>
      <c r="E1149" s="1" t="s">
        <v>28</v>
      </c>
      <c r="F1149" s="1" t="s">
        <v>15</v>
      </c>
      <c r="G1149" s="1" t="s">
        <v>43</v>
      </c>
      <c r="H1149" s="1" t="s">
        <v>17</v>
      </c>
      <c r="I1149" s="1" t="s">
        <v>17</v>
      </c>
      <c r="J1149" s="1">
        <v>0.16</v>
      </c>
      <c r="K1149" s="36">
        <v>45321</v>
      </c>
    </row>
    <row r="1150" spans="1:11" x14ac:dyDescent="0.3">
      <c r="A1150" s="2" t="s">
        <v>2316</v>
      </c>
      <c r="B1150" s="1" t="s">
        <v>2317</v>
      </c>
      <c r="C1150" s="1">
        <v>61</v>
      </c>
      <c r="D1150" s="1" t="s">
        <v>13</v>
      </c>
      <c r="E1150" s="1" t="s">
        <v>21</v>
      </c>
      <c r="F1150" s="1" t="s">
        <v>15</v>
      </c>
      <c r="G1150" s="1" t="s">
        <v>38</v>
      </c>
      <c r="H1150" s="1" t="s">
        <v>17</v>
      </c>
      <c r="I1150" s="1" t="s">
        <v>17</v>
      </c>
      <c r="J1150" s="1">
        <v>0.2</v>
      </c>
      <c r="K1150" s="36">
        <v>44263</v>
      </c>
    </row>
    <row r="1151" spans="1:11" x14ac:dyDescent="0.3">
      <c r="A1151" s="2" t="s">
        <v>2318</v>
      </c>
      <c r="B1151" s="1" t="s">
        <v>2319</v>
      </c>
      <c r="C1151" s="1">
        <v>71</v>
      </c>
      <c r="D1151" s="1" t="s">
        <v>20</v>
      </c>
      <c r="E1151" s="1" t="s">
        <v>33</v>
      </c>
      <c r="F1151" s="1" t="s">
        <v>62</v>
      </c>
      <c r="G1151" s="1" t="s">
        <v>43</v>
      </c>
      <c r="H1151" s="1" t="s">
        <v>17</v>
      </c>
      <c r="I1151" s="1" t="s">
        <v>30</v>
      </c>
      <c r="J1151" s="1">
        <v>0.43</v>
      </c>
      <c r="K1151" s="36">
        <v>44192</v>
      </c>
    </row>
    <row r="1152" spans="1:11" x14ac:dyDescent="0.3">
      <c r="A1152" s="2" t="s">
        <v>2320</v>
      </c>
      <c r="B1152" s="1" t="s">
        <v>2321</v>
      </c>
      <c r="C1152" s="1">
        <v>41</v>
      </c>
      <c r="D1152" s="1" t="s">
        <v>20</v>
      </c>
      <c r="E1152" s="1" t="s">
        <v>28</v>
      </c>
      <c r="F1152" s="1" t="s">
        <v>62</v>
      </c>
      <c r="G1152" s="1" t="s">
        <v>22</v>
      </c>
      <c r="H1152" s="1" t="s">
        <v>17</v>
      </c>
      <c r="I1152" s="1" t="s">
        <v>17</v>
      </c>
      <c r="J1152" s="1">
        <v>0.09</v>
      </c>
      <c r="K1152" s="36">
        <v>44422</v>
      </c>
    </row>
    <row r="1153" spans="1:11" x14ac:dyDescent="0.3">
      <c r="A1153" s="2" t="s">
        <v>2322</v>
      </c>
      <c r="B1153" s="1" t="s">
        <v>2323</v>
      </c>
      <c r="C1153" s="1">
        <v>49</v>
      </c>
      <c r="D1153" s="1" t="s">
        <v>20</v>
      </c>
      <c r="E1153" s="1" t="s">
        <v>28</v>
      </c>
      <c r="F1153" s="1" t="s">
        <v>46</v>
      </c>
      <c r="G1153" s="1" t="s">
        <v>22</v>
      </c>
      <c r="H1153" s="1" t="s">
        <v>17</v>
      </c>
      <c r="I1153" s="1" t="s">
        <v>17</v>
      </c>
      <c r="J1153" s="1">
        <v>0.18</v>
      </c>
      <c r="K1153" s="36">
        <v>45431</v>
      </c>
    </row>
    <row r="1154" spans="1:11" x14ac:dyDescent="0.3">
      <c r="A1154" s="2" t="s">
        <v>2324</v>
      </c>
      <c r="B1154" s="1" t="s">
        <v>2325</v>
      </c>
      <c r="C1154" s="1">
        <v>45</v>
      </c>
      <c r="D1154" s="1" t="s">
        <v>20</v>
      </c>
      <c r="E1154" s="1" t="s">
        <v>14</v>
      </c>
      <c r="F1154" s="1" t="s">
        <v>15</v>
      </c>
      <c r="G1154" s="1" t="s">
        <v>22</v>
      </c>
      <c r="H1154" s="1" t="s">
        <v>17</v>
      </c>
      <c r="I1154" s="1" t="s">
        <v>17</v>
      </c>
      <c r="J1154" s="1">
        <v>0.12</v>
      </c>
      <c r="K1154" s="36">
        <v>45554</v>
      </c>
    </row>
    <row r="1155" spans="1:11" x14ac:dyDescent="0.3">
      <c r="A1155" s="2" t="s">
        <v>2326</v>
      </c>
      <c r="B1155" s="1" t="s">
        <v>1466</v>
      </c>
      <c r="C1155" s="1">
        <v>75</v>
      </c>
      <c r="D1155" s="1" t="s">
        <v>13</v>
      </c>
      <c r="E1155" s="1" t="s">
        <v>21</v>
      </c>
      <c r="F1155" s="1" t="s">
        <v>62</v>
      </c>
      <c r="G1155" s="1" t="s">
        <v>47</v>
      </c>
      <c r="H1155" s="1" t="s">
        <v>17</v>
      </c>
      <c r="I1155" s="1" t="s">
        <v>17</v>
      </c>
      <c r="J1155" s="1">
        <v>0.38</v>
      </c>
      <c r="K1155" s="36">
        <v>44673</v>
      </c>
    </row>
    <row r="1156" spans="1:11" x14ac:dyDescent="0.3">
      <c r="A1156" s="2" t="s">
        <v>2327</v>
      </c>
      <c r="B1156" s="1" t="s">
        <v>2328</v>
      </c>
      <c r="C1156" s="1">
        <v>37</v>
      </c>
      <c r="D1156" s="1" t="s">
        <v>13</v>
      </c>
      <c r="E1156" s="1" t="s">
        <v>14</v>
      </c>
      <c r="F1156" s="1" t="s">
        <v>15</v>
      </c>
      <c r="G1156" s="1" t="s">
        <v>43</v>
      </c>
      <c r="H1156" s="1" t="s">
        <v>17</v>
      </c>
      <c r="I1156" s="1" t="s">
        <v>17</v>
      </c>
      <c r="J1156" s="1">
        <v>0.33</v>
      </c>
      <c r="K1156" s="36">
        <v>45527</v>
      </c>
    </row>
    <row r="1157" spans="1:11" x14ac:dyDescent="0.3">
      <c r="A1157" s="2" t="s">
        <v>2329</v>
      </c>
      <c r="B1157" s="1" t="s">
        <v>2330</v>
      </c>
      <c r="C1157" s="1">
        <v>54</v>
      </c>
      <c r="D1157" s="1" t="s">
        <v>20</v>
      </c>
      <c r="E1157" s="1" t="s">
        <v>28</v>
      </c>
      <c r="F1157" s="1" t="s">
        <v>46</v>
      </c>
      <c r="G1157" s="1" t="s">
        <v>16</v>
      </c>
      <c r="H1157" s="1" t="s">
        <v>17</v>
      </c>
      <c r="I1157" s="1" t="s">
        <v>17</v>
      </c>
      <c r="J1157" s="1">
        <v>0.14000000000000001</v>
      </c>
      <c r="K1157" s="36">
        <v>45141</v>
      </c>
    </row>
    <row r="1158" spans="1:11" x14ac:dyDescent="0.3">
      <c r="A1158" s="2" t="s">
        <v>2331</v>
      </c>
      <c r="B1158" s="1" t="s">
        <v>2332</v>
      </c>
      <c r="C1158" s="1">
        <v>25</v>
      </c>
      <c r="D1158" s="1" t="s">
        <v>13</v>
      </c>
      <c r="E1158" s="1" t="s">
        <v>33</v>
      </c>
      <c r="F1158" s="1" t="s">
        <v>46</v>
      </c>
      <c r="G1158" s="1" t="s">
        <v>43</v>
      </c>
      <c r="H1158" s="1" t="s">
        <v>17</v>
      </c>
      <c r="I1158" s="1" t="s">
        <v>17</v>
      </c>
      <c r="J1158" s="1">
        <v>0.27</v>
      </c>
      <c r="K1158" s="36">
        <v>45045</v>
      </c>
    </row>
    <row r="1159" spans="1:11" x14ac:dyDescent="0.3">
      <c r="A1159" s="2" t="s">
        <v>2333</v>
      </c>
      <c r="B1159" s="1" t="s">
        <v>2334</v>
      </c>
      <c r="C1159" s="1">
        <v>71</v>
      </c>
      <c r="D1159" s="1" t="s">
        <v>20</v>
      </c>
      <c r="E1159" s="1" t="s">
        <v>21</v>
      </c>
      <c r="F1159" s="1" t="s">
        <v>62</v>
      </c>
      <c r="G1159" s="1" t="s">
        <v>43</v>
      </c>
      <c r="H1159" s="1" t="s">
        <v>30</v>
      </c>
      <c r="I1159" s="1" t="s">
        <v>17</v>
      </c>
      <c r="J1159" s="1">
        <v>0.4</v>
      </c>
      <c r="K1159" s="36">
        <v>44675</v>
      </c>
    </row>
    <row r="1160" spans="1:11" x14ac:dyDescent="0.3">
      <c r="A1160" s="2" t="s">
        <v>2335</v>
      </c>
      <c r="B1160" s="1" t="s">
        <v>2336</v>
      </c>
      <c r="C1160" s="1">
        <v>42</v>
      </c>
      <c r="D1160" s="1" t="s">
        <v>13</v>
      </c>
      <c r="E1160" s="1" t="s">
        <v>21</v>
      </c>
      <c r="F1160" s="1" t="s">
        <v>15</v>
      </c>
      <c r="G1160" s="1" t="s">
        <v>22</v>
      </c>
      <c r="H1160" s="1" t="s">
        <v>30</v>
      </c>
      <c r="I1160" s="1" t="s">
        <v>30</v>
      </c>
      <c r="J1160" s="1">
        <v>0.51</v>
      </c>
      <c r="K1160" s="36">
        <v>45731</v>
      </c>
    </row>
    <row r="1161" spans="1:11" x14ac:dyDescent="0.3">
      <c r="A1161" s="2" t="s">
        <v>2337</v>
      </c>
      <c r="B1161" s="1" t="s">
        <v>2338</v>
      </c>
      <c r="C1161" s="1">
        <v>39</v>
      </c>
      <c r="D1161" s="1" t="s">
        <v>20</v>
      </c>
      <c r="E1161" s="1" t="s">
        <v>14</v>
      </c>
      <c r="F1161" s="1" t="s">
        <v>62</v>
      </c>
      <c r="G1161" s="1" t="s">
        <v>25</v>
      </c>
      <c r="H1161" s="1" t="s">
        <v>17</v>
      </c>
      <c r="I1161" s="1" t="s">
        <v>17</v>
      </c>
      <c r="J1161" s="1">
        <v>0.31</v>
      </c>
      <c r="K1161" s="36">
        <v>44326</v>
      </c>
    </row>
    <row r="1162" spans="1:11" x14ac:dyDescent="0.3">
      <c r="A1162" s="2" t="s">
        <v>2339</v>
      </c>
      <c r="B1162" s="1" t="s">
        <v>2340</v>
      </c>
      <c r="C1162" s="1">
        <v>54</v>
      </c>
      <c r="D1162" s="1" t="s">
        <v>13</v>
      </c>
      <c r="E1162" s="1" t="s">
        <v>14</v>
      </c>
      <c r="F1162" s="1" t="s">
        <v>46</v>
      </c>
      <c r="G1162" s="1" t="s">
        <v>16</v>
      </c>
      <c r="H1162" s="1" t="s">
        <v>17</v>
      </c>
      <c r="I1162" s="1" t="s">
        <v>17</v>
      </c>
      <c r="J1162" s="1">
        <v>0.17</v>
      </c>
      <c r="K1162" s="36">
        <v>45019</v>
      </c>
    </row>
    <row r="1163" spans="1:11" x14ac:dyDescent="0.3">
      <c r="A1163" s="2" t="s">
        <v>2341</v>
      </c>
      <c r="B1163" s="1" t="s">
        <v>2342</v>
      </c>
      <c r="C1163" s="1">
        <v>49</v>
      </c>
      <c r="D1163" s="1" t="s">
        <v>13</v>
      </c>
      <c r="E1163" s="1" t="s">
        <v>21</v>
      </c>
      <c r="F1163" s="1" t="s">
        <v>62</v>
      </c>
      <c r="G1163" s="1" t="s">
        <v>22</v>
      </c>
      <c r="H1163" s="1" t="s">
        <v>17</v>
      </c>
      <c r="I1163" s="1" t="s">
        <v>30</v>
      </c>
      <c r="J1163" s="1">
        <v>0.33</v>
      </c>
      <c r="K1163" s="36">
        <v>44697</v>
      </c>
    </row>
    <row r="1164" spans="1:11" x14ac:dyDescent="0.3">
      <c r="A1164" s="2" t="s">
        <v>2343</v>
      </c>
      <c r="B1164" s="1" t="s">
        <v>2344</v>
      </c>
      <c r="C1164" s="1">
        <v>71</v>
      </c>
      <c r="D1164" s="1" t="s">
        <v>20</v>
      </c>
      <c r="E1164" s="1" t="s">
        <v>14</v>
      </c>
      <c r="F1164" s="1" t="s">
        <v>46</v>
      </c>
      <c r="G1164" s="1" t="s">
        <v>25</v>
      </c>
      <c r="H1164" s="1" t="s">
        <v>17</v>
      </c>
      <c r="I1164" s="1" t="s">
        <v>17</v>
      </c>
      <c r="J1164" s="1">
        <v>0.22</v>
      </c>
      <c r="K1164" s="36">
        <v>45564</v>
      </c>
    </row>
    <row r="1165" spans="1:11" x14ac:dyDescent="0.3">
      <c r="A1165" s="2" t="s">
        <v>2345</v>
      </c>
      <c r="B1165" s="1" t="s">
        <v>2346</v>
      </c>
      <c r="C1165" s="1">
        <v>51</v>
      </c>
      <c r="D1165" s="1" t="s">
        <v>13</v>
      </c>
      <c r="E1165" s="1" t="s">
        <v>14</v>
      </c>
      <c r="F1165" s="1" t="s">
        <v>62</v>
      </c>
      <c r="G1165" s="1" t="s">
        <v>25</v>
      </c>
      <c r="H1165" s="1" t="s">
        <v>30</v>
      </c>
      <c r="I1165" s="1" t="s">
        <v>30</v>
      </c>
      <c r="J1165" s="1">
        <v>0.6</v>
      </c>
      <c r="K1165" s="36">
        <v>45143</v>
      </c>
    </row>
    <row r="1166" spans="1:11" x14ac:dyDescent="0.3">
      <c r="A1166" s="2" t="s">
        <v>2347</v>
      </c>
      <c r="B1166" s="1" t="s">
        <v>2348</v>
      </c>
      <c r="C1166" s="1">
        <v>50</v>
      </c>
      <c r="D1166" s="1" t="s">
        <v>13</v>
      </c>
      <c r="E1166" s="1" t="s">
        <v>21</v>
      </c>
      <c r="F1166" s="1" t="s">
        <v>29</v>
      </c>
      <c r="G1166" s="1" t="s">
        <v>43</v>
      </c>
      <c r="H1166" s="1" t="s">
        <v>17</v>
      </c>
      <c r="I1166" s="1" t="s">
        <v>30</v>
      </c>
      <c r="J1166" s="1">
        <v>0.15</v>
      </c>
      <c r="K1166" s="36">
        <v>45539</v>
      </c>
    </row>
    <row r="1167" spans="1:11" x14ac:dyDescent="0.3">
      <c r="A1167" s="2" t="s">
        <v>2349</v>
      </c>
      <c r="B1167" s="1" t="s">
        <v>2350</v>
      </c>
      <c r="C1167" s="1">
        <v>24</v>
      </c>
      <c r="D1167" s="1" t="s">
        <v>20</v>
      </c>
      <c r="E1167" s="1" t="s">
        <v>21</v>
      </c>
      <c r="F1167" s="1" t="s">
        <v>15</v>
      </c>
      <c r="G1167" s="1" t="s">
        <v>25</v>
      </c>
      <c r="H1167" s="1" t="s">
        <v>17</v>
      </c>
      <c r="I1167" s="1" t="s">
        <v>30</v>
      </c>
      <c r="J1167" s="1">
        <v>0.37</v>
      </c>
      <c r="K1167" s="36">
        <v>44176</v>
      </c>
    </row>
    <row r="1168" spans="1:11" x14ac:dyDescent="0.3">
      <c r="A1168" s="2" t="s">
        <v>2351</v>
      </c>
      <c r="B1168" s="1" t="s">
        <v>2352</v>
      </c>
      <c r="C1168" s="1">
        <v>19</v>
      </c>
      <c r="D1168" s="1" t="s">
        <v>20</v>
      </c>
      <c r="E1168" s="1" t="s">
        <v>33</v>
      </c>
      <c r="F1168" s="1" t="s">
        <v>46</v>
      </c>
      <c r="G1168" s="1" t="s">
        <v>16</v>
      </c>
      <c r="H1168" s="1" t="s">
        <v>17</v>
      </c>
      <c r="I1168" s="1" t="s">
        <v>17</v>
      </c>
      <c r="J1168" s="1">
        <v>0.25</v>
      </c>
      <c r="K1168" s="36">
        <v>44943</v>
      </c>
    </row>
    <row r="1169" spans="1:11" x14ac:dyDescent="0.3">
      <c r="A1169" s="2" t="s">
        <v>2353</v>
      </c>
      <c r="B1169" s="1" t="s">
        <v>1645</v>
      </c>
      <c r="C1169" s="1">
        <v>43</v>
      </c>
      <c r="D1169" s="1" t="s">
        <v>13</v>
      </c>
      <c r="E1169" s="1" t="s">
        <v>28</v>
      </c>
      <c r="F1169" s="1" t="s">
        <v>46</v>
      </c>
      <c r="G1169" s="1" t="s">
        <v>43</v>
      </c>
      <c r="H1169" s="1" t="s">
        <v>17</v>
      </c>
      <c r="I1169" s="1" t="s">
        <v>17</v>
      </c>
      <c r="J1169" s="1">
        <v>0.16</v>
      </c>
      <c r="K1169" s="36">
        <v>45390</v>
      </c>
    </row>
    <row r="1170" spans="1:11" x14ac:dyDescent="0.3">
      <c r="A1170" s="2" t="s">
        <v>2354</v>
      </c>
      <c r="B1170" s="1" t="s">
        <v>2355</v>
      </c>
      <c r="C1170" s="1">
        <v>80</v>
      </c>
      <c r="D1170" s="1" t="s">
        <v>20</v>
      </c>
      <c r="E1170" s="1" t="s">
        <v>28</v>
      </c>
      <c r="F1170" s="1" t="s">
        <v>15</v>
      </c>
      <c r="G1170" s="1" t="s">
        <v>38</v>
      </c>
      <c r="H1170" s="1" t="s">
        <v>17</v>
      </c>
      <c r="I1170" s="1" t="s">
        <v>30</v>
      </c>
      <c r="J1170" s="1">
        <v>0.48</v>
      </c>
      <c r="K1170" s="36">
        <v>44093</v>
      </c>
    </row>
    <row r="1171" spans="1:11" x14ac:dyDescent="0.3">
      <c r="A1171" s="2" t="s">
        <v>2356</v>
      </c>
      <c r="B1171" s="1" t="s">
        <v>2357</v>
      </c>
      <c r="C1171" s="1">
        <v>75</v>
      </c>
      <c r="D1171" s="1" t="s">
        <v>20</v>
      </c>
      <c r="E1171" s="1" t="s">
        <v>33</v>
      </c>
      <c r="F1171" s="1" t="s">
        <v>46</v>
      </c>
      <c r="G1171" s="1" t="s">
        <v>25</v>
      </c>
      <c r="H1171" s="1" t="s">
        <v>30</v>
      </c>
      <c r="I1171" s="1" t="s">
        <v>17</v>
      </c>
      <c r="J1171" s="1">
        <v>0.53</v>
      </c>
      <c r="K1171" s="36">
        <v>44737</v>
      </c>
    </row>
    <row r="1172" spans="1:11" x14ac:dyDescent="0.3">
      <c r="A1172" s="2" t="s">
        <v>2358</v>
      </c>
      <c r="B1172" s="1" t="s">
        <v>2359</v>
      </c>
      <c r="C1172" s="1">
        <v>57</v>
      </c>
      <c r="D1172" s="1" t="s">
        <v>20</v>
      </c>
      <c r="E1172" s="1" t="s">
        <v>21</v>
      </c>
      <c r="F1172" s="1" t="s">
        <v>29</v>
      </c>
      <c r="G1172" s="1" t="s">
        <v>22</v>
      </c>
      <c r="H1172" s="1" t="s">
        <v>17</v>
      </c>
      <c r="I1172" s="1" t="s">
        <v>30</v>
      </c>
      <c r="J1172" s="1">
        <v>0.35</v>
      </c>
      <c r="K1172" s="36">
        <v>44540</v>
      </c>
    </row>
    <row r="1173" spans="1:11" x14ac:dyDescent="0.3">
      <c r="A1173" s="2" t="s">
        <v>2360</v>
      </c>
      <c r="B1173" s="1" t="s">
        <v>2361</v>
      </c>
      <c r="C1173" s="1">
        <v>57</v>
      </c>
      <c r="D1173" s="1" t="s">
        <v>13</v>
      </c>
      <c r="E1173" s="1" t="s">
        <v>28</v>
      </c>
      <c r="F1173" s="1" t="s">
        <v>29</v>
      </c>
      <c r="G1173" s="1" t="s">
        <v>22</v>
      </c>
      <c r="H1173" s="1" t="s">
        <v>30</v>
      </c>
      <c r="I1173" s="1" t="s">
        <v>30</v>
      </c>
      <c r="J1173" s="1">
        <v>0.74</v>
      </c>
      <c r="K1173" s="36">
        <v>44377</v>
      </c>
    </row>
    <row r="1174" spans="1:11" x14ac:dyDescent="0.3">
      <c r="A1174" s="2" t="s">
        <v>2362</v>
      </c>
      <c r="B1174" s="1" t="s">
        <v>2363</v>
      </c>
      <c r="C1174" s="1">
        <v>42</v>
      </c>
      <c r="D1174" s="1" t="s">
        <v>20</v>
      </c>
      <c r="E1174" s="1" t="s">
        <v>28</v>
      </c>
      <c r="F1174" s="1" t="s">
        <v>29</v>
      </c>
      <c r="G1174" s="1" t="s">
        <v>25</v>
      </c>
      <c r="H1174" s="1" t="s">
        <v>30</v>
      </c>
      <c r="I1174" s="1" t="s">
        <v>17</v>
      </c>
      <c r="J1174" s="1">
        <v>0.28999999999999998</v>
      </c>
      <c r="K1174" s="36">
        <v>44637</v>
      </c>
    </row>
    <row r="1175" spans="1:11" x14ac:dyDescent="0.3">
      <c r="A1175" s="2" t="s">
        <v>2364</v>
      </c>
      <c r="B1175" s="1" t="s">
        <v>2365</v>
      </c>
      <c r="C1175" s="1">
        <v>29</v>
      </c>
      <c r="D1175" s="1" t="s">
        <v>20</v>
      </c>
      <c r="E1175" s="1" t="s">
        <v>14</v>
      </c>
      <c r="F1175" s="1" t="s">
        <v>29</v>
      </c>
      <c r="G1175" s="1" t="s">
        <v>47</v>
      </c>
      <c r="H1175" s="1" t="s">
        <v>17</v>
      </c>
      <c r="I1175" s="1" t="s">
        <v>17</v>
      </c>
      <c r="J1175" s="1">
        <v>0.28000000000000003</v>
      </c>
      <c r="K1175" s="36">
        <v>44796</v>
      </c>
    </row>
    <row r="1176" spans="1:11" x14ac:dyDescent="0.3">
      <c r="A1176" s="2" t="s">
        <v>2366</v>
      </c>
      <c r="B1176" s="1" t="s">
        <v>2367</v>
      </c>
      <c r="C1176" s="1">
        <v>18</v>
      </c>
      <c r="D1176" s="1" t="s">
        <v>13</v>
      </c>
      <c r="E1176" s="1" t="s">
        <v>14</v>
      </c>
      <c r="F1176" s="1" t="s">
        <v>62</v>
      </c>
      <c r="G1176" s="1" t="s">
        <v>43</v>
      </c>
      <c r="H1176" s="1" t="s">
        <v>17</v>
      </c>
      <c r="I1176" s="1" t="s">
        <v>17</v>
      </c>
      <c r="J1176" s="1">
        <v>0.26</v>
      </c>
      <c r="K1176" s="36">
        <v>44093</v>
      </c>
    </row>
    <row r="1177" spans="1:11" x14ac:dyDescent="0.3">
      <c r="A1177" s="2" t="s">
        <v>2368</v>
      </c>
      <c r="B1177" s="1" t="s">
        <v>2369</v>
      </c>
      <c r="C1177" s="1">
        <v>39</v>
      </c>
      <c r="D1177" s="1" t="s">
        <v>13</v>
      </c>
      <c r="E1177" s="1" t="s">
        <v>21</v>
      </c>
      <c r="F1177" s="1" t="s">
        <v>15</v>
      </c>
      <c r="G1177" s="1" t="s">
        <v>22</v>
      </c>
      <c r="H1177" s="1" t="s">
        <v>17</v>
      </c>
      <c r="I1177" s="1" t="s">
        <v>17</v>
      </c>
      <c r="J1177" s="1">
        <v>0.17</v>
      </c>
      <c r="K1177" s="36">
        <v>45714</v>
      </c>
    </row>
    <row r="1178" spans="1:11" x14ac:dyDescent="0.3">
      <c r="A1178" s="2" t="s">
        <v>2370</v>
      </c>
      <c r="B1178" s="1" t="s">
        <v>2371</v>
      </c>
      <c r="C1178" s="1">
        <v>37</v>
      </c>
      <c r="D1178" s="1" t="s">
        <v>13</v>
      </c>
      <c r="E1178" s="1" t="s">
        <v>28</v>
      </c>
      <c r="F1178" s="1" t="s">
        <v>15</v>
      </c>
      <c r="G1178" s="1" t="s">
        <v>22</v>
      </c>
      <c r="H1178" s="1" t="s">
        <v>17</v>
      </c>
      <c r="I1178" s="1" t="s">
        <v>17</v>
      </c>
      <c r="J1178" s="1">
        <v>0.18</v>
      </c>
      <c r="K1178" s="36">
        <v>44462</v>
      </c>
    </row>
    <row r="1179" spans="1:11" x14ac:dyDescent="0.3">
      <c r="A1179" s="2" t="s">
        <v>2372</v>
      </c>
      <c r="B1179" s="1" t="s">
        <v>2373</v>
      </c>
      <c r="C1179" s="1">
        <v>30</v>
      </c>
      <c r="D1179" s="1" t="s">
        <v>20</v>
      </c>
      <c r="E1179" s="1" t="s">
        <v>28</v>
      </c>
      <c r="F1179" s="1" t="s">
        <v>15</v>
      </c>
      <c r="G1179" s="1" t="s">
        <v>47</v>
      </c>
      <c r="H1179" s="1" t="s">
        <v>17</v>
      </c>
      <c r="I1179" s="1" t="s">
        <v>17</v>
      </c>
      <c r="J1179" s="1">
        <v>0.2</v>
      </c>
      <c r="K1179" s="36">
        <v>44910</v>
      </c>
    </row>
    <row r="1180" spans="1:11" x14ac:dyDescent="0.3">
      <c r="A1180" s="2" t="s">
        <v>2374</v>
      </c>
      <c r="B1180" s="1" t="s">
        <v>2375</v>
      </c>
      <c r="C1180" s="1">
        <v>34</v>
      </c>
      <c r="D1180" s="1" t="s">
        <v>13</v>
      </c>
      <c r="E1180" s="1" t="s">
        <v>21</v>
      </c>
      <c r="F1180" s="1" t="s">
        <v>29</v>
      </c>
      <c r="G1180" s="1" t="s">
        <v>22</v>
      </c>
      <c r="H1180" s="1" t="s">
        <v>17</v>
      </c>
      <c r="I1180" s="1" t="s">
        <v>17</v>
      </c>
      <c r="J1180" s="1">
        <v>0.21</v>
      </c>
      <c r="K1180" s="36">
        <v>45619</v>
      </c>
    </row>
    <row r="1181" spans="1:11" x14ac:dyDescent="0.3">
      <c r="A1181" s="2" t="s">
        <v>2376</v>
      </c>
      <c r="B1181" s="1" t="s">
        <v>2377</v>
      </c>
      <c r="C1181" s="1">
        <v>19</v>
      </c>
      <c r="D1181" s="1" t="s">
        <v>13</v>
      </c>
      <c r="E1181" s="1" t="s">
        <v>33</v>
      </c>
      <c r="F1181" s="1" t="s">
        <v>15</v>
      </c>
      <c r="G1181" s="1" t="s">
        <v>43</v>
      </c>
      <c r="H1181" s="1" t="s">
        <v>17</v>
      </c>
      <c r="I1181" s="1" t="s">
        <v>30</v>
      </c>
      <c r="J1181" s="1">
        <v>0.34</v>
      </c>
      <c r="K1181" s="36">
        <v>45173</v>
      </c>
    </row>
    <row r="1182" spans="1:11" x14ac:dyDescent="0.3">
      <c r="A1182" s="2" t="s">
        <v>2378</v>
      </c>
      <c r="B1182" s="1" t="s">
        <v>2379</v>
      </c>
      <c r="C1182" s="1">
        <v>56</v>
      </c>
      <c r="D1182" s="1" t="s">
        <v>20</v>
      </c>
      <c r="E1182" s="1" t="s">
        <v>14</v>
      </c>
      <c r="F1182" s="1" t="s">
        <v>15</v>
      </c>
      <c r="G1182" s="1" t="s">
        <v>38</v>
      </c>
      <c r="H1182" s="1" t="s">
        <v>17</v>
      </c>
      <c r="I1182" s="1" t="s">
        <v>17</v>
      </c>
      <c r="J1182" s="1">
        <v>0.27</v>
      </c>
      <c r="K1182" s="36">
        <v>45903</v>
      </c>
    </row>
    <row r="1183" spans="1:11" x14ac:dyDescent="0.3">
      <c r="A1183" s="2" t="s">
        <v>2380</v>
      </c>
      <c r="B1183" s="1" t="s">
        <v>2381</v>
      </c>
      <c r="C1183" s="1">
        <v>76</v>
      </c>
      <c r="D1183" s="1" t="s">
        <v>13</v>
      </c>
      <c r="E1183" s="1" t="s">
        <v>33</v>
      </c>
      <c r="F1183" s="1" t="s">
        <v>62</v>
      </c>
      <c r="G1183" s="1" t="s">
        <v>16</v>
      </c>
      <c r="H1183" s="1" t="s">
        <v>17</v>
      </c>
      <c r="I1183" s="1" t="s">
        <v>17</v>
      </c>
      <c r="J1183" s="1">
        <v>0.23</v>
      </c>
      <c r="K1183" s="36">
        <v>45844</v>
      </c>
    </row>
    <row r="1184" spans="1:11" x14ac:dyDescent="0.3">
      <c r="A1184" s="2" t="s">
        <v>2382</v>
      </c>
      <c r="B1184" s="1" t="s">
        <v>2383</v>
      </c>
      <c r="C1184" s="1">
        <v>61</v>
      </c>
      <c r="D1184" s="1" t="s">
        <v>20</v>
      </c>
      <c r="E1184" s="1" t="s">
        <v>21</v>
      </c>
      <c r="F1184" s="1" t="s">
        <v>15</v>
      </c>
      <c r="G1184" s="1" t="s">
        <v>43</v>
      </c>
      <c r="H1184" s="1" t="s">
        <v>17</v>
      </c>
      <c r="I1184" s="1" t="s">
        <v>17</v>
      </c>
      <c r="J1184" s="1">
        <v>0.21</v>
      </c>
      <c r="K1184" s="36">
        <v>44234</v>
      </c>
    </row>
    <row r="1185" spans="1:11" x14ac:dyDescent="0.3">
      <c r="A1185" s="2" t="s">
        <v>2384</v>
      </c>
      <c r="B1185" s="1" t="s">
        <v>2385</v>
      </c>
      <c r="C1185" s="1">
        <v>46</v>
      </c>
      <c r="D1185" s="1" t="s">
        <v>20</v>
      </c>
      <c r="E1185" s="1" t="s">
        <v>28</v>
      </c>
      <c r="F1185" s="1" t="s">
        <v>15</v>
      </c>
      <c r="G1185" s="1" t="s">
        <v>22</v>
      </c>
      <c r="H1185" s="1" t="s">
        <v>30</v>
      </c>
      <c r="I1185" s="1" t="s">
        <v>30</v>
      </c>
      <c r="J1185" s="1">
        <v>0.48</v>
      </c>
      <c r="K1185" s="36">
        <v>45965</v>
      </c>
    </row>
    <row r="1186" spans="1:11" x14ac:dyDescent="0.3">
      <c r="A1186" s="2" t="s">
        <v>2386</v>
      </c>
      <c r="B1186" s="1" t="s">
        <v>2387</v>
      </c>
      <c r="C1186" s="1">
        <v>44</v>
      </c>
      <c r="D1186" s="1" t="s">
        <v>20</v>
      </c>
      <c r="E1186" s="1" t="s">
        <v>14</v>
      </c>
      <c r="F1186" s="1" t="s">
        <v>46</v>
      </c>
      <c r="G1186" s="1" t="s">
        <v>16</v>
      </c>
      <c r="H1186" s="1" t="s">
        <v>30</v>
      </c>
      <c r="I1186" s="1" t="s">
        <v>30</v>
      </c>
      <c r="J1186" s="1">
        <v>0.46</v>
      </c>
      <c r="K1186" s="36">
        <v>44169</v>
      </c>
    </row>
    <row r="1187" spans="1:11" x14ac:dyDescent="0.3">
      <c r="A1187" s="2" t="s">
        <v>2388</v>
      </c>
      <c r="B1187" s="1" t="s">
        <v>2389</v>
      </c>
      <c r="C1187" s="1">
        <v>37</v>
      </c>
      <c r="D1187" s="1" t="s">
        <v>13</v>
      </c>
      <c r="E1187" s="1" t="s">
        <v>28</v>
      </c>
      <c r="F1187" s="1" t="s">
        <v>46</v>
      </c>
      <c r="G1187" s="1" t="s">
        <v>22</v>
      </c>
      <c r="H1187" s="1" t="s">
        <v>17</v>
      </c>
      <c r="I1187" s="1" t="s">
        <v>17</v>
      </c>
      <c r="J1187" s="1">
        <v>0.17</v>
      </c>
      <c r="K1187" s="36">
        <v>44118</v>
      </c>
    </row>
    <row r="1188" spans="1:11" x14ac:dyDescent="0.3">
      <c r="A1188" s="2" t="s">
        <v>2390</v>
      </c>
      <c r="B1188" s="1" t="s">
        <v>2391</v>
      </c>
      <c r="C1188" s="1">
        <v>26</v>
      </c>
      <c r="D1188" s="1" t="s">
        <v>20</v>
      </c>
      <c r="E1188" s="1" t="s">
        <v>21</v>
      </c>
      <c r="F1188" s="1" t="s">
        <v>46</v>
      </c>
      <c r="G1188" s="1" t="s">
        <v>38</v>
      </c>
      <c r="H1188" s="1" t="s">
        <v>17</v>
      </c>
      <c r="I1188" s="1" t="s">
        <v>17</v>
      </c>
      <c r="J1188" s="1">
        <v>0.23</v>
      </c>
      <c r="K1188" s="36">
        <v>46096</v>
      </c>
    </row>
    <row r="1189" spans="1:11" x14ac:dyDescent="0.3">
      <c r="A1189" s="2" t="s">
        <v>2392</v>
      </c>
      <c r="B1189" s="1" t="s">
        <v>2393</v>
      </c>
      <c r="C1189" s="1">
        <v>55</v>
      </c>
      <c r="D1189" s="1" t="s">
        <v>20</v>
      </c>
      <c r="E1189" s="1" t="s">
        <v>33</v>
      </c>
      <c r="F1189" s="1" t="s">
        <v>15</v>
      </c>
      <c r="G1189" s="1" t="s">
        <v>16</v>
      </c>
      <c r="H1189" s="1" t="s">
        <v>30</v>
      </c>
      <c r="I1189" s="1" t="s">
        <v>30</v>
      </c>
      <c r="J1189" s="1">
        <v>0.62</v>
      </c>
      <c r="K1189" s="36">
        <v>45966</v>
      </c>
    </row>
    <row r="1190" spans="1:11" x14ac:dyDescent="0.3">
      <c r="A1190" s="2" t="s">
        <v>2394</v>
      </c>
      <c r="B1190" s="1" t="s">
        <v>2395</v>
      </c>
      <c r="C1190" s="1">
        <v>53</v>
      </c>
      <c r="D1190" s="1" t="s">
        <v>20</v>
      </c>
      <c r="E1190" s="1" t="s">
        <v>14</v>
      </c>
      <c r="F1190" s="1" t="s">
        <v>29</v>
      </c>
      <c r="G1190" s="1" t="s">
        <v>43</v>
      </c>
      <c r="H1190" s="1" t="s">
        <v>17</v>
      </c>
      <c r="I1190" s="1" t="s">
        <v>30</v>
      </c>
      <c r="J1190" s="1">
        <v>0.47</v>
      </c>
      <c r="K1190" s="36">
        <v>45339</v>
      </c>
    </row>
    <row r="1191" spans="1:11" x14ac:dyDescent="0.3">
      <c r="A1191" s="2" t="s">
        <v>2396</v>
      </c>
      <c r="B1191" s="1" t="s">
        <v>2397</v>
      </c>
      <c r="C1191" s="1">
        <v>18</v>
      </c>
      <c r="D1191" s="1" t="s">
        <v>20</v>
      </c>
      <c r="E1191" s="1" t="s">
        <v>28</v>
      </c>
      <c r="F1191" s="1" t="s">
        <v>15</v>
      </c>
      <c r="G1191" s="1" t="s">
        <v>16</v>
      </c>
      <c r="H1191" s="1" t="s">
        <v>17</v>
      </c>
      <c r="I1191" s="1" t="s">
        <v>17</v>
      </c>
      <c r="J1191" s="1">
        <v>0.12</v>
      </c>
      <c r="K1191" s="36">
        <v>45333</v>
      </c>
    </row>
    <row r="1192" spans="1:11" x14ac:dyDescent="0.3">
      <c r="A1192" s="2" t="s">
        <v>2398</v>
      </c>
      <c r="B1192" s="1" t="s">
        <v>2399</v>
      </c>
      <c r="C1192" s="1">
        <v>44</v>
      </c>
      <c r="D1192" s="1" t="s">
        <v>20</v>
      </c>
      <c r="E1192" s="1" t="s">
        <v>33</v>
      </c>
      <c r="F1192" s="1" t="s">
        <v>62</v>
      </c>
      <c r="G1192" s="1" t="s">
        <v>22</v>
      </c>
      <c r="H1192" s="1" t="s">
        <v>17</v>
      </c>
      <c r="I1192" s="1" t="s">
        <v>17</v>
      </c>
      <c r="J1192" s="1">
        <v>0.23</v>
      </c>
      <c r="K1192" s="36">
        <v>45632</v>
      </c>
    </row>
    <row r="1193" spans="1:11" x14ac:dyDescent="0.3">
      <c r="A1193" s="2" t="s">
        <v>2400</v>
      </c>
      <c r="B1193" s="1" t="s">
        <v>2401</v>
      </c>
      <c r="C1193" s="1">
        <v>35</v>
      </c>
      <c r="D1193" s="1" t="s">
        <v>13</v>
      </c>
      <c r="E1193" s="1" t="s">
        <v>33</v>
      </c>
      <c r="F1193" s="1" t="s">
        <v>15</v>
      </c>
      <c r="G1193" s="1" t="s">
        <v>38</v>
      </c>
      <c r="H1193" s="1" t="s">
        <v>17</v>
      </c>
      <c r="I1193" s="1" t="s">
        <v>30</v>
      </c>
      <c r="J1193" s="1">
        <v>0.35</v>
      </c>
      <c r="K1193" s="36">
        <v>44992</v>
      </c>
    </row>
    <row r="1194" spans="1:11" x14ac:dyDescent="0.3">
      <c r="A1194" s="2" t="s">
        <v>2402</v>
      </c>
      <c r="B1194" s="1" t="s">
        <v>2403</v>
      </c>
      <c r="C1194" s="1">
        <v>28</v>
      </c>
      <c r="D1194" s="1" t="s">
        <v>20</v>
      </c>
      <c r="E1194" s="1" t="s">
        <v>21</v>
      </c>
      <c r="F1194" s="1" t="s">
        <v>15</v>
      </c>
      <c r="G1194" s="1" t="s">
        <v>43</v>
      </c>
      <c r="H1194" s="1" t="s">
        <v>17</v>
      </c>
      <c r="I1194" s="1" t="s">
        <v>17</v>
      </c>
      <c r="J1194" s="1">
        <v>0.25</v>
      </c>
      <c r="K1194" s="36">
        <v>44329</v>
      </c>
    </row>
    <row r="1195" spans="1:11" x14ac:dyDescent="0.3">
      <c r="A1195" s="2" t="s">
        <v>2404</v>
      </c>
      <c r="B1195" s="1" t="s">
        <v>2405</v>
      </c>
      <c r="C1195" s="1">
        <v>62</v>
      </c>
      <c r="D1195" s="1" t="s">
        <v>20</v>
      </c>
      <c r="E1195" s="1" t="s">
        <v>33</v>
      </c>
      <c r="F1195" s="1" t="s">
        <v>46</v>
      </c>
      <c r="G1195" s="1" t="s">
        <v>43</v>
      </c>
      <c r="H1195" s="1" t="s">
        <v>17</v>
      </c>
      <c r="I1195" s="1" t="s">
        <v>17</v>
      </c>
      <c r="J1195" s="1">
        <v>0.32</v>
      </c>
      <c r="K1195" s="36">
        <v>44122</v>
      </c>
    </row>
    <row r="1196" spans="1:11" x14ac:dyDescent="0.3">
      <c r="A1196" s="2" t="s">
        <v>2406</v>
      </c>
      <c r="B1196" s="1" t="s">
        <v>2407</v>
      </c>
      <c r="C1196" s="1">
        <v>51</v>
      </c>
      <c r="D1196" s="1" t="s">
        <v>13</v>
      </c>
      <c r="E1196" s="1" t="s">
        <v>21</v>
      </c>
      <c r="F1196" s="1" t="s">
        <v>62</v>
      </c>
      <c r="G1196" s="1" t="s">
        <v>43</v>
      </c>
      <c r="H1196" s="1" t="s">
        <v>17</v>
      </c>
      <c r="I1196" s="1" t="s">
        <v>30</v>
      </c>
      <c r="J1196" s="1">
        <v>0.34</v>
      </c>
      <c r="K1196" s="36">
        <v>44788</v>
      </c>
    </row>
    <row r="1197" spans="1:11" x14ac:dyDescent="0.3">
      <c r="A1197" s="2" t="s">
        <v>2408</v>
      </c>
      <c r="B1197" s="1" t="s">
        <v>2409</v>
      </c>
      <c r="C1197" s="1">
        <v>57</v>
      </c>
      <c r="D1197" s="1" t="s">
        <v>13</v>
      </c>
      <c r="E1197" s="1" t="s">
        <v>14</v>
      </c>
      <c r="F1197" s="1" t="s">
        <v>62</v>
      </c>
      <c r="G1197" s="1" t="s">
        <v>22</v>
      </c>
      <c r="H1197" s="1" t="s">
        <v>30</v>
      </c>
      <c r="I1197" s="1" t="s">
        <v>30</v>
      </c>
      <c r="J1197" s="1">
        <v>0.62</v>
      </c>
      <c r="K1197" s="36">
        <v>45833</v>
      </c>
    </row>
    <row r="1198" spans="1:11" x14ac:dyDescent="0.3">
      <c r="A1198" s="2" t="s">
        <v>2410</v>
      </c>
      <c r="B1198" s="1" t="s">
        <v>2411</v>
      </c>
      <c r="C1198" s="1">
        <v>62</v>
      </c>
      <c r="D1198" s="1" t="s">
        <v>13</v>
      </c>
      <c r="E1198" s="1" t="s">
        <v>21</v>
      </c>
      <c r="F1198" s="1" t="s">
        <v>15</v>
      </c>
      <c r="G1198" s="1" t="s">
        <v>16</v>
      </c>
      <c r="H1198" s="1" t="s">
        <v>17</v>
      </c>
      <c r="I1198" s="1" t="s">
        <v>30</v>
      </c>
      <c r="J1198" s="1">
        <v>0.39</v>
      </c>
      <c r="K1198" s="36">
        <v>45431</v>
      </c>
    </row>
    <row r="1199" spans="1:11" x14ac:dyDescent="0.3">
      <c r="A1199" s="2" t="s">
        <v>2412</v>
      </c>
      <c r="B1199" s="1" t="s">
        <v>2413</v>
      </c>
      <c r="C1199" s="1">
        <v>79</v>
      </c>
      <c r="D1199" s="1" t="s">
        <v>20</v>
      </c>
      <c r="E1199" s="1" t="s">
        <v>21</v>
      </c>
      <c r="F1199" s="1" t="s">
        <v>62</v>
      </c>
      <c r="G1199" s="1" t="s">
        <v>22</v>
      </c>
      <c r="H1199" s="1" t="s">
        <v>17</v>
      </c>
      <c r="I1199" s="1" t="s">
        <v>17</v>
      </c>
      <c r="J1199" s="1">
        <v>0.32</v>
      </c>
      <c r="K1199" s="36">
        <v>45900</v>
      </c>
    </row>
    <row r="1200" spans="1:11" x14ac:dyDescent="0.3">
      <c r="A1200" s="2" t="s">
        <v>2414</v>
      </c>
      <c r="B1200" s="1" t="s">
        <v>2415</v>
      </c>
      <c r="C1200" s="1">
        <v>68</v>
      </c>
      <c r="D1200" s="1" t="s">
        <v>20</v>
      </c>
      <c r="E1200" s="1" t="s">
        <v>33</v>
      </c>
      <c r="F1200" s="1" t="s">
        <v>15</v>
      </c>
      <c r="G1200" s="1" t="s">
        <v>47</v>
      </c>
      <c r="H1200" s="1" t="s">
        <v>17</v>
      </c>
      <c r="I1200" s="1" t="s">
        <v>30</v>
      </c>
      <c r="J1200" s="1">
        <v>0.32</v>
      </c>
      <c r="K1200" s="36">
        <v>46093</v>
      </c>
    </row>
    <row r="1201" spans="1:11" x14ac:dyDescent="0.3">
      <c r="A1201" s="2" t="s">
        <v>2416</v>
      </c>
      <c r="B1201" s="1" t="s">
        <v>2417</v>
      </c>
      <c r="C1201" s="1">
        <v>57</v>
      </c>
      <c r="D1201" s="1" t="s">
        <v>20</v>
      </c>
      <c r="E1201" s="1" t="s">
        <v>21</v>
      </c>
      <c r="F1201" s="1" t="s">
        <v>15</v>
      </c>
      <c r="G1201" s="1" t="s">
        <v>47</v>
      </c>
      <c r="H1201" s="1" t="s">
        <v>17</v>
      </c>
      <c r="I1201" s="1" t="s">
        <v>30</v>
      </c>
      <c r="J1201" s="1">
        <v>0.48</v>
      </c>
      <c r="K1201" s="36">
        <v>44270</v>
      </c>
    </row>
    <row r="1202" spans="1:11" x14ac:dyDescent="0.3">
      <c r="A1202" s="2" t="s">
        <v>2418</v>
      </c>
      <c r="B1202" s="1" t="s">
        <v>2419</v>
      </c>
      <c r="C1202" s="1">
        <v>73</v>
      </c>
      <c r="D1202" s="1" t="s">
        <v>20</v>
      </c>
      <c r="E1202" s="1" t="s">
        <v>33</v>
      </c>
      <c r="F1202" s="1" t="s">
        <v>62</v>
      </c>
      <c r="G1202" s="1" t="s">
        <v>22</v>
      </c>
      <c r="H1202" s="1" t="s">
        <v>17</v>
      </c>
      <c r="I1202" s="1" t="s">
        <v>30</v>
      </c>
      <c r="J1202" s="1">
        <v>0.43</v>
      </c>
      <c r="K1202" s="36">
        <v>45928</v>
      </c>
    </row>
    <row r="1203" spans="1:11" x14ac:dyDescent="0.3">
      <c r="A1203" s="2" t="s">
        <v>2420</v>
      </c>
      <c r="B1203" s="1" t="s">
        <v>2421</v>
      </c>
      <c r="C1203" s="1">
        <v>48</v>
      </c>
      <c r="D1203" s="1" t="s">
        <v>20</v>
      </c>
      <c r="E1203" s="1" t="s">
        <v>28</v>
      </c>
      <c r="F1203" s="1" t="s">
        <v>62</v>
      </c>
      <c r="G1203" s="1" t="s">
        <v>16</v>
      </c>
      <c r="H1203" s="1" t="s">
        <v>17</v>
      </c>
      <c r="I1203" s="1" t="s">
        <v>17</v>
      </c>
      <c r="J1203" s="1">
        <v>0.17</v>
      </c>
      <c r="K1203" s="36">
        <v>44610</v>
      </c>
    </row>
    <row r="1204" spans="1:11" x14ac:dyDescent="0.3">
      <c r="A1204" s="2" t="s">
        <v>2422</v>
      </c>
      <c r="B1204" s="1" t="s">
        <v>2423</v>
      </c>
      <c r="C1204" s="1">
        <v>80</v>
      </c>
      <c r="D1204" s="1" t="s">
        <v>13</v>
      </c>
      <c r="E1204" s="1" t="s">
        <v>21</v>
      </c>
      <c r="F1204" s="1" t="s">
        <v>46</v>
      </c>
      <c r="G1204" s="1" t="s">
        <v>38</v>
      </c>
      <c r="H1204" s="1" t="s">
        <v>17</v>
      </c>
      <c r="I1204" s="1" t="s">
        <v>17</v>
      </c>
      <c r="J1204" s="1">
        <v>0.27</v>
      </c>
      <c r="K1204" s="36">
        <v>45367</v>
      </c>
    </row>
    <row r="1205" spans="1:11" x14ac:dyDescent="0.3">
      <c r="A1205" s="2" t="s">
        <v>2424</v>
      </c>
      <c r="B1205" s="1" t="s">
        <v>2425</v>
      </c>
      <c r="C1205" s="1">
        <v>65</v>
      </c>
      <c r="D1205" s="1" t="s">
        <v>20</v>
      </c>
      <c r="E1205" s="1" t="s">
        <v>33</v>
      </c>
      <c r="F1205" s="1" t="s">
        <v>15</v>
      </c>
      <c r="G1205" s="1" t="s">
        <v>25</v>
      </c>
      <c r="H1205" s="1" t="s">
        <v>17</v>
      </c>
      <c r="I1205" s="1" t="s">
        <v>30</v>
      </c>
      <c r="J1205" s="1">
        <v>0.42</v>
      </c>
      <c r="K1205" s="36">
        <v>45225</v>
      </c>
    </row>
    <row r="1206" spans="1:11" x14ac:dyDescent="0.3">
      <c r="A1206" s="2" t="s">
        <v>2426</v>
      </c>
      <c r="B1206" s="1" t="s">
        <v>2427</v>
      </c>
      <c r="C1206" s="1">
        <v>59</v>
      </c>
      <c r="D1206" s="1" t="s">
        <v>13</v>
      </c>
      <c r="E1206" s="1" t="s">
        <v>14</v>
      </c>
      <c r="F1206" s="1" t="s">
        <v>15</v>
      </c>
      <c r="G1206" s="1" t="s">
        <v>22</v>
      </c>
      <c r="H1206" s="1" t="s">
        <v>17</v>
      </c>
      <c r="I1206" s="1" t="s">
        <v>30</v>
      </c>
      <c r="J1206" s="1">
        <v>0.51</v>
      </c>
      <c r="K1206" s="36">
        <v>44944</v>
      </c>
    </row>
    <row r="1207" spans="1:11" x14ac:dyDescent="0.3">
      <c r="A1207" s="2" t="s">
        <v>2428</v>
      </c>
      <c r="B1207" s="1" t="s">
        <v>2429</v>
      </c>
      <c r="C1207" s="1">
        <v>74</v>
      </c>
      <c r="D1207" s="1" t="s">
        <v>13</v>
      </c>
      <c r="E1207" s="1" t="s">
        <v>14</v>
      </c>
      <c r="F1207" s="1" t="s">
        <v>29</v>
      </c>
      <c r="G1207" s="1" t="s">
        <v>43</v>
      </c>
      <c r="H1207" s="1" t="s">
        <v>17</v>
      </c>
      <c r="I1207" s="1" t="s">
        <v>30</v>
      </c>
      <c r="J1207" s="1">
        <v>0.62</v>
      </c>
      <c r="K1207" s="36">
        <v>44757</v>
      </c>
    </row>
    <row r="1208" spans="1:11" x14ac:dyDescent="0.3">
      <c r="A1208" s="2" t="s">
        <v>2430</v>
      </c>
      <c r="B1208" s="1" t="s">
        <v>2431</v>
      </c>
      <c r="C1208" s="1">
        <v>50</v>
      </c>
      <c r="D1208" s="1" t="s">
        <v>20</v>
      </c>
      <c r="E1208" s="1" t="s">
        <v>33</v>
      </c>
      <c r="F1208" s="1" t="s">
        <v>15</v>
      </c>
      <c r="G1208" s="1" t="s">
        <v>47</v>
      </c>
      <c r="H1208" s="1" t="s">
        <v>17</v>
      </c>
      <c r="I1208" s="1" t="s">
        <v>17</v>
      </c>
      <c r="J1208" s="1">
        <v>0.27</v>
      </c>
      <c r="K1208" s="36">
        <v>44821</v>
      </c>
    </row>
    <row r="1209" spans="1:11" x14ac:dyDescent="0.3">
      <c r="A1209" s="2" t="s">
        <v>2432</v>
      </c>
      <c r="B1209" s="1" t="s">
        <v>2433</v>
      </c>
      <c r="C1209" s="1">
        <v>63</v>
      </c>
      <c r="D1209" s="1" t="s">
        <v>13</v>
      </c>
      <c r="E1209" s="1" t="s">
        <v>33</v>
      </c>
      <c r="F1209" s="1" t="s">
        <v>29</v>
      </c>
      <c r="G1209" s="1" t="s">
        <v>38</v>
      </c>
      <c r="H1209" s="1" t="s">
        <v>30</v>
      </c>
      <c r="I1209" s="1" t="s">
        <v>17</v>
      </c>
      <c r="J1209" s="1">
        <v>0.43</v>
      </c>
      <c r="K1209" s="36">
        <v>44807</v>
      </c>
    </row>
    <row r="1210" spans="1:11" x14ac:dyDescent="0.3">
      <c r="A1210" s="2" t="s">
        <v>2434</v>
      </c>
      <c r="B1210" s="1" t="s">
        <v>2435</v>
      </c>
      <c r="C1210" s="1">
        <v>35</v>
      </c>
      <c r="D1210" s="1" t="s">
        <v>20</v>
      </c>
      <c r="E1210" s="1" t="s">
        <v>33</v>
      </c>
      <c r="F1210" s="1" t="s">
        <v>62</v>
      </c>
      <c r="G1210" s="1" t="s">
        <v>47</v>
      </c>
      <c r="H1210" s="1" t="s">
        <v>17</v>
      </c>
      <c r="I1210" s="1" t="s">
        <v>17</v>
      </c>
      <c r="J1210" s="1">
        <v>0.24</v>
      </c>
      <c r="K1210" s="36">
        <v>44445</v>
      </c>
    </row>
    <row r="1211" spans="1:11" x14ac:dyDescent="0.3">
      <c r="A1211" s="2" t="s">
        <v>2436</v>
      </c>
      <c r="B1211" s="1" t="s">
        <v>2437</v>
      </c>
      <c r="C1211" s="1">
        <v>78</v>
      </c>
      <c r="D1211" s="1" t="s">
        <v>20</v>
      </c>
      <c r="E1211" s="1" t="s">
        <v>21</v>
      </c>
      <c r="F1211" s="1" t="s">
        <v>46</v>
      </c>
      <c r="G1211" s="1" t="s">
        <v>43</v>
      </c>
      <c r="H1211" s="1" t="s">
        <v>30</v>
      </c>
      <c r="I1211" s="1" t="s">
        <v>30</v>
      </c>
      <c r="J1211" s="1">
        <v>0.65</v>
      </c>
      <c r="K1211" s="36">
        <v>45195</v>
      </c>
    </row>
    <row r="1212" spans="1:11" x14ac:dyDescent="0.3">
      <c r="A1212" s="2" t="s">
        <v>2438</v>
      </c>
      <c r="B1212" s="1" t="s">
        <v>2439</v>
      </c>
      <c r="C1212" s="1">
        <v>57</v>
      </c>
      <c r="D1212" s="1" t="s">
        <v>20</v>
      </c>
      <c r="E1212" s="1" t="s">
        <v>33</v>
      </c>
      <c r="F1212" s="1" t="s">
        <v>15</v>
      </c>
      <c r="G1212" s="1" t="s">
        <v>47</v>
      </c>
      <c r="H1212" s="1" t="s">
        <v>17</v>
      </c>
      <c r="I1212" s="1" t="s">
        <v>17</v>
      </c>
      <c r="J1212" s="1">
        <v>0.22</v>
      </c>
      <c r="K1212" s="36">
        <v>44326</v>
      </c>
    </row>
    <row r="1213" spans="1:11" x14ac:dyDescent="0.3">
      <c r="A1213" s="2" t="s">
        <v>2440</v>
      </c>
      <c r="B1213" s="1" t="s">
        <v>2441</v>
      </c>
      <c r="C1213" s="1">
        <v>67</v>
      </c>
      <c r="D1213" s="1" t="s">
        <v>13</v>
      </c>
      <c r="E1213" s="1" t="s">
        <v>14</v>
      </c>
      <c r="F1213" s="1" t="s">
        <v>29</v>
      </c>
      <c r="G1213" s="1" t="s">
        <v>25</v>
      </c>
      <c r="H1213" s="1" t="s">
        <v>17</v>
      </c>
      <c r="I1213" s="1" t="s">
        <v>17</v>
      </c>
      <c r="J1213" s="1">
        <v>0.2</v>
      </c>
      <c r="K1213" s="36">
        <v>45194</v>
      </c>
    </row>
    <row r="1214" spans="1:11" x14ac:dyDescent="0.3">
      <c r="A1214" s="2" t="s">
        <v>2442</v>
      </c>
      <c r="B1214" s="1" t="s">
        <v>2443</v>
      </c>
      <c r="C1214" s="1">
        <v>47</v>
      </c>
      <c r="D1214" s="1" t="s">
        <v>13</v>
      </c>
      <c r="E1214" s="1" t="s">
        <v>14</v>
      </c>
      <c r="F1214" s="1" t="s">
        <v>15</v>
      </c>
      <c r="G1214" s="1" t="s">
        <v>43</v>
      </c>
      <c r="H1214" s="1" t="s">
        <v>30</v>
      </c>
      <c r="I1214" s="1" t="s">
        <v>30</v>
      </c>
      <c r="J1214" s="1">
        <v>0.53</v>
      </c>
      <c r="K1214" s="36">
        <v>46062</v>
      </c>
    </row>
    <row r="1215" spans="1:11" x14ac:dyDescent="0.3">
      <c r="A1215" s="2" t="s">
        <v>2444</v>
      </c>
      <c r="B1215" s="1" t="s">
        <v>2445</v>
      </c>
      <c r="C1215" s="1">
        <v>72</v>
      </c>
      <c r="D1215" s="1" t="s">
        <v>20</v>
      </c>
      <c r="E1215" s="1" t="s">
        <v>28</v>
      </c>
      <c r="F1215" s="1" t="s">
        <v>62</v>
      </c>
      <c r="G1215" s="1" t="s">
        <v>47</v>
      </c>
      <c r="H1215" s="1" t="s">
        <v>30</v>
      </c>
      <c r="I1215" s="1" t="s">
        <v>30</v>
      </c>
      <c r="J1215" s="1">
        <v>0.66</v>
      </c>
      <c r="K1215" s="36">
        <v>44842</v>
      </c>
    </row>
    <row r="1216" spans="1:11" x14ac:dyDescent="0.3">
      <c r="A1216" s="2" t="s">
        <v>2446</v>
      </c>
      <c r="B1216" s="1" t="s">
        <v>2447</v>
      </c>
      <c r="C1216" s="1">
        <v>22</v>
      </c>
      <c r="D1216" s="1" t="s">
        <v>13</v>
      </c>
      <c r="E1216" s="1" t="s">
        <v>21</v>
      </c>
      <c r="F1216" s="1" t="s">
        <v>29</v>
      </c>
      <c r="G1216" s="1" t="s">
        <v>16</v>
      </c>
      <c r="H1216" s="1" t="s">
        <v>17</v>
      </c>
      <c r="I1216" s="1" t="s">
        <v>17</v>
      </c>
      <c r="J1216" s="1">
        <v>0.15</v>
      </c>
      <c r="K1216" s="36">
        <v>45671</v>
      </c>
    </row>
    <row r="1217" spans="1:11" x14ac:dyDescent="0.3">
      <c r="A1217" s="2" t="s">
        <v>2448</v>
      </c>
      <c r="B1217" s="1" t="s">
        <v>2449</v>
      </c>
      <c r="C1217" s="1">
        <v>25</v>
      </c>
      <c r="D1217" s="1" t="s">
        <v>13</v>
      </c>
      <c r="E1217" s="1" t="s">
        <v>14</v>
      </c>
      <c r="F1217" s="1" t="s">
        <v>62</v>
      </c>
      <c r="G1217" s="1" t="s">
        <v>47</v>
      </c>
      <c r="H1217" s="1" t="s">
        <v>17</v>
      </c>
      <c r="I1217" s="1" t="s">
        <v>17</v>
      </c>
      <c r="J1217" s="1">
        <v>0.21</v>
      </c>
      <c r="K1217" s="36">
        <v>45872</v>
      </c>
    </row>
    <row r="1218" spans="1:11" x14ac:dyDescent="0.3">
      <c r="A1218" s="2" t="s">
        <v>2450</v>
      </c>
      <c r="B1218" s="1" t="s">
        <v>2451</v>
      </c>
      <c r="C1218" s="1">
        <v>49</v>
      </c>
      <c r="D1218" s="1" t="s">
        <v>20</v>
      </c>
      <c r="E1218" s="1" t="s">
        <v>14</v>
      </c>
      <c r="F1218" s="1" t="s">
        <v>46</v>
      </c>
      <c r="G1218" s="1" t="s">
        <v>22</v>
      </c>
      <c r="H1218" s="1" t="s">
        <v>17</v>
      </c>
      <c r="I1218" s="1" t="s">
        <v>17</v>
      </c>
      <c r="J1218" s="1">
        <v>0.23</v>
      </c>
      <c r="K1218" s="36">
        <v>45863</v>
      </c>
    </row>
    <row r="1219" spans="1:11" x14ac:dyDescent="0.3">
      <c r="A1219" s="2" t="s">
        <v>2452</v>
      </c>
      <c r="B1219" s="1" t="s">
        <v>2453</v>
      </c>
      <c r="C1219" s="1">
        <v>64</v>
      </c>
      <c r="D1219" s="1" t="s">
        <v>13</v>
      </c>
      <c r="E1219" s="1" t="s">
        <v>21</v>
      </c>
      <c r="F1219" s="1" t="s">
        <v>15</v>
      </c>
      <c r="G1219" s="1" t="s">
        <v>47</v>
      </c>
      <c r="H1219" s="1" t="s">
        <v>17</v>
      </c>
      <c r="I1219" s="1" t="s">
        <v>17</v>
      </c>
      <c r="J1219" s="1">
        <v>0.28000000000000003</v>
      </c>
      <c r="K1219" s="36">
        <v>44594</v>
      </c>
    </row>
    <row r="1220" spans="1:11" x14ac:dyDescent="0.3">
      <c r="A1220" s="2" t="s">
        <v>2454</v>
      </c>
      <c r="B1220" s="1" t="s">
        <v>2455</v>
      </c>
      <c r="C1220" s="1">
        <v>68</v>
      </c>
      <c r="D1220" s="1" t="s">
        <v>13</v>
      </c>
      <c r="E1220" s="1" t="s">
        <v>28</v>
      </c>
      <c r="F1220" s="1" t="s">
        <v>15</v>
      </c>
      <c r="G1220" s="1" t="s">
        <v>25</v>
      </c>
      <c r="H1220" s="1" t="s">
        <v>30</v>
      </c>
      <c r="I1220" s="1" t="s">
        <v>17</v>
      </c>
      <c r="J1220" s="1">
        <v>0.54</v>
      </c>
      <c r="K1220" s="36">
        <v>44398</v>
      </c>
    </row>
    <row r="1221" spans="1:11" x14ac:dyDescent="0.3">
      <c r="A1221" s="2" t="s">
        <v>2456</v>
      </c>
      <c r="B1221" s="1" t="s">
        <v>2457</v>
      </c>
      <c r="C1221" s="1">
        <v>45</v>
      </c>
      <c r="D1221" s="1" t="s">
        <v>13</v>
      </c>
      <c r="E1221" s="1" t="s">
        <v>14</v>
      </c>
      <c r="F1221" s="1" t="s">
        <v>15</v>
      </c>
      <c r="G1221" s="1" t="s">
        <v>43</v>
      </c>
      <c r="H1221" s="1" t="s">
        <v>17</v>
      </c>
      <c r="I1221" s="1" t="s">
        <v>30</v>
      </c>
      <c r="J1221" s="1">
        <v>0.27</v>
      </c>
      <c r="K1221" s="36">
        <v>44509</v>
      </c>
    </row>
    <row r="1222" spans="1:11" x14ac:dyDescent="0.3">
      <c r="A1222" s="2" t="s">
        <v>2458</v>
      </c>
      <c r="B1222" s="1" t="s">
        <v>2459</v>
      </c>
      <c r="C1222" s="1">
        <v>58</v>
      </c>
      <c r="D1222" s="1" t="s">
        <v>13</v>
      </c>
      <c r="E1222" s="1" t="s">
        <v>33</v>
      </c>
      <c r="F1222" s="1" t="s">
        <v>29</v>
      </c>
      <c r="G1222" s="1" t="s">
        <v>47</v>
      </c>
      <c r="H1222" s="1" t="s">
        <v>30</v>
      </c>
      <c r="I1222" s="1" t="s">
        <v>30</v>
      </c>
      <c r="J1222" s="1">
        <v>0.75</v>
      </c>
      <c r="K1222" s="36">
        <v>45397</v>
      </c>
    </row>
    <row r="1223" spans="1:11" x14ac:dyDescent="0.3">
      <c r="A1223" s="2" t="s">
        <v>2460</v>
      </c>
      <c r="B1223" s="1" t="s">
        <v>2461</v>
      </c>
      <c r="C1223" s="1">
        <v>52</v>
      </c>
      <c r="D1223" s="1" t="s">
        <v>20</v>
      </c>
      <c r="E1223" s="1" t="s">
        <v>14</v>
      </c>
      <c r="F1223" s="1" t="s">
        <v>46</v>
      </c>
      <c r="G1223" s="1" t="s">
        <v>47</v>
      </c>
      <c r="H1223" s="1" t="s">
        <v>17</v>
      </c>
      <c r="I1223" s="1" t="s">
        <v>30</v>
      </c>
      <c r="J1223" s="1">
        <v>0.26</v>
      </c>
      <c r="K1223" s="36">
        <v>45743</v>
      </c>
    </row>
    <row r="1224" spans="1:11" x14ac:dyDescent="0.3">
      <c r="A1224" s="2" t="s">
        <v>2462</v>
      </c>
      <c r="B1224" s="1" t="s">
        <v>2463</v>
      </c>
      <c r="C1224" s="1">
        <v>78</v>
      </c>
      <c r="D1224" s="1" t="s">
        <v>20</v>
      </c>
      <c r="E1224" s="1" t="s">
        <v>28</v>
      </c>
      <c r="F1224" s="1" t="s">
        <v>62</v>
      </c>
      <c r="G1224" s="1" t="s">
        <v>25</v>
      </c>
      <c r="H1224" s="1" t="s">
        <v>17</v>
      </c>
      <c r="I1224" s="1" t="s">
        <v>17</v>
      </c>
      <c r="J1224" s="1">
        <v>0.16</v>
      </c>
      <c r="K1224" s="36">
        <v>45513</v>
      </c>
    </row>
    <row r="1225" spans="1:11" x14ac:dyDescent="0.3">
      <c r="A1225" s="2" t="s">
        <v>2464</v>
      </c>
      <c r="B1225" s="1" t="s">
        <v>2465</v>
      </c>
      <c r="C1225" s="1">
        <v>59</v>
      </c>
      <c r="D1225" s="1" t="s">
        <v>13</v>
      </c>
      <c r="E1225" s="1" t="s">
        <v>33</v>
      </c>
      <c r="F1225" s="1" t="s">
        <v>29</v>
      </c>
      <c r="G1225" s="1" t="s">
        <v>22</v>
      </c>
      <c r="H1225" s="1" t="s">
        <v>17</v>
      </c>
      <c r="I1225" s="1" t="s">
        <v>17</v>
      </c>
      <c r="J1225" s="1">
        <v>0.28000000000000003</v>
      </c>
      <c r="K1225" s="36">
        <v>44465</v>
      </c>
    </row>
    <row r="1226" spans="1:11" x14ac:dyDescent="0.3">
      <c r="A1226" s="2" t="s">
        <v>2466</v>
      </c>
      <c r="B1226" s="1" t="s">
        <v>2467</v>
      </c>
      <c r="C1226" s="1">
        <v>44</v>
      </c>
      <c r="D1226" s="1" t="s">
        <v>20</v>
      </c>
      <c r="E1226" s="1" t="s">
        <v>14</v>
      </c>
      <c r="F1226" s="1" t="s">
        <v>29</v>
      </c>
      <c r="G1226" s="1" t="s">
        <v>16</v>
      </c>
      <c r="H1226" s="1" t="s">
        <v>17</v>
      </c>
      <c r="I1226" s="1" t="s">
        <v>30</v>
      </c>
      <c r="J1226" s="1">
        <v>0.28000000000000003</v>
      </c>
      <c r="K1226" s="36">
        <v>45771</v>
      </c>
    </row>
    <row r="1227" spans="1:11" x14ac:dyDescent="0.3">
      <c r="A1227" s="2" t="s">
        <v>2468</v>
      </c>
      <c r="B1227" s="1" t="s">
        <v>2469</v>
      </c>
      <c r="C1227" s="1">
        <v>79</v>
      </c>
      <c r="D1227" s="1" t="s">
        <v>20</v>
      </c>
      <c r="E1227" s="1" t="s">
        <v>28</v>
      </c>
      <c r="F1227" s="1" t="s">
        <v>62</v>
      </c>
      <c r="G1227" s="1" t="s">
        <v>25</v>
      </c>
      <c r="H1227" s="1" t="s">
        <v>30</v>
      </c>
      <c r="I1227" s="1" t="s">
        <v>30</v>
      </c>
      <c r="J1227" s="1">
        <v>0.61</v>
      </c>
      <c r="K1227" s="36">
        <v>45160</v>
      </c>
    </row>
    <row r="1228" spans="1:11" x14ac:dyDescent="0.3">
      <c r="A1228" s="2" t="s">
        <v>2470</v>
      </c>
      <c r="B1228" s="1" t="s">
        <v>2471</v>
      </c>
      <c r="C1228" s="1">
        <v>24</v>
      </c>
      <c r="D1228" s="1" t="s">
        <v>13</v>
      </c>
      <c r="E1228" s="1" t="s">
        <v>28</v>
      </c>
      <c r="F1228" s="1" t="s">
        <v>29</v>
      </c>
      <c r="G1228" s="1" t="s">
        <v>38</v>
      </c>
      <c r="H1228" s="1" t="s">
        <v>30</v>
      </c>
      <c r="I1228" s="1" t="s">
        <v>17</v>
      </c>
      <c r="J1228" s="1">
        <v>0.43</v>
      </c>
      <c r="K1228" s="36">
        <v>45730</v>
      </c>
    </row>
    <row r="1229" spans="1:11" x14ac:dyDescent="0.3">
      <c r="A1229" s="2" t="s">
        <v>2472</v>
      </c>
      <c r="B1229" s="1" t="s">
        <v>2473</v>
      </c>
      <c r="C1229" s="1">
        <v>80</v>
      </c>
      <c r="D1229" s="1" t="s">
        <v>20</v>
      </c>
      <c r="E1229" s="1" t="s">
        <v>33</v>
      </c>
      <c r="F1229" s="1" t="s">
        <v>15</v>
      </c>
      <c r="G1229" s="1" t="s">
        <v>43</v>
      </c>
      <c r="H1229" s="1" t="s">
        <v>17</v>
      </c>
      <c r="I1229" s="1" t="s">
        <v>17</v>
      </c>
      <c r="J1229" s="1">
        <v>0.27</v>
      </c>
      <c r="K1229" s="36">
        <v>45742</v>
      </c>
    </row>
    <row r="1230" spans="1:11" x14ac:dyDescent="0.3">
      <c r="A1230" s="2" t="s">
        <v>2474</v>
      </c>
      <c r="B1230" s="1" t="s">
        <v>2475</v>
      </c>
      <c r="C1230" s="1">
        <v>27</v>
      </c>
      <c r="D1230" s="1" t="s">
        <v>20</v>
      </c>
      <c r="E1230" s="1" t="s">
        <v>21</v>
      </c>
      <c r="F1230" s="1" t="s">
        <v>62</v>
      </c>
      <c r="G1230" s="1" t="s">
        <v>22</v>
      </c>
      <c r="H1230" s="1" t="s">
        <v>17</v>
      </c>
      <c r="I1230" s="1" t="s">
        <v>17</v>
      </c>
      <c r="J1230" s="1">
        <v>0.15</v>
      </c>
      <c r="K1230" s="36">
        <v>45061</v>
      </c>
    </row>
    <row r="1231" spans="1:11" x14ac:dyDescent="0.3">
      <c r="A1231" s="2" t="s">
        <v>2476</v>
      </c>
      <c r="B1231" s="1" t="s">
        <v>2477</v>
      </c>
      <c r="C1231" s="1">
        <v>36</v>
      </c>
      <c r="D1231" s="1" t="s">
        <v>13</v>
      </c>
      <c r="E1231" s="1" t="s">
        <v>33</v>
      </c>
      <c r="F1231" s="1" t="s">
        <v>62</v>
      </c>
      <c r="G1231" s="1" t="s">
        <v>16</v>
      </c>
      <c r="H1231" s="1" t="s">
        <v>17</v>
      </c>
      <c r="I1231" s="1" t="s">
        <v>30</v>
      </c>
      <c r="J1231" s="1">
        <v>0.38</v>
      </c>
      <c r="K1231" s="36">
        <v>46102</v>
      </c>
    </row>
    <row r="1232" spans="1:11" x14ac:dyDescent="0.3">
      <c r="A1232" s="2" t="s">
        <v>2478</v>
      </c>
      <c r="B1232" s="1" t="s">
        <v>2479</v>
      </c>
      <c r="C1232" s="1">
        <v>69</v>
      </c>
      <c r="D1232" s="1" t="s">
        <v>20</v>
      </c>
      <c r="E1232" s="1" t="s">
        <v>33</v>
      </c>
      <c r="F1232" s="1" t="s">
        <v>46</v>
      </c>
      <c r="G1232" s="1" t="s">
        <v>22</v>
      </c>
      <c r="H1232" s="1" t="s">
        <v>17</v>
      </c>
      <c r="I1232" s="1" t="s">
        <v>17</v>
      </c>
      <c r="J1232" s="1">
        <v>0.26</v>
      </c>
      <c r="K1232" s="36">
        <v>45314</v>
      </c>
    </row>
    <row r="1233" spans="1:11" x14ac:dyDescent="0.3">
      <c r="A1233" s="2" t="s">
        <v>2480</v>
      </c>
      <c r="B1233" s="1" t="s">
        <v>2481</v>
      </c>
      <c r="C1233" s="1">
        <v>64</v>
      </c>
      <c r="D1233" s="1" t="s">
        <v>20</v>
      </c>
      <c r="E1233" s="1" t="s">
        <v>14</v>
      </c>
      <c r="F1233" s="1" t="s">
        <v>46</v>
      </c>
      <c r="G1233" s="1" t="s">
        <v>25</v>
      </c>
      <c r="H1233" s="1" t="s">
        <v>17</v>
      </c>
      <c r="I1233" s="1" t="s">
        <v>17</v>
      </c>
      <c r="J1233" s="1">
        <v>0.35</v>
      </c>
      <c r="K1233" s="36">
        <v>45469</v>
      </c>
    </row>
    <row r="1234" spans="1:11" x14ac:dyDescent="0.3">
      <c r="A1234" s="2" t="s">
        <v>2482</v>
      </c>
      <c r="B1234" s="1" t="s">
        <v>2483</v>
      </c>
      <c r="C1234" s="1">
        <v>79</v>
      </c>
      <c r="D1234" s="1" t="s">
        <v>13</v>
      </c>
      <c r="E1234" s="1" t="s">
        <v>21</v>
      </c>
      <c r="F1234" s="1" t="s">
        <v>29</v>
      </c>
      <c r="G1234" s="1" t="s">
        <v>16</v>
      </c>
      <c r="H1234" s="1" t="s">
        <v>30</v>
      </c>
      <c r="I1234" s="1" t="s">
        <v>17</v>
      </c>
      <c r="J1234" s="1">
        <v>0.45</v>
      </c>
      <c r="K1234" s="36">
        <v>45445</v>
      </c>
    </row>
    <row r="1235" spans="1:11" x14ac:dyDescent="0.3">
      <c r="A1235" s="2" t="s">
        <v>2484</v>
      </c>
      <c r="B1235" s="1" t="s">
        <v>2485</v>
      </c>
      <c r="C1235" s="1">
        <v>65</v>
      </c>
      <c r="D1235" s="1" t="s">
        <v>20</v>
      </c>
      <c r="E1235" s="1" t="s">
        <v>33</v>
      </c>
      <c r="F1235" s="1" t="s">
        <v>46</v>
      </c>
      <c r="G1235" s="1" t="s">
        <v>47</v>
      </c>
      <c r="H1235" s="1" t="s">
        <v>30</v>
      </c>
      <c r="I1235" s="1" t="s">
        <v>17</v>
      </c>
      <c r="J1235" s="1">
        <v>0.4</v>
      </c>
      <c r="K1235" s="36">
        <v>45971</v>
      </c>
    </row>
    <row r="1236" spans="1:11" x14ac:dyDescent="0.3">
      <c r="A1236" s="2" t="s">
        <v>2486</v>
      </c>
      <c r="B1236" s="1" t="s">
        <v>2487</v>
      </c>
      <c r="C1236" s="1">
        <v>58</v>
      </c>
      <c r="D1236" s="1" t="s">
        <v>13</v>
      </c>
      <c r="E1236" s="1" t="s">
        <v>28</v>
      </c>
      <c r="F1236" s="1" t="s">
        <v>15</v>
      </c>
      <c r="G1236" s="1" t="s">
        <v>47</v>
      </c>
      <c r="H1236" s="1" t="s">
        <v>17</v>
      </c>
      <c r="I1236" s="1" t="s">
        <v>17</v>
      </c>
      <c r="J1236" s="1">
        <v>0.18</v>
      </c>
      <c r="K1236" s="36">
        <v>45451</v>
      </c>
    </row>
    <row r="1237" spans="1:11" x14ac:dyDescent="0.3">
      <c r="A1237" s="2" t="s">
        <v>2488</v>
      </c>
      <c r="B1237" s="1" t="s">
        <v>2489</v>
      </c>
      <c r="C1237" s="1">
        <v>39</v>
      </c>
      <c r="D1237" s="1" t="s">
        <v>20</v>
      </c>
      <c r="E1237" s="1" t="s">
        <v>14</v>
      </c>
      <c r="F1237" s="1" t="s">
        <v>62</v>
      </c>
      <c r="G1237" s="1" t="s">
        <v>43</v>
      </c>
      <c r="H1237" s="1" t="s">
        <v>17</v>
      </c>
      <c r="I1237" s="1" t="s">
        <v>17</v>
      </c>
      <c r="J1237" s="1">
        <v>0.19</v>
      </c>
      <c r="K1237" s="36">
        <v>44407</v>
      </c>
    </row>
    <row r="1238" spans="1:11" x14ac:dyDescent="0.3">
      <c r="A1238" s="2" t="s">
        <v>2490</v>
      </c>
      <c r="B1238" s="1" t="s">
        <v>2491</v>
      </c>
      <c r="C1238" s="1">
        <v>18</v>
      </c>
      <c r="D1238" s="1" t="s">
        <v>13</v>
      </c>
      <c r="E1238" s="1" t="s">
        <v>14</v>
      </c>
      <c r="F1238" s="1" t="s">
        <v>62</v>
      </c>
      <c r="G1238" s="1" t="s">
        <v>16</v>
      </c>
      <c r="H1238" s="1" t="s">
        <v>17</v>
      </c>
      <c r="I1238" s="1" t="s">
        <v>17</v>
      </c>
      <c r="J1238" s="1">
        <v>0.17</v>
      </c>
      <c r="K1238" s="36">
        <v>44226</v>
      </c>
    </row>
    <row r="1239" spans="1:11" x14ac:dyDescent="0.3">
      <c r="A1239" s="2" t="s">
        <v>2492</v>
      </c>
      <c r="B1239" s="1" t="s">
        <v>2493</v>
      </c>
      <c r="C1239" s="1">
        <v>25</v>
      </c>
      <c r="D1239" s="1" t="s">
        <v>20</v>
      </c>
      <c r="E1239" s="1" t="s">
        <v>21</v>
      </c>
      <c r="F1239" s="1" t="s">
        <v>62</v>
      </c>
      <c r="G1239" s="1" t="s">
        <v>47</v>
      </c>
      <c r="H1239" s="1" t="s">
        <v>17</v>
      </c>
      <c r="I1239" s="1" t="s">
        <v>17</v>
      </c>
      <c r="J1239" s="1">
        <v>0.17</v>
      </c>
      <c r="K1239" s="36">
        <v>45046</v>
      </c>
    </row>
    <row r="1240" spans="1:11" x14ac:dyDescent="0.3">
      <c r="A1240" s="2" t="s">
        <v>2494</v>
      </c>
      <c r="B1240" s="1" t="s">
        <v>2495</v>
      </c>
      <c r="C1240" s="1">
        <v>36</v>
      </c>
      <c r="D1240" s="1" t="s">
        <v>20</v>
      </c>
      <c r="E1240" s="1" t="s">
        <v>33</v>
      </c>
      <c r="F1240" s="1" t="s">
        <v>29</v>
      </c>
      <c r="G1240" s="1" t="s">
        <v>38</v>
      </c>
      <c r="H1240" s="1" t="s">
        <v>17</v>
      </c>
      <c r="I1240" s="1" t="s">
        <v>17</v>
      </c>
      <c r="J1240" s="1">
        <v>0.23</v>
      </c>
      <c r="K1240" s="36">
        <v>44740</v>
      </c>
    </row>
    <row r="1241" spans="1:11" x14ac:dyDescent="0.3">
      <c r="A1241" s="2" t="s">
        <v>2496</v>
      </c>
      <c r="B1241" s="1" t="s">
        <v>2497</v>
      </c>
      <c r="C1241" s="1">
        <v>20</v>
      </c>
      <c r="D1241" s="1" t="s">
        <v>20</v>
      </c>
      <c r="E1241" s="1" t="s">
        <v>28</v>
      </c>
      <c r="F1241" s="1" t="s">
        <v>29</v>
      </c>
      <c r="G1241" s="1" t="s">
        <v>38</v>
      </c>
      <c r="H1241" s="1" t="s">
        <v>17</v>
      </c>
      <c r="I1241" s="1" t="s">
        <v>17</v>
      </c>
      <c r="J1241" s="1">
        <v>0.14000000000000001</v>
      </c>
      <c r="K1241" s="36">
        <v>44679</v>
      </c>
    </row>
    <row r="1242" spans="1:11" x14ac:dyDescent="0.3">
      <c r="A1242" s="2" t="s">
        <v>2498</v>
      </c>
      <c r="B1242" s="1" t="s">
        <v>2499</v>
      </c>
      <c r="C1242" s="1">
        <v>50</v>
      </c>
      <c r="D1242" s="1" t="s">
        <v>20</v>
      </c>
      <c r="E1242" s="1" t="s">
        <v>28</v>
      </c>
      <c r="F1242" s="1" t="s">
        <v>29</v>
      </c>
      <c r="G1242" s="1" t="s">
        <v>43</v>
      </c>
      <c r="H1242" s="1" t="s">
        <v>17</v>
      </c>
      <c r="I1242" s="1" t="s">
        <v>17</v>
      </c>
      <c r="J1242" s="1">
        <v>0.28000000000000003</v>
      </c>
      <c r="K1242" s="36">
        <v>44200</v>
      </c>
    </row>
    <row r="1243" spans="1:11" x14ac:dyDescent="0.3">
      <c r="A1243" s="2" t="s">
        <v>2500</v>
      </c>
      <c r="B1243" s="1" t="s">
        <v>2501</v>
      </c>
      <c r="C1243" s="1">
        <v>66</v>
      </c>
      <c r="D1243" s="1" t="s">
        <v>13</v>
      </c>
      <c r="E1243" s="1" t="s">
        <v>14</v>
      </c>
      <c r="F1243" s="1" t="s">
        <v>62</v>
      </c>
      <c r="G1243" s="1" t="s">
        <v>43</v>
      </c>
      <c r="H1243" s="1" t="s">
        <v>17</v>
      </c>
      <c r="I1243" s="1" t="s">
        <v>30</v>
      </c>
      <c r="J1243" s="1">
        <v>0.44</v>
      </c>
      <c r="K1243" s="36">
        <v>45189</v>
      </c>
    </row>
    <row r="1244" spans="1:11" x14ac:dyDescent="0.3">
      <c r="A1244" s="2" t="s">
        <v>2502</v>
      </c>
      <c r="B1244" s="1" t="s">
        <v>2503</v>
      </c>
      <c r="C1244" s="1">
        <v>78</v>
      </c>
      <c r="D1244" s="1" t="s">
        <v>20</v>
      </c>
      <c r="E1244" s="1" t="s">
        <v>21</v>
      </c>
      <c r="F1244" s="1" t="s">
        <v>29</v>
      </c>
      <c r="G1244" s="1" t="s">
        <v>22</v>
      </c>
      <c r="H1244" s="1" t="s">
        <v>17</v>
      </c>
      <c r="I1244" s="1" t="s">
        <v>30</v>
      </c>
      <c r="J1244" s="1">
        <v>0.43</v>
      </c>
      <c r="K1244" s="36">
        <v>44757</v>
      </c>
    </row>
    <row r="1245" spans="1:11" x14ac:dyDescent="0.3">
      <c r="A1245" s="2" t="s">
        <v>2504</v>
      </c>
      <c r="B1245" s="1" t="s">
        <v>2505</v>
      </c>
      <c r="C1245" s="1">
        <v>48</v>
      </c>
      <c r="D1245" s="1" t="s">
        <v>13</v>
      </c>
      <c r="E1245" s="1" t="s">
        <v>14</v>
      </c>
      <c r="F1245" s="1" t="s">
        <v>62</v>
      </c>
      <c r="G1245" s="1" t="s">
        <v>47</v>
      </c>
      <c r="H1245" s="1" t="s">
        <v>17</v>
      </c>
      <c r="I1245" s="1" t="s">
        <v>17</v>
      </c>
      <c r="J1245" s="1">
        <v>0.14000000000000001</v>
      </c>
      <c r="K1245" s="36">
        <v>45067</v>
      </c>
    </row>
    <row r="1246" spans="1:11" x14ac:dyDescent="0.3">
      <c r="A1246" s="2" t="s">
        <v>2506</v>
      </c>
      <c r="B1246" s="1" t="s">
        <v>2507</v>
      </c>
      <c r="C1246" s="1">
        <v>73</v>
      </c>
      <c r="D1246" s="1" t="s">
        <v>20</v>
      </c>
      <c r="E1246" s="1" t="s">
        <v>28</v>
      </c>
      <c r="F1246" s="1" t="s">
        <v>62</v>
      </c>
      <c r="G1246" s="1" t="s">
        <v>22</v>
      </c>
      <c r="H1246" s="1" t="s">
        <v>17</v>
      </c>
      <c r="I1246" s="1" t="s">
        <v>17</v>
      </c>
      <c r="J1246" s="1">
        <v>0.33</v>
      </c>
      <c r="K1246" s="36">
        <v>44201</v>
      </c>
    </row>
    <row r="1247" spans="1:11" x14ac:dyDescent="0.3">
      <c r="A1247" s="2" t="s">
        <v>2508</v>
      </c>
      <c r="B1247" s="1" t="s">
        <v>2509</v>
      </c>
      <c r="C1247" s="1">
        <v>80</v>
      </c>
      <c r="D1247" s="1" t="s">
        <v>20</v>
      </c>
      <c r="E1247" s="1" t="s">
        <v>21</v>
      </c>
      <c r="F1247" s="1" t="s">
        <v>29</v>
      </c>
      <c r="G1247" s="1" t="s">
        <v>38</v>
      </c>
      <c r="H1247" s="1" t="s">
        <v>17</v>
      </c>
      <c r="I1247" s="1" t="s">
        <v>17</v>
      </c>
      <c r="J1247" s="1">
        <v>0.28000000000000003</v>
      </c>
      <c r="K1247" s="36">
        <v>45900</v>
      </c>
    </row>
    <row r="1248" spans="1:11" x14ac:dyDescent="0.3">
      <c r="A1248" s="2" t="s">
        <v>2510</v>
      </c>
      <c r="B1248" s="1" t="s">
        <v>2511</v>
      </c>
      <c r="C1248" s="1">
        <v>72</v>
      </c>
      <c r="D1248" s="1" t="s">
        <v>13</v>
      </c>
      <c r="E1248" s="1" t="s">
        <v>21</v>
      </c>
      <c r="F1248" s="1" t="s">
        <v>29</v>
      </c>
      <c r="G1248" s="1" t="s">
        <v>16</v>
      </c>
      <c r="H1248" s="1" t="s">
        <v>17</v>
      </c>
      <c r="I1248" s="1" t="s">
        <v>30</v>
      </c>
      <c r="J1248" s="1">
        <v>0.39</v>
      </c>
      <c r="K1248" s="36">
        <v>44245</v>
      </c>
    </row>
    <row r="1249" spans="1:11" x14ac:dyDescent="0.3">
      <c r="A1249" s="2" t="s">
        <v>2512</v>
      </c>
      <c r="B1249" s="1" t="s">
        <v>2513</v>
      </c>
      <c r="C1249" s="1">
        <v>47</v>
      </c>
      <c r="D1249" s="1" t="s">
        <v>20</v>
      </c>
      <c r="E1249" s="1" t="s">
        <v>28</v>
      </c>
      <c r="F1249" s="1" t="s">
        <v>46</v>
      </c>
      <c r="G1249" s="1" t="s">
        <v>16</v>
      </c>
      <c r="H1249" s="1" t="s">
        <v>17</v>
      </c>
      <c r="I1249" s="1" t="s">
        <v>17</v>
      </c>
      <c r="J1249" s="1">
        <v>0.21</v>
      </c>
      <c r="K1249" s="36">
        <v>45971</v>
      </c>
    </row>
    <row r="1250" spans="1:11" x14ac:dyDescent="0.3">
      <c r="A1250" s="2" t="s">
        <v>2514</v>
      </c>
      <c r="B1250" s="1" t="s">
        <v>2515</v>
      </c>
      <c r="C1250" s="1">
        <v>38</v>
      </c>
      <c r="D1250" s="1" t="s">
        <v>20</v>
      </c>
      <c r="E1250" s="1" t="s">
        <v>33</v>
      </c>
      <c r="F1250" s="1" t="s">
        <v>29</v>
      </c>
      <c r="G1250" s="1" t="s">
        <v>43</v>
      </c>
      <c r="H1250" s="1" t="s">
        <v>17</v>
      </c>
      <c r="I1250" s="1" t="s">
        <v>17</v>
      </c>
      <c r="J1250" s="1">
        <v>0.1</v>
      </c>
      <c r="K1250" s="36">
        <v>45951</v>
      </c>
    </row>
    <row r="1251" spans="1:11" x14ac:dyDescent="0.3">
      <c r="A1251" s="2" t="s">
        <v>2516</v>
      </c>
      <c r="B1251" s="1" t="s">
        <v>1526</v>
      </c>
      <c r="C1251" s="1">
        <v>79</v>
      </c>
      <c r="D1251" s="1" t="s">
        <v>13</v>
      </c>
      <c r="E1251" s="1" t="s">
        <v>21</v>
      </c>
      <c r="F1251" s="1" t="s">
        <v>62</v>
      </c>
      <c r="G1251" s="1" t="s">
        <v>47</v>
      </c>
      <c r="H1251" s="1" t="s">
        <v>17</v>
      </c>
      <c r="I1251" s="1" t="s">
        <v>30</v>
      </c>
      <c r="J1251" s="1">
        <v>0.33</v>
      </c>
      <c r="K1251" s="36">
        <v>45425</v>
      </c>
    </row>
    <row r="1252" spans="1:11" x14ac:dyDescent="0.3">
      <c r="A1252" s="2" t="s">
        <v>2517</v>
      </c>
      <c r="B1252" s="1" t="s">
        <v>2518</v>
      </c>
      <c r="C1252" s="1">
        <v>33</v>
      </c>
      <c r="D1252" s="1" t="s">
        <v>20</v>
      </c>
      <c r="E1252" s="1" t="s">
        <v>21</v>
      </c>
      <c r="F1252" s="1" t="s">
        <v>29</v>
      </c>
      <c r="G1252" s="1" t="s">
        <v>47</v>
      </c>
      <c r="H1252" s="1" t="s">
        <v>17</v>
      </c>
      <c r="I1252" s="1" t="s">
        <v>30</v>
      </c>
      <c r="J1252" s="1">
        <v>0.28000000000000003</v>
      </c>
      <c r="K1252" s="36">
        <v>45188</v>
      </c>
    </row>
    <row r="1253" spans="1:11" x14ac:dyDescent="0.3">
      <c r="A1253" s="2" t="s">
        <v>2519</v>
      </c>
      <c r="B1253" s="1" t="s">
        <v>2520</v>
      </c>
      <c r="C1253" s="1">
        <v>43</v>
      </c>
      <c r="D1253" s="1" t="s">
        <v>13</v>
      </c>
      <c r="E1253" s="1" t="s">
        <v>14</v>
      </c>
      <c r="F1253" s="1" t="s">
        <v>62</v>
      </c>
      <c r="G1253" s="1" t="s">
        <v>38</v>
      </c>
      <c r="H1253" s="1" t="s">
        <v>17</v>
      </c>
      <c r="I1253" s="1" t="s">
        <v>17</v>
      </c>
      <c r="J1253" s="1">
        <v>0.22</v>
      </c>
      <c r="K1253" s="36">
        <v>45091</v>
      </c>
    </row>
    <row r="1254" spans="1:11" x14ac:dyDescent="0.3">
      <c r="A1254" s="2" t="s">
        <v>2521</v>
      </c>
      <c r="B1254" s="1" t="s">
        <v>2522</v>
      </c>
      <c r="C1254" s="1">
        <v>22</v>
      </c>
      <c r="D1254" s="1" t="s">
        <v>13</v>
      </c>
      <c r="E1254" s="1" t="s">
        <v>33</v>
      </c>
      <c r="F1254" s="1" t="s">
        <v>29</v>
      </c>
      <c r="G1254" s="1" t="s">
        <v>22</v>
      </c>
      <c r="H1254" s="1" t="s">
        <v>17</v>
      </c>
      <c r="I1254" s="1" t="s">
        <v>30</v>
      </c>
      <c r="J1254" s="1">
        <v>0.4</v>
      </c>
      <c r="K1254" s="36">
        <v>45292</v>
      </c>
    </row>
    <row r="1255" spans="1:11" x14ac:dyDescent="0.3">
      <c r="A1255" s="2" t="s">
        <v>2523</v>
      </c>
      <c r="B1255" s="1" t="s">
        <v>2524</v>
      </c>
      <c r="C1255" s="1">
        <v>68</v>
      </c>
      <c r="D1255" s="1" t="s">
        <v>20</v>
      </c>
      <c r="E1255" s="1" t="s">
        <v>28</v>
      </c>
      <c r="F1255" s="1" t="s">
        <v>15</v>
      </c>
      <c r="G1255" s="1" t="s">
        <v>16</v>
      </c>
      <c r="H1255" s="1" t="s">
        <v>17</v>
      </c>
      <c r="I1255" s="1" t="s">
        <v>17</v>
      </c>
      <c r="J1255" s="1">
        <v>0.34</v>
      </c>
      <c r="K1255" s="36">
        <v>45812</v>
      </c>
    </row>
    <row r="1256" spans="1:11" x14ac:dyDescent="0.3">
      <c r="A1256" s="2" t="s">
        <v>2525</v>
      </c>
      <c r="B1256" s="1" t="s">
        <v>2526</v>
      </c>
      <c r="C1256" s="1">
        <v>58</v>
      </c>
      <c r="D1256" s="1" t="s">
        <v>20</v>
      </c>
      <c r="E1256" s="1" t="s">
        <v>28</v>
      </c>
      <c r="F1256" s="1" t="s">
        <v>46</v>
      </c>
      <c r="G1256" s="1" t="s">
        <v>38</v>
      </c>
      <c r="H1256" s="1" t="s">
        <v>17</v>
      </c>
      <c r="I1256" s="1" t="s">
        <v>17</v>
      </c>
      <c r="J1256" s="1">
        <v>0.22</v>
      </c>
      <c r="K1256" s="36">
        <v>46040</v>
      </c>
    </row>
    <row r="1257" spans="1:11" x14ac:dyDescent="0.3">
      <c r="A1257" s="2" t="s">
        <v>2527</v>
      </c>
      <c r="B1257" s="1" t="s">
        <v>2528</v>
      </c>
      <c r="C1257" s="1">
        <v>23</v>
      </c>
      <c r="D1257" s="1" t="s">
        <v>20</v>
      </c>
      <c r="E1257" s="1" t="s">
        <v>14</v>
      </c>
      <c r="F1257" s="1" t="s">
        <v>46</v>
      </c>
      <c r="G1257" s="1" t="s">
        <v>25</v>
      </c>
      <c r="H1257" s="1" t="s">
        <v>17</v>
      </c>
      <c r="I1257" s="1" t="s">
        <v>17</v>
      </c>
      <c r="J1257" s="1">
        <v>0.28000000000000003</v>
      </c>
      <c r="K1257" s="36">
        <v>45062</v>
      </c>
    </row>
    <row r="1258" spans="1:11" x14ac:dyDescent="0.3">
      <c r="A1258" s="2" t="s">
        <v>2529</v>
      </c>
      <c r="B1258" s="1" t="s">
        <v>2530</v>
      </c>
      <c r="C1258" s="1">
        <v>31</v>
      </c>
      <c r="D1258" s="1" t="s">
        <v>20</v>
      </c>
      <c r="E1258" s="1" t="s">
        <v>14</v>
      </c>
      <c r="F1258" s="1" t="s">
        <v>15</v>
      </c>
      <c r="G1258" s="1" t="s">
        <v>22</v>
      </c>
      <c r="H1258" s="1" t="s">
        <v>17</v>
      </c>
      <c r="I1258" s="1" t="s">
        <v>17</v>
      </c>
      <c r="J1258" s="1">
        <v>0.19</v>
      </c>
      <c r="K1258" s="36">
        <v>45852</v>
      </c>
    </row>
    <row r="1259" spans="1:11" x14ac:dyDescent="0.3">
      <c r="A1259" s="2" t="s">
        <v>2531</v>
      </c>
      <c r="B1259" s="1" t="s">
        <v>2532</v>
      </c>
      <c r="C1259" s="1">
        <v>52</v>
      </c>
      <c r="D1259" s="1" t="s">
        <v>20</v>
      </c>
      <c r="E1259" s="1" t="s">
        <v>28</v>
      </c>
      <c r="F1259" s="1" t="s">
        <v>46</v>
      </c>
      <c r="G1259" s="1" t="s">
        <v>25</v>
      </c>
      <c r="H1259" s="1" t="s">
        <v>17</v>
      </c>
      <c r="I1259" s="1" t="s">
        <v>17</v>
      </c>
      <c r="J1259" s="1">
        <v>0.14000000000000001</v>
      </c>
      <c r="K1259" s="36">
        <v>45505</v>
      </c>
    </row>
    <row r="1260" spans="1:11" x14ac:dyDescent="0.3">
      <c r="A1260" s="2" t="s">
        <v>2533</v>
      </c>
      <c r="B1260" s="1" t="s">
        <v>2534</v>
      </c>
      <c r="C1260" s="1">
        <v>52</v>
      </c>
      <c r="D1260" s="1" t="s">
        <v>13</v>
      </c>
      <c r="E1260" s="1" t="s">
        <v>28</v>
      </c>
      <c r="F1260" s="1" t="s">
        <v>15</v>
      </c>
      <c r="G1260" s="1" t="s">
        <v>22</v>
      </c>
      <c r="H1260" s="1" t="s">
        <v>17</v>
      </c>
      <c r="I1260" s="1" t="s">
        <v>30</v>
      </c>
      <c r="J1260" s="1">
        <v>0.37</v>
      </c>
      <c r="K1260" s="36">
        <v>44781</v>
      </c>
    </row>
    <row r="1261" spans="1:11" x14ac:dyDescent="0.3">
      <c r="A1261" s="2" t="s">
        <v>2535</v>
      </c>
      <c r="B1261" s="1" t="s">
        <v>2536</v>
      </c>
      <c r="C1261" s="1">
        <v>68</v>
      </c>
      <c r="D1261" s="1" t="s">
        <v>20</v>
      </c>
      <c r="E1261" s="1" t="s">
        <v>21</v>
      </c>
      <c r="F1261" s="1" t="s">
        <v>46</v>
      </c>
      <c r="G1261" s="1" t="s">
        <v>38</v>
      </c>
      <c r="H1261" s="1" t="s">
        <v>17</v>
      </c>
      <c r="I1261" s="1" t="s">
        <v>17</v>
      </c>
      <c r="J1261" s="1">
        <v>0.28000000000000003</v>
      </c>
      <c r="K1261" s="36">
        <v>45119</v>
      </c>
    </row>
    <row r="1262" spans="1:11" x14ac:dyDescent="0.3">
      <c r="A1262" s="2" t="s">
        <v>2537</v>
      </c>
      <c r="B1262" s="1" t="s">
        <v>2538</v>
      </c>
      <c r="C1262" s="1">
        <v>34</v>
      </c>
      <c r="D1262" s="1" t="s">
        <v>13</v>
      </c>
      <c r="E1262" s="1" t="s">
        <v>33</v>
      </c>
      <c r="F1262" s="1" t="s">
        <v>46</v>
      </c>
      <c r="G1262" s="1" t="s">
        <v>38</v>
      </c>
      <c r="H1262" s="1" t="s">
        <v>17</v>
      </c>
      <c r="I1262" s="1" t="s">
        <v>30</v>
      </c>
      <c r="J1262" s="1">
        <v>0.31</v>
      </c>
      <c r="K1262" s="36">
        <v>44407</v>
      </c>
    </row>
    <row r="1263" spans="1:11" x14ac:dyDescent="0.3">
      <c r="A1263" s="2" t="s">
        <v>2539</v>
      </c>
      <c r="B1263" s="1" t="s">
        <v>2540</v>
      </c>
      <c r="C1263" s="1">
        <v>76</v>
      </c>
      <c r="D1263" s="1" t="s">
        <v>20</v>
      </c>
      <c r="E1263" s="1" t="s">
        <v>33</v>
      </c>
      <c r="F1263" s="1" t="s">
        <v>62</v>
      </c>
      <c r="G1263" s="1" t="s">
        <v>16</v>
      </c>
      <c r="H1263" s="1" t="s">
        <v>17</v>
      </c>
      <c r="I1263" s="1" t="s">
        <v>17</v>
      </c>
      <c r="J1263" s="1">
        <v>0.28000000000000003</v>
      </c>
      <c r="K1263" s="36">
        <v>44212</v>
      </c>
    </row>
    <row r="1264" spans="1:11" x14ac:dyDescent="0.3">
      <c r="A1264" s="2" t="s">
        <v>2541</v>
      </c>
      <c r="B1264" s="1" t="s">
        <v>2542</v>
      </c>
      <c r="C1264" s="1">
        <v>46</v>
      </c>
      <c r="D1264" s="1" t="s">
        <v>20</v>
      </c>
      <c r="E1264" s="1" t="s">
        <v>21</v>
      </c>
      <c r="F1264" s="1" t="s">
        <v>29</v>
      </c>
      <c r="G1264" s="1" t="s">
        <v>16</v>
      </c>
      <c r="H1264" s="1" t="s">
        <v>30</v>
      </c>
      <c r="I1264" s="1" t="s">
        <v>17</v>
      </c>
      <c r="J1264" s="1">
        <v>0.37</v>
      </c>
      <c r="K1264" s="36">
        <v>44303</v>
      </c>
    </row>
    <row r="1265" spans="1:11" x14ac:dyDescent="0.3">
      <c r="A1265" s="2" t="s">
        <v>2543</v>
      </c>
      <c r="B1265" s="1" t="s">
        <v>2544</v>
      </c>
      <c r="C1265" s="1">
        <v>69</v>
      </c>
      <c r="D1265" s="1" t="s">
        <v>20</v>
      </c>
      <c r="E1265" s="1" t="s">
        <v>28</v>
      </c>
      <c r="F1265" s="1" t="s">
        <v>46</v>
      </c>
      <c r="G1265" s="1" t="s">
        <v>25</v>
      </c>
      <c r="H1265" s="1" t="s">
        <v>17</v>
      </c>
      <c r="I1265" s="1" t="s">
        <v>30</v>
      </c>
      <c r="J1265" s="1">
        <v>0.42</v>
      </c>
      <c r="K1265" s="36">
        <v>46047</v>
      </c>
    </row>
    <row r="1266" spans="1:11" x14ac:dyDescent="0.3">
      <c r="A1266" s="2" t="s">
        <v>2545</v>
      </c>
      <c r="B1266" s="1" t="s">
        <v>2546</v>
      </c>
      <c r="C1266" s="1">
        <v>33</v>
      </c>
      <c r="D1266" s="1" t="s">
        <v>13</v>
      </c>
      <c r="E1266" s="1" t="s">
        <v>14</v>
      </c>
      <c r="F1266" s="1" t="s">
        <v>62</v>
      </c>
      <c r="G1266" s="1" t="s">
        <v>43</v>
      </c>
      <c r="H1266" s="1" t="s">
        <v>17</v>
      </c>
      <c r="I1266" s="1" t="s">
        <v>30</v>
      </c>
      <c r="J1266" s="1">
        <v>0.33</v>
      </c>
      <c r="K1266" s="36">
        <v>44829</v>
      </c>
    </row>
    <row r="1267" spans="1:11" x14ac:dyDescent="0.3">
      <c r="A1267" s="2" t="s">
        <v>2547</v>
      </c>
      <c r="B1267" s="1" t="s">
        <v>2548</v>
      </c>
      <c r="C1267" s="1">
        <v>20</v>
      </c>
      <c r="D1267" s="1" t="s">
        <v>20</v>
      </c>
      <c r="E1267" s="1" t="s">
        <v>33</v>
      </c>
      <c r="F1267" s="1" t="s">
        <v>62</v>
      </c>
      <c r="G1267" s="1" t="s">
        <v>38</v>
      </c>
      <c r="H1267" s="1" t="s">
        <v>17</v>
      </c>
      <c r="I1267" s="1" t="s">
        <v>17</v>
      </c>
      <c r="J1267" s="1">
        <v>0.17</v>
      </c>
      <c r="K1267" s="36">
        <v>45642</v>
      </c>
    </row>
    <row r="1268" spans="1:11" x14ac:dyDescent="0.3">
      <c r="A1268" s="2" t="s">
        <v>2549</v>
      </c>
      <c r="B1268" s="1" t="s">
        <v>2550</v>
      </c>
      <c r="C1268" s="1">
        <v>21</v>
      </c>
      <c r="D1268" s="1" t="s">
        <v>20</v>
      </c>
      <c r="E1268" s="1" t="s">
        <v>14</v>
      </c>
      <c r="F1268" s="1" t="s">
        <v>62</v>
      </c>
      <c r="G1268" s="1" t="s">
        <v>47</v>
      </c>
      <c r="H1268" s="1" t="s">
        <v>17</v>
      </c>
      <c r="I1268" s="1" t="s">
        <v>30</v>
      </c>
      <c r="J1268" s="1">
        <v>0.4</v>
      </c>
      <c r="K1268" s="36">
        <v>45182</v>
      </c>
    </row>
    <row r="1269" spans="1:11" x14ac:dyDescent="0.3">
      <c r="A1269" s="2" t="s">
        <v>2551</v>
      </c>
      <c r="B1269" s="1" t="s">
        <v>2552</v>
      </c>
      <c r="C1269" s="1">
        <v>41</v>
      </c>
      <c r="D1269" s="1" t="s">
        <v>13</v>
      </c>
      <c r="E1269" s="1" t="s">
        <v>33</v>
      </c>
      <c r="F1269" s="1" t="s">
        <v>46</v>
      </c>
      <c r="G1269" s="1" t="s">
        <v>47</v>
      </c>
      <c r="H1269" s="1" t="s">
        <v>17</v>
      </c>
      <c r="I1269" s="1" t="s">
        <v>30</v>
      </c>
      <c r="J1269" s="1">
        <v>0.3</v>
      </c>
      <c r="K1269" s="36">
        <v>44455</v>
      </c>
    </row>
    <row r="1270" spans="1:11" x14ac:dyDescent="0.3">
      <c r="A1270" s="2" t="s">
        <v>2553</v>
      </c>
      <c r="B1270" s="1" t="s">
        <v>2554</v>
      </c>
      <c r="C1270" s="1">
        <v>78</v>
      </c>
      <c r="D1270" s="1" t="s">
        <v>13</v>
      </c>
      <c r="E1270" s="1" t="s">
        <v>28</v>
      </c>
      <c r="F1270" s="1" t="s">
        <v>62</v>
      </c>
      <c r="G1270" s="1" t="s">
        <v>38</v>
      </c>
      <c r="H1270" s="1" t="s">
        <v>17</v>
      </c>
      <c r="I1270" s="1" t="s">
        <v>30</v>
      </c>
      <c r="J1270" s="1">
        <v>0.37</v>
      </c>
      <c r="K1270" s="36">
        <v>44620</v>
      </c>
    </row>
    <row r="1271" spans="1:11" x14ac:dyDescent="0.3">
      <c r="A1271" s="2" t="s">
        <v>2555</v>
      </c>
      <c r="B1271" s="1" t="s">
        <v>2556</v>
      </c>
      <c r="C1271" s="1">
        <v>21</v>
      </c>
      <c r="D1271" s="1" t="s">
        <v>20</v>
      </c>
      <c r="E1271" s="1" t="s">
        <v>14</v>
      </c>
      <c r="F1271" s="1" t="s">
        <v>46</v>
      </c>
      <c r="G1271" s="1" t="s">
        <v>38</v>
      </c>
      <c r="H1271" s="1" t="s">
        <v>30</v>
      </c>
      <c r="I1271" s="1" t="s">
        <v>17</v>
      </c>
      <c r="J1271" s="1">
        <v>0.42</v>
      </c>
      <c r="K1271" s="36">
        <v>45036</v>
      </c>
    </row>
    <row r="1272" spans="1:11" x14ac:dyDescent="0.3">
      <c r="A1272" s="2" t="s">
        <v>2557</v>
      </c>
      <c r="B1272" s="1" t="s">
        <v>2558</v>
      </c>
      <c r="C1272" s="1">
        <v>41</v>
      </c>
      <c r="D1272" s="1" t="s">
        <v>13</v>
      </c>
      <c r="E1272" s="1" t="s">
        <v>14</v>
      </c>
      <c r="F1272" s="1" t="s">
        <v>46</v>
      </c>
      <c r="G1272" s="1" t="s">
        <v>38</v>
      </c>
      <c r="H1272" s="1" t="s">
        <v>17</v>
      </c>
      <c r="I1272" s="1" t="s">
        <v>17</v>
      </c>
      <c r="J1272" s="1">
        <v>0.24</v>
      </c>
      <c r="K1272" s="36">
        <v>45040</v>
      </c>
    </row>
    <row r="1273" spans="1:11" x14ac:dyDescent="0.3">
      <c r="A1273" s="2" t="s">
        <v>2559</v>
      </c>
      <c r="B1273" s="1" t="s">
        <v>2560</v>
      </c>
      <c r="C1273" s="1">
        <v>24</v>
      </c>
      <c r="D1273" s="1" t="s">
        <v>20</v>
      </c>
      <c r="E1273" s="1" t="s">
        <v>28</v>
      </c>
      <c r="F1273" s="1" t="s">
        <v>15</v>
      </c>
      <c r="G1273" s="1" t="s">
        <v>16</v>
      </c>
      <c r="H1273" s="1" t="s">
        <v>17</v>
      </c>
      <c r="I1273" s="1" t="s">
        <v>17</v>
      </c>
      <c r="J1273" s="1">
        <v>0.26</v>
      </c>
      <c r="K1273" s="36">
        <v>45222</v>
      </c>
    </row>
    <row r="1274" spans="1:11" x14ac:dyDescent="0.3">
      <c r="A1274" s="2" t="s">
        <v>2561</v>
      </c>
      <c r="B1274" s="1" t="s">
        <v>2562</v>
      </c>
      <c r="C1274" s="1">
        <v>76</v>
      </c>
      <c r="D1274" s="1" t="s">
        <v>20</v>
      </c>
      <c r="E1274" s="1" t="s">
        <v>28</v>
      </c>
      <c r="F1274" s="1" t="s">
        <v>29</v>
      </c>
      <c r="G1274" s="1" t="s">
        <v>38</v>
      </c>
      <c r="H1274" s="1" t="s">
        <v>30</v>
      </c>
      <c r="I1274" s="1" t="s">
        <v>17</v>
      </c>
      <c r="J1274" s="1">
        <v>0.43</v>
      </c>
      <c r="K1274" s="36">
        <v>44424</v>
      </c>
    </row>
    <row r="1275" spans="1:11" x14ac:dyDescent="0.3">
      <c r="A1275" s="2" t="s">
        <v>2563</v>
      </c>
      <c r="B1275" s="1" t="s">
        <v>2564</v>
      </c>
      <c r="C1275" s="1">
        <v>60</v>
      </c>
      <c r="D1275" s="1" t="s">
        <v>20</v>
      </c>
      <c r="E1275" s="1" t="s">
        <v>28</v>
      </c>
      <c r="F1275" s="1" t="s">
        <v>46</v>
      </c>
      <c r="G1275" s="1" t="s">
        <v>47</v>
      </c>
      <c r="H1275" s="1" t="s">
        <v>17</v>
      </c>
      <c r="I1275" s="1" t="s">
        <v>30</v>
      </c>
      <c r="J1275" s="1">
        <v>0.4</v>
      </c>
      <c r="K1275" s="36">
        <v>44894</v>
      </c>
    </row>
    <row r="1276" spans="1:11" x14ac:dyDescent="0.3">
      <c r="A1276" s="2" t="s">
        <v>2565</v>
      </c>
      <c r="B1276" s="1" t="s">
        <v>2566</v>
      </c>
      <c r="C1276" s="1">
        <v>66</v>
      </c>
      <c r="D1276" s="1" t="s">
        <v>20</v>
      </c>
      <c r="E1276" s="1" t="s">
        <v>28</v>
      </c>
      <c r="F1276" s="1" t="s">
        <v>29</v>
      </c>
      <c r="G1276" s="1" t="s">
        <v>38</v>
      </c>
      <c r="H1276" s="1" t="s">
        <v>17</v>
      </c>
      <c r="I1276" s="1" t="s">
        <v>30</v>
      </c>
      <c r="J1276" s="1">
        <v>0.47</v>
      </c>
      <c r="K1276" s="36">
        <v>44697</v>
      </c>
    </row>
    <row r="1277" spans="1:11" x14ac:dyDescent="0.3">
      <c r="A1277" s="2" t="s">
        <v>2567</v>
      </c>
      <c r="B1277" s="1" t="s">
        <v>2568</v>
      </c>
      <c r="C1277" s="1">
        <v>62</v>
      </c>
      <c r="D1277" s="1" t="s">
        <v>20</v>
      </c>
      <c r="E1277" s="1" t="s">
        <v>33</v>
      </c>
      <c r="F1277" s="1" t="s">
        <v>29</v>
      </c>
      <c r="G1277" s="1" t="s">
        <v>25</v>
      </c>
      <c r="H1277" s="1" t="s">
        <v>17</v>
      </c>
      <c r="I1277" s="1" t="s">
        <v>30</v>
      </c>
      <c r="J1277" s="1">
        <v>0.28999999999999998</v>
      </c>
      <c r="K1277" s="36">
        <v>44973</v>
      </c>
    </row>
    <row r="1278" spans="1:11" x14ac:dyDescent="0.3">
      <c r="A1278" s="2" t="s">
        <v>2569</v>
      </c>
      <c r="B1278" s="1" t="s">
        <v>2570</v>
      </c>
      <c r="C1278" s="1">
        <v>59</v>
      </c>
      <c r="D1278" s="1" t="s">
        <v>13</v>
      </c>
      <c r="E1278" s="1" t="s">
        <v>28</v>
      </c>
      <c r="F1278" s="1" t="s">
        <v>29</v>
      </c>
      <c r="G1278" s="1" t="s">
        <v>16</v>
      </c>
      <c r="H1278" s="1" t="s">
        <v>17</v>
      </c>
      <c r="I1278" s="1" t="s">
        <v>30</v>
      </c>
      <c r="J1278" s="1">
        <v>0.48</v>
      </c>
      <c r="K1278" s="36">
        <v>44818</v>
      </c>
    </row>
    <row r="1279" spans="1:11" x14ac:dyDescent="0.3">
      <c r="A1279" s="2" t="s">
        <v>2571</v>
      </c>
      <c r="B1279" s="1" t="s">
        <v>2572</v>
      </c>
      <c r="C1279" s="1">
        <v>66</v>
      </c>
      <c r="D1279" s="1" t="s">
        <v>20</v>
      </c>
      <c r="E1279" s="1" t="s">
        <v>28</v>
      </c>
      <c r="F1279" s="1" t="s">
        <v>15</v>
      </c>
      <c r="G1279" s="1" t="s">
        <v>43</v>
      </c>
      <c r="H1279" s="1" t="s">
        <v>17</v>
      </c>
      <c r="I1279" s="1" t="s">
        <v>30</v>
      </c>
      <c r="J1279" s="1">
        <v>0.32</v>
      </c>
      <c r="K1279" s="36">
        <v>45387</v>
      </c>
    </row>
    <row r="1280" spans="1:11" x14ac:dyDescent="0.3">
      <c r="A1280" s="2" t="s">
        <v>2573</v>
      </c>
      <c r="B1280" s="1" t="s">
        <v>2574</v>
      </c>
      <c r="C1280" s="1">
        <v>18</v>
      </c>
      <c r="D1280" s="1" t="s">
        <v>13</v>
      </c>
      <c r="E1280" s="1" t="s">
        <v>21</v>
      </c>
      <c r="F1280" s="1" t="s">
        <v>46</v>
      </c>
      <c r="G1280" s="1" t="s">
        <v>38</v>
      </c>
      <c r="H1280" s="1" t="s">
        <v>30</v>
      </c>
      <c r="I1280" s="1" t="s">
        <v>17</v>
      </c>
      <c r="J1280" s="1">
        <v>0.35</v>
      </c>
      <c r="K1280" s="36">
        <v>45806</v>
      </c>
    </row>
    <row r="1281" spans="1:11" x14ac:dyDescent="0.3">
      <c r="A1281" s="2" t="s">
        <v>2575</v>
      </c>
      <c r="B1281" s="1" t="s">
        <v>2576</v>
      </c>
      <c r="C1281" s="1">
        <v>72</v>
      </c>
      <c r="D1281" s="1" t="s">
        <v>13</v>
      </c>
      <c r="E1281" s="1" t="s">
        <v>33</v>
      </c>
      <c r="F1281" s="1" t="s">
        <v>46</v>
      </c>
      <c r="G1281" s="1" t="s">
        <v>47</v>
      </c>
      <c r="H1281" s="1" t="s">
        <v>17</v>
      </c>
      <c r="I1281" s="1" t="s">
        <v>30</v>
      </c>
      <c r="J1281" s="1">
        <v>0.4</v>
      </c>
      <c r="K1281" s="36">
        <v>45495</v>
      </c>
    </row>
    <row r="1282" spans="1:11" x14ac:dyDescent="0.3">
      <c r="A1282" s="2" t="s">
        <v>2577</v>
      </c>
      <c r="B1282" s="1" t="s">
        <v>2578</v>
      </c>
      <c r="C1282" s="1">
        <v>64</v>
      </c>
      <c r="D1282" s="1" t="s">
        <v>13</v>
      </c>
      <c r="E1282" s="1" t="s">
        <v>21</v>
      </c>
      <c r="F1282" s="1" t="s">
        <v>29</v>
      </c>
      <c r="G1282" s="1" t="s">
        <v>22</v>
      </c>
      <c r="H1282" s="1" t="s">
        <v>17</v>
      </c>
      <c r="I1282" s="1" t="s">
        <v>17</v>
      </c>
      <c r="J1282" s="1">
        <v>0.41</v>
      </c>
      <c r="K1282" s="36">
        <v>44221</v>
      </c>
    </row>
    <row r="1283" spans="1:11" x14ac:dyDescent="0.3">
      <c r="A1283" s="2" t="s">
        <v>2579</v>
      </c>
      <c r="B1283" s="1" t="s">
        <v>2580</v>
      </c>
      <c r="C1283" s="1">
        <v>64</v>
      </c>
      <c r="D1283" s="1" t="s">
        <v>13</v>
      </c>
      <c r="E1283" s="1" t="s">
        <v>33</v>
      </c>
      <c r="F1283" s="1" t="s">
        <v>46</v>
      </c>
      <c r="G1283" s="1" t="s">
        <v>16</v>
      </c>
      <c r="H1283" s="1" t="s">
        <v>17</v>
      </c>
      <c r="I1283" s="1" t="s">
        <v>30</v>
      </c>
      <c r="J1283" s="1">
        <v>0.53</v>
      </c>
      <c r="K1283" s="36">
        <v>44284</v>
      </c>
    </row>
    <row r="1284" spans="1:11" x14ac:dyDescent="0.3">
      <c r="A1284" s="2" t="s">
        <v>2581</v>
      </c>
      <c r="B1284" s="1" t="s">
        <v>2582</v>
      </c>
      <c r="C1284" s="1">
        <v>42</v>
      </c>
      <c r="D1284" s="1" t="s">
        <v>13</v>
      </c>
      <c r="E1284" s="1" t="s">
        <v>14</v>
      </c>
      <c r="F1284" s="1" t="s">
        <v>62</v>
      </c>
      <c r="G1284" s="1" t="s">
        <v>38</v>
      </c>
      <c r="H1284" s="1" t="s">
        <v>17</v>
      </c>
      <c r="I1284" s="1" t="s">
        <v>17</v>
      </c>
      <c r="J1284" s="1">
        <v>0.24</v>
      </c>
      <c r="K1284" s="36">
        <v>45564</v>
      </c>
    </row>
    <row r="1285" spans="1:11" x14ac:dyDescent="0.3">
      <c r="A1285" s="2" t="s">
        <v>2583</v>
      </c>
      <c r="B1285" s="1" t="s">
        <v>2584</v>
      </c>
      <c r="C1285" s="1">
        <v>68</v>
      </c>
      <c r="D1285" s="1" t="s">
        <v>13</v>
      </c>
      <c r="E1285" s="1" t="s">
        <v>14</v>
      </c>
      <c r="F1285" s="1" t="s">
        <v>15</v>
      </c>
      <c r="G1285" s="1" t="s">
        <v>47</v>
      </c>
      <c r="H1285" s="1" t="s">
        <v>17</v>
      </c>
      <c r="I1285" s="1" t="s">
        <v>30</v>
      </c>
      <c r="J1285" s="1">
        <v>0.45</v>
      </c>
      <c r="K1285" s="36">
        <v>44699</v>
      </c>
    </row>
    <row r="1286" spans="1:11" x14ac:dyDescent="0.3">
      <c r="A1286" s="2" t="s">
        <v>2585</v>
      </c>
      <c r="B1286" s="1" t="s">
        <v>2586</v>
      </c>
      <c r="C1286" s="1">
        <v>42</v>
      </c>
      <c r="D1286" s="1" t="s">
        <v>20</v>
      </c>
      <c r="E1286" s="1" t="s">
        <v>28</v>
      </c>
      <c r="F1286" s="1" t="s">
        <v>29</v>
      </c>
      <c r="G1286" s="1" t="s">
        <v>22</v>
      </c>
      <c r="H1286" s="1" t="s">
        <v>17</v>
      </c>
      <c r="I1286" s="1" t="s">
        <v>17</v>
      </c>
      <c r="J1286" s="1">
        <v>0.09</v>
      </c>
      <c r="K1286" s="36">
        <v>45663</v>
      </c>
    </row>
    <row r="1287" spans="1:11" x14ac:dyDescent="0.3">
      <c r="A1287" s="2" t="s">
        <v>2587</v>
      </c>
      <c r="B1287" s="1" t="s">
        <v>2588</v>
      </c>
      <c r="C1287" s="1">
        <v>21</v>
      </c>
      <c r="D1287" s="1" t="s">
        <v>20</v>
      </c>
      <c r="E1287" s="1" t="s">
        <v>33</v>
      </c>
      <c r="F1287" s="1" t="s">
        <v>62</v>
      </c>
      <c r="G1287" s="1" t="s">
        <v>38</v>
      </c>
      <c r="H1287" s="1" t="s">
        <v>17</v>
      </c>
      <c r="I1287" s="1" t="s">
        <v>17</v>
      </c>
      <c r="J1287" s="1">
        <v>0.26</v>
      </c>
      <c r="K1287" s="36">
        <v>45516</v>
      </c>
    </row>
    <row r="1288" spans="1:11" x14ac:dyDescent="0.3">
      <c r="A1288" s="2" t="s">
        <v>2589</v>
      </c>
      <c r="B1288" s="1" t="s">
        <v>2590</v>
      </c>
      <c r="C1288" s="1">
        <v>75</v>
      </c>
      <c r="D1288" s="1" t="s">
        <v>13</v>
      </c>
      <c r="E1288" s="1" t="s">
        <v>33</v>
      </c>
      <c r="F1288" s="1" t="s">
        <v>62</v>
      </c>
      <c r="G1288" s="1" t="s">
        <v>22</v>
      </c>
      <c r="H1288" s="1" t="s">
        <v>17</v>
      </c>
      <c r="I1288" s="1" t="s">
        <v>30</v>
      </c>
      <c r="J1288" s="1">
        <v>0.4</v>
      </c>
      <c r="K1288" s="36">
        <v>46063</v>
      </c>
    </row>
    <row r="1289" spans="1:11" x14ac:dyDescent="0.3">
      <c r="A1289" s="2" t="s">
        <v>2591</v>
      </c>
      <c r="B1289" s="1" t="s">
        <v>2592</v>
      </c>
      <c r="C1289" s="1">
        <v>32</v>
      </c>
      <c r="D1289" s="1" t="s">
        <v>13</v>
      </c>
      <c r="E1289" s="1" t="s">
        <v>28</v>
      </c>
      <c r="F1289" s="1" t="s">
        <v>29</v>
      </c>
      <c r="G1289" s="1" t="s">
        <v>25</v>
      </c>
      <c r="H1289" s="1" t="s">
        <v>30</v>
      </c>
      <c r="I1289" s="1" t="s">
        <v>30</v>
      </c>
      <c r="J1289" s="1">
        <v>0.48</v>
      </c>
      <c r="K1289" s="36">
        <v>45991</v>
      </c>
    </row>
    <row r="1290" spans="1:11" x14ac:dyDescent="0.3">
      <c r="A1290" s="2" t="s">
        <v>2593</v>
      </c>
      <c r="B1290" s="1" t="s">
        <v>2594</v>
      </c>
      <c r="C1290" s="1">
        <v>24</v>
      </c>
      <c r="D1290" s="1" t="s">
        <v>20</v>
      </c>
      <c r="E1290" s="1" t="s">
        <v>21</v>
      </c>
      <c r="F1290" s="1" t="s">
        <v>29</v>
      </c>
      <c r="G1290" s="1" t="s">
        <v>16</v>
      </c>
      <c r="H1290" s="1" t="s">
        <v>17</v>
      </c>
      <c r="I1290" s="1" t="s">
        <v>17</v>
      </c>
      <c r="J1290" s="1">
        <v>0.26</v>
      </c>
      <c r="K1290" s="36">
        <v>44807</v>
      </c>
    </row>
    <row r="1291" spans="1:11" x14ac:dyDescent="0.3">
      <c r="A1291" s="2" t="s">
        <v>2595</v>
      </c>
      <c r="B1291" s="1" t="s">
        <v>2596</v>
      </c>
      <c r="C1291" s="1">
        <v>57</v>
      </c>
      <c r="D1291" s="1" t="s">
        <v>13</v>
      </c>
      <c r="E1291" s="1" t="s">
        <v>33</v>
      </c>
      <c r="F1291" s="1" t="s">
        <v>15</v>
      </c>
      <c r="G1291" s="1" t="s">
        <v>22</v>
      </c>
      <c r="H1291" s="1" t="s">
        <v>17</v>
      </c>
      <c r="I1291" s="1" t="s">
        <v>17</v>
      </c>
      <c r="J1291" s="1">
        <v>0.25</v>
      </c>
      <c r="K1291" s="36">
        <v>45354</v>
      </c>
    </row>
    <row r="1292" spans="1:11" x14ac:dyDescent="0.3">
      <c r="A1292" s="2" t="s">
        <v>2597</v>
      </c>
      <c r="B1292" s="1" t="s">
        <v>2598</v>
      </c>
      <c r="C1292" s="1">
        <v>32</v>
      </c>
      <c r="D1292" s="1" t="s">
        <v>20</v>
      </c>
      <c r="E1292" s="1" t="s">
        <v>21</v>
      </c>
      <c r="F1292" s="1" t="s">
        <v>62</v>
      </c>
      <c r="G1292" s="1" t="s">
        <v>22</v>
      </c>
      <c r="H1292" s="1" t="s">
        <v>30</v>
      </c>
      <c r="I1292" s="1" t="s">
        <v>17</v>
      </c>
      <c r="J1292" s="1">
        <v>0.43</v>
      </c>
      <c r="K1292" s="36">
        <v>44387</v>
      </c>
    </row>
    <row r="1293" spans="1:11" x14ac:dyDescent="0.3">
      <c r="A1293" s="2" t="s">
        <v>2599</v>
      </c>
      <c r="B1293" s="1" t="s">
        <v>2600</v>
      </c>
      <c r="C1293" s="1">
        <v>72</v>
      </c>
      <c r="D1293" s="1" t="s">
        <v>13</v>
      </c>
      <c r="E1293" s="1" t="s">
        <v>21</v>
      </c>
      <c r="F1293" s="1" t="s">
        <v>62</v>
      </c>
      <c r="G1293" s="1" t="s">
        <v>43</v>
      </c>
      <c r="H1293" s="1" t="s">
        <v>17</v>
      </c>
      <c r="I1293" s="1" t="s">
        <v>17</v>
      </c>
      <c r="J1293" s="1">
        <v>0.16</v>
      </c>
      <c r="K1293" s="36">
        <v>44843</v>
      </c>
    </row>
    <row r="1294" spans="1:11" x14ac:dyDescent="0.3">
      <c r="A1294" s="2" t="s">
        <v>2601</v>
      </c>
      <c r="B1294" s="1" t="s">
        <v>2602</v>
      </c>
      <c r="C1294" s="1">
        <v>45</v>
      </c>
      <c r="D1294" s="1" t="s">
        <v>20</v>
      </c>
      <c r="E1294" s="1" t="s">
        <v>21</v>
      </c>
      <c r="F1294" s="1" t="s">
        <v>29</v>
      </c>
      <c r="G1294" s="1" t="s">
        <v>16</v>
      </c>
      <c r="H1294" s="1" t="s">
        <v>30</v>
      </c>
      <c r="I1294" s="1" t="s">
        <v>30</v>
      </c>
      <c r="J1294" s="1">
        <v>0.53</v>
      </c>
      <c r="K1294" s="36">
        <v>46198</v>
      </c>
    </row>
    <row r="1295" spans="1:11" x14ac:dyDescent="0.3">
      <c r="A1295" s="2" t="s">
        <v>2603</v>
      </c>
      <c r="B1295" s="1" t="s">
        <v>2604</v>
      </c>
      <c r="C1295" s="1">
        <v>18</v>
      </c>
      <c r="D1295" s="1" t="s">
        <v>20</v>
      </c>
      <c r="E1295" s="1" t="s">
        <v>33</v>
      </c>
      <c r="F1295" s="1" t="s">
        <v>15</v>
      </c>
      <c r="G1295" s="1" t="s">
        <v>16</v>
      </c>
      <c r="H1295" s="1" t="s">
        <v>17</v>
      </c>
      <c r="I1295" s="1" t="s">
        <v>17</v>
      </c>
      <c r="J1295" s="1">
        <v>0.2</v>
      </c>
      <c r="K1295" s="36">
        <v>45608</v>
      </c>
    </row>
    <row r="1296" spans="1:11" x14ac:dyDescent="0.3">
      <c r="A1296" s="2" t="s">
        <v>2605</v>
      </c>
      <c r="B1296" s="1" t="s">
        <v>2606</v>
      </c>
      <c r="C1296" s="1">
        <v>77</v>
      </c>
      <c r="D1296" s="1" t="s">
        <v>20</v>
      </c>
      <c r="E1296" s="1" t="s">
        <v>33</v>
      </c>
      <c r="F1296" s="1" t="s">
        <v>15</v>
      </c>
      <c r="G1296" s="1" t="s">
        <v>43</v>
      </c>
      <c r="H1296" s="1" t="s">
        <v>17</v>
      </c>
      <c r="I1296" s="1" t="s">
        <v>17</v>
      </c>
      <c r="J1296" s="1">
        <v>0.26</v>
      </c>
      <c r="K1296" s="36">
        <v>44936</v>
      </c>
    </row>
    <row r="1297" spans="1:11" x14ac:dyDescent="0.3">
      <c r="A1297" s="2" t="s">
        <v>2607</v>
      </c>
      <c r="B1297" s="1" t="s">
        <v>2608</v>
      </c>
      <c r="C1297" s="1">
        <v>50</v>
      </c>
      <c r="D1297" s="1" t="s">
        <v>20</v>
      </c>
      <c r="E1297" s="1" t="s">
        <v>28</v>
      </c>
      <c r="F1297" s="1" t="s">
        <v>29</v>
      </c>
      <c r="G1297" s="1" t="s">
        <v>38</v>
      </c>
      <c r="H1297" s="1" t="s">
        <v>17</v>
      </c>
      <c r="I1297" s="1" t="s">
        <v>17</v>
      </c>
      <c r="J1297" s="1">
        <v>0.22</v>
      </c>
      <c r="K1297" s="36">
        <v>45381</v>
      </c>
    </row>
    <row r="1298" spans="1:11" x14ac:dyDescent="0.3">
      <c r="A1298" s="2" t="s">
        <v>2609</v>
      </c>
      <c r="B1298" s="1" t="s">
        <v>2610</v>
      </c>
      <c r="C1298" s="1">
        <v>34</v>
      </c>
      <c r="D1298" s="1" t="s">
        <v>20</v>
      </c>
      <c r="E1298" s="1" t="s">
        <v>14</v>
      </c>
      <c r="F1298" s="1" t="s">
        <v>29</v>
      </c>
      <c r="G1298" s="1" t="s">
        <v>38</v>
      </c>
      <c r="H1298" s="1" t="s">
        <v>17</v>
      </c>
      <c r="I1298" s="1" t="s">
        <v>30</v>
      </c>
      <c r="J1298" s="1">
        <v>0.28000000000000003</v>
      </c>
      <c r="K1298" s="36">
        <v>46133</v>
      </c>
    </row>
    <row r="1299" spans="1:11" x14ac:dyDescent="0.3">
      <c r="A1299" s="2" t="s">
        <v>2611</v>
      </c>
      <c r="B1299" s="1" t="s">
        <v>2612</v>
      </c>
      <c r="C1299" s="1">
        <v>60</v>
      </c>
      <c r="D1299" s="1" t="s">
        <v>20</v>
      </c>
      <c r="E1299" s="1" t="s">
        <v>28</v>
      </c>
      <c r="F1299" s="1" t="s">
        <v>62</v>
      </c>
      <c r="G1299" s="1" t="s">
        <v>22</v>
      </c>
      <c r="H1299" s="1" t="s">
        <v>17</v>
      </c>
      <c r="I1299" s="1" t="s">
        <v>17</v>
      </c>
      <c r="J1299" s="1">
        <v>0.28999999999999998</v>
      </c>
      <c r="K1299" s="36">
        <v>44755</v>
      </c>
    </row>
    <row r="1300" spans="1:11" x14ac:dyDescent="0.3">
      <c r="A1300" s="2" t="s">
        <v>2613</v>
      </c>
      <c r="B1300" s="1" t="s">
        <v>2614</v>
      </c>
      <c r="C1300" s="1">
        <v>51</v>
      </c>
      <c r="D1300" s="1" t="s">
        <v>20</v>
      </c>
      <c r="E1300" s="1" t="s">
        <v>14</v>
      </c>
      <c r="F1300" s="1" t="s">
        <v>46</v>
      </c>
      <c r="G1300" s="1" t="s">
        <v>47</v>
      </c>
      <c r="H1300" s="1" t="s">
        <v>17</v>
      </c>
      <c r="I1300" s="1" t="s">
        <v>30</v>
      </c>
      <c r="J1300" s="1">
        <v>0.34</v>
      </c>
      <c r="K1300" s="36">
        <v>44902</v>
      </c>
    </row>
    <row r="1301" spans="1:11" x14ac:dyDescent="0.3">
      <c r="A1301" s="2" t="s">
        <v>2615</v>
      </c>
      <c r="B1301" s="1" t="s">
        <v>2616</v>
      </c>
      <c r="C1301" s="1">
        <v>19</v>
      </c>
      <c r="D1301" s="1" t="s">
        <v>20</v>
      </c>
      <c r="E1301" s="1" t="s">
        <v>21</v>
      </c>
      <c r="F1301" s="1" t="s">
        <v>15</v>
      </c>
      <c r="G1301" s="1" t="s">
        <v>47</v>
      </c>
      <c r="H1301" s="1" t="s">
        <v>17</v>
      </c>
      <c r="I1301" s="1" t="s">
        <v>17</v>
      </c>
      <c r="J1301" s="1">
        <v>0.21</v>
      </c>
      <c r="K1301" s="36">
        <v>45812</v>
      </c>
    </row>
    <row r="1302" spans="1:11" x14ac:dyDescent="0.3">
      <c r="A1302" s="2" t="s">
        <v>2617</v>
      </c>
      <c r="B1302" s="1" t="s">
        <v>2618</v>
      </c>
      <c r="C1302" s="1">
        <v>65</v>
      </c>
      <c r="D1302" s="1" t="s">
        <v>20</v>
      </c>
      <c r="E1302" s="1" t="s">
        <v>21</v>
      </c>
      <c r="F1302" s="1" t="s">
        <v>15</v>
      </c>
      <c r="G1302" s="1" t="s">
        <v>38</v>
      </c>
      <c r="H1302" s="1" t="s">
        <v>17</v>
      </c>
      <c r="I1302" s="1" t="s">
        <v>30</v>
      </c>
      <c r="J1302" s="1">
        <v>0.4</v>
      </c>
      <c r="K1302" s="36">
        <v>45859</v>
      </c>
    </row>
    <row r="1303" spans="1:11" x14ac:dyDescent="0.3">
      <c r="A1303" s="2" t="s">
        <v>2619</v>
      </c>
      <c r="B1303" s="1" t="s">
        <v>2620</v>
      </c>
      <c r="C1303" s="1">
        <v>43</v>
      </c>
      <c r="D1303" s="1" t="s">
        <v>20</v>
      </c>
      <c r="E1303" s="1" t="s">
        <v>21</v>
      </c>
      <c r="F1303" s="1" t="s">
        <v>62</v>
      </c>
      <c r="G1303" s="1" t="s">
        <v>43</v>
      </c>
      <c r="H1303" s="1" t="s">
        <v>17</v>
      </c>
      <c r="I1303" s="1" t="s">
        <v>17</v>
      </c>
      <c r="J1303" s="1">
        <v>0.19</v>
      </c>
      <c r="K1303" s="36">
        <v>45545</v>
      </c>
    </row>
    <row r="1304" spans="1:11" x14ac:dyDescent="0.3">
      <c r="A1304" s="2" t="s">
        <v>2621</v>
      </c>
      <c r="B1304" s="1" t="s">
        <v>2622</v>
      </c>
      <c r="C1304" s="1">
        <v>62</v>
      </c>
      <c r="D1304" s="1" t="s">
        <v>20</v>
      </c>
      <c r="E1304" s="1" t="s">
        <v>14</v>
      </c>
      <c r="F1304" s="1" t="s">
        <v>62</v>
      </c>
      <c r="G1304" s="1" t="s">
        <v>16</v>
      </c>
      <c r="H1304" s="1" t="s">
        <v>17</v>
      </c>
      <c r="I1304" s="1" t="s">
        <v>17</v>
      </c>
      <c r="J1304" s="1">
        <v>0.23</v>
      </c>
      <c r="K1304" s="36">
        <v>45894</v>
      </c>
    </row>
    <row r="1305" spans="1:11" x14ac:dyDescent="0.3">
      <c r="A1305" s="2" t="s">
        <v>2623</v>
      </c>
      <c r="B1305" s="1" t="s">
        <v>2624</v>
      </c>
      <c r="C1305" s="1">
        <v>74</v>
      </c>
      <c r="D1305" s="1" t="s">
        <v>20</v>
      </c>
      <c r="E1305" s="1" t="s">
        <v>14</v>
      </c>
      <c r="F1305" s="1" t="s">
        <v>29</v>
      </c>
      <c r="G1305" s="1" t="s">
        <v>25</v>
      </c>
      <c r="H1305" s="1" t="s">
        <v>17</v>
      </c>
      <c r="I1305" s="1" t="s">
        <v>30</v>
      </c>
      <c r="J1305" s="1">
        <v>0.43</v>
      </c>
      <c r="K1305" s="36">
        <v>45696</v>
      </c>
    </row>
    <row r="1306" spans="1:11" x14ac:dyDescent="0.3">
      <c r="A1306" s="2" t="s">
        <v>2625</v>
      </c>
      <c r="B1306" s="1" t="s">
        <v>2626</v>
      </c>
      <c r="C1306" s="1">
        <v>56</v>
      </c>
      <c r="D1306" s="1" t="s">
        <v>141</v>
      </c>
      <c r="E1306" s="1" t="s">
        <v>28</v>
      </c>
      <c r="F1306" s="1" t="s">
        <v>46</v>
      </c>
      <c r="G1306" s="1" t="s">
        <v>38</v>
      </c>
      <c r="H1306" s="1" t="s">
        <v>17</v>
      </c>
      <c r="I1306" s="1" t="s">
        <v>17</v>
      </c>
      <c r="J1306" s="1">
        <v>0.26</v>
      </c>
      <c r="K1306" s="36">
        <v>45579</v>
      </c>
    </row>
    <row r="1307" spans="1:11" x14ac:dyDescent="0.3">
      <c r="A1307" s="2" t="s">
        <v>2627</v>
      </c>
      <c r="B1307" s="1" t="s">
        <v>2628</v>
      </c>
      <c r="C1307" s="1">
        <v>60</v>
      </c>
      <c r="D1307" s="1" t="s">
        <v>20</v>
      </c>
      <c r="E1307" s="1" t="s">
        <v>21</v>
      </c>
      <c r="F1307" s="1" t="s">
        <v>15</v>
      </c>
      <c r="G1307" s="1" t="s">
        <v>22</v>
      </c>
      <c r="H1307" s="1" t="s">
        <v>30</v>
      </c>
      <c r="I1307" s="1" t="s">
        <v>17</v>
      </c>
      <c r="J1307" s="1">
        <v>0.42</v>
      </c>
      <c r="K1307" s="36">
        <v>45230</v>
      </c>
    </row>
    <row r="1308" spans="1:11" x14ac:dyDescent="0.3">
      <c r="A1308" s="2" t="s">
        <v>2629</v>
      </c>
      <c r="B1308" s="1" t="s">
        <v>2630</v>
      </c>
      <c r="C1308" s="1">
        <v>34</v>
      </c>
      <c r="D1308" s="1" t="s">
        <v>20</v>
      </c>
      <c r="E1308" s="1" t="s">
        <v>14</v>
      </c>
      <c r="F1308" s="1" t="s">
        <v>62</v>
      </c>
      <c r="G1308" s="1" t="s">
        <v>16</v>
      </c>
      <c r="H1308" s="1" t="s">
        <v>17</v>
      </c>
      <c r="I1308" s="1" t="s">
        <v>17</v>
      </c>
      <c r="J1308" s="1">
        <v>0.3</v>
      </c>
      <c r="K1308" s="36">
        <v>45493</v>
      </c>
    </row>
    <row r="1309" spans="1:11" x14ac:dyDescent="0.3">
      <c r="A1309" s="2" t="s">
        <v>2631</v>
      </c>
      <c r="B1309" s="1" t="s">
        <v>2632</v>
      </c>
      <c r="C1309" s="1">
        <v>32</v>
      </c>
      <c r="D1309" s="1" t="s">
        <v>13</v>
      </c>
      <c r="E1309" s="1" t="s">
        <v>28</v>
      </c>
      <c r="F1309" s="1" t="s">
        <v>29</v>
      </c>
      <c r="G1309" s="1" t="s">
        <v>16</v>
      </c>
      <c r="H1309" s="1" t="s">
        <v>17</v>
      </c>
      <c r="I1309" s="1" t="s">
        <v>17</v>
      </c>
      <c r="J1309" s="1">
        <v>0.22</v>
      </c>
      <c r="K1309" s="36">
        <v>45005</v>
      </c>
    </row>
    <row r="1310" spans="1:11" x14ac:dyDescent="0.3">
      <c r="A1310" s="2" t="s">
        <v>2633</v>
      </c>
      <c r="B1310" s="1" t="s">
        <v>2634</v>
      </c>
      <c r="C1310" s="1">
        <v>44</v>
      </c>
      <c r="D1310" s="1" t="s">
        <v>13</v>
      </c>
      <c r="E1310" s="1" t="s">
        <v>21</v>
      </c>
      <c r="F1310" s="1" t="s">
        <v>46</v>
      </c>
      <c r="G1310" s="1" t="s">
        <v>25</v>
      </c>
      <c r="H1310" s="1" t="s">
        <v>30</v>
      </c>
      <c r="I1310" s="1" t="s">
        <v>17</v>
      </c>
      <c r="J1310" s="1">
        <v>0.36</v>
      </c>
      <c r="K1310" s="36">
        <v>44870</v>
      </c>
    </row>
    <row r="1311" spans="1:11" x14ac:dyDescent="0.3">
      <c r="A1311" s="2" t="s">
        <v>2635</v>
      </c>
      <c r="B1311" s="1" t="s">
        <v>2636</v>
      </c>
      <c r="C1311" s="1">
        <v>71</v>
      </c>
      <c r="D1311" s="1" t="s">
        <v>13</v>
      </c>
      <c r="E1311" s="1" t="s">
        <v>14</v>
      </c>
      <c r="F1311" s="1" t="s">
        <v>29</v>
      </c>
      <c r="G1311" s="1" t="s">
        <v>25</v>
      </c>
      <c r="H1311" s="1" t="s">
        <v>17</v>
      </c>
      <c r="I1311" s="1" t="s">
        <v>17</v>
      </c>
      <c r="J1311" s="1">
        <v>0.28999999999999998</v>
      </c>
      <c r="K1311" s="36">
        <v>44871</v>
      </c>
    </row>
    <row r="1312" spans="1:11" x14ac:dyDescent="0.3">
      <c r="A1312" s="2" t="s">
        <v>2637</v>
      </c>
      <c r="B1312" s="1" t="s">
        <v>2638</v>
      </c>
      <c r="C1312" s="1">
        <v>51</v>
      </c>
      <c r="D1312" s="1" t="s">
        <v>20</v>
      </c>
      <c r="E1312" s="1" t="s">
        <v>21</v>
      </c>
      <c r="F1312" s="1" t="s">
        <v>46</v>
      </c>
      <c r="G1312" s="1" t="s">
        <v>22</v>
      </c>
      <c r="H1312" s="1" t="s">
        <v>17</v>
      </c>
      <c r="I1312" s="1" t="s">
        <v>30</v>
      </c>
      <c r="J1312" s="1">
        <v>0.28999999999999998</v>
      </c>
      <c r="K1312" s="36">
        <v>44472</v>
      </c>
    </row>
    <row r="1313" spans="1:11" x14ac:dyDescent="0.3">
      <c r="A1313" s="2" t="s">
        <v>2639</v>
      </c>
      <c r="B1313" s="1" t="s">
        <v>2640</v>
      </c>
      <c r="C1313" s="1">
        <v>39</v>
      </c>
      <c r="D1313" s="1" t="s">
        <v>13</v>
      </c>
      <c r="E1313" s="1" t="s">
        <v>33</v>
      </c>
      <c r="F1313" s="1" t="s">
        <v>46</v>
      </c>
      <c r="G1313" s="1" t="s">
        <v>25</v>
      </c>
      <c r="H1313" s="1" t="s">
        <v>17</v>
      </c>
      <c r="I1313" s="1" t="s">
        <v>17</v>
      </c>
      <c r="J1313" s="1">
        <v>0.17</v>
      </c>
      <c r="K1313" s="36">
        <v>44546</v>
      </c>
    </row>
    <row r="1314" spans="1:11" x14ac:dyDescent="0.3">
      <c r="A1314" s="2" t="s">
        <v>2641</v>
      </c>
      <c r="B1314" s="1" t="s">
        <v>2642</v>
      </c>
      <c r="C1314" s="1">
        <v>67</v>
      </c>
      <c r="D1314" s="1" t="s">
        <v>20</v>
      </c>
      <c r="E1314" s="1" t="s">
        <v>28</v>
      </c>
      <c r="F1314" s="1" t="s">
        <v>29</v>
      </c>
      <c r="G1314" s="1" t="s">
        <v>47</v>
      </c>
      <c r="H1314" s="1" t="s">
        <v>17</v>
      </c>
      <c r="I1314" s="1" t="s">
        <v>17</v>
      </c>
      <c r="J1314" s="1">
        <v>0.26</v>
      </c>
      <c r="K1314" s="36">
        <v>46154</v>
      </c>
    </row>
    <row r="1315" spans="1:11" x14ac:dyDescent="0.3">
      <c r="A1315" s="2" t="s">
        <v>2643</v>
      </c>
      <c r="B1315" s="1" t="s">
        <v>2644</v>
      </c>
      <c r="C1315" s="1">
        <v>71</v>
      </c>
      <c r="D1315" s="1" t="s">
        <v>13</v>
      </c>
      <c r="E1315" s="1" t="s">
        <v>21</v>
      </c>
      <c r="F1315" s="1" t="s">
        <v>29</v>
      </c>
      <c r="G1315" s="1" t="s">
        <v>38</v>
      </c>
      <c r="H1315" s="1" t="s">
        <v>17</v>
      </c>
      <c r="I1315" s="1" t="s">
        <v>30</v>
      </c>
      <c r="J1315" s="1">
        <v>0.36</v>
      </c>
      <c r="K1315" s="36">
        <v>45142</v>
      </c>
    </row>
    <row r="1316" spans="1:11" x14ac:dyDescent="0.3">
      <c r="A1316" s="2" t="s">
        <v>2645</v>
      </c>
      <c r="B1316" s="1" t="s">
        <v>2646</v>
      </c>
      <c r="C1316" s="1">
        <v>74</v>
      </c>
      <c r="D1316" s="1" t="s">
        <v>13</v>
      </c>
      <c r="E1316" s="1" t="s">
        <v>14</v>
      </c>
      <c r="F1316" s="1" t="s">
        <v>29</v>
      </c>
      <c r="G1316" s="1" t="s">
        <v>43</v>
      </c>
      <c r="H1316" s="1" t="s">
        <v>17</v>
      </c>
      <c r="I1316" s="1" t="s">
        <v>17</v>
      </c>
      <c r="J1316" s="1">
        <v>0.3</v>
      </c>
      <c r="K1316" s="36">
        <v>44573</v>
      </c>
    </row>
    <row r="1317" spans="1:11" x14ac:dyDescent="0.3">
      <c r="A1317" s="2" t="s">
        <v>2647</v>
      </c>
      <c r="B1317" s="1" t="s">
        <v>2648</v>
      </c>
      <c r="C1317" s="1">
        <v>36</v>
      </c>
      <c r="D1317" s="1" t="s">
        <v>13</v>
      </c>
      <c r="E1317" s="1" t="s">
        <v>14</v>
      </c>
      <c r="F1317" s="1" t="s">
        <v>62</v>
      </c>
      <c r="G1317" s="1" t="s">
        <v>38</v>
      </c>
      <c r="H1317" s="1" t="s">
        <v>30</v>
      </c>
      <c r="I1317" s="1" t="s">
        <v>30</v>
      </c>
      <c r="J1317" s="1">
        <v>0.5</v>
      </c>
      <c r="K1317" s="36">
        <v>44378</v>
      </c>
    </row>
    <row r="1318" spans="1:11" x14ac:dyDescent="0.3">
      <c r="A1318" s="2" t="s">
        <v>2649</v>
      </c>
      <c r="B1318" s="1" t="s">
        <v>2650</v>
      </c>
      <c r="C1318" s="1">
        <v>62</v>
      </c>
      <c r="D1318" s="1" t="s">
        <v>13</v>
      </c>
      <c r="E1318" s="1" t="s">
        <v>28</v>
      </c>
      <c r="F1318" s="1" t="s">
        <v>62</v>
      </c>
      <c r="G1318" s="1" t="s">
        <v>47</v>
      </c>
      <c r="H1318" s="1" t="s">
        <v>17</v>
      </c>
      <c r="I1318" s="1" t="s">
        <v>17</v>
      </c>
      <c r="J1318" s="1">
        <v>0.26</v>
      </c>
      <c r="K1318" s="36">
        <v>44246</v>
      </c>
    </row>
    <row r="1319" spans="1:11" x14ac:dyDescent="0.3">
      <c r="A1319" s="2" t="s">
        <v>2651</v>
      </c>
      <c r="B1319" s="1" t="s">
        <v>2652</v>
      </c>
      <c r="C1319" s="1">
        <v>55</v>
      </c>
      <c r="D1319" s="1" t="s">
        <v>20</v>
      </c>
      <c r="E1319" s="1" t="s">
        <v>28</v>
      </c>
      <c r="F1319" s="1" t="s">
        <v>62</v>
      </c>
      <c r="G1319" s="1" t="s">
        <v>38</v>
      </c>
      <c r="H1319" s="1" t="s">
        <v>17</v>
      </c>
      <c r="I1319" s="1" t="s">
        <v>30</v>
      </c>
      <c r="J1319" s="1">
        <v>0.4</v>
      </c>
      <c r="K1319" s="36">
        <v>45927</v>
      </c>
    </row>
    <row r="1320" spans="1:11" x14ac:dyDescent="0.3">
      <c r="A1320" s="2" t="s">
        <v>2653</v>
      </c>
      <c r="B1320" s="1" t="s">
        <v>2654</v>
      </c>
      <c r="C1320" s="1">
        <v>46</v>
      </c>
      <c r="D1320" s="1" t="s">
        <v>13</v>
      </c>
      <c r="E1320" s="1" t="s">
        <v>21</v>
      </c>
      <c r="F1320" s="1" t="s">
        <v>62</v>
      </c>
      <c r="G1320" s="1" t="s">
        <v>47</v>
      </c>
      <c r="H1320" s="1" t="s">
        <v>17</v>
      </c>
      <c r="I1320" s="1" t="s">
        <v>17</v>
      </c>
      <c r="J1320" s="1">
        <v>0.38</v>
      </c>
      <c r="K1320" s="36">
        <v>44298</v>
      </c>
    </row>
    <row r="1321" spans="1:11" x14ac:dyDescent="0.3">
      <c r="A1321" s="2" t="s">
        <v>2655</v>
      </c>
      <c r="B1321" s="1" t="s">
        <v>2656</v>
      </c>
      <c r="C1321" s="1">
        <v>43</v>
      </c>
      <c r="D1321" s="1" t="s">
        <v>13</v>
      </c>
      <c r="E1321" s="1" t="s">
        <v>14</v>
      </c>
      <c r="F1321" s="1" t="s">
        <v>62</v>
      </c>
      <c r="G1321" s="1" t="s">
        <v>22</v>
      </c>
      <c r="H1321" s="1" t="s">
        <v>17</v>
      </c>
      <c r="I1321" s="1" t="s">
        <v>30</v>
      </c>
      <c r="J1321" s="1">
        <v>0.31</v>
      </c>
      <c r="K1321" s="36">
        <v>45766</v>
      </c>
    </row>
    <row r="1322" spans="1:11" x14ac:dyDescent="0.3">
      <c r="A1322" s="2" t="s">
        <v>2657</v>
      </c>
      <c r="B1322" s="1" t="s">
        <v>2658</v>
      </c>
      <c r="C1322" s="1">
        <v>25</v>
      </c>
      <c r="D1322" s="1" t="s">
        <v>20</v>
      </c>
      <c r="E1322" s="1" t="s">
        <v>28</v>
      </c>
      <c r="F1322" s="1" t="s">
        <v>15</v>
      </c>
      <c r="G1322" s="1" t="s">
        <v>38</v>
      </c>
      <c r="H1322" s="1" t="s">
        <v>30</v>
      </c>
      <c r="I1322" s="1" t="s">
        <v>30</v>
      </c>
      <c r="J1322" s="1">
        <v>0.46</v>
      </c>
      <c r="K1322" s="36">
        <v>45907</v>
      </c>
    </row>
    <row r="1323" spans="1:11" x14ac:dyDescent="0.3">
      <c r="A1323" s="2" t="s">
        <v>2659</v>
      </c>
      <c r="B1323" s="1" t="s">
        <v>2660</v>
      </c>
      <c r="C1323" s="1">
        <v>35</v>
      </c>
      <c r="D1323" s="1" t="s">
        <v>13</v>
      </c>
      <c r="E1323" s="1" t="s">
        <v>21</v>
      </c>
      <c r="F1323" s="1" t="s">
        <v>29</v>
      </c>
      <c r="G1323" s="1" t="s">
        <v>22</v>
      </c>
      <c r="H1323" s="1" t="s">
        <v>30</v>
      </c>
      <c r="I1323" s="1" t="s">
        <v>17</v>
      </c>
      <c r="J1323" s="1">
        <v>0.28000000000000003</v>
      </c>
      <c r="K1323" s="36">
        <v>46014</v>
      </c>
    </row>
    <row r="1324" spans="1:11" x14ac:dyDescent="0.3">
      <c r="A1324" s="2" t="s">
        <v>2661</v>
      </c>
      <c r="B1324" s="1" t="s">
        <v>2662</v>
      </c>
      <c r="C1324" s="1">
        <v>52</v>
      </c>
      <c r="D1324" s="1" t="s">
        <v>20</v>
      </c>
      <c r="E1324" s="1" t="s">
        <v>28</v>
      </c>
      <c r="F1324" s="1" t="s">
        <v>15</v>
      </c>
      <c r="G1324" s="1" t="s">
        <v>43</v>
      </c>
      <c r="H1324" s="1" t="s">
        <v>17</v>
      </c>
      <c r="I1324" s="1" t="s">
        <v>17</v>
      </c>
      <c r="J1324" s="1">
        <v>0.25</v>
      </c>
      <c r="K1324" s="36">
        <v>44159</v>
      </c>
    </row>
    <row r="1325" spans="1:11" x14ac:dyDescent="0.3">
      <c r="A1325" s="2" t="s">
        <v>2663</v>
      </c>
      <c r="B1325" s="1" t="s">
        <v>2664</v>
      </c>
      <c r="C1325" s="1">
        <v>73</v>
      </c>
      <c r="D1325" s="1" t="s">
        <v>13</v>
      </c>
      <c r="E1325" s="1" t="s">
        <v>21</v>
      </c>
      <c r="F1325" s="1" t="s">
        <v>62</v>
      </c>
      <c r="G1325" s="1" t="s">
        <v>38</v>
      </c>
      <c r="H1325" s="1" t="s">
        <v>17</v>
      </c>
      <c r="I1325" s="1" t="s">
        <v>17</v>
      </c>
      <c r="J1325" s="1">
        <v>0.36</v>
      </c>
      <c r="K1325" s="36">
        <v>44815</v>
      </c>
    </row>
    <row r="1326" spans="1:11" x14ac:dyDescent="0.3">
      <c r="A1326" s="2" t="s">
        <v>2665</v>
      </c>
      <c r="B1326" s="1" t="s">
        <v>1210</v>
      </c>
      <c r="C1326" s="1">
        <v>72</v>
      </c>
      <c r="D1326" s="1" t="s">
        <v>13</v>
      </c>
      <c r="E1326" s="1" t="s">
        <v>33</v>
      </c>
      <c r="F1326" s="1" t="s">
        <v>62</v>
      </c>
      <c r="G1326" s="1" t="s">
        <v>43</v>
      </c>
      <c r="H1326" s="1" t="s">
        <v>17</v>
      </c>
      <c r="I1326" s="1" t="s">
        <v>17</v>
      </c>
      <c r="J1326" s="1">
        <v>0.24</v>
      </c>
      <c r="K1326" s="36">
        <v>45756</v>
      </c>
    </row>
    <row r="1327" spans="1:11" x14ac:dyDescent="0.3">
      <c r="A1327" s="2" t="s">
        <v>2666</v>
      </c>
      <c r="B1327" s="1" t="s">
        <v>2667</v>
      </c>
      <c r="C1327" s="1">
        <v>29</v>
      </c>
      <c r="D1327" s="1" t="s">
        <v>20</v>
      </c>
      <c r="E1327" s="1" t="s">
        <v>28</v>
      </c>
      <c r="F1327" s="1" t="s">
        <v>62</v>
      </c>
      <c r="G1327" s="1" t="s">
        <v>22</v>
      </c>
      <c r="H1327" s="1" t="s">
        <v>17</v>
      </c>
      <c r="I1327" s="1" t="s">
        <v>17</v>
      </c>
      <c r="J1327" s="1">
        <v>0.28000000000000003</v>
      </c>
      <c r="K1327" s="36">
        <v>44364</v>
      </c>
    </row>
    <row r="1328" spans="1:11" x14ac:dyDescent="0.3">
      <c r="A1328" s="2" t="s">
        <v>2668</v>
      </c>
      <c r="B1328" s="1" t="s">
        <v>2669</v>
      </c>
      <c r="C1328" s="1">
        <v>60</v>
      </c>
      <c r="D1328" s="1" t="s">
        <v>13</v>
      </c>
      <c r="E1328" s="1" t="s">
        <v>33</v>
      </c>
      <c r="F1328" s="1" t="s">
        <v>62</v>
      </c>
      <c r="G1328" s="1" t="s">
        <v>16</v>
      </c>
      <c r="H1328" s="1" t="s">
        <v>17</v>
      </c>
      <c r="I1328" s="1" t="s">
        <v>17</v>
      </c>
      <c r="J1328" s="1">
        <v>0.32</v>
      </c>
      <c r="K1328" s="36">
        <v>44902</v>
      </c>
    </row>
    <row r="1329" spans="1:11" x14ac:dyDescent="0.3">
      <c r="A1329" s="2" t="s">
        <v>2670</v>
      </c>
      <c r="B1329" s="1" t="s">
        <v>2671</v>
      </c>
      <c r="C1329" s="1">
        <v>23</v>
      </c>
      <c r="D1329" s="1" t="s">
        <v>20</v>
      </c>
      <c r="E1329" s="1" t="s">
        <v>28</v>
      </c>
      <c r="F1329" s="1" t="s">
        <v>46</v>
      </c>
      <c r="G1329" s="1" t="s">
        <v>22</v>
      </c>
      <c r="H1329" s="1" t="s">
        <v>17</v>
      </c>
      <c r="I1329" s="1" t="s">
        <v>17</v>
      </c>
      <c r="J1329" s="1">
        <v>0.24</v>
      </c>
      <c r="K1329" s="36">
        <v>44432</v>
      </c>
    </row>
    <row r="1330" spans="1:11" x14ac:dyDescent="0.3">
      <c r="A1330" s="2" t="s">
        <v>2672</v>
      </c>
      <c r="B1330" s="1" t="s">
        <v>2673</v>
      </c>
      <c r="C1330" s="1">
        <v>60</v>
      </c>
      <c r="D1330" s="1" t="s">
        <v>13</v>
      </c>
      <c r="E1330" s="1" t="s">
        <v>33</v>
      </c>
      <c r="F1330" s="1" t="s">
        <v>15</v>
      </c>
      <c r="G1330" s="1" t="s">
        <v>47</v>
      </c>
      <c r="H1330" s="1" t="s">
        <v>30</v>
      </c>
      <c r="I1330" s="1" t="s">
        <v>17</v>
      </c>
      <c r="J1330" s="1">
        <v>0.44</v>
      </c>
      <c r="K1330" s="36">
        <v>45899</v>
      </c>
    </row>
    <row r="1331" spans="1:11" x14ac:dyDescent="0.3">
      <c r="A1331" s="2" t="s">
        <v>2674</v>
      </c>
      <c r="B1331" s="1" t="s">
        <v>2675</v>
      </c>
      <c r="C1331" s="1">
        <v>39</v>
      </c>
      <c r="D1331" s="1" t="s">
        <v>13</v>
      </c>
      <c r="E1331" s="1" t="s">
        <v>21</v>
      </c>
      <c r="F1331" s="1" t="s">
        <v>15</v>
      </c>
      <c r="G1331" s="1" t="s">
        <v>38</v>
      </c>
      <c r="H1331" s="1" t="s">
        <v>17</v>
      </c>
      <c r="I1331" s="1" t="s">
        <v>17</v>
      </c>
      <c r="J1331" s="1">
        <v>0.21</v>
      </c>
      <c r="K1331" s="36">
        <v>45767</v>
      </c>
    </row>
    <row r="1332" spans="1:11" x14ac:dyDescent="0.3">
      <c r="A1332" s="2" t="s">
        <v>2676</v>
      </c>
      <c r="B1332" s="1" t="s">
        <v>2677</v>
      </c>
      <c r="C1332" s="1">
        <v>46</v>
      </c>
      <c r="D1332" s="1" t="s">
        <v>13</v>
      </c>
      <c r="E1332" s="1" t="s">
        <v>33</v>
      </c>
      <c r="F1332" s="1" t="s">
        <v>15</v>
      </c>
      <c r="G1332" s="1" t="s">
        <v>16</v>
      </c>
      <c r="H1332" s="1" t="s">
        <v>17</v>
      </c>
      <c r="I1332" s="1" t="s">
        <v>30</v>
      </c>
      <c r="J1332" s="1">
        <v>0.4</v>
      </c>
      <c r="K1332" s="36">
        <v>45850</v>
      </c>
    </row>
    <row r="1333" spans="1:11" x14ac:dyDescent="0.3">
      <c r="A1333" s="2" t="s">
        <v>2678</v>
      </c>
      <c r="B1333" s="1" t="s">
        <v>2679</v>
      </c>
      <c r="C1333" s="1">
        <v>63</v>
      </c>
      <c r="D1333" s="1" t="s">
        <v>13</v>
      </c>
      <c r="E1333" s="1" t="s">
        <v>33</v>
      </c>
      <c r="F1333" s="1" t="s">
        <v>29</v>
      </c>
      <c r="G1333" s="1" t="s">
        <v>43</v>
      </c>
      <c r="H1333" s="1" t="s">
        <v>30</v>
      </c>
      <c r="I1333" s="1" t="s">
        <v>17</v>
      </c>
      <c r="J1333" s="1">
        <v>0.48</v>
      </c>
      <c r="K1333" s="36">
        <v>44439</v>
      </c>
    </row>
    <row r="1334" spans="1:11" x14ac:dyDescent="0.3">
      <c r="A1334" s="2" t="s">
        <v>2680</v>
      </c>
      <c r="B1334" s="1" t="s">
        <v>2681</v>
      </c>
      <c r="C1334" s="1">
        <v>44</v>
      </c>
      <c r="D1334" s="1" t="s">
        <v>20</v>
      </c>
      <c r="E1334" s="1" t="s">
        <v>14</v>
      </c>
      <c r="F1334" s="1" t="s">
        <v>29</v>
      </c>
      <c r="G1334" s="1" t="s">
        <v>16</v>
      </c>
      <c r="H1334" s="1" t="s">
        <v>30</v>
      </c>
      <c r="I1334" s="1" t="s">
        <v>17</v>
      </c>
      <c r="J1334" s="1">
        <v>0.34</v>
      </c>
      <c r="K1334" s="36">
        <v>45036</v>
      </c>
    </row>
    <row r="1335" spans="1:11" x14ac:dyDescent="0.3">
      <c r="A1335" s="2" t="s">
        <v>2682</v>
      </c>
      <c r="B1335" s="1" t="s">
        <v>2683</v>
      </c>
      <c r="C1335" s="1">
        <v>68</v>
      </c>
      <c r="D1335" s="1" t="s">
        <v>20</v>
      </c>
      <c r="E1335" s="1" t="s">
        <v>21</v>
      </c>
      <c r="F1335" s="1" t="s">
        <v>62</v>
      </c>
      <c r="G1335" s="1" t="s">
        <v>16</v>
      </c>
      <c r="H1335" s="1" t="s">
        <v>30</v>
      </c>
      <c r="I1335" s="1" t="s">
        <v>30</v>
      </c>
      <c r="J1335" s="1">
        <v>0.6</v>
      </c>
      <c r="K1335" s="36">
        <v>44977</v>
      </c>
    </row>
    <row r="1336" spans="1:11" x14ac:dyDescent="0.3">
      <c r="A1336" s="2" t="s">
        <v>2684</v>
      </c>
      <c r="B1336" s="1" t="s">
        <v>2685</v>
      </c>
      <c r="C1336" s="1">
        <v>51</v>
      </c>
      <c r="D1336" s="1" t="s">
        <v>20</v>
      </c>
      <c r="E1336" s="1" t="s">
        <v>33</v>
      </c>
      <c r="F1336" s="1" t="s">
        <v>15</v>
      </c>
      <c r="G1336" s="1" t="s">
        <v>16</v>
      </c>
      <c r="H1336" s="1" t="s">
        <v>17</v>
      </c>
      <c r="I1336" s="1" t="s">
        <v>17</v>
      </c>
      <c r="J1336" s="1">
        <v>0.32</v>
      </c>
      <c r="K1336" s="36">
        <v>45559</v>
      </c>
    </row>
    <row r="1337" spans="1:11" x14ac:dyDescent="0.3">
      <c r="A1337" s="2" t="s">
        <v>2686</v>
      </c>
      <c r="B1337" s="1" t="s">
        <v>2687</v>
      </c>
      <c r="C1337" s="1">
        <v>80</v>
      </c>
      <c r="D1337" s="1" t="s">
        <v>20</v>
      </c>
      <c r="E1337" s="1" t="s">
        <v>33</v>
      </c>
      <c r="F1337" s="1" t="s">
        <v>46</v>
      </c>
      <c r="G1337" s="1" t="s">
        <v>22</v>
      </c>
      <c r="H1337" s="1" t="s">
        <v>17</v>
      </c>
      <c r="I1337" s="1" t="s">
        <v>30</v>
      </c>
      <c r="J1337" s="1">
        <v>0.45</v>
      </c>
      <c r="K1337" s="36">
        <v>44597</v>
      </c>
    </row>
    <row r="1338" spans="1:11" x14ac:dyDescent="0.3">
      <c r="A1338" s="2" t="s">
        <v>2688</v>
      </c>
      <c r="B1338" s="1" t="s">
        <v>2689</v>
      </c>
      <c r="C1338" s="1">
        <v>58</v>
      </c>
      <c r="D1338" s="1" t="s">
        <v>20</v>
      </c>
      <c r="E1338" s="1" t="s">
        <v>28</v>
      </c>
      <c r="F1338" s="1" t="s">
        <v>29</v>
      </c>
      <c r="G1338" s="1" t="s">
        <v>38</v>
      </c>
      <c r="H1338" s="1" t="s">
        <v>17</v>
      </c>
      <c r="I1338" s="1" t="s">
        <v>30</v>
      </c>
      <c r="J1338" s="1">
        <v>0.48</v>
      </c>
      <c r="K1338" s="36">
        <v>45050</v>
      </c>
    </row>
    <row r="1339" spans="1:11" x14ac:dyDescent="0.3">
      <c r="A1339" s="2" t="s">
        <v>2690</v>
      </c>
      <c r="B1339" s="1" t="s">
        <v>2691</v>
      </c>
      <c r="C1339" s="1">
        <v>36</v>
      </c>
      <c r="D1339" s="1" t="s">
        <v>20</v>
      </c>
      <c r="E1339" s="1" t="s">
        <v>21</v>
      </c>
      <c r="F1339" s="1" t="s">
        <v>29</v>
      </c>
      <c r="G1339" s="1" t="s">
        <v>16</v>
      </c>
      <c r="H1339" s="1" t="s">
        <v>17</v>
      </c>
      <c r="I1339" s="1" t="s">
        <v>17</v>
      </c>
      <c r="J1339" s="1">
        <v>0.23</v>
      </c>
      <c r="K1339" s="36">
        <v>44701</v>
      </c>
    </row>
    <row r="1340" spans="1:11" x14ac:dyDescent="0.3">
      <c r="A1340" s="2" t="s">
        <v>2692</v>
      </c>
      <c r="B1340" s="1" t="s">
        <v>2693</v>
      </c>
      <c r="C1340" s="1">
        <v>66</v>
      </c>
      <c r="D1340" s="1" t="s">
        <v>20</v>
      </c>
      <c r="E1340" s="1" t="s">
        <v>33</v>
      </c>
      <c r="F1340" s="1" t="s">
        <v>15</v>
      </c>
      <c r="G1340" s="1" t="s">
        <v>43</v>
      </c>
      <c r="H1340" s="1" t="s">
        <v>17</v>
      </c>
      <c r="I1340" s="1" t="s">
        <v>30</v>
      </c>
      <c r="J1340" s="1">
        <v>0.45</v>
      </c>
      <c r="K1340" s="36">
        <v>45717</v>
      </c>
    </row>
    <row r="1341" spans="1:11" x14ac:dyDescent="0.3">
      <c r="A1341" s="2" t="s">
        <v>2694</v>
      </c>
      <c r="B1341" s="1" t="s">
        <v>2695</v>
      </c>
      <c r="C1341" s="1">
        <v>43</v>
      </c>
      <c r="D1341" s="1" t="s">
        <v>20</v>
      </c>
      <c r="E1341" s="1" t="s">
        <v>28</v>
      </c>
      <c r="F1341" s="1" t="s">
        <v>29</v>
      </c>
      <c r="G1341" s="1" t="s">
        <v>47</v>
      </c>
      <c r="H1341" s="1" t="s">
        <v>30</v>
      </c>
      <c r="I1341" s="1" t="s">
        <v>30</v>
      </c>
      <c r="J1341" s="1">
        <v>0.54</v>
      </c>
      <c r="K1341" s="36">
        <v>45061</v>
      </c>
    </row>
    <row r="1342" spans="1:11" x14ac:dyDescent="0.3">
      <c r="A1342" s="2" t="s">
        <v>2696</v>
      </c>
      <c r="B1342" s="1" t="s">
        <v>2697</v>
      </c>
      <c r="C1342" s="1">
        <v>51</v>
      </c>
      <c r="D1342" s="1" t="s">
        <v>13</v>
      </c>
      <c r="E1342" s="1" t="s">
        <v>28</v>
      </c>
      <c r="F1342" s="1" t="s">
        <v>29</v>
      </c>
      <c r="G1342" s="1" t="s">
        <v>43</v>
      </c>
      <c r="H1342" s="1" t="s">
        <v>17</v>
      </c>
      <c r="I1342" s="1" t="s">
        <v>17</v>
      </c>
      <c r="J1342" s="1">
        <v>0.25</v>
      </c>
      <c r="K1342" s="36">
        <v>45247</v>
      </c>
    </row>
    <row r="1343" spans="1:11" x14ac:dyDescent="0.3">
      <c r="A1343" s="2" t="s">
        <v>2698</v>
      </c>
      <c r="B1343" s="1" t="s">
        <v>2699</v>
      </c>
      <c r="C1343" s="1">
        <v>26</v>
      </c>
      <c r="D1343" s="1" t="s">
        <v>20</v>
      </c>
      <c r="E1343" s="1" t="s">
        <v>28</v>
      </c>
      <c r="F1343" s="1" t="s">
        <v>62</v>
      </c>
      <c r="G1343" s="1" t="s">
        <v>43</v>
      </c>
      <c r="H1343" s="1" t="s">
        <v>30</v>
      </c>
      <c r="I1343" s="1" t="s">
        <v>30</v>
      </c>
      <c r="J1343" s="1">
        <v>0.56999999999999995</v>
      </c>
      <c r="K1343" s="36">
        <v>44755</v>
      </c>
    </row>
    <row r="1344" spans="1:11" x14ac:dyDescent="0.3">
      <c r="A1344" s="2" t="s">
        <v>2700</v>
      </c>
      <c r="B1344" s="1" t="s">
        <v>2701</v>
      </c>
      <c r="C1344" s="1">
        <v>25</v>
      </c>
      <c r="D1344" s="1" t="s">
        <v>13</v>
      </c>
      <c r="E1344" s="1" t="s">
        <v>21</v>
      </c>
      <c r="F1344" s="1" t="s">
        <v>46</v>
      </c>
      <c r="G1344" s="1" t="s">
        <v>47</v>
      </c>
      <c r="H1344" s="1" t="s">
        <v>17</v>
      </c>
      <c r="I1344" s="1" t="s">
        <v>30</v>
      </c>
      <c r="J1344" s="1">
        <v>0.42</v>
      </c>
      <c r="K1344" s="36">
        <v>45849</v>
      </c>
    </row>
    <row r="1345" spans="1:11" x14ac:dyDescent="0.3">
      <c r="A1345" s="2" t="s">
        <v>2702</v>
      </c>
      <c r="B1345" s="1" t="s">
        <v>2703</v>
      </c>
      <c r="C1345" s="1">
        <v>54</v>
      </c>
      <c r="D1345" s="1" t="s">
        <v>20</v>
      </c>
      <c r="E1345" s="1" t="s">
        <v>21</v>
      </c>
      <c r="F1345" s="1" t="s">
        <v>46</v>
      </c>
      <c r="G1345" s="1" t="s">
        <v>16</v>
      </c>
      <c r="H1345" s="1" t="s">
        <v>17</v>
      </c>
      <c r="I1345" s="1" t="s">
        <v>17</v>
      </c>
      <c r="J1345" s="1">
        <v>0.16</v>
      </c>
      <c r="K1345" s="36">
        <v>45105</v>
      </c>
    </row>
    <row r="1346" spans="1:11" x14ac:dyDescent="0.3">
      <c r="A1346" s="2" t="s">
        <v>2704</v>
      </c>
      <c r="B1346" s="1" t="s">
        <v>2705</v>
      </c>
      <c r="C1346" s="1">
        <v>29</v>
      </c>
      <c r="D1346" s="1" t="s">
        <v>20</v>
      </c>
      <c r="E1346" s="1" t="s">
        <v>33</v>
      </c>
      <c r="F1346" s="1" t="s">
        <v>29</v>
      </c>
      <c r="G1346" s="1" t="s">
        <v>25</v>
      </c>
      <c r="H1346" s="1" t="s">
        <v>17</v>
      </c>
      <c r="I1346" s="1" t="s">
        <v>30</v>
      </c>
      <c r="J1346" s="1">
        <v>0.37</v>
      </c>
      <c r="K1346" s="36">
        <v>45907</v>
      </c>
    </row>
    <row r="1347" spans="1:11" x14ac:dyDescent="0.3">
      <c r="A1347" s="2" t="s">
        <v>2706</v>
      </c>
      <c r="B1347" s="1" t="s">
        <v>2707</v>
      </c>
      <c r="C1347" s="1">
        <v>80</v>
      </c>
      <c r="D1347" s="1" t="s">
        <v>20</v>
      </c>
      <c r="E1347" s="1" t="s">
        <v>14</v>
      </c>
      <c r="F1347" s="1" t="s">
        <v>62</v>
      </c>
      <c r="G1347" s="1" t="s">
        <v>22</v>
      </c>
      <c r="H1347" s="1" t="s">
        <v>17</v>
      </c>
      <c r="I1347" s="1" t="s">
        <v>17</v>
      </c>
      <c r="J1347" s="1">
        <v>0.28000000000000003</v>
      </c>
      <c r="K1347" s="36">
        <v>44883</v>
      </c>
    </row>
    <row r="1348" spans="1:11" x14ac:dyDescent="0.3">
      <c r="A1348" s="2" t="s">
        <v>2708</v>
      </c>
      <c r="B1348" s="1" t="s">
        <v>2709</v>
      </c>
      <c r="C1348" s="1">
        <v>71</v>
      </c>
      <c r="D1348" s="1" t="s">
        <v>20</v>
      </c>
      <c r="E1348" s="1" t="s">
        <v>21</v>
      </c>
      <c r="F1348" s="1" t="s">
        <v>46</v>
      </c>
      <c r="G1348" s="1" t="s">
        <v>25</v>
      </c>
      <c r="H1348" s="1" t="s">
        <v>17</v>
      </c>
      <c r="I1348" s="1" t="s">
        <v>17</v>
      </c>
      <c r="J1348" s="1">
        <v>0.26</v>
      </c>
      <c r="K1348" s="36">
        <v>46153</v>
      </c>
    </row>
    <row r="1349" spans="1:11" x14ac:dyDescent="0.3">
      <c r="A1349" s="2" t="s">
        <v>2710</v>
      </c>
      <c r="B1349" s="1" t="s">
        <v>2711</v>
      </c>
      <c r="C1349" s="1">
        <v>62</v>
      </c>
      <c r="D1349" s="1" t="s">
        <v>20</v>
      </c>
      <c r="E1349" s="1" t="s">
        <v>21</v>
      </c>
      <c r="F1349" s="1" t="s">
        <v>46</v>
      </c>
      <c r="G1349" s="1" t="s">
        <v>43</v>
      </c>
      <c r="H1349" s="1" t="s">
        <v>17</v>
      </c>
      <c r="I1349" s="1" t="s">
        <v>30</v>
      </c>
      <c r="J1349" s="1">
        <v>0.59</v>
      </c>
      <c r="K1349" s="36">
        <v>46234</v>
      </c>
    </row>
    <row r="1350" spans="1:11" x14ac:dyDescent="0.3">
      <c r="A1350" s="2" t="s">
        <v>2712</v>
      </c>
      <c r="B1350" s="1" t="s">
        <v>2713</v>
      </c>
      <c r="C1350" s="1">
        <v>64</v>
      </c>
      <c r="D1350" s="1" t="s">
        <v>20</v>
      </c>
      <c r="E1350" s="1" t="s">
        <v>21</v>
      </c>
      <c r="F1350" s="1" t="s">
        <v>29</v>
      </c>
      <c r="G1350" s="1" t="s">
        <v>16</v>
      </c>
      <c r="H1350" s="1" t="s">
        <v>17</v>
      </c>
      <c r="I1350" s="1" t="s">
        <v>30</v>
      </c>
      <c r="J1350" s="1">
        <v>0.34</v>
      </c>
      <c r="K1350" s="36">
        <v>45089</v>
      </c>
    </row>
    <row r="1351" spans="1:11" x14ac:dyDescent="0.3">
      <c r="A1351" s="2" t="s">
        <v>2714</v>
      </c>
      <c r="B1351" s="1" t="s">
        <v>2715</v>
      </c>
      <c r="C1351" s="1">
        <v>55</v>
      </c>
      <c r="D1351" s="1" t="s">
        <v>20</v>
      </c>
      <c r="E1351" s="1" t="s">
        <v>14</v>
      </c>
      <c r="F1351" s="1" t="s">
        <v>15</v>
      </c>
      <c r="G1351" s="1" t="s">
        <v>43</v>
      </c>
      <c r="H1351" s="1" t="s">
        <v>17</v>
      </c>
      <c r="I1351" s="1" t="s">
        <v>30</v>
      </c>
      <c r="J1351" s="1">
        <v>0.49</v>
      </c>
      <c r="K1351" s="36">
        <v>44694</v>
      </c>
    </row>
    <row r="1352" spans="1:11" x14ac:dyDescent="0.3">
      <c r="A1352" s="2" t="s">
        <v>2716</v>
      </c>
      <c r="B1352" s="1" t="s">
        <v>2717</v>
      </c>
      <c r="C1352" s="1">
        <v>21</v>
      </c>
      <c r="D1352" s="1" t="s">
        <v>20</v>
      </c>
      <c r="E1352" s="1" t="s">
        <v>33</v>
      </c>
      <c r="F1352" s="1" t="s">
        <v>15</v>
      </c>
      <c r="G1352" s="1" t="s">
        <v>25</v>
      </c>
      <c r="H1352" s="1" t="s">
        <v>17</v>
      </c>
      <c r="I1352" s="1" t="s">
        <v>17</v>
      </c>
      <c r="J1352" s="1">
        <v>0.2</v>
      </c>
      <c r="K1352" s="36">
        <v>44914</v>
      </c>
    </row>
    <row r="1353" spans="1:11" x14ac:dyDescent="0.3">
      <c r="A1353" s="2" t="s">
        <v>2718</v>
      </c>
      <c r="B1353" s="1" t="s">
        <v>2719</v>
      </c>
      <c r="C1353" s="1">
        <v>42</v>
      </c>
      <c r="D1353" s="1" t="s">
        <v>13</v>
      </c>
      <c r="E1353" s="1" t="s">
        <v>21</v>
      </c>
      <c r="F1353" s="1" t="s">
        <v>62</v>
      </c>
      <c r="G1353" s="1" t="s">
        <v>25</v>
      </c>
      <c r="H1353" s="1" t="s">
        <v>30</v>
      </c>
      <c r="I1353" s="1" t="s">
        <v>30</v>
      </c>
      <c r="J1353" s="1">
        <v>0.54</v>
      </c>
      <c r="K1353" s="36">
        <v>45233</v>
      </c>
    </row>
    <row r="1354" spans="1:11" x14ac:dyDescent="0.3">
      <c r="A1354" s="2" t="s">
        <v>2720</v>
      </c>
      <c r="B1354" s="1" t="s">
        <v>2721</v>
      </c>
      <c r="C1354" s="1">
        <v>49</v>
      </c>
      <c r="D1354" s="1" t="s">
        <v>20</v>
      </c>
      <c r="E1354" s="1" t="s">
        <v>21</v>
      </c>
      <c r="F1354" s="1" t="s">
        <v>15</v>
      </c>
      <c r="G1354" s="1" t="s">
        <v>43</v>
      </c>
      <c r="H1354" s="1" t="s">
        <v>17</v>
      </c>
      <c r="I1354" s="1" t="s">
        <v>17</v>
      </c>
      <c r="J1354" s="1">
        <v>0.35</v>
      </c>
      <c r="K1354" s="36">
        <v>46195</v>
      </c>
    </row>
    <row r="1355" spans="1:11" x14ac:dyDescent="0.3">
      <c r="A1355" s="2" t="s">
        <v>2722</v>
      </c>
      <c r="B1355" s="1" t="s">
        <v>2723</v>
      </c>
      <c r="C1355" s="1">
        <v>75</v>
      </c>
      <c r="D1355" s="1" t="s">
        <v>13</v>
      </c>
      <c r="E1355" s="1" t="s">
        <v>14</v>
      </c>
      <c r="F1355" s="1" t="s">
        <v>29</v>
      </c>
      <c r="G1355" s="1" t="s">
        <v>47</v>
      </c>
      <c r="H1355" s="1" t="s">
        <v>17</v>
      </c>
      <c r="I1355" s="1" t="s">
        <v>30</v>
      </c>
      <c r="J1355" s="1">
        <v>0.37</v>
      </c>
      <c r="K1355" s="36">
        <v>45867</v>
      </c>
    </row>
    <row r="1356" spans="1:11" x14ac:dyDescent="0.3">
      <c r="A1356" s="2" t="s">
        <v>2724</v>
      </c>
      <c r="B1356" s="1" t="s">
        <v>2725</v>
      </c>
      <c r="C1356" s="1">
        <v>31</v>
      </c>
      <c r="D1356" s="1" t="s">
        <v>20</v>
      </c>
      <c r="E1356" s="1" t="s">
        <v>28</v>
      </c>
      <c r="F1356" s="1" t="s">
        <v>62</v>
      </c>
      <c r="G1356" s="1" t="s">
        <v>38</v>
      </c>
      <c r="H1356" s="1" t="s">
        <v>17</v>
      </c>
      <c r="I1356" s="1" t="s">
        <v>17</v>
      </c>
      <c r="J1356" s="1">
        <v>0.16</v>
      </c>
      <c r="K1356" s="36">
        <v>45833</v>
      </c>
    </row>
    <row r="1357" spans="1:11" x14ac:dyDescent="0.3">
      <c r="A1357" s="2" t="s">
        <v>2726</v>
      </c>
      <c r="B1357" s="1" t="s">
        <v>2727</v>
      </c>
      <c r="C1357" s="1">
        <v>49</v>
      </c>
      <c r="D1357" s="1" t="s">
        <v>13</v>
      </c>
      <c r="E1357" s="1" t="s">
        <v>28</v>
      </c>
      <c r="F1357" s="1" t="s">
        <v>15</v>
      </c>
      <c r="G1357" s="1" t="s">
        <v>38</v>
      </c>
      <c r="H1357" s="1" t="s">
        <v>17</v>
      </c>
      <c r="I1357" s="1" t="s">
        <v>30</v>
      </c>
      <c r="J1357" s="1">
        <v>0.35</v>
      </c>
      <c r="K1357" s="36">
        <v>44380</v>
      </c>
    </row>
    <row r="1358" spans="1:11" x14ac:dyDescent="0.3">
      <c r="A1358" s="2" t="s">
        <v>2728</v>
      </c>
      <c r="B1358" s="1" t="s">
        <v>2729</v>
      </c>
      <c r="C1358" s="1">
        <v>39</v>
      </c>
      <c r="D1358" s="1" t="s">
        <v>13</v>
      </c>
      <c r="E1358" s="1" t="s">
        <v>14</v>
      </c>
      <c r="F1358" s="1" t="s">
        <v>15</v>
      </c>
      <c r="G1358" s="1" t="s">
        <v>47</v>
      </c>
      <c r="H1358" s="1" t="s">
        <v>17</v>
      </c>
      <c r="I1358" s="1" t="s">
        <v>30</v>
      </c>
      <c r="J1358" s="1">
        <v>0.3</v>
      </c>
      <c r="K1358" s="36">
        <v>44625</v>
      </c>
    </row>
    <row r="1359" spans="1:11" x14ac:dyDescent="0.3">
      <c r="A1359" s="2" t="s">
        <v>2730</v>
      </c>
      <c r="B1359" s="1" t="s">
        <v>2731</v>
      </c>
      <c r="C1359" s="1">
        <v>26</v>
      </c>
      <c r="D1359" s="1" t="s">
        <v>13</v>
      </c>
      <c r="E1359" s="1" t="s">
        <v>21</v>
      </c>
      <c r="F1359" s="1" t="s">
        <v>29</v>
      </c>
      <c r="G1359" s="1" t="s">
        <v>25</v>
      </c>
      <c r="H1359" s="1" t="s">
        <v>17</v>
      </c>
      <c r="I1359" s="1" t="s">
        <v>17</v>
      </c>
      <c r="J1359" s="1">
        <v>0.25</v>
      </c>
      <c r="K1359" s="36">
        <v>45482</v>
      </c>
    </row>
    <row r="1360" spans="1:11" x14ac:dyDescent="0.3">
      <c r="A1360" s="2" t="s">
        <v>2732</v>
      </c>
      <c r="B1360" s="1" t="s">
        <v>2733</v>
      </c>
      <c r="C1360" s="1">
        <v>24</v>
      </c>
      <c r="D1360" s="1" t="s">
        <v>13</v>
      </c>
      <c r="E1360" s="1" t="s">
        <v>21</v>
      </c>
      <c r="F1360" s="1" t="s">
        <v>62</v>
      </c>
      <c r="G1360" s="1" t="s">
        <v>16</v>
      </c>
      <c r="H1360" s="1" t="s">
        <v>17</v>
      </c>
      <c r="I1360" s="1" t="s">
        <v>17</v>
      </c>
      <c r="J1360" s="1">
        <v>0.22</v>
      </c>
      <c r="K1360" s="36">
        <v>45993</v>
      </c>
    </row>
    <row r="1361" spans="1:11" x14ac:dyDescent="0.3">
      <c r="A1361" s="2" t="s">
        <v>2734</v>
      </c>
      <c r="B1361" s="1" t="s">
        <v>2735</v>
      </c>
      <c r="C1361" s="1">
        <v>41</v>
      </c>
      <c r="D1361" s="1" t="s">
        <v>20</v>
      </c>
      <c r="E1361" s="1" t="s">
        <v>28</v>
      </c>
      <c r="F1361" s="1" t="s">
        <v>29</v>
      </c>
      <c r="G1361" s="1" t="s">
        <v>22</v>
      </c>
      <c r="H1361" s="1" t="s">
        <v>17</v>
      </c>
      <c r="I1361" s="1" t="s">
        <v>17</v>
      </c>
      <c r="J1361" s="1">
        <v>0.24</v>
      </c>
      <c r="K1361" s="36">
        <v>45292</v>
      </c>
    </row>
    <row r="1362" spans="1:11" x14ac:dyDescent="0.3">
      <c r="A1362" s="2" t="s">
        <v>2736</v>
      </c>
      <c r="B1362" s="1" t="s">
        <v>2737</v>
      </c>
      <c r="C1362" s="1">
        <v>23</v>
      </c>
      <c r="D1362" s="1" t="s">
        <v>13</v>
      </c>
      <c r="E1362" s="1" t="s">
        <v>14</v>
      </c>
      <c r="F1362" s="1" t="s">
        <v>15</v>
      </c>
      <c r="G1362" s="1" t="s">
        <v>38</v>
      </c>
      <c r="H1362" s="1" t="s">
        <v>17</v>
      </c>
      <c r="I1362" s="1" t="s">
        <v>30</v>
      </c>
      <c r="J1362" s="1">
        <v>0.32</v>
      </c>
      <c r="K1362" s="36">
        <v>44301</v>
      </c>
    </row>
    <row r="1363" spans="1:11" x14ac:dyDescent="0.3">
      <c r="A1363" s="2" t="s">
        <v>2738</v>
      </c>
      <c r="B1363" s="1" t="s">
        <v>2739</v>
      </c>
      <c r="C1363" s="1">
        <v>22</v>
      </c>
      <c r="D1363" s="1" t="s">
        <v>20</v>
      </c>
      <c r="E1363" s="1" t="s">
        <v>21</v>
      </c>
      <c r="F1363" s="1" t="s">
        <v>46</v>
      </c>
      <c r="G1363" s="1" t="s">
        <v>25</v>
      </c>
      <c r="H1363" s="1" t="s">
        <v>17</v>
      </c>
      <c r="I1363" s="1" t="s">
        <v>30</v>
      </c>
      <c r="J1363" s="1">
        <v>0.28999999999999998</v>
      </c>
      <c r="K1363" s="36">
        <v>45931</v>
      </c>
    </row>
    <row r="1364" spans="1:11" x14ac:dyDescent="0.3">
      <c r="A1364" s="2" t="s">
        <v>2740</v>
      </c>
      <c r="B1364" s="1" t="s">
        <v>2741</v>
      </c>
      <c r="C1364" s="1">
        <v>40</v>
      </c>
      <c r="D1364" s="1" t="s">
        <v>13</v>
      </c>
      <c r="E1364" s="1" t="s">
        <v>28</v>
      </c>
      <c r="F1364" s="1" t="s">
        <v>29</v>
      </c>
      <c r="G1364" s="1" t="s">
        <v>22</v>
      </c>
      <c r="H1364" s="1" t="s">
        <v>17</v>
      </c>
      <c r="I1364" s="1" t="s">
        <v>17</v>
      </c>
      <c r="J1364" s="1">
        <v>0.19</v>
      </c>
      <c r="K1364" s="36">
        <v>45942</v>
      </c>
    </row>
    <row r="1365" spans="1:11" x14ac:dyDescent="0.3">
      <c r="A1365" s="2" t="s">
        <v>2742</v>
      </c>
      <c r="B1365" s="1" t="s">
        <v>2743</v>
      </c>
      <c r="C1365" s="1">
        <v>30</v>
      </c>
      <c r="D1365" s="1" t="s">
        <v>13</v>
      </c>
      <c r="E1365" s="1" t="s">
        <v>33</v>
      </c>
      <c r="F1365" s="1" t="s">
        <v>46</v>
      </c>
      <c r="G1365" s="1" t="s">
        <v>25</v>
      </c>
      <c r="H1365" s="1" t="s">
        <v>17</v>
      </c>
      <c r="I1365" s="1" t="s">
        <v>17</v>
      </c>
      <c r="J1365" s="1">
        <v>0.11</v>
      </c>
      <c r="K1365" s="36">
        <v>44701</v>
      </c>
    </row>
    <row r="1366" spans="1:11" x14ac:dyDescent="0.3">
      <c r="A1366" s="2" t="s">
        <v>2744</v>
      </c>
      <c r="B1366" s="1" t="s">
        <v>2745</v>
      </c>
      <c r="C1366" s="1">
        <v>52</v>
      </c>
      <c r="D1366" s="1" t="s">
        <v>20</v>
      </c>
      <c r="E1366" s="1" t="s">
        <v>14</v>
      </c>
      <c r="F1366" s="1" t="s">
        <v>29</v>
      </c>
      <c r="G1366" s="1" t="s">
        <v>38</v>
      </c>
      <c r="H1366" s="1" t="s">
        <v>17</v>
      </c>
      <c r="I1366" s="1" t="s">
        <v>17</v>
      </c>
      <c r="J1366" s="1">
        <v>0.28999999999999998</v>
      </c>
      <c r="K1366" s="36">
        <v>45749</v>
      </c>
    </row>
    <row r="1367" spans="1:11" x14ac:dyDescent="0.3">
      <c r="A1367" s="2" t="s">
        <v>2746</v>
      </c>
      <c r="B1367" s="1" t="s">
        <v>2747</v>
      </c>
      <c r="C1367" s="1">
        <v>19</v>
      </c>
      <c r="D1367" s="1" t="s">
        <v>13</v>
      </c>
      <c r="E1367" s="1" t="s">
        <v>14</v>
      </c>
      <c r="F1367" s="1" t="s">
        <v>62</v>
      </c>
      <c r="G1367" s="1" t="s">
        <v>47</v>
      </c>
      <c r="H1367" s="1" t="s">
        <v>30</v>
      </c>
      <c r="I1367" s="1" t="s">
        <v>17</v>
      </c>
      <c r="J1367" s="1">
        <v>0.34</v>
      </c>
      <c r="K1367" s="36">
        <v>44674</v>
      </c>
    </row>
    <row r="1368" spans="1:11" x14ac:dyDescent="0.3">
      <c r="A1368" s="2" t="s">
        <v>2748</v>
      </c>
      <c r="B1368" s="1" t="s">
        <v>2749</v>
      </c>
      <c r="C1368" s="1">
        <v>37</v>
      </c>
      <c r="D1368" s="1" t="s">
        <v>20</v>
      </c>
      <c r="E1368" s="1" t="s">
        <v>21</v>
      </c>
      <c r="F1368" s="1" t="s">
        <v>46</v>
      </c>
      <c r="G1368" s="1" t="s">
        <v>38</v>
      </c>
      <c r="H1368" s="1" t="s">
        <v>17</v>
      </c>
      <c r="I1368" s="1" t="s">
        <v>17</v>
      </c>
      <c r="J1368" s="1">
        <v>0.14000000000000001</v>
      </c>
      <c r="K1368" s="36">
        <v>46061</v>
      </c>
    </row>
    <row r="1369" spans="1:11" x14ac:dyDescent="0.3">
      <c r="A1369" s="2" t="s">
        <v>2750</v>
      </c>
      <c r="B1369" s="1" t="s">
        <v>2751</v>
      </c>
      <c r="C1369" s="1">
        <v>46</v>
      </c>
      <c r="D1369" s="1" t="s">
        <v>13</v>
      </c>
      <c r="E1369" s="1" t="s">
        <v>28</v>
      </c>
      <c r="F1369" s="1" t="s">
        <v>29</v>
      </c>
      <c r="G1369" s="1" t="s">
        <v>47</v>
      </c>
      <c r="H1369" s="1" t="s">
        <v>17</v>
      </c>
      <c r="I1369" s="1" t="s">
        <v>30</v>
      </c>
      <c r="J1369" s="1">
        <v>0.37</v>
      </c>
      <c r="K1369" s="36">
        <v>44399</v>
      </c>
    </row>
    <row r="1370" spans="1:11" x14ac:dyDescent="0.3">
      <c r="A1370" s="2" t="s">
        <v>2752</v>
      </c>
      <c r="B1370" s="1" t="s">
        <v>2753</v>
      </c>
      <c r="C1370" s="1">
        <v>78</v>
      </c>
      <c r="D1370" s="1" t="s">
        <v>13</v>
      </c>
      <c r="E1370" s="1" t="s">
        <v>28</v>
      </c>
      <c r="F1370" s="1" t="s">
        <v>46</v>
      </c>
      <c r="G1370" s="1" t="s">
        <v>43</v>
      </c>
      <c r="H1370" s="1" t="s">
        <v>17</v>
      </c>
      <c r="I1370" s="1" t="s">
        <v>30</v>
      </c>
      <c r="J1370" s="1">
        <v>0.39</v>
      </c>
      <c r="K1370" s="36">
        <v>45035</v>
      </c>
    </row>
    <row r="1371" spans="1:11" x14ac:dyDescent="0.3">
      <c r="A1371" s="2" t="s">
        <v>2754</v>
      </c>
      <c r="B1371" s="1" t="s">
        <v>2755</v>
      </c>
      <c r="C1371" s="1">
        <v>57</v>
      </c>
      <c r="D1371" s="1" t="s">
        <v>20</v>
      </c>
      <c r="E1371" s="1" t="s">
        <v>21</v>
      </c>
      <c r="F1371" s="1" t="s">
        <v>15</v>
      </c>
      <c r="G1371" s="1" t="s">
        <v>22</v>
      </c>
      <c r="H1371" s="1" t="s">
        <v>17</v>
      </c>
      <c r="I1371" s="1" t="s">
        <v>17</v>
      </c>
      <c r="J1371" s="1">
        <v>0.19</v>
      </c>
      <c r="K1371" s="36">
        <v>46151</v>
      </c>
    </row>
    <row r="1372" spans="1:11" x14ac:dyDescent="0.3">
      <c r="A1372" s="2" t="s">
        <v>2756</v>
      </c>
      <c r="B1372" s="1" t="s">
        <v>2757</v>
      </c>
      <c r="C1372" s="1">
        <v>73</v>
      </c>
      <c r="D1372" s="1" t="s">
        <v>13</v>
      </c>
      <c r="E1372" s="1" t="s">
        <v>33</v>
      </c>
      <c r="F1372" s="1" t="s">
        <v>15</v>
      </c>
      <c r="G1372" s="1" t="s">
        <v>22</v>
      </c>
      <c r="H1372" s="1" t="s">
        <v>17</v>
      </c>
      <c r="I1372" s="1" t="s">
        <v>30</v>
      </c>
      <c r="J1372" s="1">
        <v>0.55000000000000004</v>
      </c>
      <c r="K1372" s="36">
        <v>44563</v>
      </c>
    </row>
    <row r="1373" spans="1:11" x14ac:dyDescent="0.3">
      <c r="A1373" s="2" t="s">
        <v>2758</v>
      </c>
      <c r="B1373" s="1" t="s">
        <v>2759</v>
      </c>
      <c r="C1373" s="1">
        <v>39</v>
      </c>
      <c r="D1373" s="1" t="s">
        <v>13</v>
      </c>
      <c r="E1373" s="1" t="s">
        <v>21</v>
      </c>
      <c r="F1373" s="1" t="s">
        <v>62</v>
      </c>
      <c r="G1373" s="1" t="s">
        <v>47</v>
      </c>
      <c r="H1373" s="1" t="s">
        <v>17</v>
      </c>
      <c r="I1373" s="1" t="s">
        <v>17</v>
      </c>
      <c r="J1373" s="1">
        <v>0.14000000000000001</v>
      </c>
      <c r="K1373" s="36">
        <v>45065</v>
      </c>
    </row>
    <row r="1374" spans="1:11" x14ac:dyDescent="0.3">
      <c r="A1374" s="2" t="s">
        <v>2760</v>
      </c>
      <c r="B1374" s="1" t="s">
        <v>2761</v>
      </c>
      <c r="C1374" s="1">
        <v>46</v>
      </c>
      <c r="D1374" s="1" t="s">
        <v>20</v>
      </c>
      <c r="E1374" s="1" t="s">
        <v>14</v>
      </c>
      <c r="F1374" s="1" t="s">
        <v>62</v>
      </c>
      <c r="G1374" s="1" t="s">
        <v>47</v>
      </c>
      <c r="H1374" s="1" t="s">
        <v>17</v>
      </c>
      <c r="I1374" s="1" t="s">
        <v>30</v>
      </c>
      <c r="J1374" s="1">
        <v>0.34</v>
      </c>
      <c r="K1374" s="36">
        <v>44843</v>
      </c>
    </row>
    <row r="1375" spans="1:11" x14ac:dyDescent="0.3">
      <c r="A1375" s="2" t="s">
        <v>2762</v>
      </c>
      <c r="B1375" s="1" t="s">
        <v>2763</v>
      </c>
      <c r="C1375" s="1">
        <v>44</v>
      </c>
      <c r="D1375" s="1" t="s">
        <v>13</v>
      </c>
      <c r="E1375" s="1" t="s">
        <v>33</v>
      </c>
      <c r="F1375" s="1" t="s">
        <v>62</v>
      </c>
      <c r="G1375" s="1" t="s">
        <v>25</v>
      </c>
      <c r="H1375" s="1" t="s">
        <v>17</v>
      </c>
      <c r="I1375" s="1" t="s">
        <v>30</v>
      </c>
      <c r="J1375" s="1">
        <v>0.34</v>
      </c>
      <c r="K1375" s="36">
        <v>44135</v>
      </c>
    </row>
    <row r="1376" spans="1:11" x14ac:dyDescent="0.3">
      <c r="A1376" s="2" t="s">
        <v>2764</v>
      </c>
      <c r="B1376" s="1" t="s">
        <v>2765</v>
      </c>
      <c r="C1376" s="1">
        <v>73</v>
      </c>
      <c r="D1376" s="1" t="s">
        <v>20</v>
      </c>
      <c r="E1376" s="1" t="s">
        <v>21</v>
      </c>
      <c r="F1376" s="1" t="s">
        <v>15</v>
      </c>
      <c r="G1376" s="1" t="s">
        <v>43</v>
      </c>
      <c r="H1376" s="1" t="s">
        <v>17</v>
      </c>
      <c r="I1376" s="1" t="s">
        <v>17</v>
      </c>
      <c r="J1376" s="1">
        <v>0.32</v>
      </c>
      <c r="K1376" s="36">
        <v>44193</v>
      </c>
    </row>
    <row r="1377" spans="1:11" x14ac:dyDescent="0.3">
      <c r="A1377" s="2" t="s">
        <v>2766</v>
      </c>
      <c r="B1377" s="1" t="s">
        <v>2767</v>
      </c>
      <c r="C1377" s="1">
        <v>78</v>
      </c>
      <c r="D1377" s="1" t="s">
        <v>13</v>
      </c>
      <c r="E1377" s="1" t="s">
        <v>33</v>
      </c>
      <c r="F1377" s="1" t="s">
        <v>62</v>
      </c>
      <c r="G1377" s="1" t="s">
        <v>25</v>
      </c>
      <c r="H1377" s="1" t="s">
        <v>17</v>
      </c>
      <c r="I1377" s="1" t="s">
        <v>30</v>
      </c>
      <c r="J1377" s="1">
        <v>0.46</v>
      </c>
      <c r="K1377" s="36">
        <v>45177</v>
      </c>
    </row>
    <row r="1378" spans="1:11" x14ac:dyDescent="0.3">
      <c r="A1378" s="2" t="s">
        <v>2768</v>
      </c>
      <c r="B1378" s="1" t="s">
        <v>2769</v>
      </c>
      <c r="C1378" s="1">
        <v>78</v>
      </c>
      <c r="D1378" s="1" t="s">
        <v>20</v>
      </c>
      <c r="E1378" s="1" t="s">
        <v>21</v>
      </c>
      <c r="F1378" s="1" t="s">
        <v>46</v>
      </c>
      <c r="G1378" s="1" t="s">
        <v>25</v>
      </c>
      <c r="H1378" s="1" t="s">
        <v>17</v>
      </c>
      <c r="I1378" s="1" t="s">
        <v>17</v>
      </c>
      <c r="J1378" s="1">
        <v>0.23</v>
      </c>
      <c r="K1378" s="36">
        <v>44593</v>
      </c>
    </row>
    <row r="1379" spans="1:11" x14ac:dyDescent="0.3">
      <c r="A1379" s="2" t="s">
        <v>2770</v>
      </c>
      <c r="B1379" s="1" t="s">
        <v>2771</v>
      </c>
      <c r="C1379" s="1">
        <v>65</v>
      </c>
      <c r="D1379" s="1" t="s">
        <v>13</v>
      </c>
      <c r="E1379" s="1" t="s">
        <v>33</v>
      </c>
      <c r="F1379" s="1" t="s">
        <v>62</v>
      </c>
      <c r="G1379" s="1" t="s">
        <v>22</v>
      </c>
      <c r="H1379" s="1" t="s">
        <v>17</v>
      </c>
      <c r="I1379" s="1" t="s">
        <v>30</v>
      </c>
      <c r="J1379" s="1">
        <v>0.41</v>
      </c>
      <c r="K1379" s="36">
        <v>46256</v>
      </c>
    </row>
    <row r="1380" spans="1:11" x14ac:dyDescent="0.3">
      <c r="A1380" s="2" t="s">
        <v>2772</v>
      </c>
      <c r="B1380" s="1" t="s">
        <v>2773</v>
      </c>
      <c r="C1380" s="1">
        <v>49</v>
      </c>
      <c r="D1380" s="1" t="s">
        <v>13</v>
      </c>
      <c r="E1380" s="1" t="s">
        <v>14</v>
      </c>
      <c r="F1380" s="1" t="s">
        <v>46</v>
      </c>
      <c r="G1380" s="1" t="s">
        <v>38</v>
      </c>
      <c r="H1380" s="1" t="s">
        <v>17</v>
      </c>
      <c r="I1380" s="1" t="s">
        <v>30</v>
      </c>
      <c r="J1380" s="1">
        <v>0.34</v>
      </c>
      <c r="K1380" s="36">
        <v>44898</v>
      </c>
    </row>
    <row r="1381" spans="1:11" x14ac:dyDescent="0.3">
      <c r="A1381" s="2" t="s">
        <v>2774</v>
      </c>
      <c r="B1381" s="1" t="s">
        <v>2775</v>
      </c>
      <c r="C1381" s="1">
        <v>52</v>
      </c>
      <c r="D1381" s="1" t="s">
        <v>20</v>
      </c>
      <c r="E1381" s="1" t="s">
        <v>21</v>
      </c>
      <c r="F1381" s="1" t="s">
        <v>46</v>
      </c>
      <c r="G1381" s="1" t="s">
        <v>25</v>
      </c>
      <c r="H1381" s="1" t="s">
        <v>17</v>
      </c>
      <c r="I1381" s="1" t="s">
        <v>30</v>
      </c>
      <c r="J1381" s="1">
        <v>0.39</v>
      </c>
      <c r="K1381" s="36">
        <v>44138</v>
      </c>
    </row>
    <row r="1382" spans="1:11" x14ac:dyDescent="0.3">
      <c r="A1382" s="2" t="s">
        <v>2776</v>
      </c>
      <c r="B1382" s="1" t="s">
        <v>2777</v>
      </c>
      <c r="C1382" s="1">
        <v>79</v>
      </c>
      <c r="D1382" s="1" t="s">
        <v>20</v>
      </c>
      <c r="E1382" s="1" t="s">
        <v>28</v>
      </c>
      <c r="F1382" s="1" t="s">
        <v>62</v>
      </c>
      <c r="G1382" s="1" t="s">
        <v>25</v>
      </c>
      <c r="H1382" s="1" t="s">
        <v>17</v>
      </c>
      <c r="I1382" s="1" t="s">
        <v>30</v>
      </c>
      <c r="J1382" s="1">
        <v>0.36</v>
      </c>
      <c r="K1382" s="36">
        <v>46117</v>
      </c>
    </row>
    <row r="1383" spans="1:11" x14ac:dyDescent="0.3">
      <c r="A1383" s="2" t="s">
        <v>2778</v>
      </c>
      <c r="B1383" s="1" t="s">
        <v>2779</v>
      </c>
      <c r="C1383" s="1">
        <v>35</v>
      </c>
      <c r="D1383" s="1" t="s">
        <v>13</v>
      </c>
      <c r="E1383" s="1" t="s">
        <v>14</v>
      </c>
      <c r="F1383" s="1" t="s">
        <v>46</v>
      </c>
      <c r="G1383" s="1" t="s">
        <v>16</v>
      </c>
      <c r="H1383" s="1" t="s">
        <v>17</v>
      </c>
      <c r="I1383" s="1" t="s">
        <v>17</v>
      </c>
      <c r="J1383" s="1">
        <v>0.32</v>
      </c>
      <c r="K1383" s="36">
        <v>45916</v>
      </c>
    </row>
    <row r="1384" spans="1:11" x14ac:dyDescent="0.3">
      <c r="A1384" s="2" t="s">
        <v>2780</v>
      </c>
      <c r="B1384" s="1" t="s">
        <v>2781</v>
      </c>
      <c r="C1384" s="1">
        <v>39</v>
      </c>
      <c r="D1384" s="1" t="s">
        <v>13</v>
      </c>
      <c r="E1384" s="1" t="s">
        <v>28</v>
      </c>
      <c r="F1384" s="1" t="s">
        <v>29</v>
      </c>
      <c r="G1384" s="1" t="s">
        <v>38</v>
      </c>
      <c r="H1384" s="1" t="s">
        <v>17</v>
      </c>
      <c r="I1384" s="1" t="s">
        <v>30</v>
      </c>
      <c r="J1384" s="1">
        <v>0.3</v>
      </c>
      <c r="K1384" s="36">
        <v>45501</v>
      </c>
    </row>
    <row r="1385" spans="1:11" x14ac:dyDescent="0.3">
      <c r="A1385" s="2" t="s">
        <v>2782</v>
      </c>
      <c r="B1385" s="1" t="s">
        <v>2783</v>
      </c>
      <c r="C1385" s="1">
        <v>74</v>
      </c>
      <c r="D1385" s="1" t="s">
        <v>20</v>
      </c>
      <c r="E1385" s="1" t="s">
        <v>28</v>
      </c>
      <c r="F1385" s="1" t="s">
        <v>46</v>
      </c>
      <c r="G1385" s="1" t="s">
        <v>25</v>
      </c>
      <c r="H1385" s="1" t="s">
        <v>17</v>
      </c>
      <c r="I1385" s="1" t="s">
        <v>17</v>
      </c>
      <c r="J1385" s="1">
        <v>0.28000000000000003</v>
      </c>
      <c r="K1385" s="36">
        <v>45811</v>
      </c>
    </row>
    <row r="1386" spans="1:11" x14ac:dyDescent="0.3">
      <c r="A1386" s="2" t="s">
        <v>2784</v>
      </c>
      <c r="B1386" s="1" t="s">
        <v>2785</v>
      </c>
      <c r="C1386" s="1">
        <v>42</v>
      </c>
      <c r="D1386" s="1" t="s">
        <v>20</v>
      </c>
      <c r="E1386" s="1" t="s">
        <v>21</v>
      </c>
      <c r="F1386" s="1" t="s">
        <v>46</v>
      </c>
      <c r="G1386" s="1" t="s">
        <v>43</v>
      </c>
      <c r="H1386" s="1" t="s">
        <v>17</v>
      </c>
      <c r="I1386" s="1" t="s">
        <v>17</v>
      </c>
      <c r="J1386" s="1">
        <v>0.13</v>
      </c>
      <c r="K1386" s="36">
        <v>44378</v>
      </c>
    </row>
    <row r="1387" spans="1:11" x14ac:dyDescent="0.3">
      <c r="A1387" s="2" t="s">
        <v>2786</v>
      </c>
      <c r="B1387" s="1" t="s">
        <v>2787</v>
      </c>
      <c r="C1387" s="1">
        <v>32</v>
      </c>
      <c r="D1387" s="1" t="s">
        <v>20</v>
      </c>
      <c r="E1387" s="1" t="s">
        <v>33</v>
      </c>
      <c r="F1387" s="1" t="s">
        <v>29</v>
      </c>
      <c r="G1387" s="1" t="s">
        <v>47</v>
      </c>
      <c r="H1387" s="1" t="s">
        <v>17</v>
      </c>
      <c r="I1387" s="1" t="s">
        <v>17</v>
      </c>
      <c r="J1387" s="1">
        <v>0.12</v>
      </c>
      <c r="K1387" s="36">
        <v>44705</v>
      </c>
    </row>
    <row r="1388" spans="1:11" x14ac:dyDescent="0.3">
      <c r="A1388" s="2" t="s">
        <v>2788</v>
      </c>
      <c r="B1388" s="1" t="s">
        <v>2789</v>
      </c>
      <c r="C1388" s="1">
        <v>53</v>
      </c>
      <c r="D1388" s="1" t="s">
        <v>13</v>
      </c>
      <c r="E1388" s="1" t="s">
        <v>14</v>
      </c>
      <c r="F1388" s="1" t="s">
        <v>46</v>
      </c>
      <c r="G1388" s="1" t="s">
        <v>38</v>
      </c>
      <c r="H1388" s="1" t="s">
        <v>17</v>
      </c>
      <c r="I1388" s="1" t="s">
        <v>30</v>
      </c>
      <c r="J1388" s="1">
        <v>0.3</v>
      </c>
      <c r="K1388" s="36">
        <v>45895</v>
      </c>
    </row>
    <row r="1389" spans="1:11" x14ac:dyDescent="0.3">
      <c r="A1389" s="2" t="s">
        <v>2790</v>
      </c>
      <c r="B1389" s="1" t="s">
        <v>2791</v>
      </c>
      <c r="C1389" s="1">
        <v>38</v>
      </c>
      <c r="D1389" s="1" t="s">
        <v>20</v>
      </c>
      <c r="E1389" s="1" t="s">
        <v>33</v>
      </c>
      <c r="F1389" s="1" t="s">
        <v>29</v>
      </c>
      <c r="G1389" s="1" t="s">
        <v>25</v>
      </c>
      <c r="H1389" s="1" t="s">
        <v>30</v>
      </c>
      <c r="I1389" s="1" t="s">
        <v>17</v>
      </c>
      <c r="J1389" s="1">
        <v>0.32</v>
      </c>
      <c r="K1389" s="36">
        <v>45602</v>
      </c>
    </row>
    <row r="1390" spans="1:11" x14ac:dyDescent="0.3">
      <c r="A1390" s="2" t="s">
        <v>2792</v>
      </c>
      <c r="B1390" s="1" t="s">
        <v>2793</v>
      </c>
      <c r="C1390" s="1">
        <v>74</v>
      </c>
      <c r="D1390" s="1" t="s">
        <v>13</v>
      </c>
      <c r="E1390" s="1" t="s">
        <v>33</v>
      </c>
      <c r="F1390" s="1" t="s">
        <v>15</v>
      </c>
      <c r="G1390" s="1" t="s">
        <v>47</v>
      </c>
      <c r="H1390" s="1" t="s">
        <v>17</v>
      </c>
      <c r="I1390" s="1" t="s">
        <v>17</v>
      </c>
      <c r="J1390" s="1">
        <v>0.26</v>
      </c>
      <c r="K1390" s="36">
        <v>44381</v>
      </c>
    </row>
    <row r="1391" spans="1:11" x14ac:dyDescent="0.3">
      <c r="A1391" s="2" t="s">
        <v>2794</v>
      </c>
      <c r="B1391" s="1" t="s">
        <v>2795</v>
      </c>
      <c r="C1391" s="1">
        <v>75</v>
      </c>
      <c r="D1391" s="1" t="s">
        <v>20</v>
      </c>
      <c r="E1391" s="1" t="s">
        <v>14</v>
      </c>
      <c r="F1391" s="1" t="s">
        <v>29</v>
      </c>
      <c r="G1391" s="1" t="s">
        <v>25</v>
      </c>
      <c r="H1391" s="1" t="s">
        <v>30</v>
      </c>
      <c r="I1391" s="1" t="s">
        <v>17</v>
      </c>
      <c r="J1391" s="1">
        <v>0.4</v>
      </c>
      <c r="K1391" s="36">
        <v>45623</v>
      </c>
    </row>
    <row r="1392" spans="1:11" x14ac:dyDescent="0.3">
      <c r="A1392" s="2" t="s">
        <v>2796</v>
      </c>
      <c r="B1392" s="1" t="s">
        <v>2797</v>
      </c>
      <c r="C1392" s="1">
        <v>37</v>
      </c>
      <c r="D1392" s="1" t="s">
        <v>13</v>
      </c>
      <c r="E1392" s="1" t="s">
        <v>33</v>
      </c>
      <c r="F1392" s="1" t="s">
        <v>29</v>
      </c>
      <c r="G1392" s="1" t="s">
        <v>25</v>
      </c>
      <c r="H1392" s="1" t="s">
        <v>17</v>
      </c>
      <c r="I1392" s="1" t="s">
        <v>30</v>
      </c>
      <c r="J1392" s="1">
        <v>0.39</v>
      </c>
      <c r="K1392" s="36">
        <v>45060</v>
      </c>
    </row>
    <row r="1393" spans="1:11" x14ac:dyDescent="0.3">
      <c r="A1393" s="2" t="s">
        <v>2798</v>
      </c>
      <c r="B1393" s="1" t="s">
        <v>2799</v>
      </c>
      <c r="C1393" s="1">
        <v>51</v>
      </c>
      <c r="D1393" s="1" t="s">
        <v>20</v>
      </c>
      <c r="E1393" s="1" t="s">
        <v>14</v>
      </c>
      <c r="F1393" s="1" t="s">
        <v>46</v>
      </c>
      <c r="G1393" s="1" t="s">
        <v>47</v>
      </c>
      <c r="H1393" s="1" t="s">
        <v>17</v>
      </c>
      <c r="I1393" s="1" t="s">
        <v>17</v>
      </c>
      <c r="J1393" s="1">
        <v>0.15</v>
      </c>
      <c r="K1393" s="36">
        <v>44088</v>
      </c>
    </row>
    <row r="1394" spans="1:11" x14ac:dyDescent="0.3">
      <c r="A1394" s="2" t="s">
        <v>2800</v>
      </c>
      <c r="B1394" s="1" t="s">
        <v>2801</v>
      </c>
      <c r="C1394" s="1">
        <v>79</v>
      </c>
      <c r="D1394" s="1" t="s">
        <v>20</v>
      </c>
      <c r="E1394" s="1" t="s">
        <v>28</v>
      </c>
      <c r="F1394" s="1" t="s">
        <v>15</v>
      </c>
      <c r="G1394" s="1" t="s">
        <v>38</v>
      </c>
      <c r="H1394" s="1" t="s">
        <v>17</v>
      </c>
      <c r="I1394" s="1" t="s">
        <v>30</v>
      </c>
      <c r="J1394" s="1">
        <v>0.38</v>
      </c>
      <c r="K1394" s="36">
        <v>44250</v>
      </c>
    </row>
    <row r="1395" spans="1:11" x14ac:dyDescent="0.3">
      <c r="A1395" s="2" t="s">
        <v>2802</v>
      </c>
      <c r="B1395" s="1" t="s">
        <v>2803</v>
      </c>
      <c r="C1395" s="1">
        <v>64</v>
      </c>
      <c r="D1395" s="1" t="s">
        <v>13</v>
      </c>
      <c r="E1395" s="1" t="s">
        <v>28</v>
      </c>
      <c r="F1395" s="1" t="s">
        <v>62</v>
      </c>
      <c r="G1395" s="1" t="s">
        <v>16</v>
      </c>
      <c r="H1395" s="1" t="s">
        <v>17</v>
      </c>
      <c r="I1395" s="1" t="s">
        <v>30</v>
      </c>
      <c r="J1395" s="1">
        <v>0.41</v>
      </c>
      <c r="K1395" s="36">
        <v>44637</v>
      </c>
    </row>
    <row r="1396" spans="1:11" x14ac:dyDescent="0.3">
      <c r="A1396" s="2" t="s">
        <v>2804</v>
      </c>
      <c r="B1396" s="1" t="s">
        <v>2805</v>
      </c>
      <c r="C1396" s="1">
        <v>31</v>
      </c>
      <c r="D1396" s="1" t="s">
        <v>13</v>
      </c>
      <c r="E1396" s="1" t="s">
        <v>21</v>
      </c>
      <c r="F1396" s="1" t="s">
        <v>29</v>
      </c>
      <c r="G1396" s="1" t="s">
        <v>22</v>
      </c>
      <c r="H1396" s="1" t="s">
        <v>17</v>
      </c>
      <c r="I1396" s="1" t="s">
        <v>30</v>
      </c>
      <c r="J1396" s="1">
        <v>0.41</v>
      </c>
      <c r="K1396" s="36">
        <v>45907</v>
      </c>
    </row>
    <row r="1397" spans="1:11" x14ac:dyDescent="0.3">
      <c r="A1397" s="2" t="s">
        <v>2806</v>
      </c>
      <c r="B1397" s="1" t="s">
        <v>1409</v>
      </c>
      <c r="C1397" s="1">
        <v>55</v>
      </c>
      <c r="D1397" s="1" t="s">
        <v>20</v>
      </c>
      <c r="E1397" s="1" t="s">
        <v>33</v>
      </c>
      <c r="F1397" s="1" t="s">
        <v>46</v>
      </c>
      <c r="G1397" s="1" t="s">
        <v>43</v>
      </c>
      <c r="H1397" s="1" t="s">
        <v>17</v>
      </c>
      <c r="I1397" s="1" t="s">
        <v>17</v>
      </c>
      <c r="J1397" s="1">
        <v>0.28999999999999998</v>
      </c>
      <c r="K1397" s="36">
        <v>45279</v>
      </c>
    </row>
    <row r="1398" spans="1:11" x14ac:dyDescent="0.3">
      <c r="A1398" s="2" t="s">
        <v>2807</v>
      </c>
      <c r="B1398" s="1" t="s">
        <v>2808</v>
      </c>
      <c r="C1398" s="1">
        <v>57</v>
      </c>
      <c r="D1398" s="1" t="s">
        <v>20</v>
      </c>
      <c r="E1398" s="1" t="s">
        <v>28</v>
      </c>
      <c r="F1398" s="1" t="s">
        <v>46</v>
      </c>
      <c r="G1398" s="1" t="s">
        <v>22</v>
      </c>
      <c r="H1398" s="1" t="s">
        <v>17</v>
      </c>
      <c r="I1398" s="1" t="s">
        <v>30</v>
      </c>
      <c r="J1398" s="1">
        <v>0.42</v>
      </c>
      <c r="K1398" s="36">
        <v>45671</v>
      </c>
    </row>
    <row r="1399" spans="1:11" x14ac:dyDescent="0.3">
      <c r="A1399" s="2" t="s">
        <v>2809</v>
      </c>
      <c r="B1399" s="1" t="s">
        <v>2810</v>
      </c>
      <c r="C1399" s="1">
        <v>59</v>
      </c>
      <c r="D1399" s="1" t="s">
        <v>20</v>
      </c>
      <c r="E1399" s="1" t="s">
        <v>21</v>
      </c>
      <c r="F1399" s="1" t="s">
        <v>15</v>
      </c>
      <c r="G1399" s="1" t="s">
        <v>47</v>
      </c>
      <c r="H1399" s="1" t="s">
        <v>17</v>
      </c>
      <c r="I1399" s="1" t="s">
        <v>30</v>
      </c>
      <c r="J1399" s="1">
        <v>0.34</v>
      </c>
      <c r="K1399" s="36">
        <v>45233</v>
      </c>
    </row>
    <row r="1400" spans="1:11" x14ac:dyDescent="0.3">
      <c r="A1400" s="2" t="s">
        <v>2811</v>
      </c>
      <c r="B1400" s="1" t="s">
        <v>2812</v>
      </c>
      <c r="C1400" s="1">
        <v>19</v>
      </c>
      <c r="D1400" s="1" t="s">
        <v>20</v>
      </c>
      <c r="E1400" s="1" t="s">
        <v>33</v>
      </c>
      <c r="F1400" s="1" t="s">
        <v>46</v>
      </c>
      <c r="G1400" s="1" t="s">
        <v>43</v>
      </c>
      <c r="H1400" s="1" t="s">
        <v>17</v>
      </c>
      <c r="I1400" s="1" t="s">
        <v>17</v>
      </c>
      <c r="J1400" s="1">
        <v>0.18</v>
      </c>
      <c r="K1400" s="36">
        <v>44320</v>
      </c>
    </row>
    <row r="1401" spans="1:11" x14ac:dyDescent="0.3">
      <c r="A1401" s="2" t="s">
        <v>2813</v>
      </c>
      <c r="B1401" s="1" t="s">
        <v>2814</v>
      </c>
      <c r="C1401" s="1">
        <v>36</v>
      </c>
      <c r="D1401" s="1" t="s">
        <v>20</v>
      </c>
      <c r="E1401" s="1" t="s">
        <v>28</v>
      </c>
      <c r="F1401" s="1" t="s">
        <v>15</v>
      </c>
      <c r="G1401" s="1" t="s">
        <v>25</v>
      </c>
      <c r="H1401" s="1" t="s">
        <v>17</v>
      </c>
      <c r="I1401" s="1" t="s">
        <v>17</v>
      </c>
      <c r="J1401" s="1">
        <v>0.12</v>
      </c>
      <c r="K1401" s="36">
        <v>44708</v>
      </c>
    </row>
    <row r="1402" spans="1:11" x14ac:dyDescent="0.3">
      <c r="A1402" s="2" t="s">
        <v>2815</v>
      </c>
      <c r="B1402" s="1" t="s">
        <v>2816</v>
      </c>
      <c r="C1402" s="1">
        <v>71</v>
      </c>
      <c r="D1402" s="1" t="s">
        <v>13</v>
      </c>
      <c r="E1402" s="1" t="s">
        <v>21</v>
      </c>
      <c r="F1402" s="1" t="s">
        <v>46</v>
      </c>
      <c r="G1402" s="1" t="s">
        <v>16</v>
      </c>
      <c r="H1402" s="1" t="s">
        <v>30</v>
      </c>
      <c r="I1402" s="1" t="s">
        <v>30</v>
      </c>
      <c r="J1402" s="1">
        <v>0.69</v>
      </c>
      <c r="K1402" s="36">
        <v>44737</v>
      </c>
    </row>
    <row r="1403" spans="1:11" x14ac:dyDescent="0.3">
      <c r="A1403" s="2" t="s">
        <v>2817</v>
      </c>
      <c r="B1403" s="1" t="s">
        <v>2818</v>
      </c>
      <c r="C1403" s="1">
        <v>33</v>
      </c>
      <c r="D1403" s="1" t="s">
        <v>20</v>
      </c>
      <c r="E1403" s="1" t="s">
        <v>33</v>
      </c>
      <c r="F1403" s="1" t="s">
        <v>29</v>
      </c>
      <c r="G1403" s="1" t="s">
        <v>43</v>
      </c>
      <c r="H1403" s="1" t="s">
        <v>30</v>
      </c>
      <c r="I1403" s="1" t="s">
        <v>30</v>
      </c>
      <c r="J1403" s="1">
        <v>0.56000000000000005</v>
      </c>
      <c r="K1403" s="36">
        <v>44181</v>
      </c>
    </row>
    <row r="1404" spans="1:11" x14ac:dyDescent="0.3">
      <c r="A1404" s="2" t="s">
        <v>2819</v>
      </c>
      <c r="B1404" s="1" t="s">
        <v>2820</v>
      </c>
      <c r="C1404" s="1">
        <v>36</v>
      </c>
      <c r="D1404" s="1" t="s">
        <v>13</v>
      </c>
      <c r="E1404" s="1" t="s">
        <v>28</v>
      </c>
      <c r="F1404" s="1" t="s">
        <v>29</v>
      </c>
      <c r="G1404" s="1" t="s">
        <v>25</v>
      </c>
      <c r="H1404" s="1" t="s">
        <v>17</v>
      </c>
      <c r="I1404" s="1" t="s">
        <v>17</v>
      </c>
      <c r="J1404" s="1">
        <v>0.15</v>
      </c>
      <c r="K1404" s="36">
        <v>44997</v>
      </c>
    </row>
    <row r="1405" spans="1:11" x14ac:dyDescent="0.3">
      <c r="A1405" s="2" t="s">
        <v>2821</v>
      </c>
      <c r="B1405" s="1" t="s">
        <v>2822</v>
      </c>
      <c r="C1405" s="1">
        <v>38</v>
      </c>
      <c r="D1405" s="1" t="s">
        <v>20</v>
      </c>
      <c r="E1405" s="1" t="s">
        <v>14</v>
      </c>
      <c r="F1405" s="1" t="s">
        <v>46</v>
      </c>
      <c r="G1405" s="1" t="s">
        <v>43</v>
      </c>
      <c r="H1405" s="1" t="s">
        <v>17</v>
      </c>
      <c r="I1405" s="1" t="s">
        <v>17</v>
      </c>
      <c r="J1405" s="1">
        <v>0.17</v>
      </c>
      <c r="K1405" s="36">
        <v>45817</v>
      </c>
    </row>
    <row r="1406" spans="1:11" x14ac:dyDescent="0.3">
      <c r="A1406" s="2" t="s">
        <v>2823</v>
      </c>
      <c r="B1406" s="1" t="s">
        <v>2824</v>
      </c>
      <c r="C1406" s="1">
        <v>29</v>
      </c>
      <c r="D1406" s="1" t="s">
        <v>20</v>
      </c>
      <c r="E1406" s="1" t="s">
        <v>21</v>
      </c>
      <c r="F1406" s="1" t="s">
        <v>62</v>
      </c>
      <c r="G1406" s="1" t="s">
        <v>25</v>
      </c>
      <c r="H1406" s="1" t="s">
        <v>30</v>
      </c>
      <c r="I1406" s="1" t="s">
        <v>17</v>
      </c>
      <c r="J1406" s="1">
        <v>0.33</v>
      </c>
      <c r="K1406" s="36">
        <v>45078</v>
      </c>
    </row>
    <row r="1407" spans="1:11" x14ac:dyDescent="0.3">
      <c r="A1407" s="2" t="s">
        <v>2825</v>
      </c>
      <c r="B1407" s="1" t="s">
        <v>2826</v>
      </c>
      <c r="C1407" s="1">
        <v>27</v>
      </c>
      <c r="D1407" s="1" t="s">
        <v>13</v>
      </c>
      <c r="E1407" s="1" t="s">
        <v>14</v>
      </c>
      <c r="F1407" s="1" t="s">
        <v>62</v>
      </c>
      <c r="G1407" s="1" t="s">
        <v>22</v>
      </c>
      <c r="H1407" s="1" t="s">
        <v>17</v>
      </c>
      <c r="I1407" s="1" t="s">
        <v>17</v>
      </c>
      <c r="J1407" s="1">
        <v>0.15</v>
      </c>
      <c r="K1407" s="36">
        <v>44320</v>
      </c>
    </row>
    <row r="1408" spans="1:11" x14ac:dyDescent="0.3">
      <c r="A1408" s="2" t="s">
        <v>2827</v>
      </c>
      <c r="B1408" s="1" t="s">
        <v>2828</v>
      </c>
      <c r="C1408" s="1">
        <v>39</v>
      </c>
      <c r="D1408" s="1" t="s">
        <v>20</v>
      </c>
      <c r="E1408" s="1" t="s">
        <v>14</v>
      </c>
      <c r="F1408" s="1" t="s">
        <v>62</v>
      </c>
      <c r="G1408" s="1" t="s">
        <v>38</v>
      </c>
      <c r="H1408" s="1" t="s">
        <v>30</v>
      </c>
      <c r="I1408" s="1" t="s">
        <v>30</v>
      </c>
      <c r="J1408" s="1">
        <v>0.56000000000000005</v>
      </c>
      <c r="K1408" s="36">
        <v>46061</v>
      </c>
    </row>
    <row r="1409" spans="1:11" x14ac:dyDescent="0.3">
      <c r="A1409" s="2" t="s">
        <v>2829</v>
      </c>
      <c r="B1409" s="1" t="s">
        <v>2830</v>
      </c>
      <c r="C1409" s="1">
        <v>73</v>
      </c>
      <c r="D1409" s="1" t="s">
        <v>13</v>
      </c>
      <c r="E1409" s="1" t="s">
        <v>33</v>
      </c>
      <c r="F1409" s="1" t="s">
        <v>29</v>
      </c>
      <c r="G1409" s="1" t="s">
        <v>16</v>
      </c>
      <c r="H1409" s="1" t="s">
        <v>17</v>
      </c>
      <c r="I1409" s="1" t="s">
        <v>30</v>
      </c>
      <c r="J1409" s="1">
        <v>0.41</v>
      </c>
      <c r="K1409" s="36">
        <v>45385</v>
      </c>
    </row>
    <row r="1410" spans="1:11" x14ac:dyDescent="0.3">
      <c r="A1410" s="2" t="s">
        <v>2831</v>
      </c>
      <c r="B1410" s="1" t="s">
        <v>2832</v>
      </c>
      <c r="C1410" s="1">
        <v>18</v>
      </c>
      <c r="D1410" s="1" t="s">
        <v>20</v>
      </c>
      <c r="E1410" s="1" t="s">
        <v>14</v>
      </c>
      <c r="F1410" s="1" t="s">
        <v>62</v>
      </c>
      <c r="G1410" s="1" t="s">
        <v>25</v>
      </c>
      <c r="H1410" s="1" t="s">
        <v>17</v>
      </c>
      <c r="I1410" s="1" t="s">
        <v>17</v>
      </c>
      <c r="J1410" s="1">
        <v>0.37</v>
      </c>
      <c r="K1410" s="36">
        <v>44113</v>
      </c>
    </row>
    <row r="1411" spans="1:11" x14ac:dyDescent="0.3">
      <c r="A1411" s="2" t="s">
        <v>2833</v>
      </c>
      <c r="B1411" s="1" t="s">
        <v>2834</v>
      </c>
      <c r="C1411" s="1">
        <v>35</v>
      </c>
      <c r="D1411" s="1" t="s">
        <v>13</v>
      </c>
      <c r="E1411" s="1" t="s">
        <v>14</v>
      </c>
      <c r="F1411" s="1" t="s">
        <v>62</v>
      </c>
      <c r="G1411" s="1" t="s">
        <v>43</v>
      </c>
      <c r="H1411" s="1" t="s">
        <v>17</v>
      </c>
      <c r="I1411" s="1" t="s">
        <v>17</v>
      </c>
      <c r="J1411" s="1">
        <v>0.28000000000000003</v>
      </c>
      <c r="K1411" s="36">
        <v>45206</v>
      </c>
    </row>
    <row r="1412" spans="1:11" x14ac:dyDescent="0.3">
      <c r="A1412" s="2" t="s">
        <v>2835</v>
      </c>
      <c r="B1412" s="1" t="s">
        <v>2836</v>
      </c>
      <c r="C1412" s="1">
        <v>21</v>
      </c>
      <c r="D1412" s="1" t="s">
        <v>13</v>
      </c>
      <c r="E1412" s="1" t="s">
        <v>28</v>
      </c>
      <c r="F1412" s="1" t="s">
        <v>46</v>
      </c>
      <c r="G1412" s="1" t="s">
        <v>25</v>
      </c>
      <c r="H1412" s="1" t="s">
        <v>17</v>
      </c>
      <c r="I1412" s="1" t="s">
        <v>17</v>
      </c>
      <c r="J1412" s="1">
        <v>0.33</v>
      </c>
      <c r="K1412" s="36">
        <v>44607</v>
      </c>
    </row>
    <row r="1413" spans="1:11" x14ac:dyDescent="0.3">
      <c r="A1413" s="2" t="s">
        <v>2837</v>
      </c>
      <c r="B1413" s="1" t="s">
        <v>2838</v>
      </c>
      <c r="C1413" s="1">
        <v>53</v>
      </c>
      <c r="D1413" s="1" t="s">
        <v>13</v>
      </c>
      <c r="E1413" s="1" t="s">
        <v>33</v>
      </c>
      <c r="F1413" s="1" t="s">
        <v>46</v>
      </c>
      <c r="G1413" s="1" t="s">
        <v>16</v>
      </c>
      <c r="H1413" s="1" t="s">
        <v>17</v>
      </c>
      <c r="I1413" s="1" t="s">
        <v>17</v>
      </c>
      <c r="J1413" s="1">
        <v>0.24</v>
      </c>
      <c r="K1413" s="36">
        <v>44391</v>
      </c>
    </row>
    <row r="1414" spans="1:11" x14ac:dyDescent="0.3">
      <c r="A1414" s="2" t="s">
        <v>2839</v>
      </c>
      <c r="B1414" s="1" t="s">
        <v>2840</v>
      </c>
      <c r="C1414" s="1">
        <v>33</v>
      </c>
      <c r="D1414" s="1" t="s">
        <v>20</v>
      </c>
      <c r="E1414" s="1" t="s">
        <v>28</v>
      </c>
      <c r="F1414" s="1" t="s">
        <v>62</v>
      </c>
      <c r="G1414" s="1" t="s">
        <v>16</v>
      </c>
      <c r="H1414" s="1" t="s">
        <v>17</v>
      </c>
      <c r="I1414" s="1" t="s">
        <v>17</v>
      </c>
      <c r="J1414" s="1">
        <v>0.17</v>
      </c>
      <c r="K1414" s="36">
        <v>45017</v>
      </c>
    </row>
    <row r="1415" spans="1:11" x14ac:dyDescent="0.3">
      <c r="A1415" s="2" t="s">
        <v>2841</v>
      </c>
      <c r="B1415" s="1" t="s">
        <v>2842</v>
      </c>
      <c r="C1415" s="1">
        <v>67</v>
      </c>
      <c r="D1415" s="1" t="s">
        <v>20</v>
      </c>
      <c r="E1415" s="1" t="s">
        <v>33</v>
      </c>
      <c r="F1415" s="1" t="s">
        <v>29</v>
      </c>
      <c r="G1415" s="1" t="s">
        <v>38</v>
      </c>
      <c r="H1415" s="1" t="s">
        <v>30</v>
      </c>
      <c r="I1415" s="1" t="s">
        <v>30</v>
      </c>
      <c r="J1415" s="1">
        <v>0.65</v>
      </c>
      <c r="K1415" s="36">
        <v>45424</v>
      </c>
    </row>
    <row r="1416" spans="1:11" x14ac:dyDescent="0.3">
      <c r="A1416" s="2" t="s">
        <v>2843</v>
      </c>
      <c r="B1416" s="1" t="s">
        <v>2844</v>
      </c>
      <c r="C1416" s="1">
        <v>54</v>
      </c>
      <c r="D1416" s="1" t="s">
        <v>20</v>
      </c>
      <c r="E1416" s="1" t="s">
        <v>28</v>
      </c>
      <c r="F1416" s="1" t="s">
        <v>15</v>
      </c>
      <c r="G1416" s="1" t="s">
        <v>38</v>
      </c>
      <c r="H1416" s="1" t="s">
        <v>17</v>
      </c>
      <c r="I1416" s="1" t="s">
        <v>17</v>
      </c>
      <c r="J1416" s="1">
        <v>0.18</v>
      </c>
      <c r="K1416" s="36">
        <v>44604</v>
      </c>
    </row>
    <row r="1417" spans="1:11" x14ac:dyDescent="0.3">
      <c r="A1417" s="2" t="s">
        <v>2845</v>
      </c>
      <c r="B1417" s="1" t="s">
        <v>2846</v>
      </c>
      <c r="C1417" s="1">
        <v>67</v>
      </c>
      <c r="D1417" s="1" t="s">
        <v>13</v>
      </c>
      <c r="E1417" s="1" t="s">
        <v>21</v>
      </c>
      <c r="F1417" s="1" t="s">
        <v>62</v>
      </c>
      <c r="G1417" s="1" t="s">
        <v>38</v>
      </c>
      <c r="H1417" s="1" t="s">
        <v>17</v>
      </c>
      <c r="I1417" s="1" t="s">
        <v>17</v>
      </c>
      <c r="J1417" s="1">
        <v>0.38</v>
      </c>
      <c r="K1417" s="36">
        <v>44990</v>
      </c>
    </row>
    <row r="1418" spans="1:11" x14ac:dyDescent="0.3">
      <c r="A1418" s="2" t="s">
        <v>2847</v>
      </c>
      <c r="B1418" s="1" t="s">
        <v>2848</v>
      </c>
      <c r="C1418" s="1">
        <v>57</v>
      </c>
      <c r="D1418" s="1" t="s">
        <v>20</v>
      </c>
      <c r="E1418" s="1" t="s">
        <v>28</v>
      </c>
      <c r="F1418" s="1" t="s">
        <v>46</v>
      </c>
      <c r="G1418" s="1" t="s">
        <v>43</v>
      </c>
      <c r="H1418" s="1" t="s">
        <v>17</v>
      </c>
      <c r="I1418" s="1" t="s">
        <v>30</v>
      </c>
      <c r="J1418" s="1">
        <v>0.45</v>
      </c>
      <c r="K1418" s="36">
        <v>45533</v>
      </c>
    </row>
    <row r="1419" spans="1:11" x14ac:dyDescent="0.3">
      <c r="A1419" s="2" t="s">
        <v>2849</v>
      </c>
      <c r="B1419" s="1" t="s">
        <v>2850</v>
      </c>
      <c r="C1419" s="1">
        <v>45</v>
      </c>
      <c r="D1419" s="1" t="s">
        <v>20</v>
      </c>
      <c r="E1419" s="1" t="s">
        <v>28</v>
      </c>
      <c r="F1419" s="1" t="s">
        <v>15</v>
      </c>
      <c r="G1419" s="1" t="s">
        <v>25</v>
      </c>
      <c r="H1419" s="1" t="s">
        <v>17</v>
      </c>
      <c r="I1419" s="1" t="s">
        <v>17</v>
      </c>
      <c r="J1419" s="1">
        <v>0.22</v>
      </c>
      <c r="K1419" s="36">
        <v>44264</v>
      </c>
    </row>
    <row r="1420" spans="1:11" x14ac:dyDescent="0.3">
      <c r="A1420" s="2" t="s">
        <v>2851</v>
      </c>
      <c r="B1420" s="1" t="s">
        <v>2852</v>
      </c>
      <c r="C1420" s="1">
        <v>72</v>
      </c>
      <c r="D1420" s="1" t="s">
        <v>20</v>
      </c>
      <c r="E1420" s="1" t="s">
        <v>21</v>
      </c>
      <c r="F1420" s="1" t="s">
        <v>29</v>
      </c>
      <c r="G1420" s="1" t="s">
        <v>47</v>
      </c>
      <c r="H1420" s="1" t="s">
        <v>30</v>
      </c>
      <c r="I1420" s="1" t="s">
        <v>30</v>
      </c>
      <c r="J1420" s="1">
        <v>0.62</v>
      </c>
      <c r="K1420" s="36">
        <v>46213</v>
      </c>
    </row>
    <row r="1421" spans="1:11" x14ac:dyDescent="0.3">
      <c r="A1421" s="2" t="s">
        <v>2853</v>
      </c>
      <c r="B1421" s="1" t="s">
        <v>2854</v>
      </c>
      <c r="C1421" s="1">
        <v>48</v>
      </c>
      <c r="D1421" s="1" t="s">
        <v>20</v>
      </c>
      <c r="E1421" s="1" t="s">
        <v>14</v>
      </c>
      <c r="F1421" s="1" t="s">
        <v>62</v>
      </c>
      <c r="G1421" s="1" t="s">
        <v>22</v>
      </c>
      <c r="H1421" s="1" t="s">
        <v>17</v>
      </c>
      <c r="I1421" s="1" t="s">
        <v>30</v>
      </c>
      <c r="J1421" s="1">
        <v>0.45</v>
      </c>
      <c r="K1421" s="36">
        <v>44225</v>
      </c>
    </row>
    <row r="1422" spans="1:11" x14ac:dyDescent="0.3">
      <c r="A1422" s="2" t="s">
        <v>2855</v>
      </c>
      <c r="B1422" s="1" t="s">
        <v>2856</v>
      </c>
      <c r="C1422" s="1">
        <v>77</v>
      </c>
      <c r="D1422" s="1" t="s">
        <v>20</v>
      </c>
      <c r="E1422" s="1" t="s">
        <v>14</v>
      </c>
      <c r="F1422" s="1" t="s">
        <v>46</v>
      </c>
      <c r="G1422" s="1" t="s">
        <v>22</v>
      </c>
      <c r="H1422" s="1" t="s">
        <v>17</v>
      </c>
      <c r="I1422" s="1" t="s">
        <v>17</v>
      </c>
      <c r="J1422" s="1">
        <v>0.19</v>
      </c>
      <c r="K1422" s="36">
        <v>45230</v>
      </c>
    </row>
    <row r="1423" spans="1:11" x14ac:dyDescent="0.3">
      <c r="A1423" s="2" t="s">
        <v>2857</v>
      </c>
      <c r="B1423" s="1" t="s">
        <v>2858</v>
      </c>
      <c r="C1423" s="1">
        <v>80</v>
      </c>
      <c r="D1423" s="1" t="s">
        <v>20</v>
      </c>
      <c r="E1423" s="1" t="s">
        <v>14</v>
      </c>
      <c r="F1423" s="1" t="s">
        <v>29</v>
      </c>
      <c r="G1423" s="1" t="s">
        <v>47</v>
      </c>
      <c r="H1423" s="1" t="s">
        <v>17</v>
      </c>
      <c r="I1423" s="1" t="s">
        <v>30</v>
      </c>
      <c r="J1423" s="1">
        <v>0.54</v>
      </c>
      <c r="K1423" s="36">
        <v>45189</v>
      </c>
    </row>
    <row r="1424" spans="1:11" x14ac:dyDescent="0.3">
      <c r="A1424" s="2" t="s">
        <v>2859</v>
      </c>
      <c r="B1424" s="1" t="s">
        <v>2860</v>
      </c>
      <c r="C1424" s="1">
        <v>55</v>
      </c>
      <c r="D1424" s="1" t="s">
        <v>20</v>
      </c>
      <c r="E1424" s="1" t="s">
        <v>28</v>
      </c>
      <c r="F1424" s="1" t="s">
        <v>29</v>
      </c>
      <c r="G1424" s="1" t="s">
        <v>22</v>
      </c>
      <c r="H1424" s="1" t="s">
        <v>17</v>
      </c>
      <c r="I1424" s="1" t="s">
        <v>17</v>
      </c>
      <c r="J1424" s="1">
        <v>0.27</v>
      </c>
      <c r="K1424" s="36">
        <v>46243</v>
      </c>
    </row>
    <row r="1425" spans="1:11" x14ac:dyDescent="0.3">
      <c r="A1425" s="2" t="s">
        <v>2861</v>
      </c>
      <c r="B1425" s="1" t="s">
        <v>2862</v>
      </c>
      <c r="C1425" s="1">
        <v>60</v>
      </c>
      <c r="D1425" s="1" t="s">
        <v>13</v>
      </c>
      <c r="E1425" s="1" t="s">
        <v>33</v>
      </c>
      <c r="F1425" s="1" t="s">
        <v>15</v>
      </c>
      <c r="G1425" s="1" t="s">
        <v>22</v>
      </c>
      <c r="H1425" s="1" t="s">
        <v>17</v>
      </c>
      <c r="I1425" s="1" t="s">
        <v>17</v>
      </c>
      <c r="J1425" s="1">
        <v>0.2</v>
      </c>
      <c r="K1425" s="36">
        <v>45291</v>
      </c>
    </row>
    <row r="1426" spans="1:11" x14ac:dyDescent="0.3">
      <c r="A1426" s="2" t="s">
        <v>2863</v>
      </c>
      <c r="B1426" s="1" t="s">
        <v>2864</v>
      </c>
      <c r="C1426" s="1">
        <v>34</v>
      </c>
      <c r="D1426" s="1" t="s">
        <v>20</v>
      </c>
      <c r="E1426" s="1" t="s">
        <v>21</v>
      </c>
      <c r="F1426" s="1" t="s">
        <v>15</v>
      </c>
      <c r="G1426" s="1" t="s">
        <v>25</v>
      </c>
      <c r="H1426" s="1" t="s">
        <v>17</v>
      </c>
      <c r="I1426" s="1" t="s">
        <v>17</v>
      </c>
      <c r="J1426" s="1">
        <v>0.15</v>
      </c>
      <c r="K1426" s="36">
        <v>44932</v>
      </c>
    </row>
    <row r="1427" spans="1:11" x14ac:dyDescent="0.3">
      <c r="A1427" s="2" t="s">
        <v>2865</v>
      </c>
      <c r="B1427" s="1" t="s">
        <v>2866</v>
      </c>
      <c r="C1427" s="1">
        <v>69</v>
      </c>
      <c r="D1427" s="1" t="s">
        <v>20</v>
      </c>
      <c r="E1427" s="1" t="s">
        <v>33</v>
      </c>
      <c r="F1427" s="1" t="s">
        <v>62</v>
      </c>
      <c r="G1427" s="1" t="s">
        <v>25</v>
      </c>
      <c r="H1427" s="1" t="s">
        <v>17</v>
      </c>
      <c r="I1427" s="1" t="s">
        <v>30</v>
      </c>
      <c r="J1427" s="1">
        <v>0.33</v>
      </c>
      <c r="K1427" s="36">
        <v>45107</v>
      </c>
    </row>
    <row r="1428" spans="1:11" x14ac:dyDescent="0.3">
      <c r="A1428" s="2" t="s">
        <v>2867</v>
      </c>
      <c r="B1428" s="1" t="s">
        <v>2868</v>
      </c>
      <c r="C1428" s="1">
        <v>60</v>
      </c>
      <c r="D1428" s="1" t="s">
        <v>13</v>
      </c>
      <c r="E1428" s="1" t="s">
        <v>28</v>
      </c>
      <c r="F1428" s="1" t="s">
        <v>29</v>
      </c>
      <c r="G1428" s="1" t="s">
        <v>38</v>
      </c>
      <c r="H1428" s="1" t="s">
        <v>30</v>
      </c>
      <c r="I1428" s="1" t="s">
        <v>17</v>
      </c>
      <c r="J1428" s="1">
        <v>0.5</v>
      </c>
      <c r="K1428" s="36">
        <v>45470</v>
      </c>
    </row>
    <row r="1429" spans="1:11" x14ac:dyDescent="0.3">
      <c r="A1429" s="2" t="s">
        <v>2869</v>
      </c>
      <c r="B1429" s="1" t="s">
        <v>2870</v>
      </c>
      <c r="C1429" s="1">
        <v>74</v>
      </c>
      <c r="D1429" s="1" t="s">
        <v>13</v>
      </c>
      <c r="E1429" s="1" t="s">
        <v>14</v>
      </c>
      <c r="F1429" s="1" t="s">
        <v>15</v>
      </c>
      <c r="G1429" s="1" t="s">
        <v>22</v>
      </c>
      <c r="H1429" s="1" t="s">
        <v>17</v>
      </c>
      <c r="I1429" s="1" t="s">
        <v>17</v>
      </c>
      <c r="J1429" s="1">
        <v>0.22</v>
      </c>
      <c r="K1429" s="36">
        <v>46227</v>
      </c>
    </row>
    <row r="1430" spans="1:11" x14ac:dyDescent="0.3">
      <c r="A1430" s="2" t="s">
        <v>2871</v>
      </c>
      <c r="B1430" s="1" t="s">
        <v>2872</v>
      </c>
      <c r="C1430" s="1">
        <v>34</v>
      </c>
      <c r="D1430" s="1" t="s">
        <v>20</v>
      </c>
      <c r="E1430" s="1" t="s">
        <v>28</v>
      </c>
      <c r="F1430" s="1" t="s">
        <v>46</v>
      </c>
      <c r="G1430" s="1" t="s">
        <v>43</v>
      </c>
      <c r="H1430" s="1" t="s">
        <v>30</v>
      </c>
      <c r="I1430" s="1" t="s">
        <v>17</v>
      </c>
      <c r="J1430" s="1">
        <v>0.39</v>
      </c>
      <c r="K1430" s="36">
        <v>44633</v>
      </c>
    </row>
    <row r="1431" spans="1:11" x14ac:dyDescent="0.3">
      <c r="A1431" s="2" t="s">
        <v>2873</v>
      </c>
      <c r="B1431" s="1" t="s">
        <v>2874</v>
      </c>
      <c r="C1431" s="1">
        <v>67</v>
      </c>
      <c r="D1431" s="1" t="s">
        <v>13</v>
      </c>
      <c r="E1431" s="1" t="s">
        <v>33</v>
      </c>
      <c r="F1431" s="1" t="s">
        <v>46</v>
      </c>
      <c r="G1431" s="1" t="s">
        <v>43</v>
      </c>
      <c r="H1431" s="1" t="s">
        <v>17</v>
      </c>
      <c r="I1431" s="1" t="s">
        <v>30</v>
      </c>
      <c r="J1431" s="1">
        <v>0.5</v>
      </c>
      <c r="K1431" s="36">
        <v>44112</v>
      </c>
    </row>
    <row r="1432" spans="1:11" x14ac:dyDescent="0.3">
      <c r="A1432" s="2" t="s">
        <v>2875</v>
      </c>
      <c r="B1432" s="1" t="s">
        <v>2876</v>
      </c>
      <c r="C1432" s="1">
        <v>47</v>
      </c>
      <c r="D1432" s="1" t="s">
        <v>13</v>
      </c>
      <c r="E1432" s="1" t="s">
        <v>28</v>
      </c>
      <c r="F1432" s="1" t="s">
        <v>29</v>
      </c>
      <c r="G1432" s="1" t="s">
        <v>25</v>
      </c>
      <c r="H1432" s="1" t="s">
        <v>17</v>
      </c>
      <c r="I1432" s="1" t="s">
        <v>30</v>
      </c>
      <c r="J1432" s="1">
        <v>0.31</v>
      </c>
      <c r="K1432" s="36">
        <v>45805</v>
      </c>
    </row>
    <row r="1433" spans="1:11" x14ac:dyDescent="0.3">
      <c r="A1433" s="2" t="s">
        <v>2877</v>
      </c>
      <c r="B1433" s="1" t="s">
        <v>2878</v>
      </c>
      <c r="C1433" s="1">
        <v>29</v>
      </c>
      <c r="D1433" s="1" t="s">
        <v>13</v>
      </c>
      <c r="E1433" s="1" t="s">
        <v>28</v>
      </c>
      <c r="F1433" s="1" t="s">
        <v>29</v>
      </c>
      <c r="G1433" s="1" t="s">
        <v>25</v>
      </c>
      <c r="H1433" s="1" t="s">
        <v>17</v>
      </c>
      <c r="I1433" s="1" t="s">
        <v>30</v>
      </c>
      <c r="J1433" s="1">
        <v>0.33</v>
      </c>
      <c r="K1433" s="36">
        <v>44832</v>
      </c>
    </row>
    <row r="1434" spans="1:11" x14ac:dyDescent="0.3">
      <c r="A1434" s="2" t="s">
        <v>2879</v>
      </c>
      <c r="B1434" s="1" t="s">
        <v>2880</v>
      </c>
      <c r="C1434" s="1">
        <v>28</v>
      </c>
      <c r="D1434" s="1" t="s">
        <v>13</v>
      </c>
      <c r="E1434" s="1" t="s">
        <v>21</v>
      </c>
      <c r="F1434" s="1" t="s">
        <v>29</v>
      </c>
      <c r="G1434" s="1" t="s">
        <v>38</v>
      </c>
      <c r="H1434" s="1" t="s">
        <v>17</v>
      </c>
      <c r="I1434" s="1" t="s">
        <v>17</v>
      </c>
      <c r="J1434" s="1">
        <v>0.12</v>
      </c>
      <c r="K1434" s="36">
        <v>45683</v>
      </c>
    </row>
    <row r="1435" spans="1:11" x14ac:dyDescent="0.3">
      <c r="A1435" s="2" t="s">
        <v>2881</v>
      </c>
      <c r="B1435" s="1" t="s">
        <v>2882</v>
      </c>
      <c r="C1435" s="1">
        <v>53</v>
      </c>
      <c r="D1435" s="1" t="s">
        <v>13</v>
      </c>
      <c r="E1435" s="1" t="s">
        <v>28</v>
      </c>
      <c r="F1435" s="1" t="s">
        <v>46</v>
      </c>
      <c r="G1435" s="1" t="s">
        <v>43</v>
      </c>
      <c r="H1435" s="1" t="s">
        <v>17</v>
      </c>
      <c r="I1435" s="1" t="s">
        <v>30</v>
      </c>
      <c r="J1435" s="1">
        <v>0.33</v>
      </c>
      <c r="K1435" s="36">
        <v>45454</v>
      </c>
    </row>
    <row r="1436" spans="1:11" x14ac:dyDescent="0.3">
      <c r="A1436" s="2" t="s">
        <v>2883</v>
      </c>
      <c r="B1436" s="1" t="s">
        <v>2884</v>
      </c>
      <c r="C1436" s="1">
        <v>38</v>
      </c>
      <c r="D1436" s="1" t="s">
        <v>20</v>
      </c>
      <c r="E1436" s="1" t="s">
        <v>21</v>
      </c>
      <c r="F1436" s="1" t="s">
        <v>46</v>
      </c>
      <c r="G1436" s="1" t="s">
        <v>25</v>
      </c>
      <c r="H1436" s="1" t="s">
        <v>17</v>
      </c>
      <c r="I1436" s="1" t="s">
        <v>17</v>
      </c>
      <c r="J1436" s="1">
        <v>0.35</v>
      </c>
      <c r="K1436" s="36">
        <v>45768</v>
      </c>
    </row>
    <row r="1437" spans="1:11" x14ac:dyDescent="0.3">
      <c r="A1437" s="2" t="s">
        <v>2885</v>
      </c>
      <c r="B1437" s="1" t="s">
        <v>2886</v>
      </c>
      <c r="C1437" s="1">
        <v>24</v>
      </c>
      <c r="D1437" s="1" t="s">
        <v>20</v>
      </c>
      <c r="E1437" s="1" t="s">
        <v>28</v>
      </c>
      <c r="F1437" s="1" t="s">
        <v>15</v>
      </c>
      <c r="G1437" s="1" t="s">
        <v>43</v>
      </c>
      <c r="H1437" s="1" t="s">
        <v>17</v>
      </c>
      <c r="I1437" s="1" t="s">
        <v>17</v>
      </c>
      <c r="J1437" s="1">
        <v>0.3</v>
      </c>
      <c r="K1437" s="36">
        <v>45688</v>
      </c>
    </row>
    <row r="1438" spans="1:11" x14ac:dyDescent="0.3">
      <c r="A1438" s="2" t="s">
        <v>2887</v>
      </c>
      <c r="B1438" s="1" t="s">
        <v>2888</v>
      </c>
      <c r="C1438" s="1">
        <v>44</v>
      </c>
      <c r="D1438" s="1" t="s">
        <v>13</v>
      </c>
      <c r="E1438" s="1" t="s">
        <v>28</v>
      </c>
      <c r="F1438" s="1" t="s">
        <v>46</v>
      </c>
      <c r="G1438" s="1" t="s">
        <v>43</v>
      </c>
      <c r="H1438" s="1" t="s">
        <v>17</v>
      </c>
      <c r="I1438" s="1" t="s">
        <v>30</v>
      </c>
      <c r="J1438" s="1">
        <v>0.33</v>
      </c>
      <c r="K1438" s="36">
        <v>44805</v>
      </c>
    </row>
    <row r="1439" spans="1:11" x14ac:dyDescent="0.3">
      <c r="A1439" s="2" t="s">
        <v>2889</v>
      </c>
      <c r="B1439" s="1" t="s">
        <v>2890</v>
      </c>
      <c r="C1439" s="1">
        <v>59</v>
      </c>
      <c r="D1439" s="1" t="s">
        <v>13</v>
      </c>
      <c r="E1439" s="1" t="s">
        <v>14</v>
      </c>
      <c r="F1439" s="1" t="s">
        <v>15</v>
      </c>
      <c r="G1439" s="1" t="s">
        <v>47</v>
      </c>
      <c r="H1439" s="1" t="s">
        <v>17</v>
      </c>
      <c r="I1439" s="1" t="s">
        <v>30</v>
      </c>
      <c r="J1439" s="1">
        <v>0.39</v>
      </c>
      <c r="K1439" s="36">
        <v>44174</v>
      </c>
    </row>
    <row r="1440" spans="1:11" x14ac:dyDescent="0.3">
      <c r="A1440" s="2" t="s">
        <v>2891</v>
      </c>
      <c r="B1440" s="1" t="s">
        <v>2892</v>
      </c>
      <c r="C1440" s="1">
        <v>38</v>
      </c>
      <c r="D1440" s="1" t="s">
        <v>20</v>
      </c>
      <c r="E1440" s="1" t="s">
        <v>21</v>
      </c>
      <c r="F1440" s="1" t="s">
        <v>62</v>
      </c>
      <c r="G1440" s="1" t="s">
        <v>38</v>
      </c>
      <c r="H1440" s="1" t="s">
        <v>17</v>
      </c>
      <c r="I1440" s="1" t="s">
        <v>17</v>
      </c>
      <c r="J1440" s="1">
        <v>0.2</v>
      </c>
      <c r="K1440" s="36">
        <v>45273</v>
      </c>
    </row>
    <row r="1441" spans="1:11" x14ac:dyDescent="0.3">
      <c r="A1441" s="2" t="s">
        <v>2893</v>
      </c>
      <c r="B1441" s="1" t="s">
        <v>2894</v>
      </c>
      <c r="C1441" s="1">
        <v>78</v>
      </c>
      <c r="D1441" s="1" t="s">
        <v>20</v>
      </c>
      <c r="E1441" s="1" t="s">
        <v>14</v>
      </c>
      <c r="F1441" s="1" t="s">
        <v>15</v>
      </c>
      <c r="G1441" s="1" t="s">
        <v>16</v>
      </c>
      <c r="H1441" s="1" t="s">
        <v>17</v>
      </c>
      <c r="I1441" s="1" t="s">
        <v>30</v>
      </c>
      <c r="J1441" s="1">
        <v>0.44</v>
      </c>
      <c r="K1441" s="36">
        <v>45860</v>
      </c>
    </row>
    <row r="1442" spans="1:11" x14ac:dyDescent="0.3">
      <c r="A1442" s="2" t="s">
        <v>2895</v>
      </c>
      <c r="B1442" s="1" t="s">
        <v>2896</v>
      </c>
      <c r="C1442" s="1">
        <v>67</v>
      </c>
      <c r="D1442" s="1" t="s">
        <v>13</v>
      </c>
      <c r="E1442" s="1" t="s">
        <v>14</v>
      </c>
      <c r="F1442" s="1" t="s">
        <v>46</v>
      </c>
      <c r="G1442" s="1" t="s">
        <v>22</v>
      </c>
      <c r="H1442" s="1" t="s">
        <v>17</v>
      </c>
      <c r="I1442" s="1" t="s">
        <v>17</v>
      </c>
      <c r="J1442" s="1">
        <v>0.25</v>
      </c>
      <c r="K1442" s="36">
        <v>44460</v>
      </c>
    </row>
    <row r="1443" spans="1:11" x14ac:dyDescent="0.3">
      <c r="A1443" s="2" t="s">
        <v>2897</v>
      </c>
      <c r="B1443" s="1" t="s">
        <v>2898</v>
      </c>
      <c r="C1443" s="1">
        <v>50</v>
      </c>
      <c r="D1443" s="1" t="s">
        <v>20</v>
      </c>
      <c r="E1443" s="1" t="s">
        <v>33</v>
      </c>
      <c r="F1443" s="1" t="s">
        <v>15</v>
      </c>
      <c r="G1443" s="1" t="s">
        <v>38</v>
      </c>
      <c r="H1443" s="1" t="s">
        <v>17</v>
      </c>
      <c r="I1443" s="1" t="s">
        <v>30</v>
      </c>
      <c r="J1443" s="1">
        <v>0.38</v>
      </c>
      <c r="K1443" s="36">
        <v>45784</v>
      </c>
    </row>
    <row r="1444" spans="1:11" x14ac:dyDescent="0.3">
      <c r="A1444" s="2" t="s">
        <v>2899</v>
      </c>
      <c r="B1444" s="1" t="s">
        <v>2900</v>
      </c>
      <c r="C1444" s="1">
        <v>76</v>
      </c>
      <c r="D1444" s="1" t="s">
        <v>13</v>
      </c>
      <c r="E1444" s="1" t="s">
        <v>21</v>
      </c>
      <c r="F1444" s="1" t="s">
        <v>62</v>
      </c>
      <c r="G1444" s="1" t="s">
        <v>47</v>
      </c>
      <c r="H1444" s="1" t="s">
        <v>17</v>
      </c>
      <c r="I1444" s="1" t="s">
        <v>30</v>
      </c>
      <c r="J1444" s="1">
        <v>0.37</v>
      </c>
      <c r="K1444" s="36">
        <v>45095</v>
      </c>
    </row>
    <row r="1445" spans="1:11" x14ac:dyDescent="0.3">
      <c r="A1445" s="2" t="s">
        <v>2901</v>
      </c>
      <c r="B1445" s="1" t="s">
        <v>2902</v>
      </c>
      <c r="C1445" s="1">
        <v>45</v>
      </c>
      <c r="D1445" s="1" t="s">
        <v>20</v>
      </c>
      <c r="E1445" s="1" t="s">
        <v>21</v>
      </c>
      <c r="F1445" s="1" t="s">
        <v>62</v>
      </c>
      <c r="G1445" s="1" t="s">
        <v>43</v>
      </c>
      <c r="H1445" s="1" t="s">
        <v>17</v>
      </c>
      <c r="I1445" s="1" t="s">
        <v>30</v>
      </c>
      <c r="J1445" s="1">
        <v>0.28999999999999998</v>
      </c>
      <c r="K1445" s="36">
        <v>45601</v>
      </c>
    </row>
    <row r="1446" spans="1:11" x14ac:dyDescent="0.3">
      <c r="A1446" s="2" t="s">
        <v>2903</v>
      </c>
      <c r="B1446" s="1" t="s">
        <v>2904</v>
      </c>
      <c r="C1446" s="1">
        <v>26</v>
      </c>
      <c r="D1446" s="1" t="s">
        <v>13</v>
      </c>
      <c r="E1446" s="1" t="s">
        <v>14</v>
      </c>
      <c r="F1446" s="1" t="s">
        <v>15</v>
      </c>
      <c r="G1446" s="1" t="s">
        <v>22</v>
      </c>
      <c r="H1446" s="1" t="s">
        <v>17</v>
      </c>
      <c r="I1446" s="1" t="s">
        <v>17</v>
      </c>
      <c r="J1446" s="1">
        <v>0.22</v>
      </c>
      <c r="K1446" s="36">
        <v>45461</v>
      </c>
    </row>
    <row r="1447" spans="1:11" x14ac:dyDescent="0.3">
      <c r="A1447" s="2" t="s">
        <v>2905</v>
      </c>
      <c r="B1447" s="1" t="s">
        <v>2906</v>
      </c>
      <c r="C1447" s="1">
        <v>20</v>
      </c>
      <c r="D1447" s="1" t="s">
        <v>13</v>
      </c>
      <c r="E1447" s="1" t="s">
        <v>28</v>
      </c>
      <c r="F1447" s="1" t="s">
        <v>15</v>
      </c>
      <c r="G1447" s="1" t="s">
        <v>47</v>
      </c>
      <c r="H1447" s="1" t="s">
        <v>17</v>
      </c>
      <c r="I1447" s="1" t="s">
        <v>17</v>
      </c>
      <c r="J1447" s="1">
        <v>0.18</v>
      </c>
      <c r="K1447" s="36">
        <v>45855</v>
      </c>
    </row>
    <row r="1448" spans="1:11" x14ac:dyDescent="0.3">
      <c r="A1448" s="2" t="s">
        <v>2907</v>
      </c>
      <c r="B1448" s="1" t="s">
        <v>2908</v>
      </c>
      <c r="C1448" s="1">
        <v>77</v>
      </c>
      <c r="D1448" s="1" t="s">
        <v>13</v>
      </c>
      <c r="E1448" s="1" t="s">
        <v>14</v>
      </c>
      <c r="F1448" s="1" t="s">
        <v>62</v>
      </c>
      <c r="G1448" s="1" t="s">
        <v>16</v>
      </c>
      <c r="H1448" s="1" t="s">
        <v>17</v>
      </c>
      <c r="I1448" s="1" t="s">
        <v>17</v>
      </c>
      <c r="J1448" s="1">
        <v>0.32</v>
      </c>
      <c r="K1448" s="36">
        <v>44215</v>
      </c>
    </row>
    <row r="1449" spans="1:11" x14ac:dyDescent="0.3">
      <c r="A1449" s="2" t="s">
        <v>2909</v>
      </c>
      <c r="B1449" s="1" t="s">
        <v>2910</v>
      </c>
      <c r="C1449" s="1">
        <v>78</v>
      </c>
      <c r="D1449" s="1" t="s">
        <v>13</v>
      </c>
      <c r="E1449" s="1" t="s">
        <v>14</v>
      </c>
      <c r="F1449" s="1" t="s">
        <v>46</v>
      </c>
      <c r="G1449" s="1" t="s">
        <v>16</v>
      </c>
      <c r="H1449" s="1" t="s">
        <v>17</v>
      </c>
      <c r="I1449" s="1" t="s">
        <v>30</v>
      </c>
      <c r="J1449" s="1">
        <v>0.43</v>
      </c>
      <c r="K1449" s="36">
        <v>45778</v>
      </c>
    </row>
    <row r="1450" spans="1:11" x14ac:dyDescent="0.3">
      <c r="A1450" s="2" t="s">
        <v>2911</v>
      </c>
      <c r="B1450" s="1" t="s">
        <v>460</v>
      </c>
      <c r="C1450" s="1">
        <v>64</v>
      </c>
      <c r="D1450" s="1" t="s">
        <v>13</v>
      </c>
      <c r="E1450" s="1" t="s">
        <v>21</v>
      </c>
      <c r="F1450" s="1" t="s">
        <v>29</v>
      </c>
      <c r="G1450" s="1" t="s">
        <v>47</v>
      </c>
      <c r="H1450" s="1" t="s">
        <v>17</v>
      </c>
      <c r="I1450" s="1" t="s">
        <v>30</v>
      </c>
      <c r="J1450" s="1">
        <v>0.32</v>
      </c>
      <c r="K1450" s="36">
        <v>45080</v>
      </c>
    </row>
    <row r="1451" spans="1:11" x14ac:dyDescent="0.3">
      <c r="A1451" s="2" t="s">
        <v>2912</v>
      </c>
      <c r="B1451" s="1" t="s">
        <v>2913</v>
      </c>
      <c r="C1451" s="1">
        <v>24</v>
      </c>
      <c r="D1451" s="1" t="s">
        <v>13</v>
      </c>
      <c r="E1451" s="1" t="s">
        <v>14</v>
      </c>
      <c r="F1451" s="1" t="s">
        <v>29</v>
      </c>
      <c r="G1451" s="1" t="s">
        <v>43</v>
      </c>
      <c r="H1451" s="1" t="s">
        <v>17</v>
      </c>
      <c r="I1451" s="1" t="s">
        <v>17</v>
      </c>
      <c r="J1451" s="1">
        <v>0.26</v>
      </c>
      <c r="K1451" s="36">
        <v>44720</v>
      </c>
    </row>
    <row r="1452" spans="1:11" x14ac:dyDescent="0.3">
      <c r="A1452" s="2" t="s">
        <v>2914</v>
      </c>
      <c r="B1452" s="1" t="s">
        <v>2915</v>
      </c>
      <c r="C1452" s="1">
        <v>36</v>
      </c>
      <c r="D1452" s="1" t="s">
        <v>13</v>
      </c>
      <c r="E1452" s="1" t="s">
        <v>14</v>
      </c>
      <c r="F1452" s="1" t="s">
        <v>46</v>
      </c>
      <c r="G1452" s="1" t="s">
        <v>16</v>
      </c>
      <c r="H1452" s="1" t="s">
        <v>17</v>
      </c>
      <c r="I1452" s="1" t="s">
        <v>30</v>
      </c>
      <c r="J1452" s="1">
        <v>0.25</v>
      </c>
      <c r="K1452" s="36">
        <v>44173</v>
      </c>
    </row>
    <row r="1453" spans="1:11" x14ac:dyDescent="0.3">
      <c r="A1453" s="2" t="s">
        <v>2916</v>
      </c>
      <c r="B1453" s="1" t="s">
        <v>2917</v>
      </c>
      <c r="C1453" s="1">
        <v>20</v>
      </c>
      <c r="D1453" s="1" t="s">
        <v>20</v>
      </c>
      <c r="E1453" s="1" t="s">
        <v>14</v>
      </c>
      <c r="F1453" s="1" t="s">
        <v>29</v>
      </c>
      <c r="G1453" s="1" t="s">
        <v>38</v>
      </c>
      <c r="H1453" s="1" t="s">
        <v>17</v>
      </c>
      <c r="I1453" s="1" t="s">
        <v>30</v>
      </c>
      <c r="J1453" s="1">
        <v>0.44</v>
      </c>
      <c r="K1453" s="36">
        <v>44514</v>
      </c>
    </row>
    <row r="1454" spans="1:11" x14ac:dyDescent="0.3">
      <c r="A1454" s="2" t="s">
        <v>2918</v>
      </c>
      <c r="B1454" s="1" t="s">
        <v>2919</v>
      </c>
      <c r="C1454" s="1">
        <v>21</v>
      </c>
      <c r="D1454" s="1" t="s">
        <v>13</v>
      </c>
      <c r="E1454" s="1" t="s">
        <v>14</v>
      </c>
      <c r="F1454" s="1" t="s">
        <v>46</v>
      </c>
      <c r="G1454" s="1" t="s">
        <v>47</v>
      </c>
      <c r="H1454" s="1" t="s">
        <v>17</v>
      </c>
      <c r="I1454" s="1" t="s">
        <v>17</v>
      </c>
      <c r="J1454" s="1">
        <v>0.24</v>
      </c>
      <c r="K1454" s="36">
        <v>44168</v>
      </c>
    </row>
    <row r="1455" spans="1:11" x14ac:dyDescent="0.3">
      <c r="A1455" s="2" t="s">
        <v>2920</v>
      </c>
      <c r="B1455" s="1" t="s">
        <v>2921</v>
      </c>
      <c r="C1455" s="1">
        <v>33</v>
      </c>
      <c r="D1455" s="1" t="s">
        <v>20</v>
      </c>
      <c r="E1455" s="1" t="s">
        <v>14</v>
      </c>
      <c r="F1455" s="1" t="s">
        <v>15</v>
      </c>
      <c r="G1455" s="1" t="s">
        <v>43</v>
      </c>
      <c r="H1455" s="1" t="s">
        <v>17</v>
      </c>
      <c r="I1455" s="1" t="s">
        <v>17</v>
      </c>
      <c r="J1455" s="1">
        <v>0.31</v>
      </c>
      <c r="K1455" s="36">
        <v>46122</v>
      </c>
    </row>
    <row r="1456" spans="1:11" x14ac:dyDescent="0.3">
      <c r="A1456" s="2" t="s">
        <v>2922</v>
      </c>
      <c r="B1456" s="1" t="s">
        <v>2923</v>
      </c>
      <c r="C1456" s="1">
        <v>54</v>
      </c>
      <c r="D1456" s="1" t="s">
        <v>13</v>
      </c>
      <c r="E1456" s="1" t="s">
        <v>33</v>
      </c>
      <c r="F1456" s="1" t="s">
        <v>62</v>
      </c>
      <c r="G1456" s="1" t="s">
        <v>38</v>
      </c>
      <c r="H1456" s="1" t="s">
        <v>17</v>
      </c>
      <c r="I1456" s="1" t="s">
        <v>30</v>
      </c>
      <c r="J1456" s="1">
        <v>0.41</v>
      </c>
      <c r="K1456" s="36">
        <v>45206</v>
      </c>
    </row>
    <row r="1457" spans="1:11" x14ac:dyDescent="0.3">
      <c r="A1457" s="2" t="s">
        <v>2924</v>
      </c>
      <c r="B1457" s="1" t="s">
        <v>2925</v>
      </c>
      <c r="C1457" s="1">
        <v>22</v>
      </c>
      <c r="D1457" s="1" t="s">
        <v>13</v>
      </c>
      <c r="E1457" s="1" t="s">
        <v>14</v>
      </c>
      <c r="F1457" s="1" t="s">
        <v>15</v>
      </c>
      <c r="G1457" s="1" t="s">
        <v>38</v>
      </c>
      <c r="H1457" s="1" t="s">
        <v>17</v>
      </c>
      <c r="I1457" s="1" t="s">
        <v>30</v>
      </c>
      <c r="J1457" s="1">
        <v>0.34</v>
      </c>
      <c r="K1457" s="36">
        <v>46245</v>
      </c>
    </row>
    <row r="1458" spans="1:11" x14ac:dyDescent="0.3">
      <c r="A1458" s="2" t="s">
        <v>2926</v>
      </c>
      <c r="B1458" s="1" t="s">
        <v>1036</v>
      </c>
      <c r="C1458" s="1">
        <v>80</v>
      </c>
      <c r="D1458" s="1" t="s">
        <v>20</v>
      </c>
      <c r="E1458" s="1" t="s">
        <v>28</v>
      </c>
      <c r="F1458" s="1" t="s">
        <v>46</v>
      </c>
      <c r="G1458" s="1" t="s">
        <v>16</v>
      </c>
      <c r="H1458" s="1" t="s">
        <v>30</v>
      </c>
      <c r="I1458" s="1" t="s">
        <v>17</v>
      </c>
      <c r="J1458" s="1">
        <v>0.34</v>
      </c>
      <c r="K1458" s="36">
        <v>45267</v>
      </c>
    </row>
    <row r="1459" spans="1:11" x14ac:dyDescent="0.3">
      <c r="A1459" s="2" t="s">
        <v>2927</v>
      </c>
      <c r="B1459" s="1" t="s">
        <v>2928</v>
      </c>
      <c r="C1459" s="1">
        <v>46</v>
      </c>
      <c r="D1459" s="1" t="s">
        <v>20</v>
      </c>
      <c r="E1459" s="1" t="s">
        <v>33</v>
      </c>
      <c r="F1459" s="1" t="s">
        <v>46</v>
      </c>
      <c r="G1459" s="1" t="s">
        <v>22</v>
      </c>
      <c r="H1459" s="1" t="s">
        <v>17</v>
      </c>
      <c r="I1459" s="1" t="s">
        <v>17</v>
      </c>
      <c r="J1459" s="1">
        <v>0.15</v>
      </c>
      <c r="K1459" s="36">
        <v>44632</v>
      </c>
    </row>
    <row r="1460" spans="1:11" x14ac:dyDescent="0.3">
      <c r="A1460" s="2" t="s">
        <v>2929</v>
      </c>
      <c r="B1460" s="1" t="s">
        <v>2930</v>
      </c>
      <c r="C1460" s="1">
        <v>34</v>
      </c>
      <c r="D1460" s="1" t="s">
        <v>20</v>
      </c>
      <c r="E1460" s="1" t="s">
        <v>33</v>
      </c>
      <c r="F1460" s="1" t="s">
        <v>62</v>
      </c>
      <c r="G1460" s="1" t="s">
        <v>47</v>
      </c>
      <c r="H1460" s="1" t="s">
        <v>17</v>
      </c>
      <c r="I1460" s="1" t="s">
        <v>17</v>
      </c>
      <c r="J1460" s="1">
        <v>0.13</v>
      </c>
      <c r="K1460" s="36">
        <v>45728</v>
      </c>
    </row>
    <row r="1461" spans="1:11" x14ac:dyDescent="0.3">
      <c r="A1461" s="2" t="s">
        <v>2931</v>
      </c>
      <c r="B1461" s="1" t="s">
        <v>2932</v>
      </c>
      <c r="C1461" s="1">
        <v>50</v>
      </c>
      <c r="D1461" s="1" t="s">
        <v>13</v>
      </c>
      <c r="E1461" s="1" t="s">
        <v>33</v>
      </c>
      <c r="F1461" s="1" t="s">
        <v>46</v>
      </c>
      <c r="G1461" s="1" t="s">
        <v>22</v>
      </c>
      <c r="H1461" s="1" t="s">
        <v>17</v>
      </c>
      <c r="I1461" s="1" t="s">
        <v>17</v>
      </c>
      <c r="J1461" s="1">
        <v>0.31</v>
      </c>
      <c r="K1461" s="36">
        <v>44495</v>
      </c>
    </row>
    <row r="1462" spans="1:11" x14ac:dyDescent="0.3">
      <c r="A1462" s="2" t="s">
        <v>2933</v>
      </c>
      <c r="B1462" s="1" t="s">
        <v>2934</v>
      </c>
      <c r="C1462" s="1">
        <v>67</v>
      </c>
      <c r="D1462" s="1" t="s">
        <v>20</v>
      </c>
      <c r="E1462" s="1" t="s">
        <v>28</v>
      </c>
      <c r="F1462" s="1" t="s">
        <v>15</v>
      </c>
      <c r="G1462" s="1" t="s">
        <v>47</v>
      </c>
      <c r="H1462" s="1" t="s">
        <v>17</v>
      </c>
      <c r="I1462" s="1" t="s">
        <v>17</v>
      </c>
      <c r="J1462" s="1">
        <v>0.28000000000000003</v>
      </c>
      <c r="K1462" s="36">
        <v>44859</v>
      </c>
    </row>
    <row r="1463" spans="1:11" x14ac:dyDescent="0.3">
      <c r="A1463" s="2" t="s">
        <v>2935</v>
      </c>
      <c r="B1463" s="1" t="s">
        <v>2936</v>
      </c>
      <c r="C1463" s="1">
        <v>37</v>
      </c>
      <c r="D1463" s="1" t="s">
        <v>20</v>
      </c>
      <c r="E1463" s="1" t="s">
        <v>14</v>
      </c>
      <c r="F1463" s="1" t="s">
        <v>15</v>
      </c>
      <c r="G1463" s="1" t="s">
        <v>22</v>
      </c>
      <c r="H1463" s="1" t="s">
        <v>30</v>
      </c>
      <c r="I1463" s="1" t="s">
        <v>17</v>
      </c>
      <c r="J1463" s="1">
        <v>0.44</v>
      </c>
      <c r="K1463" s="36">
        <v>45788</v>
      </c>
    </row>
    <row r="1464" spans="1:11" x14ac:dyDescent="0.3">
      <c r="A1464" s="2" t="s">
        <v>2937</v>
      </c>
      <c r="B1464" s="1" t="s">
        <v>2938</v>
      </c>
      <c r="C1464" s="1">
        <v>20</v>
      </c>
      <c r="D1464" s="1" t="s">
        <v>13</v>
      </c>
      <c r="E1464" s="1" t="s">
        <v>28</v>
      </c>
      <c r="F1464" s="1" t="s">
        <v>29</v>
      </c>
      <c r="G1464" s="1" t="s">
        <v>47</v>
      </c>
      <c r="H1464" s="1" t="s">
        <v>17</v>
      </c>
      <c r="I1464" s="1" t="s">
        <v>17</v>
      </c>
      <c r="J1464" s="1">
        <v>0.23</v>
      </c>
      <c r="K1464" s="36">
        <v>45974</v>
      </c>
    </row>
    <row r="1465" spans="1:11" x14ac:dyDescent="0.3">
      <c r="A1465" s="2" t="s">
        <v>2939</v>
      </c>
      <c r="B1465" s="1" t="s">
        <v>2940</v>
      </c>
      <c r="C1465" s="1">
        <v>21</v>
      </c>
      <c r="D1465" s="1" t="s">
        <v>13</v>
      </c>
      <c r="E1465" s="1" t="s">
        <v>21</v>
      </c>
      <c r="F1465" s="1" t="s">
        <v>29</v>
      </c>
      <c r="G1465" s="1" t="s">
        <v>16</v>
      </c>
      <c r="H1465" s="1" t="s">
        <v>17</v>
      </c>
      <c r="I1465" s="1" t="s">
        <v>17</v>
      </c>
      <c r="J1465" s="1">
        <v>0.24</v>
      </c>
      <c r="K1465" s="36">
        <v>44804</v>
      </c>
    </row>
    <row r="1466" spans="1:11" x14ac:dyDescent="0.3">
      <c r="A1466" s="2" t="s">
        <v>2941</v>
      </c>
      <c r="B1466" s="1" t="s">
        <v>2942</v>
      </c>
      <c r="C1466" s="1">
        <v>71</v>
      </c>
      <c r="D1466" s="1" t="s">
        <v>20</v>
      </c>
      <c r="E1466" s="1" t="s">
        <v>21</v>
      </c>
      <c r="F1466" s="1" t="s">
        <v>29</v>
      </c>
      <c r="G1466" s="1" t="s">
        <v>25</v>
      </c>
      <c r="H1466" s="1" t="s">
        <v>17</v>
      </c>
      <c r="I1466" s="1" t="s">
        <v>17</v>
      </c>
      <c r="J1466" s="1">
        <v>0.28000000000000003</v>
      </c>
      <c r="K1466" s="36">
        <v>44349</v>
      </c>
    </row>
    <row r="1467" spans="1:11" x14ac:dyDescent="0.3">
      <c r="A1467" s="2" t="s">
        <v>2943</v>
      </c>
      <c r="B1467" s="1" t="s">
        <v>2944</v>
      </c>
      <c r="C1467" s="1">
        <v>25</v>
      </c>
      <c r="D1467" s="1" t="s">
        <v>20</v>
      </c>
      <c r="E1467" s="1" t="s">
        <v>28</v>
      </c>
      <c r="F1467" s="1" t="s">
        <v>62</v>
      </c>
      <c r="G1467" s="1" t="s">
        <v>43</v>
      </c>
      <c r="H1467" s="1" t="s">
        <v>17</v>
      </c>
      <c r="I1467" s="1" t="s">
        <v>17</v>
      </c>
      <c r="J1467" s="1">
        <v>0.32</v>
      </c>
      <c r="K1467" s="36">
        <v>44883</v>
      </c>
    </row>
    <row r="1468" spans="1:11" x14ac:dyDescent="0.3">
      <c r="A1468" s="2" t="s">
        <v>2945</v>
      </c>
      <c r="B1468" s="1" t="s">
        <v>2946</v>
      </c>
      <c r="C1468" s="1">
        <v>58</v>
      </c>
      <c r="D1468" s="1" t="s">
        <v>13</v>
      </c>
      <c r="E1468" s="1" t="s">
        <v>28</v>
      </c>
      <c r="F1468" s="1" t="s">
        <v>62</v>
      </c>
      <c r="G1468" s="1" t="s">
        <v>38</v>
      </c>
      <c r="H1468" s="1" t="s">
        <v>17</v>
      </c>
      <c r="I1468" s="1" t="s">
        <v>17</v>
      </c>
      <c r="J1468" s="1">
        <v>0.3</v>
      </c>
      <c r="K1468" s="36">
        <v>46026</v>
      </c>
    </row>
    <row r="1469" spans="1:11" x14ac:dyDescent="0.3">
      <c r="A1469" s="2" t="s">
        <v>2947</v>
      </c>
      <c r="B1469" s="1" t="s">
        <v>2948</v>
      </c>
      <c r="C1469" s="1">
        <v>42</v>
      </c>
      <c r="D1469" s="1" t="s">
        <v>13</v>
      </c>
      <c r="E1469" s="1" t="s">
        <v>21</v>
      </c>
      <c r="F1469" s="1" t="s">
        <v>15</v>
      </c>
      <c r="G1469" s="1" t="s">
        <v>47</v>
      </c>
      <c r="H1469" s="1" t="s">
        <v>30</v>
      </c>
      <c r="I1469" s="1" t="s">
        <v>30</v>
      </c>
      <c r="J1469" s="1">
        <v>0.47</v>
      </c>
      <c r="K1469" s="36">
        <v>45706</v>
      </c>
    </row>
    <row r="1470" spans="1:11" x14ac:dyDescent="0.3">
      <c r="A1470" s="2" t="s">
        <v>2949</v>
      </c>
      <c r="B1470" s="1" t="s">
        <v>2950</v>
      </c>
      <c r="C1470" s="1">
        <v>66</v>
      </c>
      <c r="D1470" s="1" t="s">
        <v>13</v>
      </c>
      <c r="E1470" s="1" t="s">
        <v>33</v>
      </c>
      <c r="F1470" s="1" t="s">
        <v>46</v>
      </c>
      <c r="G1470" s="1" t="s">
        <v>47</v>
      </c>
      <c r="H1470" s="1" t="s">
        <v>30</v>
      </c>
      <c r="I1470" s="1" t="s">
        <v>30</v>
      </c>
      <c r="J1470" s="1">
        <v>0.71</v>
      </c>
      <c r="K1470" s="36">
        <v>46038</v>
      </c>
    </row>
    <row r="1471" spans="1:11" x14ac:dyDescent="0.3">
      <c r="A1471" s="2" t="s">
        <v>2951</v>
      </c>
      <c r="B1471" s="1" t="s">
        <v>2952</v>
      </c>
      <c r="C1471" s="1">
        <v>21</v>
      </c>
      <c r="D1471" s="1" t="s">
        <v>20</v>
      </c>
      <c r="E1471" s="1" t="s">
        <v>33</v>
      </c>
      <c r="F1471" s="1" t="s">
        <v>29</v>
      </c>
      <c r="G1471" s="1" t="s">
        <v>16</v>
      </c>
      <c r="H1471" s="1" t="s">
        <v>30</v>
      </c>
      <c r="I1471" s="1" t="s">
        <v>17</v>
      </c>
      <c r="J1471" s="1">
        <v>0.41</v>
      </c>
      <c r="K1471" s="36">
        <v>44924</v>
      </c>
    </row>
    <row r="1472" spans="1:11" x14ac:dyDescent="0.3">
      <c r="A1472" s="2" t="s">
        <v>2953</v>
      </c>
      <c r="B1472" s="1" t="s">
        <v>2954</v>
      </c>
      <c r="C1472" s="1">
        <v>74</v>
      </c>
      <c r="D1472" s="1" t="s">
        <v>20</v>
      </c>
      <c r="E1472" s="1" t="s">
        <v>21</v>
      </c>
      <c r="F1472" s="1" t="s">
        <v>15</v>
      </c>
      <c r="G1472" s="1" t="s">
        <v>16</v>
      </c>
      <c r="H1472" s="1" t="s">
        <v>17</v>
      </c>
      <c r="I1472" s="1" t="s">
        <v>30</v>
      </c>
      <c r="J1472" s="1">
        <v>0.4</v>
      </c>
      <c r="K1472" s="36">
        <v>46211</v>
      </c>
    </row>
    <row r="1473" spans="1:11" x14ac:dyDescent="0.3">
      <c r="A1473" s="2" t="s">
        <v>2955</v>
      </c>
      <c r="B1473" s="1" t="s">
        <v>2956</v>
      </c>
      <c r="C1473" s="1">
        <v>61</v>
      </c>
      <c r="D1473" s="1" t="s">
        <v>20</v>
      </c>
      <c r="E1473" s="1" t="s">
        <v>33</v>
      </c>
      <c r="F1473" s="1" t="s">
        <v>15</v>
      </c>
      <c r="G1473" s="1" t="s">
        <v>43</v>
      </c>
      <c r="H1473" s="1" t="s">
        <v>17</v>
      </c>
      <c r="I1473" s="1" t="s">
        <v>17</v>
      </c>
      <c r="J1473" s="1">
        <v>0.11</v>
      </c>
      <c r="K1473" s="36">
        <v>45164</v>
      </c>
    </row>
    <row r="1474" spans="1:11" x14ac:dyDescent="0.3">
      <c r="A1474" s="2" t="s">
        <v>2957</v>
      </c>
      <c r="B1474" s="1" t="s">
        <v>2958</v>
      </c>
      <c r="C1474" s="1">
        <v>46</v>
      </c>
      <c r="D1474" s="1" t="s">
        <v>13</v>
      </c>
      <c r="E1474" s="1" t="s">
        <v>33</v>
      </c>
      <c r="F1474" s="1" t="s">
        <v>46</v>
      </c>
      <c r="G1474" s="1" t="s">
        <v>43</v>
      </c>
      <c r="H1474" s="1" t="s">
        <v>30</v>
      </c>
      <c r="I1474" s="1" t="s">
        <v>17</v>
      </c>
      <c r="J1474" s="1">
        <v>0.42</v>
      </c>
      <c r="K1474" s="36">
        <v>45167</v>
      </c>
    </row>
    <row r="1475" spans="1:11" x14ac:dyDescent="0.3">
      <c r="A1475" s="2" t="s">
        <v>2959</v>
      </c>
      <c r="B1475" s="1" t="s">
        <v>2960</v>
      </c>
      <c r="C1475" s="1">
        <v>31</v>
      </c>
      <c r="D1475" s="1" t="s">
        <v>20</v>
      </c>
      <c r="E1475" s="1" t="s">
        <v>33</v>
      </c>
      <c r="F1475" s="1" t="s">
        <v>15</v>
      </c>
      <c r="G1475" s="1" t="s">
        <v>25</v>
      </c>
      <c r="H1475" s="1" t="s">
        <v>17</v>
      </c>
      <c r="I1475" s="1" t="s">
        <v>30</v>
      </c>
      <c r="J1475" s="1">
        <v>0.36</v>
      </c>
      <c r="K1475" s="36">
        <v>46103</v>
      </c>
    </row>
    <row r="1476" spans="1:11" x14ac:dyDescent="0.3">
      <c r="A1476" s="2" t="s">
        <v>2961</v>
      </c>
      <c r="B1476" s="1" t="s">
        <v>2962</v>
      </c>
      <c r="C1476" s="1">
        <v>79</v>
      </c>
      <c r="D1476" s="1" t="s">
        <v>20</v>
      </c>
      <c r="E1476" s="1" t="s">
        <v>33</v>
      </c>
      <c r="F1476" s="1" t="s">
        <v>62</v>
      </c>
      <c r="G1476" s="1" t="s">
        <v>47</v>
      </c>
      <c r="H1476" s="1" t="s">
        <v>17</v>
      </c>
      <c r="I1476" s="1" t="s">
        <v>17</v>
      </c>
      <c r="J1476" s="1">
        <v>0.28999999999999998</v>
      </c>
      <c r="K1476" s="36">
        <v>45215</v>
      </c>
    </row>
    <row r="1477" spans="1:11" x14ac:dyDescent="0.3">
      <c r="A1477" s="2" t="s">
        <v>2963</v>
      </c>
      <c r="B1477" s="1" t="s">
        <v>2964</v>
      </c>
      <c r="C1477" s="1">
        <v>37</v>
      </c>
      <c r="D1477" s="1" t="s">
        <v>13</v>
      </c>
      <c r="E1477" s="1" t="s">
        <v>28</v>
      </c>
      <c r="F1477" s="1" t="s">
        <v>15</v>
      </c>
      <c r="G1477" s="1" t="s">
        <v>38</v>
      </c>
      <c r="H1477" s="1" t="s">
        <v>30</v>
      </c>
      <c r="I1477" s="1" t="s">
        <v>17</v>
      </c>
      <c r="J1477" s="1">
        <v>0.36</v>
      </c>
      <c r="K1477" s="36">
        <v>45833</v>
      </c>
    </row>
    <row r="1478" spans="1:11" x14ac:dyDescent="0.3">
      <c r="A1478" s="2" t="s">
        <v>2965</v>
      </c>
      <c r="B1478" s="1" t="s">
        <v>2966</v>
      </c>
      <c r="C1478" s="1">
        <v>48</v>
      </c>
      <c r="D1478" s="1" t="s">
        <v>13</v>
      </c>
      <c r="E1478" s="1" t="s">
        <v>21</v>
      </c>
      <c r="F1478" s="1" t="s">
        <v>62</v>
      </c>
      <c r="G1478" s="1" t="s">
        <v>43</v>
      </c>
      <c r="H1478" s="1" t="s">
        <v>17</v>
      </c>
      <c r="I1478" s="1" t="s">
        <v>17</v>
      </c>
      <c r="J1478" s="1">
        <v>0.17</v>
      </c>
      <c r="K1478" s="36">
        <v>45670</v>
      </c>
    </row>
    <row r="1479" spans="1:11" x14ac:dyDescent="0.3">
      <c r="A1479" s="2" t="s">
        <v>2967</v>
      </c>
      <c r="B1479" s="1" t="s">
        <v>2968</v>
      </c>
      <c r="C1479" s="1">
        <v>42</v>
      </c>
      <c r="D1479" s="1" t="s">
        <v>13</v>
      </c>
      <c r="E1479" s="1" t="s">
        <v>33</v>
      </c>
      <c r="F1479" s="1" t="s">
        <v>46</v>
      </c>
      <c r="G1479" s="1" t="s">
        <v>43</v>
      </c>
      <c r="H1479" s="1" t="s">
        <v>17</v>
      </c>
      <c r="I1479" s="1" t="s">
        <v>17</v>
      </c>
      <c r="J1479" s="1">
        <v>0.18</v>
      </c>
      <c r="K1479" s="36">
        <v>44250</v>
      </c>
    </row>
    <row r="1480" spans="1:11" x14ac:dyDescent="0.3">
      <c r="A1480" s="2" t="s">
        <v>2969</v>
      </c>
      <c r="B1480" s="1" t="s">
        <v>2970</v>
      </c>
      <c r="C1480" s="1">
        <v>32</v>
      </c>
      <c r="D1480" s="1" t="s">
        <v>20</v>
      </c>
      <c r="E1480" s="1" t="s">
        <v>14</v>
      </c>
      <c r="F1480" s="1" t="s">
        <v>46</v>
      </c>
      <c r="G1480" s="1" t="s">
        <v>47</v>
      </c>
      <c r="H1480" s="1" t="s">
        <v>17</v>
      </c>
      <c r="I1480" s="1" t="s">
        <v>17</v>
      </c>
      <c r="J1480" s="1">
        <v>0.23</v>
      </c>
      <c r="K1480" s="36">
        <v>45397</v>
      </c>
    </row>
    <row r="1481" spans="1:11" x14ac:dyDescent="0.3">
      <c r="A1481" s="2" t="s">
        <v>2971</v>
      </c>
      <c r="B1481" s="1" t="s">
        <v>2972</v>
      </c>
      <c r="C1481" s="1">
        <v>44</v>
      </c>
      <c r="D1481" s="1" t="s">
        <v>20</v>
      </c>
      <c r="E1481" s="1" t="s">
        <v>28</v>
      </c>
      <c r="F1481" s="1" t="s">
        <v>29</v>
      </c>
      <c r="G1481" s="1" t="s">
        <v>38</v>
      </c>
      <c r="H1481" s="1" t="s">
        <v>17</v>
      </c>
      <c r="I1481" s="1" t="s">
        <v>17</v>
      </c>
      <c r="J1481" s="1">
        <v>0.24</v>
      </c>
      <c r="K1481" s="36">
        <v>45879</v>
      </c>
    </row>
    <row r="1482" spans="1:11" x14ac:dyDescent="0.3">
      <c r="A1482" s="2" t="s">
        <v>2973</v>
      </c>
      <c r="B1482" s="1" t="s">
        <v>2974</v>
      </c>
      <c r="C1482" s="1">
        <v>27</v>
      </c>
      <c r="D1482" s="1" t="s">
        <v>20</v>
      </c>
      <c r="E1482" s="1" t="s">
        <v>14</v>
      </c>
      <c r="F1482" s="1" t="s">
        <v>15</v>
      </c>
      <c r="G1482" s="1" t="s">
        <v>25</v>
      </c>
      <c r="H1482" s="1" t="s">
        <v>17</v>
      </c>
      <c r="I1482" s="1" t="s">
        <v>17</v>
      </c>
      <c r="J1482" s="1">
        <v>0.19</v>
      </c>
      <c r="K1482" s="36">
        <v>45272</v>
      </c>
    </row>
    <row r="1483" spans="1:11" x14ac:dyDescent="0.3">
      <c r="A1483" s="2" t="s">
        <v>2975</v>
      </c>
      <c r="B1483" s="1" t="s">
        <v>2976</v>
      </c>
      <c r="C1483" s="1">
        <v>18</v>
      </c>
      <c r="D1483" s="1" t="s">
        <v>20</v>
      </c>
      <c r="E1483" s="1" t="s">
        <v>28</v>
      </c>
      <c r="F1483" s="1" t="s">
        <v>15</v>
      </c>
      <c r="G1483" s="1" t="s">
        <v>16</v>
      </c>
      <c r="H1483" s="1" t="s">
        <v>17</v>
      </c>
      <c r="I1483" s="1" t="s">
        <v>30</v>
      </c>
      <c r="J1483" s="1">
        <v>0.46</v>
      </c>
      <c r="K1483" s="36">
        <v>44781</v>
      </c>
    </row>
    <row r="1484" spans="1:11" x14ac:dyDescent="0.3">
      <c r="A1484" s="2" t="s">
        <v>2977</v>
      </c>
      <c r="B1484" s="1" t="s">
        <v>2978</v>
      </c>
      <c r="C1484" s="1">
        <v>36</v>
      </c>
      <c r="D1484" s="1" t="s">
        <v>13</v>
      </c>
      <c r="E1484" s="1" t="s">
        <v>33</v>
      </c>
      <c r="F1484" s="1" t="s">
        <v>15</v>
      </c>
      <c r="G1484" s="1" t="s">
        <v>43</v>
      </c>
      <c r="H1484" s="1" t="s">
        <v>30</v>
      </c>
      <c r="I1484" s="1" t="s">
        <v>17</v>
      </c>
      <c r="J1484" s="1">
        <v>0.38</v>
      </c>
      <c r="K1484" s="36">
        <v>44252</v>
      </c>
    </row>
    <row r="1485" spans="1:11" x14ac:dyDescent="0.3">
      <c r="A1485" s="2" t="s">
        <v>2979</v>
      </c>
      <c r="B1485" s="1" t="s">
        <v>2980</v>
      </c>
      <c r="C1485" s="1">
        <v>25</v>
      </c>
      <c r="D1485" s="1" t="s">
        <v>20</v>
      </c>
      <c r="E1485" s="1" t="s">
        <v>21</v>
      </c>
      <c r="F1485" s="1" t="s">
        <v>62</v>
      </c>
      <c r="G1485" s="1" t="s">
        <v>16</v>
      </c>
      <c r="H1485" s="1" t="s">
        <v>17</v>
      </c>
      <c r="I1485" s="1" t="s">
        <v>17</v>
      </c>
      <c r="J1485" s="1">
        <v>0.22</v>
      </c>
      <c r="K1485" s="36">
        <v>45525</v>
      </c>
    </row>
    <row r="1486" spans="1:11" x14ac:dyDescent="0.3">
      <c r="A1486" s="2" t="s">
        <v>2981</v>
      </c>
      <c r="B1486" s="1" t="s">
        <v>2982</v>
      </c>
      <c r="C1486" s="1">
        <v>44</v>
      </c>
      <c r="D1486" s="1" t="s">
        <v>13</v>
      </c>
      <c r="E1486" s="1" t="s">
        <v>28</v>
      </c>
      <c r="F1486" s="1" t="s">
        <v>62</v>
      </c>
      <c r="G1486" s="1" t="s">
        <v>25</v>
      </c>
      <c r="H1486" s="1" t="s">
        <v>17</v>
      </c>
      <c r="I1486" s="1" t="s">
        <v>17</v>
      </c>
      <c r="J1486" s="1">
        <v>0.21</v>
      </c>
      <c r="K1486" s="36">
        <v>44748</v>
      </c>
    </row>
    <row r="1487" spans="1:11" x14ac:dyDescent="0.3">
      <c r="A1487" s="2" t="s">
        <v>2983</v>
      </c>
      <c r="B1487" s="1" t="s">
        <v>2984</v>
      </c>
      <c r="C1487" s="1">
        <v>72</v>
      </c>
      <c r="D1487" s="1" t="s">
        <v>13</v>
      </c>
      <c r="E1487" s="1" t="s">
        <v>21</v>
      </c>
      <c r="F1487" s="1" t="s">
        <v>15</v>
      </c>
      <c r="G1487" s="1" t="s">
        <v>25</v>
      </c>
      <c r="H1487" s="1" t="s">
        <v>17</v>
      </c>
      <c r="I1487" s="1" t="s">
        <v>17</v>
      </c>
      <c r="J1487" s="1">
        <v>0.2</v>
      </c>
      <c r="K1487" s="36">
        <v>45397</v>
      </c>
    </row>
    <row r="1488" spans="1:11" x14ac:dyDescent="0.3">
      <c r="A1488" s="2" t="s">
        <v>2985</v>
      </c>
      <c r="B1488" s="1" t="s">
        <v>2986</v>
      </c>
      <c r="C1488" s="1">
        <v>28</v>
      </c>
      <c r="D1488" s="1" t="s">
        <v>13</v>
      </c>
      <c r="E1488" s="1" t="s">
        <v>14</v>
      </c>
      <c r="F1488" s="1" t="s">
        <v>29</v>
      </c>
      <c r="G1488" s="1" t="s">
        <v>38</v>
      </c>
      <c r="H1488" s="1" t="s">
        <v>30</v>
      </c>
      <c r="I1488" s="1" t="s">
        <v>30</v>
      </c>
      <c r="J1488" s="1">
        <v>0.54</v>
      </c>
      <c r="K1488" s="36">
        <v>45011</v>
      </c>
    </row>
    <row r="1489" spans="1:11" x14ac:dyDescent="0.3">
      <c r="A1489" s="2" t="s">
        <v>2987</v>
      </c>
      <c r="B1489" s="1" t="s">
        <v>2988</v>
      </c>
      <c r="C1489" s="1">
        <v>18</v>
      </c>
      <c r="D1489" s="1" t="s">
        <v>20</v>
      </c>
      <c r="E1489" s="1" t="s">
        <v>14</v>
      </c>
      <c r="F1489" s="1" t="s">
        <v>29</v>
      </c>
      <c r="G1489" s="1" t="s">
        <v>38</v>
      </c>
      <c r="H1489" s="1" t="s">
        <v>17</v>
      </c>
      <c r="I1489" s="1" t="s">
        <v>17</v>
      </c>
      <c r="J1489" s="1">
        <v>0.16</v>
      </c>
      <c r="K1489" s="36">
        <v>45588</v>
      </c>
    </row>
    <row r="1490" spans="1:11" x14ac:dyDescent="0.3">
      <c r="A1490" s="2" t="s">
        <v>2989</v>
      </c>
      <c r="B1490" s="1" t="s">
        <v>2990</v>
      </c>
      <c r="C1490" s="1">
        <v>24</v>
      </c>
      <c r="D1490" s="1" t="s">
        <v>20</v>
      </c>
      <c r="E1490" s="1" t="s">
        <v>33</v>
      </c>
      <c r="F1490" s="1" t="s">
        <v>46</v>
      </c>
      <c r="G1490" s="1" t="s">
        <v>25</v>
      </c>
      <c r="H1490" s="1" t="s">
        <v>17</v>
      </c>
      <c r="I1490" s="1" t="s">
        <v>17</v>
      </c>
      <c r="J1490" s="1">
        <v>0.19</v>
      </c>
      <c r="K1490" s="36">
        <v>44847</v>
      </c>
    </row>
    <row r="1491" spans="1:11" x14ac:dyDescent="0.3">
      <c r="A1491" s="2" t="s">
        <v>2991</v>
      </c>
      <c r="B1491" s="1" t="s">
        <v>2992</v>
      </c>
      <c r="C1491" s="1">
        <v>50</v>
      </c>
      <c r="D1491" s="1" t="s">
        <v>20</v>
      </c>
      <c r="E1491" s="1" t="s">
        <v>14</v>
      </c>
      <c r="F1491" s="1" t="s">
        <v>62</v>
      </c>
      <c r="G1491" s="1" t="s">
        <v>47</v>
      </c>
      <c r="H1491" s="1" t="s">
        <v>30</v>
      </c>
      <c r="I1491" s="1" t="s">
        <v>17</v>
      </c>
      <c r="J1491" s="1">
        <v>0.26</v>
      </c>
      <c r="K1491" s="36">
        <v>44169</v>
      </c>
    </row>
    <row r="1492" spans="1:11" x14ac:dyDescent="0.3">
      <c r="A1492" s="2" t="s">
        <v>2993</v>
      </c>
      <c r="B1492" s="1" t="s">
        <v>2994</v>
      </c>
      <c r="C1492" s="1">
        <v>35</v>
      </c>
      <c r="D1492" s="1" t="s">
        <v>20</v>
      </c>
      <c r="E1492" s="1" t="s">
        <v>33</v>
      </c>
      <c r="F1492" s="1" t="s">
        <v>29</v>
      </c>
      <c r="G1492" s="1" t="s">
        <v>47</v>
      </c>
      <c r="H1492" s="1" t="s">
        <v>17</v>
      </c>
      <c r="I1492" s="1" t="s">
        <v>30</v>
      </c>
      <c r="J1492" s="1">
        <v>0.34</v>
      </c>
      <c r="K1492" s="36">
        <v>45984</v>
      </c>
    </row>
    <row r="1493" spans="1:11" x14ac:dyDescent="0.3">
      <c r="A1493" s="2" t="s">
        <v>2995</v>
      </c>
      <c r="B1493" s="1" t="s">
        <v>2996</v>
      </c>
      <c r="C1493" s="1">
        <v>48</v>
      </c>
      <c r="D1493" s="1" t="s">
        <v>20</v>
      </c>
      <c r="E1493" s="1" t="s">
        <v>33</v>
      </c>
      <c r="F1493" s="1" t="s">
        <v>15</v>
      </c>
      <c r="G1493" s="1" t="s">
        <v>25</v>
      </c>
      <c r="H1493" s="1" t="s">
        <v>17</v>
      </c>
      <c r="I1493" s="1" t="s">
        <v>17</v>
      </c>
      <c r="J1493" s="1">
        <v>0.3</v>
      </c>
      <c r="K1493" s="36">
        <v>44849</v>
      </c>
    </row>
    <row r="1494" spans="1:11" x14ac:dyDescent="0.3">
      <c r="A1494" s="2" t="s">
        <v>2997</v>
      </c>
      <c r="B1494" s="1" t="s">
        <v>2998</v>
      </c>
      <c r="C1494" s="1">
        <v>19</v>
      </c>
      <c r="D1494" s="1" t="s">
        <v>20</v>
      </c>
      <c r="E1494" s="1" t="s">
        <v>21</v>
      </c>
      <c r="F1494" s="1" t="s">
        <v>46</v>
      </c>
      <c r="G1494" s="1" t="s">
        <v>47</v>
      </c>
      <c r="H1494" s="1" t="s">
        <v>17</v>
      </c>
      <c r="I1494" s="1" t="s">
        <v>17</v>
      </c>
      <c r="J1494" s="1">
        <v>0.24</v>
      </c>
      <c r="K1494" s="36">
        <v>46264</v>
      </c>
    </row>
    <row r="1495" spans="1:11" x14ac:dyDescent="0.3">
      <c r="A1495" s="2" t="s">
        <v>2999</v>
      </c>
      <c r="B1495" s="1" t="s">
        <v>3000</v>
      </c>
      <c r="C1495" s="1">
        <v>38</v>
      </c>
      <c r="D1495" s="1" t="s">
        <v>13</v>
      </c>
      <c r="E1495" s="1" t="s">
        <v>21</v>
      </c>
      <c r="F1495" s="1" t="s">
        <v>46</v>
      </c>
      <c r="G1495" s="1" t="s">
        <v>38</v>
      </c>
      <c r="H1495" s="1" t="s">
        <v>30</v>
      </c>
      <c r="I1495" s="1" t="s">
        <v>17</v>
      </c>
      <c r="J1495" s="1">
        <v>0.42</v>
      </c>
      <c r="K1495" s="36">
        <v>44678</v>
      </c>
    </row>
    <row r="1496" spans="1:11" x14ac:dyDescent="0.3">
      <c r="A1496" s="2" t="s">
        <v>3001</v>
      </c>
      <c r="B1496" s="1" t="s">
        <v>3002</v>
      </c>
      <c r="C1496" s="1">
        <v>43</v>
      </c>
      <c r="D1496" s="1" t="s">
        <v>20</v>
      </c>
      <c r="E1496" s="1" t="s">
        <v>14</v>
      </c>
      <c r="F1496" s="1" t="s">
        <v>62</v>
      </c>
      <c r="G1496" s="1" t="s">
        <v>38</v>
      </c>
      <c r="H1496" s="1" t="s">
        <v>17</v>
      </c>
      <c r="I1496" s="1" t="s">
        <v>17</v>
      </c>
      <c r="J1496" s="1">
        <v>0.34</v>
      </c>
      <c r="K1496" s="36">
        <v>46225</v>
      </c>
    </row>
    <row r="1497" spans="1:11" x14ac:dyDescent="0.3">
      <c r="A1497" s="2" t="s">
        <v>3003</v>
      </c>
      <c r="B1497" s="1" t="s">
        <v>3004</v>
      </c>
      <c r="C1497" s="1">
        <v>45</v>
      </c>
      <c r="D1497" s="1" t="s">
        <v>13</v>
      </c>
      <c r="E1497" s="1" t="s">
        <v>21</v>
      </c>
      <c r="F1497" s="1" t="s">
        <v>29</v>
      </c>
      <c r="G1497" s="1" t="s">
        <v>22</v>
      </c>
      <c r="H1497" s="1" t="s">
        <v>30</v>
      </c>
      <c r="I1497" s="1" t="s">
        <v>30</v>
      </c>
      <c r="J1497" s="1">
        <v>0.55000000000000004</v>
      </c>
      <c r="K1497" s="36">
        <v>46154</v>
      </c>
    </row>
    <row r="1498" spans="1:11" x14ac:dyDescent="0.3">
      <c r="A1498" s="2" t="s">
        <v>3005</v>
      </c>
      <c r="B1498" s="1" t="s">
        <v>442</v>
      </c>
      <c r="C1498" s="1">
        <v>52</v>
      </c>
      <c r="D1498" s="1" t="s">
        <v>20</v>
      </c>
      <c r="E1498" s="1" t="s">
        <v>28</v>
      </c>
      <c r="F1498" s="1" t="s">
        <v>46</v>
      </c>
      <c r="G1498" s="1" t="s">
        <v>16</v>
      </c>
      <c r="H1498" s="1" t="s">
        <v>17</v>
      </c>
      <c r="I1498" s="1" t="s">
        <v>17</v>
      </c>
      <c r="J1498" s="1">
        <v>0.15</v>
      </c>
      <c r="K1498" s="36">
        <v>44241</v>
      </c>
    </row>
    <row r="1499" spans="1:11" x14ac:dyDescent="0.3">
      <c r="A1499" s="2" t="s">
        <v>3006</v>
      </c>
      <c r="B1499" s="1" t="s">
        <v>3007</v>
      </c>
      <c r="C1499" s="1">
        <v>67</v>
      </c>
      <c r="D1499" s="1" t="s">
        <v>20</v>
      </c>
      <c r="E1499" s="1" t="s">
        <v>14</v>
      </c>
      <c r="F1499" s="1" t="s">
        <v>62</v>
      </c>
      <c r="G1499" s="1" t="s">
        <v>25</v>
      </c>
      <c r="H1499" s="1" t="s">
        <v>30</v>
      </c>
      <c r="I1499" s="1" t="s">
        <v>17</v>
      </c>
      <c r="J1499" s="1">
        <v>0.42</v>
      </c>
      <c r="K1499" s="36">
        <v>45474</v>
      </c>
    </row>
    <row r="1500" spans="1:11" x14ac:dyDescent="0.3">
      <c r="A1500" s="2" t="s">
        <v>3008</v>
      </c>
      <c r="B1500" s="1" t="s">
        <v>3009</v>
      </c>
      <c r="C1500" s="1">
        <v>47</v>
      </c>
      <c r="D1500" s="1" t="s">
        <v>20</v>
      </c>
      <c r="E1500" s="1" t="s">
        <v>14</v>
      </c>
      <c r="F1500" s="1" t="s">
        <v>15</v>
      </c>
      <c r="G1500" s="1" t="s">
        <v>43</v>
      </c>
      <c r="H1500" s="1" t="s">
        <v>17</v>
      </c>
      <c r="I1500" s="1" t="s">
        <v>17</v>
      </c>
      <c r="J1500" s="1">
        <v>0.2</v>
      </c>
      <c r="K1500" s="36">
        <v>44873</v>
      </c>
    </row>
    <row r="1501" spans="1:11" x14ac:dyDescent="0.3">
      <c r="A1501" s="2" t="s">
        <v>3010</v>
      </c>
      <c r="B1501" s="1" t="s">
        <v>3011</v>
      </c>
      <c r="C1501" s="1">
        <v>70</v>
      </c>
      <c r="D1501" s="1" t="s">
        <v>20</v>
      </c>
      <c r="E1501" s="1" t="s">
        <v>33</v>
      </c>
      <c r="F1501" s="1" t="s">
        <v>15</v>
      </c>
      <c r="G1501" s="1" t="s">
        <v>16</v>
      </c>
      <c r="H1501" s="1" t="s">
        <v>30</v>
      </c>
      <c r="I1501" s="1" t="s">
        <v>30</v>
      </c>
      <c r="J1501" s="1">
        <v>0.56999999999999995</v>
      </c>
      <c r="K1501" s="36">
        <v>45833</v>
      </c>
    </row>
    <row r="1502" spans="1:11" x14ac:dyDescent="0.3">
      <c r="A1502" s="2" t="s">
        <v>3012</v>
      </c>
      <c r="B1502" s="1" t="s">
        <v>3013</v>
      </c>
      <c r="C1502" s="1">
        <v>51</v>
      </c>
      <c r="D1502" s="1" t="s">
        <v>20</v>
      </c>
      <c r="E1502" s="1" t="s">
        <v>28</v>
      </c>
      <c r="F1502" s="1" t="s">
        <v>62</v>
      </c>
      <c r="G1502" s="1" t="s">
        <v>25</v>
      </c>
      <c r="H1502" s="1" t="s">
        <v>17</v>
      </c>
      <c r="I1502" s="1" t="s">
        <v>17</v>
      </c>
      <c r="J1502" s="1">
        <v>0.17</v>
      </c>
      <c r="K1502" s="36">
        <v>45566</v>
      </c>
    </row>
    <row r="1503" spans="1:11" x14ac:dyDescent="0.3">
      <c r="A1503" s="2" t="s">
        <v>3014</v>
      </c>
      <c r="B1503" s="1" t="s">
        <v>3015</v>
      </c>
      <c r="C1503" s="1">
        <v>34</v>
      </c>
      <c r="D1503" s="1" t="s">
        <v>13</v>
      </c>
      <c r="E1503" s="1" t="s">
        <v>33</v>
      </c>
      <c r="F1503" s="1" t="s">
        <v>29</v>
      </c>
      <c r="G1503" s="1" t="s">
        <v>47</v>
      </c>
      <c r="H1503" s="1" t="s">
        <v>17</v>
      </c>
      <c r="I1503" s="1" t="s">
        <v>17</v>
      </c>
      <c r="J1503" s="1">
        <v>0.26</v>
      </c>
      <c r="K1503" s="36">
        <v>46165</v>
      </c>
    </row>
    <row r="1504" spans="1:11" x14ac:dyDescent="0.3">
      <c r="A1504" s="2" t="s">
        <v>3016</v>
      </c>
      <c r="B1504" s="1" t="s">
        <v>868</v>
      </c>
      <c r="C1504" s="1">
        <v>32</v>
      </c>
      <c r="D1504" s="1" t="s">
        <v>20</v>
      </c>
      <c r="E1504" s="1" t="s">
        <v>33</v>
      </c>
      <c r="F1504" s="1" t="s">
        <v>46</v>
      </c>
      <c r="G1504" s="1" t="s">
        <v>22</v>
      </c>
      <c r="H1504" s="1" t="s">
        <v>30</v>
      </c>
      <c r="I1504" s="1" t="s">
        <v>17</v>
      </c>
      <c r="J1504" s="1">
        <v>0.44</v>
      </c>
      <c r="K1504" s="36">
        <v>44389</v>
      </c>
    </row>
    <row r="1505" spans="1:11" x14ac:dyDescent="0.3">
      <c r="A1505" s="2" t="s">
        <v>3017</v>
      </c>
      <c r="B1505" s="1" t="s">
        <v>3018</v>
      </c>
      <c r="C1505" s="1">
        <v>38</v>
      </c>
      <c r="D1505" s="1" t="s">
        <v>20</v>
      </c>
      <c r="E1505" s="1" t="s">
        <v>28</v>
      </c>
      <c r="F1505" s="1" t="s">
        <v>46</v>
      </c>
      <c r="G1505" s="1" t="s">
        <v>47</v>
      </c>
      <c r="H1505" s="1" t="s">
        <v>17</v>
      </c>
      <c r="I1505" s="1" t="s">
        <v>17</v>
      </c>
      <c r="J1505" s="1">
        <v>0.1</v>
      </c>
      <c r="K1505" s="36">
        <v>45408</v>
      </c>
    </row>
    <row r="1506" spans="1:11" x14ac:dyDescent="0.3">
      <c r="A1506" s="2" t="s">
        <v>3019</v>
      </c>
      <c r="B1506" s="1" t="s">
        <v>3020</v>
      </c>
      <c r="C1506" s="1">
        <v>55</v>
      </c>
      <c r="D1506" s="1" t="s">
        <v>13</v>
      </c>
      <c r="E1506" s="1" t="s">
        <v>28</v>
      </c>
      <c r="F1506" s="1" t="s">
        <v>15</v>
      </c>
      <c r="G1506" s="1" t="s">
        <v>38</v>
      </c>
      <c r="H1506" s="1" t="s">
        <v>30</v>
      </c>
      <c r="I1506" s="1" t="s">
        <v>30</v>
      </c>
      <c r="J1506" s="1">
        <v>0.56000000000000005</v>
      </c>
      <c r="K1506" s="36">
        <v>45789</v>
      </c>
    </row>
    <row r="1507" spans="1:11" x14ac:dyDescent="0.3">
      <c r="A1507" s="2" t="s">
        <v>3021</v>
      </c>
      <c r="B1507" s="1" t="s">
        <v>3022</v>
      </c>
      <c r="C1507" s="1">
        <v>33</v>
      </c>
      <c r="D1507" s="1" t="s">
        <v>20</v>
      </c>
      <c r="E1507" s="1" t="s">
        <v>21</v>
      </c>
      <c r="F1507" s="1" t="s">
        <v>15</v>
      </c>
      <c r="G1507" s="1" t="s">
        <v>43</v>
      </c>
      <c r="H1507" s="1" t="s">
        <v>30</v>
      </c>
      <c r="I1507" s="1" t="s">
        <v>17</v>
      </c>
      <c r="J1507" s="1">
        <v>0.35</v>
      </c>
      <c r="K1507" s="36">
        <v>44153</v>
      </c>
    </row>
    <row r="1508" spans="1:11" x14ac:dyDescent="0.3">
      <c r="A1508" s="2" t="s">
        <v>3023</v>
      </c>
      <c r="B1508" s="1" t="s">
        <v>3024</v>
      </c>
      <c r="C1508" s="1">
        <v>75</v>
      </c>
      <c r="D1508" s="1" t="s">
        <v>13</v>
      </c>
      <c r="E1508" s="1" t="s">
        <v>21</v>
      </c>
      <c r="F1508" s="1" t="s">
        <v>62</v>
      </c>
      <c r="G1508" s="1" t="s">
        <v>47</v>
      </c>
      <c r="H1508" s="1" t="s">
        <v>17</v>
      </c>
      <c r="I1508" s="1" t="s">
        <v>17</v>
      </c>
      <c r="J1508" s="1">
        <v>0.32</v>
      </c>
      <c r="K1508" s="36">
        <v>44224</v>
      </c>
    </row>
    <row r="1509" spans="1:11" x14ac:dyDescent="0.3">
      <c r="A1509" s="2" t="s">
        <v>3025</v>
      </c>
      <c r="B1509" s="1" t="s">
        <v>3026</v>
      </c>
      <c r="C1509" s="1">
        <v>48</v>
      </c>
      <c r="D1509" s="1" t="s">
        <v>20</v>
      </c>
      <c r="E1509" s="1" t="s">
        <v>14</v>
      </c>
      <c r="F1509" s="1" t="s">
        <v>62</v>
      </c>
      <c r="G1509" s="1" t="s">
        <v>22</v>
      </c>
      <c r="H1509" s="1" t="s">
        <v>17</v>
      </c>
      <c r="I1509" s="1" t="s">
        <v>17</v>
      </c>
      <c r="J1509" s="1">
        <v>0.27</v>
      </c>
      <c r="K1509" s="36">
        <v>45783</v>
      </c>
    </row>
    <row r="1510" spans="1:11" x14ac:dyDescent="0.3">
      <c r="A1510" s="2" t="s">
        <v>3027</v>
      </c>
      <c r="B1510" s="1" t="s">
        <v>3028</v>
      </c>
      <c r="C1510" s="1">
        <v>72</v>
      </c>
      <c r="D1510" s="1" t="s">
        <v>13</v>
      </c>
      <c r="E1510" s="1" t="s">
        <v>28</v>
      </c>
      <c r="F1510" s="1" t="s">
        <v>46</v>
      </c>
      <c r="G1510" s="1" t="s">
        <v>22</v>
      </c>
      <c r="H1510" s="1" t="s">
        <v>30</v>
      </c>
      <c r="I1510" s="1" t="s">
        <v>30</v>
      </c>
      <c r="J1510" s="1">
        <v>0.77</v>
      </c>
      <c r="K1510" s="36">
        <v>44879</v>
      </c>
    </row>
    <row r="1511" spans="1:11" x14ac:dyDescent="0.3">
      <c r="A1511" s="2" t="s">
        <v>3029</v>
      </c>
      <c r="B1511" s="1" t="s">
        <v>3030</v>
      </c>
      <c r="C1511" s="1">
        <v>61</v>
      </c>
      <c r="D1511" s="1" t="s">
        <v>20</v>
      </c>
      <c r="E1511" s="1" t="s">
        <v>28</v>
      </c>
      <c r="F1511" s="1" t="s">
        <v>15</v>
      </c>
      <c r="G1511" s="1" t="s">
        <v>38</v>
      </c>
      <c r="H1511" s="1" t="s">
        <v>17</v>
      </c>
      <c r="I1511" s="1" t="s">
        <v>30</v>
      </c>
      <c r="J1511" s="1">
        <v>0.4</v>
      </c>
      <c r="K1511" s="36">
        <v>44916</v>
      </c>
    </row>
    <row r="1512" spans="1:11" x14ac:dyDescent="0.3">
      <c r="A1512" s="2" t="s">
        <v>3031</v>
      </c>
      <c r="B1512" s="1" t="s">
        <v>3032</v>
      </c>
      <c r="C1512" s="1">
        <v>39</v>
      </c>
      <c r="D1512" s="1" t="s">
        <v>20</v>
      </c>
      <c r="E1512" s="1" t="s">
        <v>33</v>
      </c>
      <c r="F1512" s="1" t="s">
        <v>62</v>
      </c>
      <c r="G1512" s="1" t="s">
        <v>43</v>
      </c>
      <c r="H1512" s="1" t="s">
        <v>17</v>
      </c>
      <c r="I1512" s="1" t="s">
        <v>17</v>
      </c>
      <c r="J1512" s="1">
        <v>0.18</v>
      </c>
      <c r="K1512" s="36">
        <v>45320</v>
      </c>
    </row>
    <row r="1513" spans="1:11" x14ac:dyDescent="0.3">
      <c r="A1513" s="2" t="s">
        <v>3033</v>
      </c>
      <c r="B1513" s="1" t="s">
        <v>3034</v>
      </c>
      <c r="C1513" s="1">
        <v>32</v>
      </c>
      <c r="D1513" s="1" t="s">
        <v>13</v>
      </c>
      <c r="E1513" s="1" t="s">
        <v>33</v>
      </c>
      <c r="F1513" s="1" t="s">
        <v>15</v>
      </c>
      <c r="G1513" s="1" t="s">
        <v>47</v>
      </c>
      <c r="H1513" s="1" t="s">
        <v>17</v>
      </c>
      <c r="I1513" s="1" t="s">
        <v>30</v>
      </c>
      <c r="J1513" s="1">
        <v>0.39</v>
      </c>
      <c r="K1513" s="36">
        <v>45403</v>
      </c>
    </row>
    <row r="1514" spans="1:11" x14ac:dyDescent="0.3">
      <c r="A1514" s="2" t="s">
        <v>3035</v>
      </c>
      <c r="B1514" s="1" t="s">
        <v>3036</v>
      </c>
      <c r="C1514" s="1">
        <v>64</v>
      </c>
      <c r="D1514" s="1" t="s">
        <v>13</v>
      </c>
      <c r="E1514" s="1" t="s">
        <v>21</v>
      </c>
      <c r="F1514" s="1" t="s">
        <v>62</v>
      </c>
      <c r="G1514" s="1" t="s">
        <v>38</v>
      </c>
      <c r="H1514" s="1" t="s">
        <v>17</v>
      </c>
      <c r="I1514" s="1" t="s">
        <v>30</v>
      </c>
      <c r="J1514" s="1">
        <v>0.39</v>
      </c>
      <c r="K1514" s="36">
        <v>45565</v>
      </c>
    </row>
    <row r="1515" spans="1:11" x14ac:dyDescent="0.3">
      <c r="A1515" s="2" t="s">
        <v>3037</v>
      </c>
      <c r="B1515" s="1" t="s">
        <v>3038</v>
      </c>
      <c r="C1515" s="1">
        <v>38</v>
      </c>
      <c r="D1515" s="1" t="s">
        <v>20</v>
      </c>
      <c r="E1515" s="1" t="s">
        <v>33</v>
      </c>
      <c r="F1515" s="1" t="s">
        <v>15</v>
      </c>
      <c r="G1515" s="1" t="s">
        <v>22</v>
      </c>
      <c r="H1515" s="1" t="s">
        <v>30</v>
      </c>
      <c r="I1515" s="1" t="s">
        <v>30</v>
      </c>
      <c r="J1515" s="1">
        <v>0.52</v>
      </c>
      <c r="K1515" s="36">
        <v>46156</v>
      </c>
    </row>
    <row r="1516" spans="1:11" x14ac:dyDescent="0.3">
      <c r="A1516" s="2" t="s">
        <v>3039</v>
      </c>
      <c r="B1516" s="1" t="s">
        <v>3040</v>
      </c>
      <c r="C1516" s="1">
        <v>33</v>
      </c>
      <c r="D1516" s="1" t="s">
        <v>13</v>
      </c>
      <c r="E1516" s="1" t="s">
        <v>21</v>
      </c>
      <c r="F1516" s="1" t="s">
        <v>15</v>
      </c>
      <c r="G1516" s="1" t="s">
        <v>38</v>
      </c>
      <c r="H1516" s="1" t="s">
        <v>17</v>
      </c>
      <c r="I1516" s="1" t="s">
        <v>30</v>
      </c>
      <c r="J1516" s="1">
        <v>0.33</v>
      </c>
      <c r="K1516" s="36">
        <v>44892</v>
      </c>
    </row>
    <row r="1517" spans="1:11" x14ac:dyDescent="0.3">
      <c r="A1517" s="2" t="s">
        <v>3041</v>
      </c>
      <c r="B1517" s="1" t="s">
        <v>3042</v>
      </c>
      <c r="C1517" s="1">
        <v>76</v>
      </c>
      <c r="D1517" s="1" t="s">
        <v>20</v>
      </c>
      <c r="E1517" s="1" t="s">
        <v>33</v>
      </c>
      <c r="F1517" s="1" t="s">
        <v>46</v>
      </c>
      <c r="G1517" s="1" t="s">
        <v>43</v>
      </c>
      <c r="H1517" s="1" t="s">
        <v>17</v>
      </c>
      <c r="I1517" s="1" t="s">
        <v>17</v>
      </c>
      <c r="J1517" s="1">
        <v>0.12</v>
      </c>
      <c r="K1517" s="36">
        <v>45749</v>
      </c>
    </row>
    <row r="1518" spans="1:11" x14ac:dyDescent="0.3">
      <c r="A1518" s="2" t="s">
        <v>3043</v>
      </c>
      <c r="B1518" s="1" t="s">
        <v>3044</v>
      </c>
      <c r="C1518" s="1">
        <v>48</v>
      </c>
      <c r="D1518" s="1" t="s">
        <v>20</v>
      </c>
      <c r="E1518" s="1" t="s">
        <v>21</v>
      </c>
      <c r="F1518" s="1" t="s">
        <v>46</v>
      </c>
      <c r="G1518" s="1" t="s">
        <v>47</v>
      </c>
      <c r="H1518" s="1" t="s">
        <v>17</v>
      </c>
      <c r="I1518" s="1" t="s">
        <v>30</v>
      </c>
      <c r="J1518" s="1">
        <v>0.36</v>
      </c>
      <c r="K1518" s="36">
        <v>45335</v>
      </c>
    </row>
    <row r="1519" spans="1:11" x14ac:dyDescent="0.3">
      <c r="A1519" s="2" t="s">
        <v>3045</v>
      </c>
      <c r="B1519" s="1" t="s">
        <v>3046</v>
      </c>
      <c r="C1519" s="1">
        <v>21</v>
      </c>
      <c r="D1519" s="1" t="s">
        <v>20</v>
      </c>
      <c r="E1519" s="1" t="s">
        <v>21</v>
      </c>
      <c r="F1519" s="1" t="s">
        <v>46</v>
      </c>
      <c r="G1519" s="1" t="s">
        <v>47</v>
      </c>
      <c r="H1519" s="1" t="s">
        <v>17</v>
      </c>
      <c r="I1519" s="1" t="s">
        <v>17</v>
      </c>
      <c r="J1519" s="1">
        <v>0.24</v>
      </c>
      <c r="K1519" s="36">
        <v>45237</v>
      </c>
    </row>
    <row r="1520" spans="1:11" x14ac:dyDescent="0.3">
      <c r="A1520" s="2" t="s">
        <v>3047</v>
      </c>
      <c r="B1520" s="1" t="s">
        <v>3048</v>
      </c>
      <c r="C1520" s="1">
        <v>49</v>
      </c>
      <c r="D1520" s="1" t="s">
        <v>13</v>
      </c>
      <c r="E1520" s="1" t="s">
        <v>28</v>
      </c>
      <c r="F1520" s="1" t="s">
        <v>62</v>
      </c>
      <c r="G1520" s="1" t="s">
        <v>47</v>
      </c>
      <c r="H1520" s="1" t="s">
        <v>17</v>
      </c>
      <c r="I1520" s="1" t="s">
        <v>30</v>
      </c>
      <c r="J1520" s="1">
        <v>0.43</v>
      </c>
      <c r="K1520" s="36">
        <v>44949</v>
      </c>
    </row>
    <row r="1521" spans="1:11" x14ac:dyDescent="0.3">
      <c r="A1521" s="2" t="s">
        <v>3049</v>
      </c>
      <c r="B1521" s="1" t="s">
        <v>3050</v>
      </c>
      <c r="C1521" s="1">
        <v>47</v>
      </c>
      <c r="D1521" s="1" t="s">
        <v>20</v>
      </c>
      <c r="E1521" s="1" t="s">
        <v>28</v>
      </c>
      <c r="F1521" s="1" t="s">
        <v>46</v>
      </c>
      <c r="G1521" s="1" t="s">
        <v>38</v>
      </c>
      <c r="H1521" s="1" t="s">
        <v>17</v>
      </c>
      <c r="I1521" s="1" t="s">
        <v>17</v>
      </c>
      <c r="J1521" s="1">
        <v>0.2</v>
      </c>
      <c r="K1521" s="36">
        <v>45500</v>
      </c>
    </row>
    <row r="1522" spans="1:11" x14ac:dyDescent="0.3">
      <c r="A1522" s="2" t="s">
        <v>3051</v>
      </c>
      <c r="B1522" s="1" t="s">
        <v>3052</v>
      </c>
      <c r="C1522" s="1">
        <v>72</v>
      </c>
      <c r="D1522" s="1" t="s">
        <v>13</v>
      </c>
      <c r="E1522" s="1" t="s">
        <v>33</v>
      </c>
      <c r="F1522" s="1" t="s">
        <v>62</v>
      </c>
      <c r="G1522" s="1" t="s">
        <v>38</v>
      </c>
      <c r="H1522" s="1" t="s">
        <v>30</v>
      </c>
      <c r="I1522" s="1" t="s">
        <v>30</v>
      </c>
      <c r="J1522" s="1">
        <v>0.53</v>
      </c>
      <c r="K1522" s="36">
        <v>44624</v>
      </c>
    </row>
    <row r="1523" spans="1:11" x14ac:dyDescent="0.3">
      <c r="A1523" s="2" t="s">
        <v>3053</v>
      </c>
      <c r="B1523" s="1" t="s">
        <v>3054</v>
      </c>
      <c r="C1523" s="1">
        <v>62</v>
      </c>
      <c r="D1523" s="1" t="s">
        <v>20</v>
      </c>
      <c r="E1523" s="1" t="s">
        <v>33</v>
      </c>
      <c r="F1523" s="1" t="s">
        <v>29</v>
      </c>
      <c r="G1523" s="1" t="s">
        <v>16</v>
      </c>
      <c r="H1523" s="1" t="s">
        <v>17</v>
      </c>
      <c r="I1523" s="1" t="s">
        <v>17</v>
      </c>
      <c r="J1523" s="1">
        <v>0.26</v>
      </c>
      <c r="K1523" s="36">
        <v>44325</v>
      </c>
    </row>
    <row r="1524" spans="1:11" x14ac:dyDescent="0.3">
      <c r="A1524" s="2" t="s">
        <v>3055</v>
      </c>
      <c r="B1524" s="1" t="s">
        <v>3056</v>
      </c>
      <c r="C1524" s="1">
        <v>30</v>
      </c>
      <c r="D1524" s="1" t="s">
        <v>13</v>
      </c>
      <c r="E1524" s="1" t="s">
        <v>21</v>
      </c>
      <c r="F1524" s="1" t="s">
        <v>62</v>
      </c>
      <c r="G1524" s="1" t="s">
        <v>47</v>
      </c>
      <c r="H1524" s="1" t="s">
        <v>17</v>
      </c>
      <c r="I1524" s="1" t="s">
        <v>17</v>
      </c>
      <c r="J1524" s="1">
        <v>7.0000000000000007E-2</v>
      </c>
      <c r="K1524" s="36">
        <v>45689</v>
      </c>
    </row>
    <row r="1525" spans="1:11" x14ac:dyDescent="0.3">
      <c r="A1525" s="2" t="s">
        <v>3057</v>
      </c>
      <c r="B1525" s="1" t="s">
        <v>3058</v>
      </c>
      <c r="C1525" s="1">
        <v>27</v>
      </c>
      <c r="D1525" s="1" t="s">
        <v>13</v>
      </c>
      <c r="E1525" s="1" t="s">
        <v>33</v>
      </c>
      <c r="F1525" s="1" t="s">
        <v>62</v>
      </c>
      <c r="G1525" s="1" t="s">
        <v>38</v>
      </c>
      <c r="H1525" s="1" t="s">
        <v>30</v>
      </c>
      <c r="I1525" s="1" t="s">
        <v>17</v>
      </c>
      <c r="J1525" s="1">
        <v>0.31</v>
      </c>
      <c r="K1525" s="36">
        <v>45170</v>
      </c>
    </row>
    <row r="1526" spans="1:11" x14ac:dyDescent="0.3">
      <c r="A1526" s="2" t="s">
        <v>3059</v>
      </c>
      <c r="B1526" s="1" t="s">
        <v>3060</v>
      </c>
      <c r="C1526" s="1">
        <v>56</v>
      </c>
      <c r="D1526" s="1" t="s">
        <v>20</v>
      </c>
      <c r="E1526" s="1" t="s">
        <v>33</v>
      </c>
      <c r="F1526" s="1" t="s">
        <v>46</v>
      </c>
      <c r="G1526" s="1" t="s">
        <v>47</v>
      </c>
      <c r="H1526" s="1" t="s">
        <v>30</v>
      </c>
      <c r="I1526" s="1" t="s">
        <v>17</v>
      </c>
      <c r="J1526" s="1">
        <v>0.5</v>
      </c>
      <c r="K1526" s="36">
        <v>44925</v>
      </c>
    </row>
    <row r="1527" spans="1:11" x14ac:dyDescent="0.3">
      <c r="A1527" s="2" t="s">
        <v>3061</v>
      </c>
      <c r="B1527" s="1" t="s">
        <v>3062</v>
      </c>
      <c r="C1527" s="1">
        <v>20</v>
      </c>
      <c r="D1527" s="1" t="s">
        <v>20</v>
      </c>
      <c r="E1527" s="1" t="s">
        <v>33</v>
      </c>
      <c r="F1527" s="1" t="s">
        <v>15</v>
      </c>
      <c r="G1527" s="1" t="s">
        <v>47</v>
      </c>
      <c r="H1527" s="1" t="s">
        <v>17</v>
      </c>
      <c r="I1527" s="1" t="s">
        <v>17</v>
      </c>
      <c r="J1527" s="1">
        <v>0.24</v>
      </c>
      <c r="K1527" s="36">
        <v>45308</v>
      </c>
    </row>
    <row r="1528" spans="1:11" x14ac:dyDescent="0.3">
      <c r="A1528" s="2" t="s">
        <v>3063</v>
      </c>
      <c r="B1528" s="1" t="s">
        <v>3064</v>
      </c>
      <c r="C1528" s="1">
        <v>38</v>
      </c>
      <c r="D1528" s="1" t="s">
        <v>20</v>
      </c>
      <c r="E1528" s="1" t="s">
        <v>14</v>
      </c>
      <c r="F1528" s="1" t="s">
        <v>29</v>
      </c>
      <c r="G1528" s="1" t="s">
        <v>22</v>
      </c>
      <c r="H1528" s="1" t="s">
        <v>17</v>
      </c>
      <c r="I1528" s="1" t="s">
        <v>17</v>
      </c>
      <c r="J1528" s="1">
        <v>0.26</v>
      </c>
      <c r="K1528" s="36">
        <v>44650</v>
      </c>
    </row>
    <row r="1529" spans="1:11" x14ac:dyDescent="0.3">
      <c r="A1529" s="2" t="s">
        <v>3065</v>
      </c>
      <c r="B1529" s="1" t="s">
        <v>3066</v>
      </c>
      <c r="C1529" s="1">
        <v>26</v>
      </c>
      <c r="D1529" s="1" t="s">
        <v>13</v>
      </c>
      <c r="E1529" s="1" t="s">
        <v>14</v>
      </c>
      <c r="F1529" s="1" t="s">
        <v>15</v>
      </c>
      <c r="G1529" s="1" t="s">
        <v>43</v>
      </c>
      <c r="H1529" s="1" t="s">
        <v>30</v>
      </c>
      <c r="I1529" s="1" t="s">
        <v>30</v>
      </c>
      <c r="J1529" s="1">
        <v>0.41</v>
      </c>
      <c r="K1529" s="36">
        <v>44647</v>
      </c>
    </row>
    <row r="1530" spans="1:11" x14ac:dyDescent="0.3">
      <c r="A1530" s="2" t="s">
        <v>3067</v>
      </c>
      <c r="B1530" s="1" t="s">
        <v>3068</v>
      </c>
      <c r="C1530" s="1">
        <v>19</v>
      </c>
      <c r="D1530" s="1" t="s">
        <v>20</v>
      </c>
      <c r="E1530" s="1" t="s">
        <v>28</v>
      </c>
      <c r="F1530" s="1" t="s">
        <v>29</v>
      </c>
      <c r="G1530" s="1" t="s">
        <v>47</v>
      </c>
      <c r="H1530" s="1" t="s">
        <v>17</v>
      </c>
      <c r="I1530" s="1" t="s">
        <v>17</v>
      </c>
      <c r="J1530" s="1">
        <v>0.24</v>
      </c>
      <c r="K1530" s="36">
        <v>45055</v>
      </c>
    </row>
    <row r="1531" spans="1:11" x14ac:dyDescent="0.3">
      <c r="A1531" s="2" t="s">
        <v>3069</v>
      </c>
      <c r="B1531" s="1" t="s">
        <v>3070</v>
      </c>
      <c r="C1531" s="1">
        <v>75</v>
      </c>
      <c r="D1531" s="1" t="s">
        <v>13</v>
      </c>
      <c r="E1531" s="1" t="s">
        <v>14</v>
      </c>
      <c r="F1531" s="1" t="s">
        <v>62</v>
      </c>
      <c r="G1531" s="1" t="s">
        <v>25</v>
      </c>
      <c r="H1531" s="1" t="s">
        <v>17</v>
      </c>
      <c r="I1531" s="1" t="s">
        <v>30</v>
      </c>
      <c r="J1531" s="1">
        <v>0.4</v>
      </c>
      <c r="K1531" s="36">
        <v>46261</v>
      </c>
    </row>
    <row r="1532" spans="1:11" x14ac:dyDescent="0.3">
      <c r="A1532" s="2" t="s">
        <v>3071</v>
      </c>
      <c r="B1532" s="1" t="s">
        <v>3072</v>
      </c>
      <c r="C1532" s="1">
        <v>23</v>
      </c>
      <c r="D1532" s="1" t="s">
        <v>20</v>
      </c>
      <c r="E1532" s="1" t="s">
        <v>28</v>
      </c>
      <c r="F1532" s="1" t="s">
        <v>15</v>
      </c>
      <c r="G1532" s="1" t="s">
        <v>25</v>
      </c>
      <c r="H1532" s="1" t="s">
        <v>17</v>
      </c>
      <c r="I1532" s="1" t="s">
        <v>17</v>
      </c>
      <c r="J1532" s="1">
        <v>0.31</v>
      </c>
      <c r="K1532" s="36">
        <v>44702</v>
      </c>
    </row>
    <row r="1533" spans="1:11" x14ac:dyDescent="0.3">
      <c r="A1533" s="2" t="s">
        <v>3073</v>
      </c>
      <c r="B1533" s="1" t="s">
        <v>3074</v>
      </c>
      <c r="C1533" s="1">
        <v>18</v>
      </c>
      <c r="D1533" s="1" t="s">
        <v>13</v>
      </c>
      <c r="E1533" s="1" t="s">
        <v>28</v>
      </c>
      <c r="F1533" s="1" t="s">
        <v>46</v>
      </c>
      <c r="G1533" s="1" t="s">
        <v>38</v>
      </c>
      <c r="H1533" s="1" t="s">
        <v>17</v>
      </c>
      <c r="I1533" s="1" t="s">
        <v>17</v>
      </c>
      <c r="J1533" s="1">
        <v>0.28999999999999998</v>
      </c>
      <c r="K1533" s="36">
        <v>46085</v>
      </c>
    </row>
    <row r="1534" spans="1:11" x14ac:dyDescent="0.3">
      <c r="A1534" s="2" t="s">
        <v>3075</v>
      </c>
      <c r="B1534" s="1" t="s">
        <v>2367</v>
      </c>
      <c r="C1534" s="1">
        <v>76</v>
      </c>
      <c r="D1534" s="1" t="s">
        <v>20</v>
      </c>
      <c r="E1534" s="1" t="s">
        <v>28</v>
      </c>
      <c r="F1534" s="1" t="s">
        <v>46</v>
      </c>
      <c r="G1534" s="1" t="s">
        <v>16</v>
      </c>
      <c r="H1534" s="1" t="s">
        <v>17</v>
      </c>
      <c r="I1534" s="1" t="s">
        <v>17</v>
      </c>
      <c r="J1534" s="1">
        <v>0.32</v>
      </c>
      <c r="K1534" s="36">
        <v>45153</v>
      </c>
    </row>
    <row r="1535" spans="1:11" x14ac:dyDescent="0.3">
      <c r="A1535" s="2" t="s">
        <v>3076</v>
      </c>
      <c r="B1535" s="1" t="s">
        <v>3077</v>
      </c>
      <c r="C1535" s="1">
        <v>29</v>
      </c>
      <c r="D1535" s="1" t="s">
        <v>20</v>
      </c>
      <c r="E1535" s="1" t="s">
        <v>33</v>
      </c>
      <c r="F1535" s="1" t="s">
        <v>15</v>
      </c>
      <c r="G1535" s="1" t="s">
        <v>22</v>
      </c>
      <c r="H1535" s="1" t="s">
        <v>30</v>
      </c>
      <c r="I1535" s="1" t="s">
        <v>17</v>
      </c>
      <c r="J1535" s="1">
        <v>0.47</v>
      </c>
      <c r="K1535" s="36">
        <v>44345</v>
      </c>
    </row>
    <row r="1536" spans="1:11" x14ac:dyDescent="0.3">
      <c r="A1536" s="2" t="s">
        <v>3078</v>
      </c>
      <c r="B1536" s="1" t="s">
        <v>3079</v>
      </c>
      <c r="C1536" s="1">
        <v>69</v>
      </c>
      <c r="D1536" s="1" t="s">
        <v>13</v>
      </c>
      <c r="E1536" s="1" t="s">
        <v>21</v>
      </c>
      <c r="F1536" s="1" t="s">
        <v>15</v>
      </c>
      <c r="G1536" s="1" t="s">
        <v>16</v>
      </c>
      <c r="H1536" s="1" t="s">
        <v>17</v>
      </c>
      <c r="I1536" s="1" t="s">
        <v>30</v>
      </c>
      <c r="J1536" s="1">
        <v>0.41</v>
      </c>
      <c r="K1536" s="36">
        <v>45946</v>
      </c>
    </row>
    <row r="1537" spans="1:11" x14ac:dyDescent="0.3">
      <c r="A1537" s="2" t="s">
        <v>3080</v>
      </c>
      <c r="B1537" s="1" t="s">
        <v>3081</v>
      </c>
      <c r="C1537" s="1">
        <v>19</v>
      </c>
      <c r="D1537" s="1" t="s">
        <v>20</v>
      </c>
      <c r="E1537" s="1" t="s">
        <v>21</v>
      </c>
      <c r="F1537" s="1" t="s">
        <v>62</v>
      </c>
      <c r="G1537" s="1" t="s">
        <v>47</v>
      </c>
      <c r="H1537" s="1" t="s">
        <v>30</v>
      </c>
      <c r="I1537" s="1" t="s">
        <v>17</v>
      </c>
      <c r="J1537" s="1">
        <v>0.51</v>
      </c>
      <c r="K1537" s="36">
        <v>45067</v>
      </c>
    </row>
    <row r="1538" spans="1:11" x14ac:dyDescent="0.3">
      <c r="A1538" s="2" t="s">
        <v>3082</v>
      </c>
      <c r="B1538" s="1" t="s">
        <v>3083</v>
      </c>
      <c r="C1538" s="1">
        <v>27</v>
      </c>
      <c r="D1538" s="1" t="s">
        <v>13</v>
      </c>
      <c r="E1538" s="1" t="s">
        <v>33</v>
      </c>
      <c r="F1538" s="1" t="s">
        <v>62</v>
      </c>
      <c r="G1538" s="1" t="s">
        <v>22</v>
      </c>
      <c r="H1538" s="1" t="s">
        <v>30</v>
      </c>
      <c r="I1538" s="1" t="s">
        <v>17</v>
      </c>
      <c r="J1538" s="1">
        <v>0.32</v>
      </c>
      <c r="K1538" s="36">
        <v>46046</v>
      </c>
    </row>
    <row r="1539" spans="1:11" x14ac:dyDescent="0.3">
      <c r="A1539" s="2" t="s">
        <v>3084</v>
      </c>
      <c r="B1539" s="1" t="s">
        <v>3085</v>
      </c>
      <c r="C1539" s="1">
        <v>24</v>
      </c>
      <c r="D1539" s="1" t="s">
        <v>20</v>
      </c>
      <c r="E1539" s="1" t="s">
        <v>14</v>
      </c>
      <c r="F1539" s="1" t="s">
        <v>15</v>
      </c>
      <c r="G1539" s="1" t="s">
        <v>38</v>
      </c>
      <c r="H1539" s="1" t="s">
        <v>17</v>
      </c>
      <c r="I1539" s="1" t="s">
        <v>17</v>
      </c>
      <c r="J1539" s="1">
        <v>0.19</v>
      </c>
      <c r="K1539" s="36">
        <v>45052</v>
      </c>
    </row>
    <row r="1540" spans="1:11" x14ac:dyDescent="0.3">
      <c r="A1540" s="2" t="s">
        <v>3086</v>
      </c>
      <c r="B1540" s="1" t="s">
        <v>3087</v>
      </c>
      <c r="C1540" s="1">
        <v>62</v>
      </c>
      <c r="D1540" s="1" t="s">
        <v>20</v>
      </c>
      <c r="E1540" s="1" t="s">
        <v>21</v>
      </c>
      <c r="F1540" s="1" t="s">
        <v>62</v>
      </c>
      <c r="G1540" s="1" t="s">
        <v>43</v>
      </c>
      <c r="H1540" s="1" t="s">
        <v>17</v>
      </c>
      <c r="I1540" s="1" t="s">
        <v>30</v>
      </c>
      <c r="J1540" s="1">
        <v>0.48</v>
      </c>
      <c r="K1540" s="36">
        <v>44269</v>
      </c>
    </row>
    <row r="1541" spans="1:11" x14ac:dyDescent="0.3">
      <c r="A1541" s="2" t="s">
        <v>3088</v>
      </c>
      <c r="B1541" s="1" t="s">
        <v>3089</v>
      </c>
      <c r="C1541" s="1">
        <v>57</v>
      </c>
      <c r="D1541" s="1" t="s">
        <v>13</v>
      </c>
      <c r="E1541" s="1" t="s">
        <v>28</v>
      </c>
      <c r="F1541" s="1" t="s">
        <v>29</v>
      </c>
      <c r="G1541" s="1" t="s">
        <v>16</v>
      </c>
      <c r="H1541" s="1" t="s">
        <v>30</v>
      </c>
      <c r="I1541" s="1" t="s">
        <v>17</v>
      </c>
      <c r="J1541" s="1">
        <v>0.37</v>
      </c>
      <c r="K1541" s="36">
        <v>45571</v>
      </c>
    </row>
    <row r="1542" spans="1:11" x14ac:dyDescent="0.3">
      <c r="A1542" s="2" t="s">
        <v>3090</v>
      </c>
      <c r="B1542" s="1" t="s">
        <v>3091</v>
      </c>
      <c r="C1542" s="1">
        <v>47</v>
      </c>
      <c r="D1542" s="1" t="s">
        <v>13</v>
      </c>
      <c r="E1542" s="1" t="s">
        <v>28</v>
      </c>
      <c r="F1542" s="1" t="s">
        <v>62</v>
      </c>
      <c r="G1542" s="1" t="s">
        <v>38</v>
      </c>
      <c r="H1542" s="1" t="s">
        <v>17</v>
      </c>
      <c r="I1542" s="1" t="s">
        <v>17</v>
      </c>
      <c r="J1542" s="1">
        <v>0.23</v>
      </c>
      <c r="K1542" s="36">
        <v>45930</v>
      </c>
    </row>
    <row r="1543" spans="1:11" x14ac:dyDescent="0.3">
      <c r="A1543" s="2" t="s">
        <v>3092</v>
      </c>
      <c r="B1543" s="1" t="s">
        <v>3093</v>
      </c>
      <c r="C1543" s="1">
        <v>33</v>
      </c>
      <c r="D1543" s="1" t="s">
        <v>13</v>
      </c>
      <c r="E1543" s="1" t="s">
        <v>14</v>
      </c>
      <c r="F1543" s="1" t="s">
        <v>29</v>
      </c>
      <c r="G1543" s="1" t="s">
        <v>16</v>
      </c>
      <c r="H1543" s="1" t="s">
        <v>30</v>
      </c>
      <c r="I1543" s="1" t="s">
        <v>30</v>
      </c>
      <c r="J1543" s="1">
        <v>0.54</v>
      </c>
      <c r="K1543" s="36">
        <v>44777</v>
      </c>
    </row>
    <row r="1544" spans="1:11" x14ac:dyDescent="0.3">
      <c r="A1544" s="2" t="s">
        <v>3094</v>
      </c>
      <c r="B1544" s="1" t="s">
        <v>3095</v>
      </c>
      <c r="C1544" s="1">
        <v>23</v>
      </c>
      <c r="D1544" s="1" t="s">
        <v>20</v>
      </c>
      <c r="E1544" s="1" t="s">
        <v>33</v>
      </c>
      <c r="F1544" s="1" t="s">
        <v>15</v>
      </c>
      <c r="G1544" s="1" t="s">
        <v>43</v>
      </c>
      <c r="H1544" s="1" t="s">
        <v>17</v>
      </c>
      <c r="I1544" s="1" t="s">
        <v>17</v>
      </c>
      <c r="J1544" s="1">
        <v>0.31</v>
      </c>
      <c r="K1544" s="36">
        <v>44838</v>
      </c>
    </row>
    <row r="1545" spans="1:11" x14ac:dyDescent="0.3">
      <c r="A1545" s="2" t="s">
        <v>3096</v>
      </c>
      <c r="B1545" s="1" t="s">
        <v>3097</v>
      </c>
      <c r="C1545" s="1">
        <v>53</v>
      </c>
      <c r="D1545" s="1" t="s">
        <v>20</v>
      </c>
      <c r="E1545" s="1" t="s">
        <v>14</v>
      </c>
      <c r="F1545" s="1" t="s">
        <v>29</v>
      </c>
      <c r="G1545" s="1" t="s">
        <v>25</v>
      </c>
      <c r="H1545" s="1" t="s">
        <v>17</v>
      </c>
      <c r="I1545" s="1" t="s">
        <v>30</v>
      </c>
      <c r="J1545" s="1">
        <v>0.35</v>
      </c>
      <c r="K1545" s="36">
        <v>44219</v>
      </c>
    </row>
    <row r="1546" spans="1:11" x14ac:dyDescent="0.3">
      <c r="A1546" s="2" t="s">
        <v>3098</v>
      </c>
      <c r="B1546" s="1" t="s">
        <v>3099</v>
      </c>
      <c r="C1546" s="1">
        <v>32</v>
      </c>
      <c r="D1546" s="1" t="s">
        <v>20</v>
      </c>
      <c r="E1546" s="1" t="s">
        <v>14</v>
      </c>
      <c r="F1546" s="1" t="s">
        <v>15</v>
      </c>
      <c r="G1546" s="1" t="s">
        <v>47</v>
      </c>
      <c r="H1546" s="1" t="s">
        <v>17</v>
      </c>
      <c r="I1546" s="1" t="s">
        <v>30</v>
      </c>
      <c r="J1546" s="1">
        <v>0.35</v>
      </c>
      <c r="K1546" s="36">
        <v>45265</v>
      </c>
    </row>
    <row r="1547" spans="1:11" x14ac:dyDescent="0.3">
      <c r="A1547" s="2" t="s">
        <v>3100</v>
      </c>
      <c r="B1547" s="1" t="s">
        <v>3101</v>
      </c>
      <c r="C1547" s="1">
        <v>55</v>
      </c>
      <c r="D1547" s="1" t="s">
        <v>13</v>
      </c>
      <c r="E1547" s="1" t="s">
        <v>33</v>
      </c>
      <c r="F1547" s="1" t="s">
        <v>46</v>
      </c>
      <c r="G1547" s="1" t="s">
        <v>43</v>
      </c>
      <c r="H1547" s="1" t="s">
        <v>17</v>
      </c>
      <c r="I1547" s="1" t="s">
        <v>17</v>
      </c>
      <c r="J1547" s="1">
        <v>0.31</v>
      </c>
      <c r="K1547" s="36">
        <v>46030</v>
      </c>
    </row>
    <row r="1548" spans="1:11" x14ac:dyDescent="0.3">
      <c r="A1548" s="2" t="s">
        <v>3102</v>
      </c>
      <c r="B1548" s="1" t="s">
        <v>3103</v>
      </c>
      <c r="C1548" s="1">
        <v>61</v>
      </c>
      <c r="D1548" s="1" t="s">
        <v>20</v>
      </c>
      <c r="E1548" s="1" t="s">
        <v>14</v>
      </c>
      <c r="F1548" s="1" t="s">
        <v>46</v>
      </c>
      <c r="G1548" s="1" t="s">
        <v>47</v>
      </c>
      <c r="H1548" s="1" t="s">
        <v>30</v>
      </c>
      <c r="I1548" s="1" t="s">
        <v>30</v>
      </c>
      <c r="J1548" s="1">
        <v>0.56999999999999995</v>
      </c>
      <c r="K1548" s="36">
        <v>45943</v>
      </c>
    </row>
    <row r="1549" spans="1:11" x14ac:dyDescent="0.3">
      <c r="A1549" s="2" t="s">
        <v>3104</v>
      </c>
      <c r="B1549" s="1" t="s">
        <v>3105</v>
      </c>
      <c r="C1549" s="1">
        <v>71</v>
      </c>
      <c r="D1549" s="1" t="s">
        <v>20</v>
      </c>
      <c r="E1549" s="1" t="s">
        <v>28</v>
      </c>
      <c r="F1549" s="1" t="s">
        <v>46</v>
      </c>
      <c r="G1549" s="1" t="s">
        <v>47</v>
      </c>
      <c r="H1549" s="1" t="s">
        <v>17</v>
      </c>
      <c r="I1549" s="1" t="s">
        <v>17</v>
      </c>
      <c r="J1549" s="1">
        <v>0.24</v>
      </c>
      <c r="K1549" s="36">
        <v>45637</v>
      </c>
    </row>
    <row r="1550" spans="1:11" x14ac:dyDescent="0.3">
      <c r="A1550" s="2" t="s">
        <v>3106</v>
      </c>
      <c r="B1550" s="1" t="s">
        <v>3107</v>
      </c>
      <c r="C1550" s="1">
        <v>49</v>
      </c>
      <c r="D1550" s="1" t="s">
        <v>20</v>
      </c>
      <c r="E1550" s="1" t="s">
        <v>21</v>
      </c>
      <c r="F1550" s="1" t="s">
        <v>29</v>
      </c>
      <c r="G1550" s="1" t="s">
        <v>38</v>
      </c>
      <c r="H1550" s="1" t="s">
        <v>17</v>
      </c>
      <c r="I1550" s="1" t="s">
        <v>17</v>
      </c>
      <c r="J1550" s="1">
        <v>0.23</v>
      </c>
      <c r="K1550" s="36">
        <v>46109</v>
      </c>
    </row>
    <row r="1551" spans="1:11" x14ac:dyDescent="0.3">
      <c r="A1551" s="2" t="s">
        <v>3108</v>
      </c>
      <c r="B1551" s="1" t="s">
        <v>3109</v>
      </c>
      <c r="C1551" s="1">
        <v>18</v>
      </c>
      <c r="D1551" s="1" t="s">
        <v>20</v>
      </c>
      <c r="E1551" s="1" t="s">
        <v>33</v>
      </c>
      <c r="F1551" s="1" t="s">
        <v>46</v>
      </c>
      <c r="G1551" s="1" t="s">
        <v>43</v>
      </c>
      <c r="H1551" s="1" t="s">
        <v>17</v>
      </c>
      <c r="I1551" s="1" t="s">
        <v>17</v>
      </c>
      <c r="J1551" s="1">
        <v>0.25</v>
      </c>
      <c r="K1551" s="36">
        <v>45474</v>
      </c>
    </row>
    <row r="1552" spans="1:11" x14ac:dyDescent="0.3">
      <c r="A1552" s="2" t="s">
        <v>3110</v>
      </c>
      <c r="B1552" s="1" t="s">
        <v>3111</v>
      </c>
      <c r="C1552" s="1">
        <v>35</v>
      </c>
      <c r="D1552" s="1" t="s">
        <v>20</v>
      </c>
      <c r="E1552" s="1" t="s">
        <v>28</v>
      </c>
      <c r="F1552" s="1" t="s">
        <v>29</v>
      </c>
      <c r="G1552" s="1" t="s">
        <v>25</v>
      </c>
      <c r="H1552" s="1" t="s">
        <v>17</v>
      </c>
      <c r="I1552" s="1" t="s">
        <v>17</v>
      </c>
      <c r="J1552" s="1">
        <v>0.18</v>
      </c>
      <c r="K1552" s="36">
        <v>45816</v>
      </c>
    </row>
    <row r="1553" spans="1:11" x14ac:dyDescent="0.3">
      <c r="A1553" s="2" t="s">
        <v>3112</v>
      </c>
      <c r="B1553" s="1" t="s">
        <v>3113</v>
      </c>
      <c r="C1553" s="1">
        <v>71</v>
      </c>
      <c r="D1553" s="1" t="s">
        <v>20</v>
      </c>
      <c r="E1553" s="1" t="s">
        <v>28</v>
      </c>
      <c r="F1553" s="1" t="s">
        <v>29</v>
      </c>
      <c r="G1553" s="1" t="s">
        <v>16</v>
      </c>
      <c r="H1553" s="1" t="s">
        <v>17</v>
      </c>
      <c r="I1553" s="1" t="s">
        <v>17</v>
      </c>
      <c r="J1553" s="1">
        <v>0.28000000000000003</v>
      </c>
      <c r="K1553" s="36">
        <v>45192</v>
      </c>
    </row>
    <row r="1554" spans="1:11" x14ac:dyDescent="0.3">
      <c r="A1554" s="2" t="s">
        <v>3114</v>
      </c>
      <c r="B1554" s="1" t="s">
        <v>3115</v>
      </c>
      <c r="C1554" s="1">
        <v>51</v>
      </c>
      <c r="D1554" s="1" t="s">
        <v>13</v>
      </c>
      <c r="E1554" s="1" t="s">
        <v>21</v>
      </c>
      <c r="F1554" s="1" t="s">
        <v>15</v>
      </c>
      <c r="G1554" s="1" t="s">
        <v>25</v>
      </c>
      <c r="H1554" s="1" t="s">
        <v>17</v>
      </c>
      <c r="I1554" s="1" t="s">
        <v>30</v>
      </c>
      <c r="J1554" s="1">
        <v>0.45</v>
      </c>
      <c r="K1554" s="36">
        <v>44343</v>
      </c>
    </row>
    <row r="1555" spans="1:11" x14ac:dyDescent="0.3">
      <c r="A1555" s="2" t="s">
        <v>3116</v>
      </c>
      <c r="B1555" s="1" t="s">
        <v>3117</v>
      </c>
      <c r="C1555" s="1">
        <v>57</v>
      </c>
      <c r="D1555" s="1" t="s">
        <v>13</v>
      </c>
      <c r="E1555" s="1" t="s">
        <v>21</v>
      </c>
      <c r="F1555" s="1" t="s">
        <v>29</v>
      </c>
      <c r="G1555" s="1" t="s">
        <v>47</v>
      </c>
      <c r="H1555" s="1" t="s">
        <v>17</v>
      </c>
      <c r="I1555" s="1" t="s">
        <v>17</v>
      </c>
      <c r="J1555" s="1">
        <v>0.25</v>
      </c>
      <c r="K1555" s="36">
        <v>44517</v>
      </c>
    </row>
    <row r="1556" spans="1:11" x14ac:dyDescent="0.3">
      <c r="A1556" s="2" t="s">
        <v>3118</v>
      </c>
      <c r="B1556" s="1" t="s">
        <v>3119</v>
      </c>
      <c r="C1556" s="1">
        <v>46</v>
      </c>
      <c r="D1556" s="1" t="s">
        <v>20</v>
      </c>
      <c r="E1556" s="1" t="s">
        <v>33</v>
      </c>
      <c r="F1556" s="1" t="s">
        <v>29</v>
      </c>
      <c r="G1556" s="1" t="s">
        <v>38</v>
      </c>
      <c r="H1556" s="1" t="s">
        <v>17</v>
      </c>
      <c r="I1556" s="1" t="s">
        <v>17</v>
      </c>
      <c r="J1556" s="1">
        <v>0.17</v>
      </c>
      <c r="K1556" s="36">
        <v>44381</v>
      </c>
    </row>
    <row r="1557" spans="1:11" x14ac:dyDescent="0.3">
      <c r="A1557" s="2" t="s">
        <v>3120</v>
      </c>
      <c r="B1557" s="1" t="s">
        <v>3121</v>
      </c>
      <c r="C1557" s="1">
        <v>28</v>
      </c>
      <c r="D1557" s="1" t="s">
        <v>13</v>
      </c>
      <c r="E1557" s="1" t="s">
        <v>28</v>
      </c>
      <c r="F1557" s="1" t="s">
        <v>29</v>
      </c>
      <c r="G1557" s="1" t="s">
        <v>43</v>
      </c>
      <c r="H1557" s="1" t="s">
        <v>17</v>
      </c>
      <c r="I1557" s="1" t="s">
        <v>17</v>
      </c>
      <c r="J1557" s="1">
        <v>0.1</v>
      </c>
      <c r="K1557" s="36">
        <v>45809</v>
      </c>
    </row>
    <row r="1558" spans="1:11" x14ac:dyDescent="0.3">
      <c r="A1558" s="2" t="s">
        <v>3122</v>
      </c>
      <c r="B1558" s="1" t="s">
        <v>3123</v>
      </c>
      <c r="C1558" s="1">
        <v>74</v>
      </c>
      <c r="D1558" s="1" t="s">
        <v>13</v>
      </c>
      <c r="E1558" s="1" t="s">
        <v>28</v>
      </c>
      <c r="F1558" s="1" t="s">
        <v>15</v>
      </c>
      <c r="G1558" s="1" t="s">
        <v>43</v>
      </c>
      <c r="H1558" s="1" t="s">
        <v>17</v>
      </c>
      <c r="I1558" s="1" t="s">
        <v>30</v>
      </c>
      <c r="J1558" s="1">
        <v>0.43</v>
      </c>
      <c r="K1558" s="36">
        <v>44134</v>
      </c>
    </row>
    <row r="1559" spans="1:11" x14ac:dyDescent="0.3">
      <c r="A1559" s="2" t="s">
        <v>3124</v>
      </c>
      <c r="B1559" s="1" t="s">
        <v>3125</v>
      </c>
      <c r="C1559" s="1">
        <v>66</v>
      </c>
      <c r="D1559" s="1" t="s">
        <v>20</v>
      </c>
      <c r="E1559" s="1" t="s">
        <v>28</v>
      </c>
      <c r="F1559" s="1" t="s">
        <v>15</v>
      </c>
      <c r="G1559" s="1" t="s">
        <v>38</v>
      </c>
      <c r="H1559" s="1" t="s">
        <v>17</v>
      </c>
      <c r="I1559" s="1" t="s">
        <v>17</v>
      </c>
      <c r="J1559" s="1">
        <v>0.32</v>
      </c>
      <c r="K1559" s="36">
        <v>45291</v>
      </c>
    </row>
    <row r="1560" spans="1:11" x14ac:dyDescent="0.3">
      <c r="A1560" s="2" t="s">
        <v>3126</v>
      </c>
      <c r="B1560" s="1" t="s">
        <v>3127</v>
      </c>
      <c r="C1560" s="1">
        <v>80</v>
      </c>
      <c r="D1560" s="1" t="s">
        <v>20</v>
      </c>
      <c r="E1560" s="1" t="s">
        <v>21</v>
      </c>
      <c r="F1560" s="1" t="s">
        <v>46</v>
      </c>
      <c r="G1560" s="1" t="s">
        <v>38</v>
      </c>
      <c r="H1560" s="1" t="s">
        <v>17</v>
      </c>
      <c r="I1560" s="1" t="s">
        <v>17</v>
      </c>
      <c r="J1560" s="1">
        <v>0.33</v>
      </c>
      <c r="K1560" s="36">
        <v>44885</v>
      </c>
    </row>
    <row r="1561" spans="1:11" x14ac:dyDescent="0.3">
      <c r="A1561" s="2" t="s">
        <v>3128</v>
      </c>
      <c r="B1561" s="1" t="s">
        <v>3129</v>
      </c>
      <c r="C1561" s="1">
        <v>71</v>
      </c>
      <c r="D1561" s="1" t="s">
        <v>20</v>
      </c>
      <c r="E1561" s="1" t="s">
        <v>33</v>
      </c>
      <c r="F1561" s="1" t="s">
        <v>29</v>
      </c>
      <c r="G1561" s="1" t="s">
        <v>16</v>
      </c>
      <c r="H1561" s="1" t="s">
        <v>17</v>
      </c>
      <c r="I1561" s="1" t="s">
        <v>30</v>
      </c>
      <c r="J1561" s="1">
        <v>0.44</v>
      </c>
      <c r="K1561" s="36">
        <v>45838</v>
      </c>
    </row>
    <row r="1562" spans="1:11" x14ac:dyDescent="0.3">
      <c r="A1562" s="2" t="s">
        <v>3130</v>
      </c>
      <c r="B1562" s="1" t="s">
        <v>3131</v>
      </c>
      <c r="C1562" s="1">
        <v>36</v>
      </c>
      <c r="D1562" s="1" t="s">
        <v>20</v>
      </c>
      <c r="E1562" s="1" t="s">
        <v>33</v>
      </c>
      <c r="F1562" s="1" t="s">
        <v>29</v>
      </c>
      <c r="G1562" s="1" t="s">
        <v>38</v>
      </c>
      <c r="H1562" s="1" t="s">
        <v>17</v>
      </c>
      <c r="I1562" s="1" t="s">
        <v>17</v>
      </c>
      <c r="J1562" s="1">
        <v>0.26</v>
      </c>
      <c r="K1562" s="36">
        <v>45286</v>
      </c>
    </row>
    <row r="1563" spans="1:11" x14ac:dyDescent="0.3">
      <c r="A1563" s="2" t="s">
        <v>3132</v>
      </c>
      <c r="B1563" s="1" t="s">
        <v>3133</v>
      </c>
      <c r="C1563" s="1">
        <v>34</v>
      </c>
      <c r="D1563" s="1" t="s">
        <v>13</v>
      </c>
      <c r="E1563" s="1" t="s">
        <v>33</v>
      </c>
      <c r="F1563" s="1" t="s">
        <v>62</v>
      </c>
      <c r="G1563" s="1" t="s">
        <v>25</v>
      </c>
      <c r="H1563" s="1" t="s">
        <v>17</v>
      </c>
      <c r="I1563" s="1" t="s">
        <v>17</v>
      </c>
      <c r="J1563" s="1">
        <v>0.24</v>
      </c>
      <c r="K1563" s="36">
        <v>45418</v>
      </c>
    </row>
    <row r="1564" spans="1:11" x14ac:dyDescent="0.3">
      <c r="A1564" s="2" t="s">
        <v>3134</v>
      </c>
      <c r="B1564" s="1" t="s">
        <v>3135</v>
      </c>
      <c r="C1564" s="1">
        <v>33</v>
      </c>
      <c r="D1564" s="1" t="s">
        <v>13</v>
      </c>
      <c r="E1564" s="1" t="s">
        <v>28</v>
      </c>
      <c r="F1564" s="1" t="s">
        <v>46</v>
      </c>
      <c r="G1564" s="1" t="s">
        <v>43</v>
      </c>
      <c r="H1564" s="1" t="s">
        <v>30</v>
      </c>
      <c r="I1564" s="1" t="s">
        <v>30</v>
      </c>
      <c r="J1564" s="1">
        <v>0.6</v>
      </c>
      <c r="K1564" s="36">
        <v>44265</v>
      </c>
    </row>
    <row r="1565" spans="1:11" x14ac:dyDescent="0.3">
      <c r="A1565" s="2" t="s">
        <v>3136</v>
      </c>
      <c r="B1565" s="1" t="s">
        <v>3137</v>
      </c>
      <c r="C1565" s="1">
        <v>75</v>
      </c>
      <c r="D1565" s="1" t="s">
        <v>20</v>
      </c>
      <c r="E1565" s="1" t="s">
        <v>21</v>
      </c>
      <c r="F1565" s="1" t="s">
        <v>29</v>
      </c>
      <c r="G1565" s="1" t="s">
        <v>47</v>
      </c>
      <c r="H1565" s="1" t="s">
        <v>17</v>
      </c>
      <c r="I1565" s="1" t="s">
        <v>17</v>
      </c>
      <c r="J1565" s="1">
        <v>0.34</v>
      </c>
      <c r="K1565" s="36">
        <v>44754</v>
      </c>
    </row>
    <row r="1566" spans="1:11" x14ac:dyDescent="0.3">
      <c r="A1566" s="2" t="s">
        <v>3138</v>
      </c>
      <c r="B1566" s="1" t="s">
        <v>3139</v>
      </c>
      <c r="C1566" s="1">
        <v>53</v>
      </c>
      <c r="D1566" s="1" t="s">
        <v>13</v>
      </c>
      <c r="E1566" s="1" t="s">
        <v>14</v>
      </c>
      <c r="F1566" s="1" t="s">
        <v>15</v>
      </c>
      <c r="G1566" s="1" t="s">
        <v>47</v>
      </c>
      <c r="H1566" s="1" t="s">
        <v>17</v>
      </c>
      <c r="I1566" s="1" t="s">
        <v>30</v>
      </c>
      <c r="J1566" s="1">
        <v>0.44</v>
      </c>
      <c r="K1566" s="36">
        <v>46268</v>
      </c>
    </row>
    <row r="1567" spans="1:11" x14ac:dyDescent="0.3">
      <c r="A1567" s="2" t="s">
        <v>3140</v>
      </c>
      <c r="B1567" s="1" t="s">
        <v>3141</v>
      </c>
      <c r="C1567" s="1">
        <v>46</v>
      </c>
      <c r="D1567" s="1" t="s">
        <v>20</v>
      </c>
      <c r="E1567" s="1" t="s">
        <v>14</v>
      </c>
      <c r="F1567" s="1" t="s">
        <v>62</v>
      </c>
      <c r="G1567" s="1" t="s">
        <v>43</v>
      </c>
      <c r="H1567" s="1" t="s">
        <v>17</v>
      </c>
      <c r="I1567" s="1" t="s">
        <v>30</v>
      </c>
      <c r="J1567" s="1">
        <v>0.34</v>
      </c>
      <c r="K1567" s="36">
        <v>45652</v>
      </c>
    </row>
    <row r="1568" spans="1:11" x14ac:dyDescent="0.3">
      <c r="A1568" s="2" t="s">
        <v>3142</v>
      </c>
      <c r="B1568" s="1" t="s">
        <v>3143</v>
      </c>
      <c r="C1568" s="1">
        <v>79</v>
      </c>
      <c r="D1568" s="1" t="s">
        <v>13</v>
      </c>
      <c r="E1568" s="1" t="s">
        <v>28</v>
      </c>
      <c r="F1568" s="1" t="s">
        <v>62</v>
      </c>
      <c r="G1568" s="1" t="s">
        <v>22</v>
      </c>
      <c r="H1568" s="1" t="s">
        <v>17</v>
      </c>
      <c r="I1568" s="1" t="s">
        <v>30</v>
      </c>
      <c r="J1568" s="1">
        <v>0.35</v>
      </c>
      <c r="K1568" s="36">
        <v>45229</v>
      </c>
    </row>
    <row r="1569" spans="1:11" x14ac:dyDescent="0.3">
      <c r="A1569" s="2" t="s">
        <v>3144</v>
      </c>
      <c r="B1569" s="1" t="s">
        <v>3145</v>
      </c>
      <c r="C1569" s="1">
        <v>56</v>
      </c>
      <c r="D1569" s="1" t="s">
        <v>13</v>
      </c>
      <c r="E1569" s="1" t="s">
        <v>21</v>
      </c>
      <c r="F1569" s="1" t="s">
        <v>46</v>
      </c>
      <c r="G1569" s="1" t="s">
        <v>47</v>
      </c>
      <c r="H1569" s="1" t="s">
        <v>17</v>
      </c>
      <c r="I1569" s="1" t="s">
        <v>30</v>
      </c>
      <c r="J1569" s="1">
        <v>0.47</v>
      </c>
      <c r="K1569" s="36">
        <v>45763</v>
      </c>
    </row>
    <row r="1570" spans="1:11" x14ac:dyDescent="0.3">
      <c r="A1570" s="2" t="s">
        <v>3146</v>
      </c>
      <c r="B1570" s="1" t="s">
        <v>3147</v>
      </c>
      <c r="C1570" s="1">
        <v>75</v>
      </c>
      <c r="D1570" s="1" t="s">
        <v>20</v>
      </c>
      <c r="E1570" s="1" t="s">
        <v>14</v>
      </c>
      <c r="F1570" s="1" t="s">
        <v>46</v>
      </c>
      <c r="G1570" s="1" t="s">
        <v>38</v>
      </c>
      <c r="H1570" s="1" t="s">
        <v>17</v>
      </c>
      <c r="I1570" s="1" t="s">
        <v>17</v>
      </c>
      <c r="J1570" s="1">
        <v>0.33</v>
      </c>
      <c r="K1570" s="36">
        <v>45881</v>
      </c>
    </row>
    <row r="1571" spans="1:11" x14ac:dyDescent="0.3">
      <c r="A1571" s="2" t="s">
        <v>3148</v>
      </c>
      <c r="B1571" s="1" t="s">
        <v>3149</v>
      </c>
      <c r="C1571" s="1">
        <v>80</v>
      </c>
      <c r="D1571" s="1" t="s">
        <v>20</v>
      </c>
      <c r="E1571" s="1" t="s">
        <v>21</v>
      </c>
      <c r="F1571" s="1" t="s">
        <v>46</v>
      </c>
      <c r="G1571" s="1" t="s">
        <v>43</v>
      </c>
      <c r="H1571" s="1" t="s">
        <v>17</v>
      </c>
      <c r="I1571" s="1" t="s">
        <v>17</v>
      </c>
      <c r="J1571" s="1">
        <v>0.37</v>
      </c>
      <c r="K1571" s="36">
        <v>44238</v>
      </c>
    </row>
    <row r="1572" spans="1:11" x14ac:dyDescent="0.3">
      <c r="A1572" s="2" t="s">
        <v>3150</v>
      </c>
      <c r="B1572" s="1" t="s">
        <v>3151</v>
      </c>
      <c r="C1572" s="1">
        <v>23</v>
      </c>
      <c r="D1572" s="1" t="s">
        <v>13</v>
      </c>
      <c r="E1572" s="1" t="s">
        <v>21</v>
      </c>
      <c r="F1572" s="1" t="s">
        <v>29</v>
      </c>
      <c r="G1572" s="1" t="s">
        <v>43</v>
      </c>
      <c r="H1572" s="1" t="s">
        <v>30</v>
      </c>
      <c r="I1572" s="1" t="s">
        <v>17</v>
      </c>
      <c r="J1572" s="1">
        <v>0.51</v>
      </c>
      <c r="K1572" s="36">
        <v>46208</v>
      </c>
    </row>
    <row r="1573" spans="1:11" x14ac:dyDescent="0.3">
      <c r="A1573" s="2" t="s">
        <v>3152</v>
      </c>
      <c r="B1573" s="1" t="s">
        <v>3153</v>
      </c>
      <c r="C1573" s="1">
        <v>40</v>
      </c>
      <c r="D1573" s="1" t="s">
        <v>13</v>
      </c>
      <c r="E1573" s="1" t="s">
        <v>28</v>
      </c>
      <c r="F1573" s="1" t="s">
        <v>29</v>
      </c>
      <c r="G1573" s="1" t="s">
        <v>38</v>
      </c>
      <c r="H1573" s="1" t="s">
        <v>17</v>
      </c>
      <c r="I1573" s="1" t="s">
        <v>30</v>
      </c>
      <c r="J1573" s="1">
        <v>0.47</v>
      </c>
      <c r="K1573" s="36">
        <v>45485</v>
      </c>
    </row>
    <row r="1574" spans="1:11" x14ac:dyDescent="0.3">
      <c r="A1574" s="2" t="s">
        <v>3154</v>
      </c>
      <c r="B1574" s="1" t="s">
        <v>3155</v>
      </c>
      <c r="C1574" s="1">
        <v>64</v>
      </c>
      <c r="D1574" s="1" t="s">
        <v>20</v>
      </c>
      <c r="E1574" s="1" t="s">
        <v>28</v>
      </c>
      <c r="F1574" s="1" t="s">
        <v>15</v>
      </c>
      <c r="G1574" s="1" t="s">
        <v>25</v>
      </c>
      <c r="H1574" s="1" t="s">
        <v>17</v>
      </c>
      <c r="I1574" s="1" t="s">
        <v>30</v>
      </c>
      <c r="J1574" s="1">
        <v>0.47</v>
      </c>
      <c r="K1574" s="36">
        <v>45063</v>
      </c>
    </row>
    <row r="1575" spans="1:11" x14ac:dyDescent="0.3">
      <c r="A1575" s="2" t="s">
        <v>3156</v>
      </c>
      <c r="B1575" s="1" t="s">
        <v>3157</v>
      </c>
      <c r="C1575" s="1">
        <v>69</v>
      </c>
      <c r="D1575" s="1" t="s">
        <v>20</v>
      </c>
      <c r="E1575" s="1" t="s">
        <v>14</v>
      </c>
      <c r="F1575" s="1" t="s">
        <v>15</v>
      </c>
      <c r="G1575" s="1" t="s">
        <v>38</v>
      </c>
      <c r="H1575" s="1" t="s">
        <v>17</v>
      </c>
      <c r="I1575" s="1" t="s">
        <v>17</v>
      </c>
      <c r="J1575" s="1">
        <v>0.28999999999999998</v>
      </c>
      <c r="K1575" s="36">
        <v>45567</v>
      </c>
    </row>
    <row r="1576" spans="1:11" x14ac:dyDescent="0.3">
      <c r="A1576" s="2" t="s">
        <v>3158</v>
      </c>
      <c r="B1576" s="1" t="s">
        <v>3159</v>
      </c>
      <c r="C1576" s="1">
        <v>27</v>
      </c>
      <c r="D1576" s="1" t="s">
        <v>20</v>
      </c>
      <c r="E1576" s="1" t="s">
        <v>33</v>
      </c>
      <c r="F1576" s="1" t="s">
        <v>15</v>
      </c>
      <c r="G1576" s="1" t="s">
        <v>38</v>
      </c>
      <c r="H1576" s="1" t="s">
        <v>17</v>
      </c>
      <c r="I1576" s="1" t="s">
        <v>17</v>
      </c>
      <c r="J1576" s="1">
        <v>0.12</v>
      </c>
      <c r="K1576" s="36">
        <v>44832</v>
      </c>
    </row>
    <row r="1577" spans="1:11" x14ac:dyDescent="0.3">
      <c r="A1577" s="2" t="s">
        <v>3160</v>
      </c>
      <c r="B1577" s="1" t="s">
        <v>3161</v>
      </c>
      <c r="C1577" s="1">
        <v>38</v>
      </c>
      <c r="D1577" s="1" t="s">
        <v>13</v>
      </c>
      <c r="E1577" s="1" t="s">
        <v>33</v>
      </c>
      <c r="F1577" s="1" t="s">
        <v>15</v>
      </c>
      <c r="G1577" s="1" t="s">
        <v>22</v>
      </c>
      <c r="H1577" s="1" t="s">
        <v>17</v>
      </c>
      <c r="I1577" s="1" t="s">
        <v>30</v>
      </c>
      <c r="J1577" s="1">
        <v>0.37</v>
      </c>
      <c r="K1577" s="36">
        <v>46001</v>
      </c>
    </row>
    <row r="1578" spans="1:11" x14ac:dyDescent="0.3">
      <c r="A1578" s="2" t="s">
        <v>3162</v>
      </c>
      <c r="B1578" s="1" t="s">
        <v>3163</v>
      </c>
      <c r="C1578" s="1">
        <v>52</v>
      </c>
      <c r="D1578" s="1" t="s">
        <v>13</v>
      </c>
      <c r="E1578" s="1" t="s">
        <v>28</v>
      </c>
      <c r="F1578" s="1" t="s">
        <v>62</v>
      </c>
      <c r="G1578" s="1" t="s">
        <v>22</v>
      </c>
      <c r="H1578" s="1" t="s">
        <v>17</v>
      </c>
      <c r="I1578" s="1" t="s">
        <v>30</v>
      </c>
      <c r="J1578" s="1">
        <v>0.32</v>
      </c>
      <c r="K1578" s="36">
        <v>45787</v>
      </c>
    </row>
    <row r="1579" spans="1:11" x14ac:dyDescent="0.3">
      <c r="A1579" s="2" t="s">
        <v>3164</v>
      </c>
      <c r="B1579" s="1" t="s">
        <v>3165</v>
      </c>
      <c r="C1579" s="1">
        <v>68</v>
      </c>
      <c r="D1579" s="1" t="s">
        <v>13</v>
      </c>
      <c r="E1579" s="1" t="s">
        <v>14</v>
      </c>
      <c r="F1579" s="1" t="s">
        <v>15</v>
      </c>
      <c r="G1579" s="1" t="s">
        <v>43</v>
      </c>
      <c r="H1579" s="1" t="s">
        <v>17</v>
      </c>
      <c r="I1579" s="1" t="s">
        <v>17</v>
      </c>
      <c r="J1579" s="1">
        <v>0.28999999999999998</v>
      </c>
      <c r="K1579" s="36">
        <v>45479</v>
      </c>
    </row>
    <row r="1580" spans="1:11" x14ac:dyDescent="0.3">
      <c r="A1580" s="2" t="s">
        <v>3166</v>
      </c>
      <c r="B1580" s="1" t="s">
        <v>3167</v>
      </c>
      <c r="C1580" s="1">
        <v>25</v>
      </c>
      <c r="D1580" s="1" t="s">
        <v>13</v>
      </c>
      <c r="E1580" s="1" t="s">
        <v>28</v>
      </c>
      <c r="F1580" s="1" t="s">
        <v>62</v>
      </c>
      <c r="G1580" s="1" t="s">
        <v>25</v>
      </c>
      <c r="H1580" s="1" t="s">
        <v>17</v>
      </c>
      <c r="I1580" s="1" t="s">
        <v>17</v>
      </c>
      <c r="J1580" s="1">
        <v>0.25</v>
      </c>
      <c r="K1580" s="36">
        <v>44475</v>
      </c>
    </row>
    <row r="1581" spans="1:11" x14ac:dyDescent="0.3">
      <c r="A1581" s="2" t="s">
        <v>3168</v>
      </c>
      <c r="B1581" s="1" t="s">
        <v>3169</v>
      </c>
      <c r="C1581" s="1">
        <v>55</v>
      </c>
      <c r="D1581" s="1" t="s">
        <v>13</v>
      </c>
      <c r="E1581" s="1" t="s">
        <v>14</v>
      </c>
      <c r="F1581" s="1" t="s">
        <v>15</v>
      </c>
      <c r="G1581" s="1" t="s">
        <v>38</v>
      </c>
      <c r="H1581" s="1" t="s">
        <v>17</v>
      </c>
      <c r="I1581" s="1" t="s">
        <v>30</v>
      </c>
      <c r="J1581" s="1">
        <v>0.46</v>
      </c>
      <c r="K1581" s="36">
        <v>46195</v>
      </c>
    </row>
    <row r="1582" spans="1:11" x14ac:dyDescent="0.3">
      <c r="A1582" s="2" t="s">
        <v>3170</v>
      </c>
      <c r="B1582" s="1" t="s">
        <v>3171</v>
      </c>
      <c r="C1582" s="1">
        <v>36</v>
      </c>
      <c r="D1582" s="1" t="s">
        <v>13</v>
      </c>
      <c r="E1582" s="1" t="s">
        <v>33</v>
      </c>
      <c r="F1582" s="1" t="s">
        <v>62</v>
      </c>
      <c r="G1582" s="1" t="s">
        <v>16</v>
      </c>
      <c r="H1582" s="1" t="s">
        <v>17</v>
      </c>
      <c r="I1582" s="1" t="s">
        <v>17</v>
      </c>
      <c r="J1582" s="1">
        <v>0.19</v>
      </c>
      <c r="K1582" s="36">
        <v>45025</v>
      </c>
    </row>
    <row r="1583" spans="1:11" x14ac:dyDescent="0.3">
      <c r="A1583" s="2" t="s">
        <v>3172</v>
      </c>
      <c r="B1583" s="1" t="s">
        <v>3173</v>
      </c>
      <c r="C1583" s="1">
        <v>31</v>
      </c>
      <c r="D1583" s="1" t="s">
        <v>20</v>
      </c>
      <c r="E1583" s="1" t="s">
        <v>14</v>
      </c>
      <c r="F1583" s="1" t="s">
        <v>29</v>
      </c>
      <c r="G1583" s="1" t="s">
        <v>43</v>
      </c>
      <c r="H1583" s="1" t="s">
        <v>17</v>
      </c>
      <c r="I1583" s="1" t="s">
        <v>30</v>
      </c>
      <c r="J1583" s="1">
        <v>0.41</v>
      </c>
      <c r="K1583" s="36">
        <v>46073</v>
      </c>
    </row>
    <row r="1584" spans="1:11" x14ac:dyDescent="0.3">
      <c r="A1584" s="2" t="s">
        <v>3174</v>
      </c>
      <c r="B1584" s="1" t="s">
        <v>3175</v>
      </c>
      <c r="C1584" s="1">
        <v>50</v>
      </c>
      <c r="D1584" s="1" t="s">
        <v>13</v>
      </c>
      <c r="E1584" s="1" t="s">
        <v>33</v>
      </c>
      <c r="F1584" s="1" t="s">
        <v>46</v>
      </c>
      <c r="G1584" s="1" t="s">
        <v>16</v>
      </c>
      <c r="H1584" s="1" t="s">
        <v>17</v>
      </c>
      <c r="I1584" s="1" t="s">
        <v>30</v>
      </c>
      <c r="J1584" s="1">
        <v>0.19</v>
      </c>
      <c r="K1584" s="36">
        <v>44198</v>
      </c>
    </row>
    <row r="1585" spans="1:11" x14ac:dyDescent="0.3">
      <c r="A1585" s="2" t="s">
        <v>3176</v>
      </c>
      <c r="B1585" s="1" t="s">
        <v>3177</v>
      </c>
      <c r="C1585" s="1">
        <v>44</v>
      </c>
      <c r="D1585" s="1" t="s">
        <v>20</v>
      </c>
      <c r="E1585" s="1" t="s">
        <v>14</v>
      </c>
      <c r="F1585" s="1" t="s">
        <v>46</v>
      </c>
      <c r="G1585" s="1" t="s">
        <v>47</v>
      </c>
      <c r="H1585" s="1" t="s">
        <v>17</v>
      </c>
      <c r="I1585" s="1" t="s">
        <v>17</v>
      </c>
      <c r="J1585" s="1">
        <v>0.21</v>
      </c>
      <c r="K1585" s="36">
        <v>44349</v>
      </c>
    </row>
    <row r="1586" spans="1:11" x14ac:dyDescent="0.3">
      <c r="A1586" s="2" t="s">
        <v>3178</v>
      </c>
      <c r="B1586" s="1" t="s">
        <v>3179</v>
      </c>
      <c r="C1586" s="1">
        <v>58</v>
      </c>
      <c r="D1586" s="1" t="s">
        <v>20</v>
      </c>
      <c r="E1586" s="1" t="s">
        <v>28</v>
      </c>
      <c r="F1586" s="1" t="s">
        <v>62</v>
      </c>
      <c r="G1586" s="1" t="s">
        <v>38</v>
      </c>
      <c r="H1586" s="1" t="s">
        <v>17</v>
      </c>
      <c r="I1586" s="1" t="s">
        <v>17</v>
      </c>
      <c r="J1586" s="1">
        <v>0.35</v>
      </c>
      <c r="K1586" s="36">
        <v>44412</v>
      </c>
    </row>
    <row r="1587" spans="1:11" x14ac:dyDescent="0.3">
      <c r="A1587" s="2" t="s">
        <v>3180</v>
      </c>
      <c r="B1587" s="1" t="s">
        <v>3181</v>
      </c>
      <c r="C1587" s="1">
        <v>38</v>
      </c>
      <c r="D1587" s="1" t="s">
        <v>13</v>
      </c>
      <c r="E1587" s="1" t="s">
        <v>33</v>
      </c>
      <c r="F1587" s="1" t="s">
        <v>46</v>
      </c>
      <c r="G1587" s="1" t="s">
        <v>22</v>
      </c>
      <c r="H1587" s="1" t="s">
        <v>17</v>
      </c>
      <c r="I1587" s="1" t="s">
        <v>17</v>
      </c>
      <c r="J1587" s="1">
        <v>0.31</v>
      </c>
      <c r="K1587" s="36">
        <v>44437</v>
      </c>
    </row>
    <row r="1588" spans="1:11" x14ac:dyDescent="0.3">
      <c r="A1588" s="2" t="s">
        <v>3182</v>
      </c>
      <c r="B1588" s="1" t="s">
        <v>3183</v>
      </c>
      <c r="C1588" s="1">
        <v>69</v>
      </c>
      <c r="D1588" s="1" t="s">
        <v>13</v>
      </c>
      <c r="E1588" s="1" t="s">
        <v>14</v>
      </c>
      <c r="F1588" s="1" t="s">
        <v>46</v>
      </c>
      <c r="G1588" s="1" t="s">
        <v>22</v>
      </c>
      <c r="H1588" s="1" t="s">
        <v>17</v>
      </c>
      <c r="I1588" s="1" t="s">
        <v>17</v>
      </c>
      <c r="J1588" s="1">
        <v>0.32</v>
      </c>
      <c r="K1588" s="36">
        <v>44784</v>
      </c>
    </row>
    <row r="1589" spans="1:11" x14ac:dyDescent="0.3">
      <c r="A1589" s="2" t="s">
        <v>3184</v>
      </c>
      <c r="B1589" s="1" t="s">
        <v>3185</v>
      </c>
      <c r="C1589" s="1">
        <v>22</v>
      </c>
      <c r="D1589" s="1" t="s">
        <v>13</v>
      </c>
      <c r="E1589" s="1" t="s">
        <v>28</v>
      </c>
      <c r="F1589" s="1" t="s">
        <v>29</v>
      </c>
      <c r="G1589" s="1" t="s">
        <v>22</v>
      </c>
      <c r="H1589" s="1" t="s">
        <v>17</v>
      </c>
      <c r="I1589" s="1" t="s">
        <v>17</v>
      </c>
      <c r="J1589" s="1">
        <v>0.35</v>
      </c>
      <c r="K1589" s="36">
        <v>45631</v>
      </c>
    </row>
    <row r="1590" spans="1:11" x14ac:dyDescent="0.3">
      <c r="A1590" s="2" t="s">
        <v>3186</v>
      </c>
      <c r="B1590" s="1" t="s">
        <v>3187</v>
      </c>
      <c r="C1590" s="1">
        <v>72</v>
      </c>
      <c r="D1590" s="1" t="s">
        <v>20</v>
      </c>
      <c r="E1590" s="1" t="s">
        <v>33</v>
      </c>
      <c r="F1590" s="1" t="s">
        <v>15</v>
      </c>
      <c r="G1590" s="1" t="s">
        <v>38</v>
      </c>
      <c r="H1590" s="1" t="s">
        <v>17</v>
      </c>
      <c r="I1590" s="1" t="s">
        <v>30</v>
      </c>
      <c r="J1590" s="1">
        <v>0.44</v>
      </c>
      <c r="K1590" s="36">
        <v>44835</v>
      </c>
    </row>
    <row r="1591" spans="1:11" x14ac:dyDescent="0.3">
      <c r="A1591" s="2" t="s">
        <v>3188</v>
      </c>
      <c r="B1591" s="1" t="s">
        <v>3189</v>
      </c>
      <c r="C1591" s="1">
        <v>19</v>
      </c>
      <c r="D1591" s="1" t="s">
        <v>13</v>
      </c>
      <c r="E1591" s="1" t="s">
        <v>14</v>
      </c>
      <c r="F1591" s="1" t="s">
        <v>62</v>
      </c>
      <c r="G1591" s="1" t="s">
        <v>38</v>
      </c>
      <c r="H1591" s="1" t="s">
        <v>17</v>
      </c>
      <c r="I1591" s="1" t="s">
        <v>17</v>
      </c>
      <c r="J1591" s="1">
        <v>0.25</v>
      </c>
      <c r="K1591" s="36">
        <v>46139</v>
      </c>
    </row>
    <row r="1592" spans="1:11" x14ac:dyDescent="0.3">
      <c r="A1592" s="2" t="s">
        <v>3190</v>
      </c>
      <c r="B1592" s="1" t="s">
        <v>3191</v>
      </c>
      <c r="C1592" s="1">
        <v>64</v>
      </c>
      <c r="D1592" s="1" t="s">
        <v>13</v>
      </c>
      <c r="E1592" s="1" t="s">
        <v>21</v>
      </c>
      <c r="F1592" s="1" t="s">
        <v>29</v>
      </c>
      <c r="G1592" s="1" t="s">
        <v>16</v>
      </c>
      <c r="H1592" s="1" t="s">
        <v>30</v>
      </c>
      <c r="I1592" s="1" t="s">
        <v>17</v>
      </c>
      <c r="J1592" s="1">
        <v>0.49</v>
      </c>
      <c r="K1592" s="36">
        <v>46038</v>
      </c>
    </row>
    <row r="1593" spans="1:11" x14ac:dyDescent="0.3">
      <c r="A1593" s="2" t="s">
        <v>3192</v>
      </c>
      <c r="B1593" s="1" t="s">
        <v>3193</v>
      </c>
      <c r="C1593" s="1">
        <v>39</v>
      </c>
      <c r="D1593" s="1" t="s">
        <v>20</v>
      </c>
      <c r="E1593" s="1" t="s">
        <v>28</v>
      </c>
      <c r="F1593" s="1" t="s">
        <v>46</v>
      </c>
      <c r="G1593" s="1" t="s">
        <v>43</v>
      </c>
      <c r="H1593" s="1" t="s">
        <v>17</v>
      </c>
      <c r="I1593" s="1" t="s">
        <v>17</v>
      </c>
      <c r="J1593" s="1">
        <v>0.2</v>
      </c>
      <c r="K1593" s="36">
        <v>45931</v>
      </c>
    </row>
    <row r="1594" spans="1:11" x14ac:dyDescent="0.3">
      <c r="A1594" s="2" t="s">
        <v>3194</v>
      </c>
      <c r="B1594" s="1" t="s">
        <v>3195</v>
      </c>
      <c r="C1594" s="1">
        <v>42</v>
      </c>
      <c r="D1594" s="1" t="s">
        <v>20</v>
      </c>
      <c r="E1594" s="1" t="s">
        <v>28</v>
      </c>
      <c r="F1594" s="1" t="s">
        <v>15</v>
      </c>
      <c r="G1594" s="1" t="s">
        <v>16</v>
      </c>
      <c r="H1594" s="1" t="s">
        <v>30</v>
      </c>
      <c r="I1594" s="1" t="s">
        <v>17</v>
      </c>
      <c r="J1594" s="1">
        <v>0.33</v>
      </c>
      <c r="K1594" s="36">
        <v>44626</v>
      </c>
    </row>
    <row r="1595" spans="1:11" x14ac:dyDescent="0.3">
      <c r="A1595" s="2" t="s">
        <v>3196</v>
      </c>
      <c r="B1595" s="1" t="s">
        <v>3197</v>
      </c>
      <c r="C1595" s="1">
        <v>19</v>
      </c>
      <c r="D1595" s="1" t="s">
        <v>13</v>
      </c>
      <c r="E1595" s="1" t="s">
        <v>33</v>
      </c>
      <c r="F1595" s="1" t="s">
        <v>46</v>
      </c>
      <c r="G1595" s="1" t="s">
        <v>22</v>
      </c>
      <c r="H1595" s="1" t="s">
        <v>17</v>
      </c>
      <c r="I1595" s="1" t="s">
        <v>17</v>
      </c>
      <c r="J1595" s="1">
        <v>0.22</v>
      </c>
      <c r="K1595" s="36">
        <v>45469</v>
      </c>
    </row>
    <row r="1596" spans="1:11" x14ac:dyDescent="0.3">
      <c r="A1596" s="2" t="s">
        <v>3198</v>
      </c>
      <c r="B1596" s="1" t="s">
        <v>3199</v>
      </c>
      <c r="C1596" s="1">
        <v>62</v>
      </c>
      <c r="D1596" s="1" t="s">
        <v>20</v>
      </c>
      <c r="E1596" s="1" t="s">
        <v>28</v>
      </c>
      <c r="F1596" s="1" t="s">
        <v>15</v>
      </c>
      <c r="G1596" s="1" t="s">
        <v>47</v>
      </c>
      <c r="H1596" s="1" t="s">
        <v>17</v>
      </c>
      <c r="I1596" s="1" t="s">
        <v>30</v>
      </c>
      <c r="J1596" s="1">
        <v>0.36</v>
      </c>
      <c r="K1596" s="36">
        <v>45284</v>
      </c>
    </row>
    <row r="1597" spans="1:11" x14ac:dyDescent="0.3">
      <c r="A1597" s="2" t="s">
        <v>3200</v>
      </c>
      <c r="B1597" s="1" t="s">
        <v>3201</v>
      </c>
      <c r="C1597" s="1">
        <v>28</v>
      </c>
      <c r="D1597" s="1" t="s">
        <v>13</v>
      </c>
      <c r="E1597" s="1" t="s">
        <v>33</v>
      </c>
      <c r="F1597" s="1" t="s">
        <v>46</v>
      </c>
      <c r="G1597" s="1" t="s">
        <v>25</v>
      </c>
      <c r="H1597" s="1" t="s">
        <v>17</v>
      </c>
      <c r="I1597" s="1" t="s">
        <v>30</v>
      </c>
      <c r="J1597" s="1">
        <v>0.38</v>
      </c>
      <c r="K1597" s="36">
        <v>44351</v>
      </c>
    </row>
    <row r="1598" spans="1:11" x14ac:dyDescent="0.3">
      <c r="A1598" s="2" t="s">
        <v>3202</v>
      </c>
      <c r="B1598" s="1" t="s">
        <v>3203</v>
      </c>
      <c r="C1598" s="1">
        <v>59</v>
      </c>
      <c r="D1598" s="1" t="s">
        <v>20</v>
      </c>
      <c r="E1598" s="1" t="s">
        <v>21</v>
      </c>
      <c r="F1598" s="1" t="s">
        <v>29</v>
      </c>
      <c r="G1598" s="1" t="s">
        <v>25</v>
      </c>
      <c r="H1598" s="1" t="s">
        <v>17</v>
      </c>
      <c r="I1598" s="1" t="s">
        <v>17</v>
      </c>
      <c r="J1598" s="1">
        <v>0.28000000000000003</v>
      </c>
      <c r="K1598" s="36">
        <v>44740</v>
      </c>
    </row>
    <row r="1599" spans="1:11" x14ac:dyDescent="0.3">
      <c r="A1599" s="2" t="s">
        <v>3204</v>
      </c>
      <c r="B1599" s="1" t="s">
        <v>3205</v>
      </c>
      <c r="C1599" s="1">
        <v>63</v>
      </c>
      <c r="D1599" s="1" t="s">
        <v>20</v>
      </c>
      <c r="E1599" s="1" t="s">
        <v>21</v>
      </c>
      <c r="F1599" s="1" t="s">
        <v>15</v>
      </c>
      <c r="G1599" s="1" t="s">
        <v>16</v>
      </c>
      <c r="H1599" s="1" t="s">
        <v>30</v>
      </c>
      <c r="I1599" s="1" t="s">
        <v>17</v>
      </c>
      <c r="J1599" s="1">
        <v>0.44</v>
      </c>
      <c r="K1599" s="36">
        <v>45246</v>
      </c>
    </row>
    <row r="1600" spans="1:11" x14ac:dyDescent="0.3">
      <c r="A1600" s="2" t="s">
        <v>3206</v>
      </c>
      <c r="B1600" s="1" t="s">
        <v>3207</v>
      </c>
      <c r="C1600" s="1">
        <v>71</v>
      </c>
      <c r="D1600" s="1" t="s">
        <v>13</v>
      </c>
      <c r="E1600" s="1" t="s">
        <v>21</v>
      </c>
      <c r="F1600" s="1" t="s">
        <v>46</v>
      </c>
      <c r="G1600" s="1" t="s">
        <v>25</v>
      </c>
      <c r="H1600" s="1" t="s">
        <v>17</v>
      </c>
      <c r="I1600" s="1" t="s">
        <v>30</v>
      </c>
      <c r="J1600" s="1">
        <v>0.4</v>
      </c>
      <c r="K1600" s="36">
        <v>45178</v>
      </c>
    </row>
    <row r="1601" spans="1:11" x14ac:dyDescent="0.3">
      <c r="A1601" s="2" t="s">
        <v>3208</v>
      </c>
      <c r="B1601" s="1" t="s">
        <v>3209</v>
      </c>
      <c r="C1601" s="1">
        <v>62</v>
      </c>
      <c r="D1601" s="1" t="s">
        <v>20</v>
      </c>
      <c r="E1601" s="1" t="s">
        <v>21</v>
      </c>
      <c r="F1601" s="1" t="s">
        <v>46</v>
      </c>
      <c r="G1601" s="1" t="s">
        <v>16</v>
      </c>
      <c r="H1601" s="1" t="s">
        <v>17</v>
      </c>
      <c r="I1601" s="1" t="s">
        <v>30</v>
      </c>
      <c r="J1601" s="1">
        <v>0.46</v>
      </c>
      <c r="K1601" s="36">
        <v>44446</v>
      </c>
    </row>
    <row r="1602" spans="1:11" x14ac:dyDescent="0.3">
      <c r="A1602" s="2" t="s">
        <v>3210</v>
      </c>
      <c r="B1602" s="1" t="s">
        <v>3211</v>
      </c>
      <c r="C1602" s="1">
        <v>36</v>
      </c>
      <c r="D1602" s="1" t="s">
        <v>13</v>
      </c>
      <c r="E1602" s="1" t="s">
        <v>33</v>
      </c>
      <c r="F1602" s="1" t="s">
        <v>46</v>
      </c>
      <c r="G1602" s="1" t="s">
        <v>16</v>
      </c>
      <c r="H1602" s="1" t="s">
        <v>17</v>
      </c>
      <c r="I1602" s="1" t="s">
        <v>17</v>
      </c>
      <c r="J1602" s="1">
        <v>0.25</v>
      </c>
      <c r="K1602" s="36">
        <v>46141</v>
      </c>
    </row>
    <row r="1603" spans="1:11" x14ac:dyDescent="0.3">
      <c r="A1603" s="2" t="s">
        <v>3212</v>
      </c>
      <c r="B1603" s="1" t="s">
        <v>3213</v>
      </c>
      <c r="C1603" s="1">
        <v>64</v>
      </c>
      <c r="D1603" s="1" t="s">
        <v>13</v>
      </c>
      <c r="E1603" s="1" t="s">
        <v>28</v>
      </c>
      <c r="F1603" s="1" t="s">
        <v>46</v>
      </c>
      <c r="G1603" s="1" t="s">
        <v>16</v>
      </c>
      <c r="H1603" s="1" t="s">
        <v>30</v>
      </c>
      <c r="I1603" s="1" t="s">
        <v>30</v>
      </c>
      <c r="J1603" s="1">
        <v>0.54</v>
      </c>
      <c r="K1603" s="36">
        <v>44414</v>
      </c>
    </row>
    <row r="1604" spans="1:11" x14ac:dyDescent="0.3">
      <c r="A1604" s="2" t="s">
        <v>3214</v>
      </c>
      <c r="B1604" s="1" t="s">
        <v>3215</v>
      </c>
      <c r="C1604" s="1">
        <v>70</v>
      </c>
      <c r="D1604" s="1" t="s">
        <v>20</v>
      </c>
      <c r="E1604" s="1" t="s">
        <v>21</v>
      </c>
      <c r="F1604" s="1" t="s">
        <v>46</v>
      </c>
      <c r="G1604" s="1" t="s">
        <v>25</v>
      </c>
      <c r="H1604" s="1" t="s">
        <v>30</v>
      </c>
      <c r="I1604" s="1" t="s">
        <v>30</v>
      </c>
      <c r="J1604" s="1">
        <v>0.53</v>
      </c>
      <c r="K1604" s="36">
        <v>45520</v>
      </c>
    </row>
    <row r="1605" spans="1:11" x14ac:dyDescent="0.3">
      <c r="A1605" s="2" t="s">
        <v>3216</v>
      </c>
      <c r="B1605" s="1" t="s">
        <v>3217</v>
      </c>
      <c r="C1605" s="1">
        <v>37</v>
      </c>
      <c r="D1605" s="1" t="s">
        <v>13</v>
      </c>
      <c r="E1605" s="1" t="s">
        <v>33</v>
      </c>
      <c r="F1605" s="1" t="s">
        <v>62</v>
      </c>
      <c r="G1605" s="1" t="s">
        <v>43</v>
      </c>
      <c r="H1605" s="1" t="s">
        <v>17</v>
      </c>
      <c r="I1605" s="1" t="s">
        <v>17</v>
      </c>
      <c r="J1605" s="1">
        <v>0.26</v>
      </c>
      <c r="K1605" s="36">
        <v>45656</v>
      </c>
    </row>
    <row r="1606" spans="1:11" x14ac:dyDescent="0.3">
      <c r="A1606" s="2" t="s">
        <v>3218</v>
      </c>
      <c r="B1606" s="1" t="s">
        <v>3219</v>
      </c>
      <c r="C1606" s="1">
        <v>25</v>
      </c>
      <c r="D1606" s="1" t="s">
        <v>13</v>
      </c>
      <c r="E1606" s="1" t="s">
        <v>21</v>
      </c>
      <c r="F1606" s="1" t="s">
        <v>29</v>
      </c>
      <c r="G1606" s="1" t="s">
        <v>47</v>
      </c>
      <c r="H1606" s="1" t="s">
        <v>17</v>
      </c>
      <c r="I1606" s="1" t="s">
        <v>17</v>
      </c>
      <c r="J1606" s="1">
        <v>0.17</v>
      </c>
      <c r="K1606" s="36">
        <v>45403</v>
      </c>
    </row>
    <row r="1607" spans="1:11" x14ac:dyDescent="0.3">
      <c r="A1607" s="2" t="s">
        <v>3220</v>
      </c>
      <c r="B1607" s="1" t="s">
        <v>3221</v>
      </c>
      <c r="C1607" s="1">
        <v>74</v>
      </c>
      <c r="D1607" s="1" t="s">
        <v>13</v>
      </c>
      <c r="E1607" s="1" t="s">
        <v>14</v>
      </c>
      <c r="F1607" s="1" t="s">
        <v>29</v>
      </c>
      <c r="G1607" s="1" t="s">
        <v>25</v>
      </c>
      <c r="H1607" s="1" t="s">
        <v>17</v>
      </c>
      <c r="I1607" s="1" t="s">
        <v>17</v>
      </c>
      <c r="J1607" s="1">
        <v>0.31</v>
      </c>
      <c r="K1607" s="36">
        <v>45923</v>
      </c>
    </row>
    <row r="1608" spans="1:11" x14ac:dyDescent="0.3">
      <c r="A1608" s="2" t="s">
        <v>3222</v>
      </c>
      <c r="B1608" s="1" t="s">
        <v>3223</v>
      </c>
      <c r="C1608" s="1">
        <v>27</v>
      </c>
      <c r="D1608" s="1" t="s">
        <v>13</v>
      </c>
      <c r="E1608" s="1" t="s">
        <v>28</v>
      </c>
      <c r="F1608" s="1" t="s">
        <v>29</v>
      </c>
      <c r="G1608" s="1" t="s">
        <v>38</v>
      </c>
      <c r="H1608" s="1" t="s">
        <v>30</v>
      </c>
      <c r="I1608" s="1" t="s">
        <v>17</v>
      </c>
      <c r="J1608" s="1">
        <v>0.48</v>
      </c>
      <c r="K1608" s="36">
        <v>45312</v>
      </c>
    </row>
    <row r="1609" spans="1:11" x14ac:dyDescent="0.3">
      <c r="A1609" s="2" t="s">
        <v>3224</v>
      </c>
      <c r="B1609" s="1" t="s">
        <v>3225</v>
      </c>
      <c r="C1609" s="1">
        <v>55</v>
      </c>
      <c r="D1609" s="1" t="s">
        <v>13</v>
      </c>
      <c r="E1609" s="1" t="s">
        <v>28</v>
      </c>
      <c r="F1609" s="1" t="s">
        <v>29</v>
      </c>
      <c r="G1609" s="1" t="s">
        <v>16</v>
      </c>
      <c r="H1609" s="1" t="s">
        <v>17</v>
      </c>
      <c r="I1609" s="1" t="s">
        <v>30</v>
      </c>
      <c r="J1609" s="1">
        <v>0.53</v>
      </c>
      <c r="K1609" s="36">
        <v>45885</v>
      </c>
    </row>
    <row r="1610" spans="1:11" x14ac:dyDescent="0.3">
      <c r="A1610" s="2" t="s">
        <v>3226</v>
      </c>
      <c r="B1610" s="1" t="s">
        <v>3227</v>
      </c>
      <c r="C1610" s="1">
        <v>32</v>
      </c>
      <c r="D1610" s="1" t="s">
        <v>13</v>
      </c>
      <c r="E1610" s="1" t="s">
        <v>28</v>
      </c>
      <c r="F1610" s="1" t="s">
        <v>15</v>
      </c>
      <c r="G1610" s="1" t="s">
        <v>43</v>
      </c>
      <c r="H1610" s="1" t="s">
        <v>17</v>
      </c>
      <c r="I1610" s="1" t="s">
        <v>17</v>
      </c>
      <c r="J1610" s="1">
        <v>0.24</v>
      </c>
      <c r="K1610" s="36">
        <v>44139</v>
      </c>
    </row>
    <row r="1611" spans="1:11" x14ac:dyDescent="0.3">
      <c r="A1611" s="2" t="s">
        <v>3228</v>
      </c>
      <c r="B1611" s="1" t="s">
        <v>3229</v>
      </c>
      <c r="C1611" s="1">
        <v>25</v>
      </c>
      <c r="D1611" s="1" t="s">
        <v>20</v>
      </c>
      <c r="E1611" s="1" t="s">
        <v>14</v>
      </c>
      <c r="F1611" s="1" t="s">
        <v>15</v>
      </c>
      <c r="G1611" s="1" t="s">
        <v>16</v>
      </c>
      <c r="H1611" s="1" t="s">
        <v>17</v>
      </c>
      <c r="I1611" s="1" t="s">
        <v>17</v>
      </c>
      <c r="J1611" s="1">
        <v>0.28999999999999998</v>
      </c>
      <c r="K1611" s="36">
        <v>44176</v>
      </c>
    </row>
    <row r="1612" spans="1:11" x14ac:dyDescent="0.3">
      <c r="A1612" s="2" t="s">
        <v>3230</v>
      </c>
      <c r="B1612" s="1" t="s">
        <v>3231</v>
      </c>
      <c r="C1612" s="1">
        <v>66</v>
      </c>
      <c r="D1612" s="1" t="s">
        <v>13</v>
      </c>
      <c r="E1612" s="1" t="s">
        <v>28</v>
      </c>
      <c r="F1612" s="1" t="s">
        <v>62</v>
      </c>
      <c r="G1612" s="1" t="s">
        <v>47</v>
      </c>
      <c r="H1612" s="1" t="s">
        <v>17</v>
      </c>
      <c r="I1612" s="1" t="s">
        <v>30</v>
      </c>
      <c r="J1612" s="1">
        <v>0.56999999999999995</v>
      </c>
      <c r="K1612" s="36">
        <v>45483</v>
      </c>
    </row>
    <row r="1613" spans="1:11" x14ac:dyDescent="0.3">
      <c r="A1613" s="2" t="s">
        <v>3232</v>
      </c>
      <c r="B1613" s="1" t="s">
        <v>3233</v>
      </c>
      <c r="C1613" s="1">
        <v>27</v>
      </c>
      <c r="D1613" s="1" t="s">
        <v>13</v>
      </c>
      <c r="E1613" s="1" t="s">
        <v>28</v>
      </c>
      <c r="F1613" s="1" t="s">
        <v>15</v>
      </c>
      <c r="G1613" s="1" t="s">
        <v>16</v>
      </c>
      <c r="H1613" s="1" t="s">
        <v>17</v>
      </c>
      <c r="I1613" s="1" t="s">
        <v>17</v>
      </c>
      <c r="J1613" s="1">
        <v>0.06</v>
      </c>
      <c r="K1613" s="36">
        <v>45341</v>
      </c>
    </row>
    <row r="1614" spans="1:11" x14ac:dyDescent="0.3">
      <c r="A1614" s="2" t="s">
        <v>3234</v>
      </c>
      <c r="B1614" s="1" t="s">
        <v>3235</v>
      </c>
      <c r="C1614" s="1">
        <v>60</v>
      </c>
      <c r="D1614" s="1" t="s">
        <v>13</v>
      </c>
      <c r="E1614" s="1" t="s">
        <v>14</v>
      </c>
      <c r="F1614" s="1" t="s">
        <v>62</v>
      </c>
      <c r="G1614" s="1" t="s">
        <v>22</v>
      </c>
      <c r="H1614" s="1" t="s">
        <v>17</v>
      </c>
      <c r="I1614" s="1" t="s">
        <v>17</v>
      </c>
      <c r="J1614" s="1">
        <v>0.25</v>
      </c>
      <c r="K1614" s="36">
        <v>45504</v>
      </c>
    </row>
    <row r="1615" spans="1:11" x14ac:dyDescent="0.3">
      <c r="A1615" s="2" t="s">
        <v>3236</v>
      </c>
      <c r="B1615" s="1" t="s">
        <v>3237</v>
      </c>
      <c r="C1615" s="1">
        <v>61</v>
      </c>
      <c r="D1615" s="1" t="s">
        <v>13</v>
      </c>
      <c r="E1615" s="1" t="s">
        <v>14</v>
      </c>
      <c r="F1615" s="1" t="s">
        <v>29</v>
      </c>
      <c r="G1615" s="1" t="s">
        <v>22</v>
      </c>
      <c r="H1615" s="1" t="s">
        <v>17</v>
      </c>
      <c r="I1615" s="1" t="s">
        <v>17</v>
      </c>
      <c r="J1615" s="1">
        <v>0.33</v>
      </c>
      <c r="K1615" s="36">
        <v>45758</v>
      </c>
    </row>
    <row r="1616" spans="1:11" x14ac:dyDescent="0.3">
      <c r="A1616" s="2" t="s">
        <v>3238</v>
      </c>
      <c r="B1616" s="1" t="s">
        <v>3239</v>
      </c>
      <c r="C1616" s="1">
        <v>21</v>
      </c>
      <c r="D1616" s="1" t="s">
        <v>20</v>
      </c>
      <c r="E1616" s="1" t="s">
        <v>21</v>
      </c>
      <c r="F1616" s="1" t="s">
        <v>46</v>
      </c>
      <c r="G1616" s="1" t="s">
        <v>47</v>
      </c>
      <c r="H1616" s="1" t="s">
        <v>17</v>
      </c>
      <c r="I1616" s="1" t="s">
        <v>17</v>
      </c>
      <c r="J1616" s="1">
        <v>0.23</v>
      </c>
      <c r="K1616" s="36">
        <v>44990</v>
      </c>
    </row>
    <row r="1617" spans="1:11" x14ac:dyDescent="0.3">
      <c r="A1617" s="2" t="s">
        <v>3240</v>
      </c>
      <c r="B1617" s="1" t="s">
        <v>1583</v>
      </c>
      <c r="C1617" s="1">
        <v>28</v>
      </c>
      <c r="D1617" s="1" t="s">
        <v>13</v>
      </c>
      <c r="E1617" s="1" t="s">
        <v>28</v>
      </c>
      <c r="F1617" s="1" t="s">
        <v>29</v>
      </c>
      <c r="G1617" s="1" t="s">
        <v>16</v>
      </c>
      <c r="H1617" s="1" t="s">
        <v>17</v>
      </c>
      <c r="I1617" s="1" t="s">
        <v>17</v>
      </c>
      <c r="J1617" s="1">
        <v>0.27</v>
      </c>
      <c r="K1617" s="36">
        <v>45477</v>
      </c>
    </row>
    <row r="1618" spans="1:11" x14ac:dyDescent="0.3">
      <c r="A1618" s="2" t="s">
        <v>3241</v>
      </c>
      <c r="B1618" s="1" t="s">
        <v>3242</v>
      </c>
      <c r="C1618" s="1">
        <v>68</v>
      </c>
      <c r="D1618" s="1" t="s">
        <v>13</v>
      </c>
      <c r="E1618" s="1" t="s">
        <v>21</v>
      </c>
      <c r="F1618" s="1" t="s">
        <v>29</v>
      </c>
      <c r="G1618" s="1" t="s">
        <v>47</v>
      </c>
      <c r="H1618" s="1" t="s">
        <v>30</v>
      </c>
      <c r="I1618" s="1" t="s">
        <v>17</v>
      </c>
      <c r="J1618" s="1">
        <v>0.46</v>
      </c>
      <c r="K1618" s="36">
        <v>45168</v>
      </c>
    </row>
    <row r="1619" spans="1:11" x14ac:dyDescent="0.3">
      <c r="A1619" s="2" t="s">
        <v>3243</v>
      </c>
      <c r="B1619" s="1" t="s">
        <v>3244</v>
      </c>
      <c r="C1619" s="1">
        <v>49</v>
      </c>
      <c r="D1619" s="1" t="s">
        <v>20</v>
      </c>
      <c r="E1619" s="1" t="s">
        <v>14</v>
      </c>
      <c r="F1619" s="1" t="s">
        <v>62</v>
      </c>
      <c r="G1619" s="1" t="s">
        <v>22</v>
      </c>
      <c r="H1619" s="1" t="s">
        <v>30</v>
      </c>
      <c r="I1619" s="1" t="s">
        <v>17</v>
      </c>
      <c r="J1619" s="1">
        <v>0.39</v>
      </c>
      <c r="K1619" s="36">
        <v>45451</v>
      </c>
    </row>
    <row r="1620" spans="1:11" x14ac:dyDescent="0.3">
      <c r="A1620" s="2" t="s">
        <v>3245</v>
      </c>
      <c r="B1620" s="1" t="s">
        <v>3246</v>
      </c>
      <c r="C1620" s="1">
        <v>25</v>
      </c>
      <c r="D1620" s="1" t="s">
        <v>20</v>
      </c>
      <c r="E1620" s="1" t="s">
        <v>14</v>
      </c>
      <c r="F1620" s="1" t="s">
        <v>15</v>
      </c>
      <c r="G1620" s="1" t="s">
        <v>43</v>
      </c>
      <c r="H1620" s="1" t="s">
        <v>30</v>
      </c>
      <c r="I1620" s="1" t="s">
        <v>17</v>
      </c>
      <c r="J1620" s="1">
        <v>0.41</v>
      </c>
      <c r="K1620" s="36">
        <v>44711</v>
      </c>
    </row>
    <row r="1621" spans="1:11" x14ac:dyDescent="0.3">
      <c r="A1621" s="2" t="s">
        <v>3247</v>
      </c>
      <c r="B1621" s="1" t="s">
        <v>3248</v>
      </c>
      <c r="C1621" s="1">
        <v>80</v>
      </c>
      <c r="D1621" s="1" t="s">
        <v>13</v>
      </c>
      <c r="E1621" s="1" t="s">
        <v>21</v>
      </c>
      <c r="F1621" s="1" t="s">
        <v>15</v>
      </c>
      <c r="G1621" s="1" t="s">
        <v>25</v>
      </c>
      <c r="H1621" s="1" t="s">
        <v>17</v>
      </c>
      <c r="I1621" s="1" t="s">
        <v>30</v>
      </c>
      <c r="J1621" s="1">
        <v>0.4</v>
      </c>
      <c r="K1621" s="36">
        <v>46173</v>
      </c>
    </row>
    <row r="1622" spans="1:11" x14ac:dyDescent="0.3">
      <c r="A1622" s="2" t="s">
        <v>3249</v>
      </c>
      <c r="B1622" s="1" t="s">
        <v>3250</v>
      </c>
      <c r="C1622" s="1">
        <v>34</v>
      </c>
      <c r="D1622" s="1" t="s">
        <v>20</v>
      </c>
      <c r="E1622" s="1" t="s">
        <v>28</v>
      </c>
      <c r="F1622" s="1" t="s">
        <v>46</v>
      </c>
      <c r="G1622" s="1" t="s">
        <v>22</v>
      </c>
      <c r="H1622" s="1" t="s">
        <v>17</v>
      </c>
      <c r="I1622" s="1" t="s">
        <v>17</v>
      </c>
      <c r="J1622" s="1">
        <v>0.17</v>
      </c>
      <c r="K1622" s="36">
        <v>45135</v>
      </c>
    </row>
    <row r="1623" spans="1:11" x14ac:dyDescent="0.3">
      <c r="A1623" s="2" t="s">
        <v>3251</v>
      </c>
      <c r="B1623" s="1" t="s">
        <v>3252</v>
      </c>
      <c r="C1623" s="1">
        <v>18</v>
      </c>
      <c r="D1623" s="1" t="s">
        <v>13</v>
      </c>
      <c r="E1623" s="1" t="s">
        <v>33</v>
      </c>
      <c r="F1623" s="1" t="s">
        <v>15</v>
      </c>
      <c r="G1623" s="1" t="s">
        <v>43</v>
      </c>
      <c r="H1623" s="1" t="s">
        <v>30</v>
      </c>
      <c r="I1623" s="1" t="s">
        <v>17</v>
      </c>
      <c r="J1623" s="1">
        <v>0.45</v>
      </c>
      <c r="K1623" s="36">
        <v>45840</v>
      </c>
    </row>
    <row r="1624" spans="1:11" x14ac:dyDescent="0.3">
      <c r="A1624" s="2" t="s">
        <v>3253</v>
      </c>
      <c r="B1624" s="1" t="s">
        <v>3254</v>
      </c>
      <c r="C1624" s="1">
        <v>76</v>
      </c>
      <c r="D1624" s="1" t="s">
        <v>20</v>
      </c>
      <c r="E1624" s="1" t="s">
        <v>21</v>
      </c>
      <c r="F1624" s="1" t="s">
        <v>62</v>
      </c>
      <c r="G1624" s="1" t="s">
        <v>38</v>
      </c>
      <c r="H1624" s="1" t="s">
        <v>17</v>
      </c>
      <c r="I1624" s="1" t="s">
        <v>17</v>
      </c>
      <c r="J1624" s="1">
        <v>0.23</v>
      </c>
      <c r="K1624" s="36">
        <v>45578</v>
      </c>
    </row>
    <row r="1625" spans="1:11" x14ac:dyDescent="0.3">
      <c r="A1625" s="2" t="s">
        <v>3255</v>
      </c>
      <c r="B1625" s="1" t="s">
        <v>3256</v>
      </c>
      <c r="C1625" s="1">
        <v>19</v>
      </c>
      <c r="D1625" s="1" t="s">
        <v>20</v>
      </c>
      <c r="E1625" s="1" t="s">
        <v>21</v>
      </c>
      <c r="F1625" s="1" t="s">
        <v>62</v>
      </c>
      <c r="G1625" s="1" t="s">
        <v>43</v>
      </c>
      <c r="H1625" s="1" t="s">
        <v>17</v>
      </c>
      <c r="I1625" s="1" t="s">
        <v>17</v>
      </c>
      <c r="J1625" s="1">
        <v>0.31</v>
      </c>
      <c r="K1625" s="36">
        <v>44728</v>
      </c>
    </row>
    <row r="1626" spans="1:11" x14ac:dyDescent="0.3">
      <c r="A1626" s="2" t="s">
        <v>3257</v>
      </c>
      <c r="B1626" s="1" t="s">
        <v>3258</v>
      </c>
      <c r="C1626" s="1">
        <v>52</v>
      </c>
      <c r="D1626" s="1" t="s">
        <v>13</v>
      </c>
      <c r="E1626" s="1" t="s">
        <v>21</v>
      </c>
      <c r="F1626" s="1" t="s">
        <v>46</v>
      </c>
      <c r="G1626" s="1" t="s">
        <v>22</v>
      </c>
      <c r="H1626" s="1" t="s">
        <v>17</v>
      </c>
      <c r="I1626" s="1" t="s">
        <v>17</v>
      </c>
      <c r="J1626" s="1">
        <v>0.24</v>
      </c>
      <c r="K1626" s="36">
        <v>44236</v>
      </c>
    </row>
    <row r="1627" spans="1:11" x14ac:dyDescent="0.3">
      <c r="A1627" s="2" t="s">
        <v>3259</v>
      </c>
      <c r="B1627" s="1" t="s">
        <v>3260</v>
      </c>
      <c r="C1627" s="1">
        <v>80</v>
      </c>
      <c r="D1627" s="1" t="s">
        <v>13</v>
      </c>
      <c r="E1627" s="1" t="s">
        <v>28</v>
      </c>
      <c r="F1627" s="1" t="s">
        <v>62</v>
      </c>
      <c r="G1627" s="1" t="s">
        <v>25</v>
      </c>
      <c r="H1627" s="1" t="s">
        <v>17</v>
      </c>
      <c r="I1627" s="1" t="s">
        <v>30</v>
      </c>
      <c r="J1627" s="1">
        <v>0.5</v>
      </c>
      <c r="K1627" s="36">
        <v>44208</v>
      </c>
    </row>
    <row r="1628" spans="1:11" x14ac:dyDescent="0.3">
      <c r="A1628" s="2" t="s">
        <v>3261</v>
      </c>
      <c r="B1628" s="1" t="s">
        <v>3262</v>
      </c>
      <c r="C1628" s="1">
        <v>54</v>
      </c>
      <c r="D1628" s="1" t="s">
        <v>13</v>
      </c>
      <c r="E1628" s="1" t="s">
        <v>14</v>
      </c>
      <c r="F1628" s="1" t="s">
        <v>29</v>
      </c>
      <c r="G1628" s="1" t="s">
        <v>43</v>
      </c>
      <c r="H1628" s="1" t="s">
        <v>17</v>
      </c>
      <c r="I1628" s="1" t="s">
        <v>30</v>
      </c>
      <c r="J1628" s="1">
        <v>0.28000000000000003</v>
      </c>
      <c r="K1628" s="36">
        <v>45040</v>
      </c>
    </row>
    <row r="1629" spans="1:11" x14ac:dyDescent="0.3">
      <c r="A1629" s="2" t="s">
        <v>3263</v>
      </c>
      <c r="B1629" s="1" t="s">
        <v>3264</v>
      </c>
      <c r="C1629" s="1">
        <v>54</v>
      </c>
      <c r="D1629" s="1" t="s">
        <v>13</v>
      </c>
      <c r="E1629" s="1" t="s">
        <v>33</v>
      </c>
      <c r="F1629" s="1" t="s">
        <v>46</v>
      </c>
      <c r="G1629" s="1" t="s">
        <v>16</v>
      </c>
      <c r="H1629" s="1" t="s">
        <v>17</v>
      </c>
      <c r="I1629" s="1" t="s">
        <v>17</v>
      </c>
      <c r="J1629" s="1">
        <v>0.1</v>
      </c>
      <c r="K1629" s="36">
        <v>45138</v>
      </c>
    </row>
    <row r="1630" spans="1:11" x14ac:dyDescent="0.3">
      <c r="A1630" s="2" t="s">
        <v>3265</v>
      </c>
      <c r="B1630" s="1" t="s">
        <v>3266</v>
      </c>
      <c r="C1630" s="1">
        <v>42</v>
      </c>
      <c r="D1630" s="1" t="s">
        <v>13</v>
      </c>
      <c r="E1630" s="1" t="s">
        <v>21</v>
      </c>
      <c r="F1630" s="1" t="s">
        <v>46</v>
      </c>
      <c r="G1630" s="1" t="s">
        <v>16</v>
      </c>
      <c r="H1630" s="1" t="s">
        <v>17</v>
      </c>
      <c r="I1630" s="1" t="s">
        <v>17</v>
      </c>
      <c r="J1630" s="1">
        <v>0.2</v>
      </c>
      <c r="K1630" s="36">
        <v>44524</v>
      </c>
    </row>
    <row r="1631" spans="1:11" x14ac:dyDescent="0.3">
      <c r="A1631" s="2" t="s">
        <v>3267</v>
      </c>
      <c r="B1631" s="1" t="s">
        <v>3268</v>
      </c>
      <c r="C1631" s="1">
        <v>25</v>
      </c>
      <c r="D1631" s="1" t="s">
        <v>13</v>
      </c>
      <c r="E1631" s="1" t="s">
        <v>21</v>
      </c>
      <c r="F1631" s="1" t="s">
        <v>29</v>
      </c>
      <c r="G1631" s="1" t="s">
        <v>25</v>
      </c>
      <c r="H1631" s="1" t="s">
        <v>17</v>
      </c>
      <c r="I1631" s="1" t="s">
        <v>17</v>
      </c>
      <c r="J1631" s="1">
        <v>0.42</v>
      </c>
      <c r="K1631" s="36">
        <v>45406</v>
      </c>
    </row>
    <row r="1632" spans="1:11" x14ac:dyDescent="0.3">
      <c r="A1632" s="2" t="s">
        <v>3269</v>
      </c>
      <c r="B1632" s="1" t="s">
        <v>3270</v>
      </c>
      <c r="C1632" s="1">
        <v>54</v>
      </c>
      <c r="D1632" s="1" t="s">
        <v>13</v>
      </c>
      <c r="E1632" s="1" t="s">
        <v>33</v>
      </c>
      <c r="F1632" s="1" t="s">
        <v>62</v>
      </c>
      <c r="G1632" s="1" t="s">
        <v>47</v>
      </c>
      <c r="H1632" s="1" t="s">
        <v>17</v>
      </c>
      <c r="I1632" s="1" t="s">
        <v>30</v>
      </c>
      <c r="J1632" s="1">
        <v>0.43</v>
      </c>
      <c r="K1632" s="36">
        <v>44762</v>
      </c>
    </row>
    <row r="1633" spans="1:11" x14ac:dyDescent="0.3">
      <c r="A1633" s="2" t="s">
        <v>3271</v>
      </c>
      <c r="B1633" s="1" t="s">
        <v>3272</v>
      </c>
      <c r="C1633" s="1">
        <v>74</v>
      </c>
      <c r="D1633" s="1" t="s">
        <v>13</v>
      </c>
      <c r="E1633" s="1" t="s">
        <v>21</v>
      </c>
      <c r="F1633" s="1" t="s">
        <v>62</v>
      </c>
      <c r="G1633" s="1" t="s">
        <v>47</v>
      </c>
      <c r="H1633" s="1" t="s">
        <v>17</v>
      </c>
      <c r="I1633" s="1" t="s">
        <v>30</v>
      </c>
      <c r="J1633" s="1">
        <v>0.4</v>
      </c>
      <c r="K1633" s="36">
        <v>45651</v>
      </c>
    </row>
    <row r="1634" spans="1:11" x14ac:dyDescent="0.3">
      <c r="A1634" s="2" t="s">
        <v>3273</v>
      </c>
      <c r="B1634" s="1" t="s">
        <v>3274</v>
      </c>
      <c r="C1634" s="1">
        <v>23</v>
      </c>
      <c r="D1634" s="1" t="s">
        <v>13</v>
      </c>
      <c r="E1634" s="1" t="s">
        <v>33</v>
      </c>
      <c r="F1634" s="1" t="s">
        <v>29</v>
      </c>
      <c r="G1634" s="1" t="s">
        <v>22</v>
      </c>
      <c r="H1634" s="1" t="s">
        <v>17</v>
      </c>
      <c r="I1634" s="1" t="s">
        <v>17</v>
      </c>
      <c r="J1634" s="1">
        <v>0.28000000000000003</v>
      </c>
      <c r="K1634" s="36">
        <v>45686</v>
      </c>
    </row>
    <row r="1635" spans="1:11" x14ac:dyDescent="0.3">
      <c r="A1635" s="2" t="s">
        <v>3275</v>
      </c>
      <c r="B1635" s="1" t="s">
        <v>3276</v>
      </c>
      <c r="C1635" s="1">
        <v>73</v>
      </c>
      <c r="D1635" s="1" t="s">
        <v>20</v>
      </c>
      <c r="E1635" s="1" t="s">
        <v>28</v>
      </c>
      <c r="F1635" s="1" t="s">
        <v>62</v>
      </c>
      <c r="G1635" s="1" t="s">
        <v>22</v>
      </c>
      <c r="H1635" s="1" t="s">
        <v>30</v>
      </c>
      <c r="I1635" s="1" t="s">
        <v>17</v>
      </c>
      <c r="J1635" s="1">
        <v>0.5</v>
      </c>
      <c r="K1635" s="36">
        <v>45963</v>
      </c>
    </row>
    <row r="1636" spans="1:11" x14ac:dyDescent="0.3">
      <c r="A1636" s="2" t="s">
        <v>3277</v>
      </c>
      <c r="B1636" s="1" t="s">
        <v>3278</v>
      </c>
      <c r="C1636" s="1">
        <v>44</v>
      </c>
      <c r="D1636" s="1" t="s">
        <v>20</v>
      </c>
      <c r="E1636" s="1" t="s">
        <v>14</v>
      </c>
      <c r="F1636" s="1" t="s">
        <v>62</v>
      </c>
      <c r="G1636" s="1" t="s">
        <v>25</v>
      </c>
      <c r="H1636" s="1" t="s">
        <v>17</v>
      </c>
      <c r="I1636" s="1" t="s">
        <v>30</v>
      </c>
      <c r="J1636" s="1">
        <v>0.27</v>
      </c>
      <c r="K1636" s="36">
        <v>46215</v>
      </c>
    </row>
    <row r="1637" spans="1:11" x14ac:dyDescent="0.3">
      <c r="A1637" s="2" t="s">
        <v>3279</v>
      </c>
      <c r="B1637" s="1" t="s">
        <v>3280</v>
      </c>
      <c r="C1637" s="1">
        <v>51</v>
      </c>
      <c r="D1637" s="1" t="s">
        <v>13</v>
      </c>
      <c r="E1637" s="1" t="s">
        <v>33</v>
      </c>
      <c r="F1637" s="1" t="s">
        <v>46</v>
      </c>
      <c r="G1637" s="1" t="s">
        <v>47</v>
      </c>
      <c r="H1637" s="1" t="s">
        <v>17</v>
      </c>
      <c r="I1637" s="1" t="s">
        <v>17</v>
      </c>
      <c r="J1637" s="1">
        <v>0.28000000000000003</v>
      </c>
      <c r="K1637" s="36">
        <v>44363</v>
      </c>
    </row>
    <row r="1638" spans="1:11" x14ac:dyDescent="0.3">
      <c r="A1638" s="2" t="s">
        <v>3281</v>
      </c>
      <c r="B1638" s="1" t="s">
        <v>3282</v>
      </c>
      <c r="C1638" s="1">
        <v>28</v>
      </c>
      <c r="D1638" s="1" t="s">
        <v>13</v>
      </c>
      <c r="E1638" s="1" t="s">
        <v>28</v>
      </c>
      <c r="F1638" s="1" t="s">
        <v>29</v>
      </c>
      <c r="G1638" s="1" t="s">
        <v>47</v>
      </c>
      <c r="H1638" s="1" t="s">
        <v>17</v>
      </c>
      <c r="I1638" s="1" t="s">
        <v>30</v>
      </c>
      <c r="J1638" s="1">
        <v>0.34</v>
      </c>
      <c r="K1638" s="36">
        <v>44889</v>
      </c>
    </row>
    <row r="1639" spans="1:11" x14ac:dyDescent="0.3">
      <c r="A1639" s="2" t="s">
        <v>3283</v>
      </c>
      <c r="B1639" s="1" t="s">
        <v>3284</v>
      </c>
      <c r="C1639" s="1">
        <v>57</v>
      </c>
      <c r="D1639" s="1" t="s">
        <v>13</v>
      </c>
      <c r="E1639" s="1" t="s">
        <v>28</v>
      </c>
      <c r="F1639" s="1" t="s">
        <v>29</v>
      </c>
      <c r="G1639" s="1" t="s">
        <v>38</v>
      </c>
      <c r="H1639" s="1" t="s">
        <v>17</v>
      </c>
      <c r="I1639" s="1" t="s">
        <v>17</v>
      </c>
      <c r="J1639" s="1">
        <v>0.27</v>
      </c>
      <c r="K1639" s="36">
        <v>45308</v>
      </c>
    </row>
    <row r="1640" spans="1:11" x14ac:dyDescent="0.3">
      <c r="A1640" s="2" t="s">
        <v>3285</v>
      </c>
      <c r="B1640" s="1" t="s">
        <v>3286</v>
      </c>
      <c r="C1640" s="1">
        <v>29</v>
      </c>
      <c r="D1640" s="1" t="s">
        <v>20</v>
      </c>
      <c r="E1640" s="1" t="s">
        <v>21</v>
      </c>
      <c r="F1640" s="1" t="s">
        <v>15</v>
      </c>
      <c r="G1640" s="1" t="s">
        <v>38</v>
      </c>
      <c r="H1640" s="1" t="s">
        <v>17</v>
      </c>
      <c r="I1640" s="1" t="s">
        <v>17</v>
      </c>
      <c r="J1640" s="1">
        <v>0.2</v>
      </c>
      <c r="K1640" s="36">
        <v>44776</v>
      </c>
    </row>
    <row r="1641" spans="1:11" x14ac:dyDescent="0.3">
      <c r="A1641" s="2" t="s">
        <v>3287</v>
      </c>
      <c r="B1641" s="1" t="s">
        <v>3288</v>
      </c>
      <c r="C1641" s="1">
        <v>35</v>
      </c>
      <c r="D1641" s="1" t="s">
        <v>13</v>
      </c>
      <c r="E1641" s="1" t="s">
        <v>21</v>
      </c>
      <c r="F1641" s="1" t="s">
        <v>62</v>
      </c>
      <c r="G1641" s="1" t="s">
        <v>43</v>
      </c>
      <c r="H1641" s="1" t="s">
        <v>17</v>
      </c>
      <c r="I1641" s="1" t="s">
        <v>30</v>
      </c>
      <c r="J1641" s="1">
        <v>0.42</v>
      </c>
      <c r="K1641" s="36">
        <v>45099</v>
      </c>
    </row>
    <row r="1642" spans="1:11" x14ac:dyDescent="0.3">
      <c r="A1642" s="2" t="s">
        <v>3289</v>
      </c>
      <c r="B1642" s="1" t="s">
        <v>3290</v>
      </c>
      <c r="C1642" s="1">
        <v>63</v>
      </c>
      <c r="D1642" s="1" t="s">
        <v>20</v>
      </c>
      <c r="E1642" s="1" t="s">
        <v>28</v>
      </c>
      <c r="F1642" s="1" t="s">
        <v>62</v>
      </c>
      <c r="G1642" s="1" t="s">
        <v>43</v>
      </c>
      <c r="H1642" s="1" t="s">
        <v>17</v>
      </c>
      <c r="I1642" s="1" t="s">
        <v>30</v>
      </c>
      <c r="J1642" s="1">
        <v>0.38</v>
      </c>
      <c r="K1642" s="36">
        <v>44663</v>
      </c>
    </row>
    <row r="1643" spans="1:11" x14ac:dyDescent="0.3">
      <c r="A1643" s="2" t="s">
        <v>3291</v>
      </c>
      <c r="B1643" s="1" t="s">
        <v>3292</v>
      </c>
      <c r="C1643" s="1">
        <v>21</v>
      </c>
      <c r="D1643" s="1" t="s">
        <v>13</v>
      </c>
      <c r="E1643" s="1" t="s">
        <v>28</v>
      </c>
      <c r="F1643" s="1" t="s">
        <v>46</v>
      </c>
      <c r="G1643" s="1" t="s">
        <v>43</v>
      </c>
      <c r="H1643" s="1" t="s">
        <v>17</v>
      </c>
      <c r="I1643" s="1" t="s">
        <v>17</v>
      </c>
      <c r="J1643" s="1">
        <v>0.15</v>
      </c>
      <c r="K1643" s="36">
        <v>44620</v>
      </c>
    </row>
    <row r="1644" spans="1:11" x14ac:dyDescent="0.3">
      <c r="A1644" s="2" t="s">
        <v>3293</v>
      </c>
      <c r="B1644" s="1" t="s">
        <v>3294</v>
      </c>
      <c r="C1644" s="1">
        <v>46</v>
      </c>
      <c r="D1644" s="1" t="s">
        <v>13</v>
      </c>
      <c r="E1644" s="1" t="s">
        <v>14</v>
      </c>
      <c r="F1644" s="1" t="s">
        <v>46</v>
      </c>
      <c r="G1644" s="1" t="s">
        <v>47</v>
      </c>
      <c r="H1644" s="1" t="s">
        <v>17</v>
      </c>
      <c r="I1644" s="1" t="s">
        <v>17</v>
      </c>
      <c r="J1644" s="1">
        <v>0.22</v>
      </c>
      <c r="K1644" s="36">
        <v>44289</v>
      </c>
    </row>
    <row r="1645" spans="1:11" x14ac:dyDescent="0.3">
      <c r="A1645" s="2" t="s">
        <v>3295</v>
      </c>
      <c r="B1645" s="1" t="s">
        <v>3296</v>
      </c>
      <c r="C1645" s="1">
        <v>55</v>
      </c>
      <c r="D1645" s="1" t="s">
        <v>13</v>
      </c>
      <c r="E1645" s="1" t="s">
        <v>33</v>
      </c>
      <c r="F1645" s="1" t="s">
        <v>62</v>
      </c>
      <c r="G1645" s="1" t="s">
        <v>16</v>
      </c>
      <c r="H1645" s="1" t="s">
        <v>17</v>
      </c>
      <c r="I1645" s="1" t="s">
        <v>17</v>
      </c>
      <c r="J1645" s="1">
        <v>0.16</v>
      </c>
      <c r="K1645" s="36">
        <v>44713</v>
      </c>
    </row>
    <row r="1646" spans="1:11" x14ac:dyDescent="0.3">
      <c r="A1646" s="2" t="s">
        <v>3297</v>
      </c>
      <c r="B1646" s="1" t="s">
        <v>3298</v>
      </c>
      <c r="C1646" s="1">
        <v>26</v>
      </c>
      <c r="D1646" s="1" t="s">
        <v>13</v>
      </c>
      <c r="E1646" s="1" t="s">
        <v>33</v>
      </c>
      <c r="F1646" s="1" t="s">
        <v>62</v>
      </c>
      <c r="G1646" s="1" t="s">
        <v>25</v>
      </c>
      <c r="H1646" s="1" t="s">
        <v>17</v>
      </c>
      <c r="I1646" s="1" t="s">
        <v>17</v>
      </c>
      <c r="J1646" s="1">
        <v>0.18</v>
      </c>
      <c r="K1646" s="36">
        <v>44919</v>
      </c>
    </row>
    <row r="1647" spans="1:11" x14ac:dyDescent="0.3">
      <c r="A1647" s="2" t="s">
        <v>3299</v>
      </c>
      <c r="B1647" s="1" t="s">
        <v>3300</v>
      </c>
      <c r="C1647" s="1">
        <v>36</v>
      </c>
      <c r="D1647" s="1" t="s">
        <v>20</v>
      </c>
      <c r="E1647" s="1" t="s">
        <v>33</v>
      </c>
      <c r="F1647" s="1" t="s">
        <v>62</v>
      </c>
      <c r="G1647" s="1" t="s">
        <v>47</v>
      </c>
      <c r="H1647" s="1" t="s">
        <v>17</v>
      </c>
      <c r="I1647" s="1" t="s">
        <v>17</v>
      </c>
      <c r="J1647" s="1">
        <v>0.27</v>
      </c>
      <c r="K1647" s="36">
        <v>45425</v>
      </c>
    </row>
    <row r="1648" spans="1:11" x14ac:dyDescent="0.3">
      <c r="A1648" s="2" t="s">
        <v>3301</v>
      </c>
      <c r="B1648" s="1" t="s">
        <v>3302</v>
      </c>
      <c r="C1648" s="1">
        <v>39</v>
      </c>
      <c r="D1648" s="1" t="s">
        <v>20</v>
      </c>
      <c r="E1648" s="1" t="s">
        <v>28</v>
      </c>
      <c r="F1648" s="1" t="s">
        <v>15</v>
      </c>
      <c r="G1648" s="1" t="s">
        <v>25</v>
      </c>
      <c r="H1648" s="1" t="s">
        <v>17</v>
      </c>
      <c r="I1648" s="1" t="s">
        <v>17</v>
      </c>
      <c r="J1648" s="1">
        <v>0.23</v>
      </c>
      <c r="K1648" s="36">
        <v>44621</v>
      </c>
    </row>
    <row r="1649" spans="1:11" ht="15" thickBot="1" x14ac:dyDescent="0.35">
      <c r="A1649" s="3" t="s">
        <v>3303</v>
      </c>
      <c r="B1649" s="4" t="s">
        <v>3304</v>
      </c>
      <c r="C1649" s="4">
        <v>59</v>
      </c>
      <c r="D1649" s="4" t="s">
        <v>13</v>
      </c>
      <c r="E1649" s="4" t="s">
        <v>14</v>
      </c>
      <c r="F1649" s="4" t="s">
        <v>29</v>
      </c>
      <c r="G1649" s="4" t="s">
        <v>25</v>
      </c>
      <c r="H1649" s="4" t="s">
        <v>17</v>
      </c>
      <c r="I1649" s="4" t="s">
        <v>17</v>
      </c>
      <c r="J1649" s="4">
        <v>0.34</v>
      </c>
      <c r="K1649" s="37">
        <v>45973</v>
      </c>
    </row>
  </sheetData>
  <autoFilter ref="A1:K1649" xr:uid="{C51D8C4E-9A9C-4878-AF50-F4CA7D07F58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015A-7C49-4B73-9683-008AEB60731F}">
  <dimension ref="A1:N2829"/>
  <sheetViews>
    <sheetView topLeftCell="A2805" workbookViewId="0">
      <selection activeCell="M11" sqref="M11"/>
    </sheetView>
  </sheetViews>
  <sheetFormatPr defaultRowHeight="14.4" x14ac:dyDescent="0.3"/>
  <cols>
    <col min="1" max="1" width="10.77734375" bestFit="1" customWidth="1"/>
    <col min="2" max="2" width="13.5546875" bestFit="1" customWidth="1"/>
    <col min="3" max="3" width="14.21875" bestFit="1" customWidth="1"/>
    <col min="4" max="4" width="17.88671875" bestFit="1" customWidth="1"/>
    <col min="5" max="5" width="17.33203125" bestFit="1" customWidth="1"/>
    <col min="6" max="6" width="17.6640625" style="38" bestFit="1" customWidth="1"/>
    <col min="7" max="7" width="16.88671875" style="38" bestFit="1" customWidth="1"/>
    <col min="8" max="8" width="10.21875" bestFit="1" customWidth="1"/>
    <col min="9" max="9" width="9.109375" bestFit="1" customWidth="1"/>
    <col min="10" max="10" width="33.33203125" bestFit="1" customWidth="1"/>
    <col min="11" max="11" width="31.109375" customWidth="1"/>
    <col min="13" max="13" width="55.44140625" bestFit="1" customWidth="1"/>
  </cols>
  <sheetData>
    <row r="1" spans="1:14" ht="15" thickBot="1" x14ac:dyDescent="0.35">
      <c r="A1" s="8" t="s">
        <v>3305</v>
      </c>
      <c r="B1" s="8" t="s">
        <v>0</v>
      </c>
      <c r="C1" s="8" t="s">
        <v>3306</v>
      </c>
      <c r="D1" s="8" t="s">
        <v>3307</v>
      </c>
      <c r="E1" s="8" t="s">
        <v>3308</v>
      </c>
      <c r="F1" s="39" t="s">
        <v>3309</v>
      </c>
      <c r="G1" s="39" t="s">
        <v>3310</v>
      </c>
      <c r="H1" s="8" t="s">
        <v>3311</v>
      </c>
      <c r="I1" s="8" t="s">
        <v>3312</v>
      </c>
      <c r="J1" s="29" t="s">
        <v>9312</v>
      </c>
      <c r="K1" s="29" t="s">
        <v>9313</v>
      </c>
      <c r="M1" s="30" t="s">
        <v>9301</v>
      </c>
      <c r="N1" s="31"/>
    </row>
    <row r="2" spans="1:14" x14ac:dyDescent="0.3">
      <c r="A2" s="6" t="s">
        <v>3313</v>
      </c>
      <c r="B2" s="6" t="s">
        <v>1984</v>
      </c>
      <c r="C2" s="6" t="s">
        <v>3314</v>
      </c>
      <c r="D2" s="6">
        <v>678451.61</v>
      </c>
      <c r="E2" s="6">
        <v>35791.33</v>
      </c>
      <c r="F2" s="40">
        <v>45612</v>
      </c>
      <c r="G2" s="40">
        <v>45612</v>
      </c>
      <c r="H2" s="6" t="s">
        <v>3315</v>
      </c>
      <c r="I2" s="6" t="s">
        <v>3316</v>
      </c>
      <c r="J2" t="str">
        <f>IF(ISNA(_xlfn.XLOOKUP(B2,customer_master!$A$2:$A$1649, customer_master!$A$2:$A$1649)), "Invalid", "Ok")</f>
        <v>Ok</v>
      </c>
      <c r="K2" t="str">
        <f>IF(ISNA(_xlfn.XLOOKUP(H2,agent_info!$A$2:$A$301, agent_info!$A$2:$A$301)), "Invalid", "Ok")</f>
        <v>Ok</v>
      </c>
      <c r="M2" s="2" t="s">
        <v>9304</v>
      </c>
      <c r="N2" s="32" cm="1">
        <f t="array" ref="N2">SUMPRODUCT(--ISNA(MATCH(C2:C2829, {"Health","Property","Term","Vehicle","Whole"}, 0)))</f>
        <v>0</v>
      </c>
    </row>
    <row r="3" spans="1:14" x14ac:dyDescent="0.3">
      <c r="A3" s="1" t="s">
        <v>3317</v>
      </c>
      <c r="B3" s="1" t="s">
        <v>1362</v>
      </c>
      <c r="C3" s="1" t="s">
        <v>3318</v>
      </c>
      <c r="D3" s="1">
        <v>620860.29</v>
      </c>
      <c r="E3" s="1">
        <v>32059.9</v>
      </c>
      <c r="F3" s="41">
        <v>44874</v>
      </c>
      <c r="G3" s="41">
        <v>44874</v>
      </c>
      <c r="H3" s="1" t="s">
        <v>3319</v>
      </c>
      <c r="I3" s="1" t="s">
        <v>3320</v>
      </c>
      <c r="J3" t="str">
        <f>IF(ISNA(_xlfn.XLOOKUP(B3,customer_master!$A$2:$A$1649, customer_master!$A$2:$A$1649)), "Invalid", "Ok")</f>
        <v>Ok</v>
      </c>
      <c r="K3" t="str">
        <f>IF(ISNA(_xlfn.XLOOKUP(H3,agent_info!$A$2:$A$301, agent_info!$A$2:$A$301)), "Invalid", "Ok")</f>
        <v>Ok</v>
      </c>
      <c r="M3" s="2" t="s">
        <v>9305</v>
      </c>
      <c r="N3" s="32" cm="1">
        <f t="array" ref="N3">SUMPRODUCT(--(F2:F2829 = G2:G2829))</f>
        <v>2</v>
      </c>
    </row>
    <row r="4" spans="1:14" ht="15" thickBot="1" x14ac:dyDescent="0.35">
      <c r="A4" s="1" t="s">
        <v>3321</v>
      </c>
      <c r="B4" s="1" t="s">
        <v>3269</v>
      </c>
      <c r="C4" s="1" t="s">
        <v>3314</v>
      </c>
      <c r="D4" s="1">
        <v>621616.05000000005</v>
      </c>
      <c r="E4" s="1">
        <v>33588.949999999997</v>
      </c>
      <c r="F4" s="41">
        <v>44319</v>
      </c>
      <c r="G4" s="41">
        <v>44684</v>
      </c>
      <c r="H4" s="1" t="s">
        <v>3322</v>
      </c>
      <c r="I4" s="1" t="s">
        <v>3316</v>
      </c>
      <c r="J4" t="str">
        <f>IF(ISNA(_xlfn.XLOOKUP(B4,customer_master!$A$2:$A$1649, customer_master!$A$2:$A$1649)), "Invalid", "Ok")</f>
        <v>Ok</v>
      </c>
      <c r="K4" t="str">
        <f>IF(ISNA(_xlfn.XLOOKUP(H4,agent_info!$A$2:$A$301, agent_info!$A$2:$A$301)), "Invalid", "Ok")</f>
        <v>Ok</v>
      </c>
      <c r="M4" s="3" t="s">
        <v>9316</v>
      </c>
      <c r="N4" s="33" cm="1">
        <f t="array" ref="N4">SUMPRODUCT(--(COUNTIF(A2:A2829, A2:A2829) &gt; 1))</f>
        <v>0</v>
      </c>
    </row>
    <row r="5" spans="1:14" x14ac:dyDescent="0.3">
      <c r="A5" s="1" t="s">
        <v>3323</v>
      </c>
      <c r="B5" s="1" t="s">
        <v>2416</v>
      </c>
      <c r="C5" s="1" t="s">
        <v>3318</v>
      </c>
      <c r="D5" s="1">
        <v>460719.82</v>
      </c>
      <c r="E5" s="1">
        <v>24120.799999999999</v>
      </c>
      <c r="F5" s="41">
        <v>44208</v>
      </c>
      <c r="G5" s="41">
        <v>44573</v>
      </c>
      <c r="H5" s="1" t="s">
        <v>3322</v>
      </c>
      <c r="I5" s="1" t="s">
        <v>3324</v>
      </c>
      <c r="J5" t="str">
        <f>IF(ISNA(_xlfn.XLOOKUP(B5,customer_master!$A$2:$A$1649, customer_master!$A$2:$A$1649)), "Invalid", "Ok")</f>
        <v>Ok</v>
      </c>
      <c r="K5" t="str">
        <f>IF(ISNA(_xlfn.XLOOKUP(H5,agent_info!$A$2:$A$301, agent_info!$A$2:$A$301)), "Invalid", "Ok")</f>
        <v>Ok</v>
      </c>
    </row>
    <row r="6" spans="1:14" x14ac:dyDescent="0.3">
      <c r="A6" s="1" t="s">
        <v>3325</v>
      </c>
      <c r="B6" s="1" t="s">
        <v>67</v>
      </c>
      <c r="C6" s="1" t="s">
        <v>3326</v>
      </c>
      <c r="D6" s="1">
        <v>425070.15</v>
      </c>
      <c r="E6" s="1">
        <v>20226.38</v>
      </c>
      <c r="F6" s="41">
        <v>44894</v>
      </c>
      <c r="G6" s="41">
        <v>45259</v>
      </c>
      <c r="H6" s="1" t="s">
        <v>3327</v>
      </c>
      <c r="I6" s="1" t="s">
        <v>3324</v>
      </c>
      <c r="J6" t="str">
        <f>IF(ISNA(_xlfn.XLOOKUP(B6,customer_master!$A$2:$A$1649, customer_master!$A$2:$A$1649)), "Invalid", "Ok")</f>
        <v>Ok</v>
      </c>
      <c r="K6" t="str">
        <f>IF(ISNA(_xlfn.XLOOKUP(H6,agent_info!$A$2:$A$301, agent_info!$A$2:$A$301)), "Invalid", "Ok")</f>
        <v>Ok</v>
      </c>
    </row>
    <row r="7" spans="1:14" x14ac:dyDescent="0.3">
      <c r="A7" s="1" t="s">
        <v>3328</v>
      </c>
      <c r="B7" s="1" t="s">
        <v>2788</v>
      </c>
      <c r="C7" s="1" t="s">
        <v>3314</v>
      </c>
      <c r="D7" s="1">
        <v>396231.38</v>
      </c>
      <c r="E7" s="1">
        <v>19809.52</v>
      </c>
      <c r="F7" s="41">
        <v>45451</v>
      </c>
      <c r="G7" s="41">
        <v>45816</v>
      </c>
      <c r="H7" s="1" t="s">
        <v>3329</v>
      </c>
      <c r="I7" s="1" t="s">
        <v>3324</v>
      </c>
      <c r="J7" t="str">
        <f>IF(ISNA(_xlfn.XLOOKUP(B7,customer_master!$A$2:$A$1649, customer_master!$A$2:$A$1649)), "Invalid", "Ok")</f>
        <v>Ok</v>
      </c>
      <c r="K7" t="str">
        <f>IF(ISNA(_xlfn.XLOOKUP(H7,agent_info!$A$2:$A$301, agent_info!$A$2:$A$301)), "Invalid", "Ok")</f>
        <v>Ok</v>
      </c>
    </row>
    <row r="8" spans="1:14" x14ac:dyDescent="0.3">
      <c r="A8" s="1" t="s">
        <v>3330</v>
      </c>
      <c r="B8" s="1" t="s">
        <v>2349</v>
      </c>
      <c r="C8" s="1" t="s">
        <v>3331</v>
      </c>
      <c r="D8" s="1">
        <v>440303.44</v>
      </c>
      <c r="E8" s="1">
        <v>21593.99</v>
      </c>
      <c r="F8" s="41">
        <v>44854</v>
      </c>
      <c r="G8" s="41">
        <v>45219</v>
      </c>
      <c r="H8" s="1" t="s">
        <v>3332</v>
      </c>
      <c r="I8" s="1" t="s">
        <v>3324</v>
      </c>
      <c r="J8" t="str">
        <f>IF(ISNA(_xlfn.XLOOKUP(B8,customer_master!$A$2:$A$1649, customer_master!$A$2:$A$1649)), "Invalid", "Ok")</f>
        <v>Ok</v>
      </c>
      <c r="K8" t="str">
        <f>IF(ISNA(_xlfn.XLOOKUP(H8,agent_info!$A$2:$A$301, agent_info!$A$2:$A$301)), "Invalid", "Ok")</f>
        <v>Ok</v>
      </c>
    </row>
    <row r="9" spans="1:14" x14ac:dyDescent="0.3">
      <c r="A9" s="1" t="s">
        <v>3333</v>
      </c>
      <c r="B9" s="1" t="s">
        <v>1885</v>
      </c>
      <c r="C9" s="1" t="s">
        <v>3334</v>
      </c>
      <c r="D9" s="1">
        <v>514545.29</v>
      </c>
      <c r="E9" s="1">
        <v>24005.55</v>
      </c>
      <c r="F9" s="41">
        <v>44181</v>
      </c>
      <c r="G9" s="41">
        <v>44546</v>
      </c>
      <c r="H9" s="1" t="s">
        <v>3335</v>
      </c>
      <c r="I9" s="1" t="s">
        <v>3316</v>
      </c>
      <c r="J9" t="str">
        <f>IF(ISNA(_xlfn.XLOOKUP(B9,customer_master!$A$2:$A$1649, customer_master!$A$2:$A$1649)), "Invalid", "Ok")</f>
        <v>Ok</v>
      </c>
      <c r="K9" t="str">
        <f>IF(ISNA(_xlfn.XLOOKUP(H9,agent_info!$A$2:$A$301, agent_info!$A$2:$A$301)), "Invalid", "Ok")</f>
        <v>Ok</v>
      </c>
    </row>
    <row r="10" spans="1:14" x14ac:dyDescent="0.3">
      <c r="A10" s="1" t="s">
        <v>3336</v>
      </c>
      <c r="B10" s="1" t="s">
        <v>825</v>
      </c>
      <c r="C10" s="1" t="s">
        <v>3314</v>
      </c>
      <c r="D10" s="1">
        <v>593179.09</v>
      </c>
      <c r="E10" s="1">
        <v>28012.15</v>
      </c>
      <c r="F10" s="41">
        <v>45503</v>
      </c>
      <c r="G10" s="41">
        <v>45868</v>
      </c>
      <c r="H10" s="1" t="s">
        <v>3337</v>
      </c>
      <c r="I10" s="1" t="s">
        <v>3324</v>
      </c>
      <c r="J10" t="str">
        <f>IF(ISNA(_xlfn.XLOOKUP(B10,customer_master!$A$2:$A$1649, customer_master!$A$2:$A$1649)), "Invalid", "Ok")</f>
        <v>Ok</v>
      </c>
      <c r="K10" t="str">
        <f>IF(ISNA(_xlfn.XLOOKUP(H10,agent_info!$A$2:$A$301, agent_info!$A$2:$A$301)), "Invalid", "Ok")</f>
        <v>Ok</v>
      </c>
    </row>
    <row r="11" spans="1:14" x14ac:dyDescent="0.3">
      <c r="A11" s="1" t="s">
        <v>3338</v>
      </c>
      <c r="B11" s="1" t="s">
        <v>528</v>
      </c>
      <c r="C11" s="1" t="s">
        <v>3326</v>
      </c>
      <c r="D11" s="1">
        <v>395783</v>
      </c>
      <c r="E11" s="1">
        <v>18938.84</v>
      </c>
      <c r="F11" s="41">
        <v>44350</v>
      </c>
      <c r="G11" s="41">
        <v>44715</v>
      </c>
      <c r="H11" s="1" t="s">
        <v>3339</v>
      </c>
      <c r="I11" s="1" t="s">
        <v>3324</v>
      </c>
      <c r="J11" t="str">
        <f>IF(ISNA(_xlfn.XLOOKUP(B11,customer_master!$A$2:$A$1649, customer_master!$A$2:$A$1649)), "Invalid", "Ok")</f>
        <v>Ok</v>
      </c>
      <c r="K11" t="str">
        <f>IF(ISNA(_xlfn.XLOOKUP(H11,agent_info!$A$2:$A$301, agent_info!$A$2:$A$301)), "Invalid", "Ok")</f>
        <v>Ok</v>
      </c>
    </row>
    <row r="12" spans="1:14" x14ac:dyDescent="0.3">
      <c r="A12" s="1" t="s">
        <v>3340</v>
      </c>
      <c r="B12" s="1" t="s">
        <v>2117</v>
      </c>
      <c r="C12" s="1" t="s">
        <v>3314</v>
      </c>
      <c r="D12" s="1">
        <v>599665.29</v>
      </c>
      <c r="E12" s="1">
        <v>28026.22</v>
      </c>
      <c r="F12" s="41">
        <v>44730</v>
      </c>
      <c r="G12" s="41">
        <v>45095</v>
      </c>
      <c r="H12" s="1" t="s">
        <v>3341</v>
      </c>
      <c r="I12" s="1" t="s">
        <v>3324</v>
      </c>
      <c r="J12" t="str">
        <f>IF(ISNA(_xlfn.XLOOKUP(B12,customer_master!$A$2:$A$1649, customer_master!$A$2:$A$1649)), "Invalid", "Ok")</f>
        <v>Ok</v>
      </c>
      <c r="K12" t="str">
        <f>IF(ISNA(_xlfn.XLOOKUP(H12,agent_info!$A$2:$A$301, agent_info!$A$2:$A$301)), "Invalid", "Ok")</f>
        <v>Ok</v>
      </c>
    </row>
    <row r="13" spans="1:14" x14ac:dyDescent="0.3">
      <c r="A13" s="1" t="s">
        <v>3342</v>
      </c>
      <c r="B13" s="1" t="s">
        <v>1473</v>
      </c>
      <c r="C13" s="1" t="s">
        <v>3318</v>
      </c>
      <c r="D13" s="1">
        <v>477535.01</v>
      </c>
      <c r="E13" s="1">
        <v>22526.799999999999</v>
      </c>
      <c r="F13" s="41">
        <v>45692</v>
      </c>
      <c r="G13" s="41">
        <v>46057</v>
      </c>
      <c r="H13" s="1" t="s">
        <v>3343</v>
      </c>
      <c r="I13" s="1" t="s">
        <v>3316</v>
      </c>
      <c r="J13" t="str">
        <f>IF(ISNA(_xlfn.XLOOKUP(B13,customer_master!$A$2:$A$1649, customer_master!$A$2:$A$1649)), "Invalid", "Ok")</f>
        <v>Ok</v>
      </c>
      <c r="K13" t="str">
        <f>IF(ISNA(_xlfn.XLOOKUP(H13,agent_info!$A$2:$A$301, agent_info!$A$2:$A$301)), "Invalid", "Ok")</f>
        <v>Ok</v>
      </c>
    </row>
    <row r="14" spans="1:14" x14ac:dyDescent="0.3">
      <c r="A14" s="1" t="s">
        <v>3344</v>
      </c>
      <c r="B14" s="1" t="s">
        <v>2863</v>
      </c>
      <c r="C14" s="1" t="s">
        <v>3318</v>
      </c>
      <c r="D14" s="1">
        <v>473997.31</v>
      </c>
      <c r="E14" s="1">
        <v>25673.56</v>
      </c>
      <c r="F14" s="41">
        <v>45070</v>
      </c>
      <c r="G14" s="41">
        <v>45436</v>
      </c>
      <c r="H14" s="1" t="s">
        <v>3345</v>
      </c>
      <c r="I14" s="1" t="s">
        <v>3320</v>
      </c>
      <c r="J14" t="str">
        <f>IF(ISNA(_xlfn.XLOOKUP(B14,customer_master!$A$2:$A$1649, customer_master!$A$2:$A$1649)), "Invalid", "Ok")</f>
        <v>Ok</v>
      </c>
      <c r="K14" t="str">
        <f>IF(ISNA(_xlfn.XLOOKUP(H14,agent_info!$A$2:$A$301, agent_info!$A$2:$A$301)), "Invalid", "Ok")</f>
        <v>Ok</v>
      </c>
    </row>
    <row r="15" spans="1:14" x14ac:dyDescent="0.3">
      <c r="A15" s="1" t="s">
        <v>3346</v>
      </c>
      <c r="B15" s="1" t="s">
        <v>895</v>
      </c>
      <c r="C15" s="1" t="s">
        <v>3326</v>
      </c>
      <c r="D15" s="1">
        <v>681780.47</v>
      </c>
      <c r="E15" s="1">
        <v>33020.26</v>
      </c>
      <c r="F15" s="41">
        <v>46231</v>
      </c>
      <c r="G15" s="41">
        <v>46596</v>
      </c>
      <c r="H15" s="1" t="s">
        <v>3347</v>
      </c>
      <c r="I15" s="1" t="s">
        <v>3324</v>
      </c>
      <c r="J15" t="str">
        <f>IF(ISNA(_xlfn.XLOOKUP(B15,customer_master!$A$2:$A$1649, customer_master!$A$2:$A$1649)), "Invalid", "Ok")</f>
        <v>Ok</v>
      </c>
      <c r="K15" t="str">
        <f>IF(ISNA(_xlfn.XLOOKUP(H15,agent_info!$A$2:$A$301, agent_info!$A$2:$A$301)), "Invalid", "Ok")</f>
        <v>Ok</v>
      </c>
    </row>
    <row r="16" spans="1:14" x14ac:dyDescent="0.3">
      <c r="A16" s="1" t="s">
        <v>3348</v>
      </c>
      <c r="B16" s="1" t="s">
        <v>2143</v>
      </c>
      <c r="C16" s="1" t="s">
        <v>3326</v>
      </c>
      <c r="D16" s="1">
        <v>697320.59</v>
      </c>
      <c r="E16" s="1">
        <v>37149.870000000003</v>
      </c>
      <c r="F16" s="41">
        <v>45842</v>
      </c>
      <c r="G16" s="41">
        <v>46207</v>
      </c>
      <c r="H16" s="1" t="s">
        <v>3349</v>
      </c>
      <c r="I16" s="1" t="s">
        <v>3324</v>
      </c>
      <c r="J16" t="str">
        <f>IF(ISNA(_xlfn.XLOOKUP(B16,customer_master!$A$2:$A$1649, customer_master!$A$2:$A$1649)), "Invalid", "Ok")</f>
        <v>Ok</v>
      </c>
      <c r="K16" t="str">
        <f>IF(ISNA(_xlfn.XLOOKUP(H16,agent_info!$A$2:$A$301, agent_info!$A$2:$A$301)), "Invalid", "Ok")</f>
        <v>Ok</v>
      </c>
    </row>
    <row r="17" spans="1:11" x14ac:dyDescent="0.3">
      <c r="A17" s="1" t="s">
        <v>3350</v>
      </c>
      <c r="B17" s="1" t="s">
        <v>859</v>
      </c>
      <c r="C17" s="1" t="s">
        <v>3331</v>
      </c>
      <c r="D17" s="1">
        <v>691063.82</v>
      </c>
      <c r="E17" s="1">
        <v>31542.85</v>
      </c>
      <c r="F17" s="41">
        <v>46244</v>
      </c>
      <c r="G17" s="41">
        <v>46609</v>
      </c>
      <c r="H17" s="1" t="s">
        <v>3351</v>
      </c>
      <c r="I17" s="1" t="s">
        <v>3324</v>
      </c>
      <c r="J17" t="str">
        <f>IF(ISNA(_xlfn.XLOOKUP(B17,customer_master!$A$2:$A$1649, customer_master!$A$2:$A$1649)), "Invalid", "Ok")</f>
        <v>Ok</v>
      </c>
      <c r="K17" t="str">
        <f>IF(ISNA(_xlfn.XLOOKUP(H17,agent_info!$A$2:$A$301, agent_info!$A$2:$A$301)), "Invalid", "Ok")</f>
        <v>Ok</v>
      </c>
    </row>
    <row r="18" spans="1:11" x14ac:dyDescent="0.3">
      <c r="A18" s="1" t="s">
        <v>3352</v>
      </c>
      <c r="B18" s="1" t="s">
        <v>2141</v>
      </c>
      <c r="C18" s="1" t="s">
        <v>3318</v>
      </c>
      <c r="D18" s="1">
        <v>398560.17</v>
      </c>
      <c r="E18" s="1">
        <v>21848.31</v>
      </c>
      <c r="F18" s="41">
        <v>45316</v>
      </c>
      <c r="G18" s="41">
        <v>45682</v>
      </c>
      <c r="H18" s="1" t="s">
        <v>3353</v>
      </c>
      <c r="I18" s="1" t="s">
        <v>3324</v>
      </c>
      <c r="J18" t="str">
        <f>IF(ISNA(_xlfn.XLOOKUP(B18,customer_master!$A$2:$A$1649, customer_master!$A$2:$A$1649)), "Invalid", "Ok")</f>
        <v>Ok</v>
      </c>
      <c r="K18" t="str">
        <f>IF(ISNA(_xlfn.XLOOKUP(H18,agent_info!$A$2:$A$301, agent_info!$A$2:$A$301)), "Invalid", "Ok")</f>
        <v>Ok</v>
      </c>
    </row>
    <row r="19" spans="1:11" x14ac:dyDescent="0.3">
      <c r="A19" s="1" t="s">
        <v>3354</v>
      </c>
      <c r="B19" s="1" t="s">
        <v>194</v>
      </c>
      <c r="C19" s="1" t="s">
        <v>3326</v>
      </c>
      <c r="D19" s="1">
        <v>605021.1</v>
      </c>
      <c r="E19" s="1">
        <v>31853.1</v>
      </c>
      <c r="F19" s="41">
        <v>46037</v>
      </c>
      <c r="G19" s="41">
        <v>46402</v>
      </c>
      <c r="H19" s="1" t="s">
        <v>3355</v>
      </c>
      <c r="I19" s="1" t="s">
        <v>3324</v>
      </c>
      <c r="J19" t="str">
        <f>IF(ISNA(_xlfn.XLOOKUP(B19,customer_master!$A$2:$A$1649, customer_master!$A$2:$A$1649)), "Invalid", "Ok")</f>
        <v>Ok</v>
      </c>
      <c r="K19" t="str">
        <f>IF(ISNA(_xlfn.XLOOKUP(H19,agent_info!$A$2:$A$301, agent_info!$A$2:$A$301)), "Invalid", "Ok")</f>
        <v>Ok</v>
      </c>
    </row>
    <row r="20" spans="1:11" x14ac:dyDescent="0.3">
      <c r="A20" s="1" t="s">
        <v>3356</v>
      </c>
      <c r="B20" s="1" t="s">
        <v>1339</v>
      </c>
      <c r="C20" s="1" t="s">
        <v>3331</v>
      </c>
      <c r="D20" s="1">
        <v>449569.42</v>
      </c>
      <c r="E20" s="1">
        <v>24306.94</v>
      </c>
      <c r="F20" s="41">
        <v>45453</v>
      </c>
      <c r="G20" s="41">
        <v>45818</v>
      </c>
      <c r="H20" s="1" t="s">
        <v>3357</v>
      </c>
      <c r="I20" s="1" t="s">
        <v>3324</v>
      </c>
      <c r="J20" t="str">
        <f>IF(ISNA(_xlfn.XLOOKUP(B20,customer_master!$A$2:$A$1649, customer_master!$A$2:$A$1649)), "Invalid", "Ok")</f>
        <v>Ok</v>
      </c>
      <c r="K20" t="str">
        <f>IF(ISNA(_xlfn.XLOOKUP(H20,agent_info!$A$2:$A$301, agent_info!$A$2:$A$301)), "Invalid", "Ok")</f>
        <v>Ok</v>
      </c>
    </row>
    <row r="21" spans="1:11" x14ac:dyDescent="0.3">
      <c r="A21" s="1" t="s">
        <v>3358</v>
      </c>
      <c r="B21" s="1" t="s">
        <v>610</v>
      </c>
      <c r="C21" s="1" t="s">
        <v>3331</v>
      </c>
      <c r="D21" s="1">
        <v>598657.93000000005</v>
      </c>
      <c r="E21" s="1">
        <v>30088.02</v>
      </c>
      <c r="F21" s="41">
        <v>45245</v>
      </c>
      <c r="G21" s="41">
        <v>45611</v>
      </c>
      <c r="H21" s="1" t="s">
        <v>3359</v>
      </c>
      <c r="I21" s="1" t="s">
        <v>3324</v>
      </c>
      <c r="J21" t="str">
        <f>IF(ISNA(_xlfn.XLOOKUP(B21,customer_master!$A$2:$A$1649, customer_master!$A$2:$A$1649)), "Invalid", "Ok")</f>
        <v>Ok</v>
      </c>
      <c r="K21" t="str">
        <f>IF(ISNA(_xlfn.XLOOKUP(H21,agent_info!$A$2:$A$301, agent_info!$A$2:$A$301)), "Invalid", "Ok")</f>
        <v>Ok</v>
      </c>
    </row>
    <row r="22" spans="1:11" x14ac:dyDescent="0.3">
      <c r="A22" s="1" t="s">
        <v>3360</v>
      </c>
      <c r="B22" s="1" t="s">
        <v>2028</v>
      </c>
      <c r="C22" s="1" t="s">
        <v>3334</v>
      </c>
      <c r="D22" s="1">
        <v>729079.75</v>
      </c>
      <c r="E22" s="1">
        <v>37434.879999999997</v>
      </c>
      <c r="F22" s="41">
        <v>45382</v>
      </c>
      <c r="G22" s="41">
        <v>45747</v>
      </c>
      <c r="H22" s="1" t="s">
        <v>3361</v>
      </c>
      <c r="I22" s="1" t="s">
        <v>3316</v>
      </c>
      <c r="J22" t="str">
        <f>IF(ISNA(_xlfn.XLOOKUP(B22,customer_master!$A$2:$A$1649, customer_master!$A$2:$A$1649)), "Invalid", "Ok")</f>
        <v>Ok</v>
      </c>
      <c r="K22" t="str">
        <f>IF(ISNA(_xlfn.XLOOKUP(H22,agent_info!$A$2:$A$301, agent_info!$A$2:$A$301)), "Invalid", "Ok")</f>
        <v>Ok</v>
      </c>
    </row>
    <row r="23" spans="1:11" x14ac:dyDescent="0.3">
      <c r="A23" s="1" t="s">
        <v>3362</v>
      </c>
      <c r="B23" s="1" t="s">
        <v>1073</v>
      </c>
      <c r="C23" s="1" t="s">
        <v>3331</v>
      </c>
      <c r="D23" s="1">
        <v>526544.63</v>
      </c>
      <c r="E23" s="1">
        <v>25594.38</v>
      </c>
      <c r="F23" s="41">
        <v>44844</v>
      </c>
      <c r="G23" s="41">
        <v>45209</v>
      </c>
      <c r="H23" s="1" t="s">
        <v>3363</v>
      </c>
      <c r="I23" s="1" t="s">
        <v>3324</v>
      </c>
      <c r="J23" t="str">
        <f>IF(ISNA(_xlfn.XLOOKUP(B23,customer_master!$A$2:$A$1649, customer_master!$A$2:$A$1649)), "Invalid", "Ok")</f>
        <v>Ok</v>
      </c>
      <c r="K23" t="str">
        <f>IF(ISNA(_xlfn.XLOOKUP(H23,agent_info!$A$2:$A$301, agent_info!$A$2:$A$301)), "Invalid", "Ok")</f>
        <v>Ok</v>
      </c>
    </row>
    <row r="24" spans="1:11" x14ac:dyDescent="0.3">
      <c r="A24" s="1" t="s">
        <v>3364</v>
      </c>
      <c r="B24" s="1" t="s">
        <v>2571</v>
      </c>
      <c r="C24" s="1" t="s">
        <v>3314</v>
      </c>
      <c r="D24" s="1">
        <v>742604.05</v>
      </c>
      <c r="E24" s="1">
        <v>36625.46</v>
      </c>
      <c r="F24" s="41">
        <v>44700</v>
      </c>
      <c r="G24" s="41">
        <v>45065</v>
      </c>
      <c r="H24" s="1" t="s">
        <v>3365</v>
      </c>
      <c r="I24" s="1" t="s">
        <v>3324</v>
      </c>
      <c r="J24" t="str">
        <f>IF(ISNA(_xlfn.XLOOKUP(B24,customer_master!$A$2:$A$1649, customer_master!$A$2:$A$1649)), "Invalid", "Ok")</f>
        <v>Ok</v>
      </c>
      <c r="K24" t="str">
        <f>IF(ISNA(_xlfn.XLOOKUP(H24,agent_info!$A$2:$A$301, agent_info!$A$2:$A$301)), "Invalid", "Ok")</f>
        <v>Ok</v>
      </c>
    </row>
    <row r="25" spans="1:11" x14ac:dyDescent="0.3">
      <c r="A25" s="1" t="s">
        <v>3366</v>
      </c>
      <c r="B25" s="1" t="s">
        <v>409</v>
      </c>
      <c r="C25" s="1" t="s">
        <v>3318</v>
      </c>
      <c r="D25" s="1">
        <v>645764.69999999995</v>
      </c>
      <c r="E25" s="1">
        <v>33907.440000000002</v>
      </c>
      <c r="F25" s="41">
        <v>45797</v>
      </c>
      <c r="G25" s="41">
        <v>46162</v>
      </c>
      <c r="H25" s="1" t="s">
        <v>3367</v>
      </c>
      <c r="I25" s="1" t="s">
        <v>3320</v>
      </c>
      <c r="J25" t="str">
        <f>IF(ISNA(_xlfn.XLOOKUP(B25,customer_master!$A$2:$A$1649, customer_master!$A$2:$A$1649)), "Invalid", "Ok")</f>
        <v>Ok</v>
      </c>
      <c r="K25" t="str">
        <f>IF(ISNA(_xlfn.XLOOKUP(H25,agent_info!$A$2:$A$301, agent_info!$A$2:$A$301)), "Invalid", "Ok")</f>
        <v>Ok</v>
      </c>
    </row>
    <row r="26" spans="1:11" x14ac:dyDescent="0.3">
      <c r="A26" s="1" t="s">
        <v>3368</v>
      </c>
      <c r="B26" s="1" t="s">
        <v>1865</v>
      </c>
      <c r="C26" s="1" t="s">
        <v>3334</v>
      </c>
      <c r="D26" s="1">
        <v>500889.55</v>
      </c>
      <c r="E26" s="1">
        <v>22790.32</v>
      </c>
      <c r="F26" s="41">
        <v>45643</v>
      </c>
      <c r="G26" s="41">
        <v>46008</v>
      </c>
      <c r="H26" s="1" t="s">
        <v>3369</v>
      </c>
      <c r="I26" s="1" t="s">
        <v>3316</v>
      </c>
      <c r="J26" t="str">
        <f>IF(ISNA(_xlfn.XLOOKUP(B26,customer_master!$A$2:$A$1649, customer_master!$A$2:$A$1649)), "Invalid", "Ok")</f>
        <v>Ok</v>
      </c>
      <c r="K26" t="str">
        <f>IF(ISNA(_xlfn.XLOOKUP(H26,agent_info!$A$2:$A$301, agent_info!$A$2:$A$301)), "Invalid", "Ok")</f>
        <v>Ok</v>
      </c>
    </row>
    <row r="27" spans="1:11" x14ac:dyDescent="0.3">
      <c r="A27" s="1" t="s">
        <v>3370</v>
      </c>
      <c r="B27" s="1" t="s">
        <v>1982</v>
      </c>
      <c r="C27" s="1" t="s">
        <v>3314</v>
      </c>
      <c r="D27" s="1">
        <v>421543.12</v>
      </c>
      <c r="E27" s="1">
        <v>19123.52</v>
      </c>
      <c r="F27" s="41">
        <v>45550</v>
      </c>
      <c r="G27" s="41">
        <v>45915</v>
      </c>
      <c r="H27" s="1" t="s">
        <v>3371</v>
      </c>
      <c r="I27" s="1" t="s">
        <v>3320</v>
      </c>
      <c r="J27" t="str">
        <f>IF(ISNA(_xlfn.XLOOKUP(B27,customer_master!$A$2:$A$1649, customer_master!$A$2:$A$1649)), "Invalid", "Ok")</f>
        <v>Ok</v>
      </c>
      <c r="K27" t="str">
        <f>IF(ISNA(_xlfn.XLOOKUP(H27,agent_info!$A$2:$A$301, agent_info!$A$2:$A$301)), "Invalid", "Ok")</f>
        <v>Ok</v>
      </c>
    </row>
    <row r="28" spans="1:11" x14ac:dyDescent="0.3">
      <c r="A28" s="1" t="s">
        <v>3372</v>
      </c>
      <c r="B28" s="1" t="s">
        <v>111</v>
      </c>
      <c r="C28" s="1" t="s">
        <v>3314</v>
      </c>
      <c r="D28" s="1">
        <v>698910.24</v>
      </c>
      <c r="E28" s="1">
        <v>37565.870000000003</v>
      </c>
      <c r="F28" s="41">
        <v>45642</v>
      </c>
      <c r="G28" s="41">
        <v>46007</v>
      </c>
      <c r="H28" s="1" t="s">
        <v>3373</v>
      </c>
      <c r="I28" s="1" t="s">
        <v>3324</v>
      </c>
      <c r="J28" t="str">
        <f>IF(ISNA(_xlfn.XLOOKUP(B28,customer_master!$A$2:$A$1649, customer_master!$A$2:$A$1649)), "Invalid", "Ok")</f>
        <v>Ok</v>
      </c>
      <c r="K28" t="str">
        <f>IF(ISNA(_xlfn.XLOOKUP(H28,agent_info!$A$2:$A$301, agent_info!$A$2:$A$301)), "Invalid", "Ok")</f>
        <v>Ok</v>
      </c>
    </row>
    <row r="29" spans="1:11" x14ac:dyDescent="0.3">
      <c r="A29" s="1" t="s">
        <v>3374</v>
      </c>
      <c r="B29" s="1" t="s">
        <v>152</v>
      </c>
      <c r="C29" s="1" t="s">
        <v>3318</v>
      </c>
      <c r="D29" s="1">
        <v>551146.46</v>
      </c>
      <c r="E29" s="1">
        <v>25407.89</v>
      </c>
      <c r="F29" s="41">
        <v>45216</v>
      </c>
      <c r="G29" s="41">
        <v>45582</v>
      </c>
      <c r="H29" s="1" t="s">
        <v>3375</v>
      </c>
      <c r="I29" s="1" t="s">
        <v>3316</v>
      </c>
      <c r="J29" t="str">
        <f>IF(ISNA(_xlfn.XLOOKUP(B29,customer_master!$A$2:$A$1649, customer_master!$A$2:$A$1649)), "Invalid", "Ok")</f>
        <v>Ok</v>
      </c>
      <c r="K29" t="str">
        <f>IF(ISNA(_xlfn.XLOOKUP(H29,agent_info!$A$2:$A$301, agent_info!$A$2:$A$301)), "Invalid", "Ok")</f>
        <v>Ok</v>
      </c>
    </row>
    <row r="30" spans="1:11" x14ac:dyDescent="0.3">
      <c r="A30" s="1" t="s">
        <v>3376</v>
      </c>
      <c r="B30" s="1" t="s">
        <v>1039</v>
      </c>
      <c r="C30" s="1" t="s">
        <v>3318</v>
      </c>
      <c r="D30" s="1">
        <v>405478.14</v>
      </c>
      <c r="E30" s="1">
        <v>21170.14</v>
      </c>
      <c r="F30" s="41">
        <v>44619</v>
      </c>
      <c r="G30" s="41">
        <v>44984</v>
      </c>
      <c r="H30" s="1" t="s">
        <v>3377</v>
      </c>
      <c r="I30" s="1" t="s">
        <v>3316</v>
      </c>
      <c r="J30" t="str">
        <f>IF(ISNA(_xlfn.XLOOKUP(B30,customer_master!$A$2:$A$1649, customer_master!$A$2:$A$1649)), "Invalid", "Ok")</f>
        <v>Ok</v>
      </c>
      <c r="K30" t="str">
        <f>IF(ISNA(_xlfn.XLOOKUP(H30,agent_info!$A$2:$A$301, agent_info!$A$2:$A$301)), "Invalid", "Ok")</f>
        <v>Ok</v>
      </c>
    </row>
    <row r="31" spans="1:11" x14ac:dyDescent="0.3">
      <c r="A31" s="1" t="s">
        <v>3378</v>
      </c>
      <c r="B31" s="1" t="s">
        <v>2044</v>
      </c>
      <c r="C31" s="1" t="s">
        <v>3314</v>
      </c>
      <c r="D31" s="1">
        <v>424702.11</v>
      </c>
      <c r="E31" s="1">
        <v>19959.060000000001</v>
      </c>
      <c r="F31" s="41">
        <v>44795</v>
      </c>
      <c r="G31" s="41">
        <v>45160</v>
      </c>
      <c r="H31" s="1" t="s">
        <v>3379</v>
      </c>
      <c r="I31" s="1" t="s">
        <v>3316</v>
      </c>
      <c r="J31" t="str">
        <f>IF(ISNA(_xlfn.XLOOKUP(B31,customer_master!$A$2:$A$1649, customer_master!$A$2:$A$1649)), "Invalid", "Ok")</f>
        <v>Ok</v>
      </c>
      <c r="K31" t="str">
        <f>IF(ISNA(_xlfn.XLOOKUP(H31,agent_info!$A$2:$A$301, agent_info!$A$2:$A$301)), "Invalid", "Ok")</f>
        <v>Ok</v>
      </c>
    </row>
    <row r="32" spans="1:11" x14ac:dyDescent="0.3">
      <c r="A32" s="1" t="s">
        <v>3380</v>
      </c>
      <c r="B32" s="1" t="s">
        <v>3192</v>
      </c>
      <c r="C32" s="1" t="s">
        <v>3326</v>
      </c>
      <c r="D32" s="1">
        <v>688436.48</v>
      </c>
      <c r="E32" s="1">
        <v>33500.76</v>
      </c>
      <c r="F32" s="41">
        <v>45353</v>
      </c>
      <c r="G32" s="41">
        <v>45718</v>
      </c>
      <c r="H32" s="1" t="s">
        <v>3381</v>
      </c>
      <c r="I32" s="1" t="s">
        <v>3324</v>
      </c>
      <c r="J32" t="str">
        <f>IF(ISNA(_xlfn.XLOOKUP(B32,customer_master!$A$2:$A$1649, customer_master!$A$2:$A$1649)), "Invalid", "Ok")</f>
        <v>Ok</v>
      </c>
      <c r="K32" t="str">
        <f>IF(ISNA(_xlfn.XLOOKUP(H32,agent_info!$A$2:$A$301, agent_info!$A$2:$A$301)), "Invalid", "Ok")</f>
        <v>Ok</v>
      </c>
    </row>
    <row r="33" spans="1:11" x14ac:dyDescent="0.3">
      <c r="A33" s="1" t="s">
        <v>3382</v>
      </c>
      <c r="B33" s="1" t="s">
        <v>330</v>
      </c>
      <c r="C33" s="1" t="s">
        <v>3334</v>
      </c>
      <c r="D33" s="1">
        <v>478555.75</v>
      </c>
      <c r="E33" s="1">
        <v>22939.81</v>
      </c>
      <c r="F33" s="41">
        <v>45880</v>
      </c>
      <c r="G33" s="41">
        <v>46245</v>
      </c>
      <c r="H33" s="1" t="s">
        <v>3383</v>
      </c>
      <c r="I33" s="1" t="s">
        <v>3324</v>
      </c>
      <c r="J33" t="str">
        <f>IF(ISNA(_xlfn.XLOOKUP(B33,customer_master!$A$2:$A$1649, customer_master!$A$2:$A$1649)), "Invalid", "Ok")</f>
        <v>Ok</v>
      </c>
      <c r="K33" t="str">
        <f>IF(ISNA(_xlfn.XLOOKUP(H33,agent_info!$A$2:$A$301, agent_info!$A$2:$A$301)), "Invalid", "Ok")</f>
        <v>Ok</v>
      </c>
    </row>
    <row r="34" spans="1:11" x14ac:dyDescent="0.3">
      <c r="A34" s="1" t="s">
        <v>3384</v>
      </c>
      <c r="B34" s="1" t="s">
        <v>2349</v>
      </c>
      <c r="C34" s="1" t="s">
        <v>3318</v>
      </c>
      <c r="D34" s="1">
        <v>743371.47</v>
      </c>
      <c r="E34" s="1">
        <v>37096.730000000003</v>
      </c>
      <c r="F34" s="41">
        <v>44868</v>
      </c>
      <c r="G34" s="41">
        <v>45233</v>
      </c>
      <c r="H34" s="1" t="s">
        <v>3385</v>
      </c>
      <c r="I34" s="1" t="s">
        <v>3324</v>
      </c>
      <c r="J34" t="str">
        <f>IF(ISNA(_xlfn.XLOOKUP(B34,customer_master!$A$2:$A$1649, customer_master!$A$2:$A$1649)), "Invalid", "Ok")</f>
        <v>Ok</v>
      </c>
      <c r="K34" t="str">
        <f>IF(ISNA(_xlfn.XLOOKUP(H34,agent_info!$A$2:$A$301, agent_info!$A$2:$A$301)), "Invalid", "Ok")</f>
        <v>Ok</v>
      </c>
    </row>
    <row r="35" spans="1:11" x14ac:dyDescent="0.3">
      <c r="A35" s="1" t="s">
        <v>3386</v>
      </c>
      <c r="B35" s="1" t="s">
        <v>2314</v>
      </c>
      <c r="C35" s="1" t="s">
        <v>3331</v>
      </c>
      <c r="D35" s="1">
        <v>641362.38</v>
      </c>
      <c r="E35" s="1">
        <v>34163.199999999997</v>
      </c>
      <c r="F35" s="41">
        <v>44291</v>
      </c>
      <c r="G35" s="41">
        <v>44656</v>
      </c>
      <c r="H35" s="1" t="s">
        <v>3387</v>
      </c>
      <c r="I35" s="1" t="s">
        <v>3324</v>
      </c>
      <c r="J35" t="str">
        <f>IF(ISNA(_xlfn.XLOOKUP(B35,customer_master!$A$2:$A$1649, customer_master!$A$2:$A$1649)), "Invalid", "Ok")</f>
        <v>Ok</v>
      </c>
      <c r="K35" t="str">
        <f>IF(ISNA(_xlfn.XLOOKUP(H35,agent_info!$A$2:$A$301, agent_info!$A$2:$A$301)), "Invalid", "Ok")</f>
        <v>Ok</v>
      </c>
    </row>
    <row r="36" spans="1:11" x14ac:dyDescent="0.3">
      <c r="A36" s="1" t="s">
        <v>3388</v>
      </c>
      <c r="B36" s="1" t="s">
        <v>2234</v>
      </c>
      <c r="C36" s="1" t="s">
        <v>3331</v>
      </c>
      <c r="D36" s="1">
        <v>496137.36</v>
      </c>
      <c r="E36" s="1">
        <v>26670.03</v>
      </c>
      <c r="F36" s="41">
        <v>45636</v>
      </c>
      <c r="G36" s="41">
        <v>46001</v>
      </c>
      <c r="H36" s="1" t="s">
        <v>3389</v>
      </c>
      <c r="I36" s="1" t="s">
        <v>3316</v>
      </c>
      <c r="J36" t="str">
        <f>IF(ISNA(_xlfn.XLOOKUP(B36,customer_master!$A$2:$A$1649, customer_master!$A$2:$A$1649)), "Invalid", "Ok")</f>
        <v>Ok</v>
      </c>
      <c r="K36" t="str">
        <f>IF(ISNA(_xlfn.XLOOKUP(H36,agent_info!$A$2:$A$301, agent_info!$A$2:$A$301)), "Invalid", "Ok")</f>
        <v>Ok</v>
      </c>
    </row>
    <row r="37" spans="1:11" x14ac:dyDescent="0.3">
      <c r="A37" s="1" t="s">
        <v>3390</v>
      </c>
      <c r="B37" s="1" t="s">
        <v>1733</v>
      </c>
      <c r="C37" s="1" t="s">
        <v>3334</v>
      </c>
      <c r="D37" s="1">
        <v>532735.23</v>
      </c>
      <c r="E37" s="1">
        <v>25155.99</v>
      </c>
      <c r="F37" s="41">
        <v>45892</v>
      </c>
      <c r="G37" s="41">
        <v>46257</v>
      </c>
      <c r="H37" s="1" t="s">
        <v>3391</v>
      </c>
      <c r="I37" s="1" t="s">
        <v>3316</v>
      </c>
      <c r="J37" t="str">
        <f>IF(ISNA(_xlfn.XLOOKUP(B37,customer_master!$A$2:$A$1649, customer_master!$A$2:$A$1649)), "Invalid", "Ok")</f>
        <v>Ok</v>
      </c>
      <c r="K37" t="str">
        <f>IF(ISNA(_xlfn.XLOOKUP(H37,agent_info!$A$2:$A$301, agent_info!$A$2:$A$301)), "Invalid", "Ok")</f>
        <v>Ok</v>
      </c>
    </row>
    <row r="38" spans="1:11" x14ac:dyDescent="0.3">
      <c r="A38" s="1" t="s">
        <v>3392</v>
      </c>
      <c r="B38" s="1" t="s">
        <v>3208</v>
      </c>
      <c r="C38" s="1" t="s">
        <v>3314</v>
      </c>
      <c r="D38" s="1">
        <v>684159.8</v>
      </c>
      <c r="E38" s="1">
        <v>33097.25</v>
      </c>
      <c r="F38" s="41">
        <v>44256</v>
      </c>
      <c r="G38" s="41">
        <v>44621</v>
      </c>
      <c r="H38" s="1" t="s">
        <v>3393</v>
      </c>
      <c r="I38" s="1" t="s">
        <v>3324</v>
      </c>
      <c r="J38" t="str">
        <f>IF(ISNA(_xlfn.XLOOKUP(B38,customer_master!$A$2:$A$1649, customer_master!$A$2:$A$1649)), "Invalid", "Ok")</f>
        <v>Ok</v>
      </c>
      <c r="K38" t="str">
        <f>IF(ISNA(_xlfn.XLOOKUP(H38,agent_info!$A$2:$A$301, agent_info!$A$2:$A$301)), "Invalid", "Ok")</f>
        <v>Ok</v>
      </c>
    </row>
    <row r="39" spans="1:11" x14ac:dyDescent="0.3">
      <c r="A39" s="1" t="s">
        <v>3394</v>
      </c>
      <c r="B39" s="1" t="s">
        <v>1684</v>
      </c>
      <c r="C39" s="1" t="s">
        <v>3331</v>
      </c>
      <c r="D39" s="1">
        <v>547610.81000000006</v>
      </c>
      <c r="E39" s="1">
        <v>29225.53</v>
      </c>
      <c r="F39" s="41">
        <v>44213</v>
      </c>
      <c r="G39" s="41">
        <v>44578</v>
      </c>
      <c r="H39" s="1" t="s">
        <v>3395</v>
      </c>
      <c r="I39" s="1" t="s">
        <v>3324</v>
      </c>
      <c r="J39" t="str">
        <f>IF(ISNA(_xlfn.XLOOKUP(B39,customer_master!$A$2:$A$1649, customer_master!$A$2:$A$1649)), "Invalid", "Ok")</f>
        <v>Ok</v>
      </c>
      <c r="K39" t="str">
        <f>IF(ISNA(_xlfn.XLOOKUP(H39,agent_info!$A$2:$A$301, agent_info!$A$2:$A$301)), "Invalid", "Ok")</f>
        <v>Ok</v>
      </c>
    </row>
    <row r="40" spans="1:11" x14ac:dyDescent="0.3">
      <c r="A40" s="1" t="s">
        <v>3396</v>
      </c>
      <c r="B40" s="1" t="s">
        <v>2780</v>
      </c>
      <c r="C40" s="1" t="s">
        <v>3318</v>
      </c>
      <c r="D40" s="1">
        <v>406255.79</v>
      </c>
      <c r="E40" s="1">
        <v>18645.66</v>
      </c>
      <c r="F40" s="41">
        <v>46024</v>
      </c>
      <c r="G40" s="41">
        <v>46389</v>
      </c>
      <c r="H40" s="1" t="s">
        <v>3397</v>
      </c>
      <c r="I40" s="1" t="s">
        <v>3324</v>
      </c>
      <c r="J40" t="str">
        <f>IF(ISNA(_xlfn.XLOOKUP(B40,customer_master!$A$2:$A$1649, customer_master!$A$2:$A$1649)), "Invalid", "Ok")</f>
        <v>Ok</v>
      </c>
      <c r="K40" t="str">
        <f>IF(ISNA(_xlfn.XLOOKUP(H40,agent_info!$A$2:$A$301, agent_info!$A$2:$A$301)), "Invalid", "Ok")</f>
        <v>Ok</v>
      </c>
    </row>
    <row r="41" spans="1:11" x14ac:dyDescent="0.3">
      <c r="A41" s="1" t="s">
        <v>3398</v>
      </c>
      <c r="B41" s="1" t="s">
        <v>895</v>
      </c>
      <c r="C41" s="1" t="s">
        <v>3314</v>
      </c>
      <c r="D41" s="1">
        <v>473478.44</v>
      </c>
      <c r="E41" s="1">
        <v>21860.01</v>
      </c>
      <c r="F41" s="41">
        <v>45120</v>
      </c>
      <c r="G41" s="41">
        <v>45486</v>
      </c>
      <c r="H41" s="1" t="s">
        <v>3389</v>
      </c>
      <c r="I41" s="1" t="s">
        <v>3316</v>
      </c>
      <c r="J41" t="str">
        <f>IF(ISNA(_xlfn.XLOOKUP(B41,customer_master!$A$2:$A$1649, customer_master!$A$2:$A$1649)), "Invalid", "Ok")</f>
        <v>Ok</v>
      </c>
      <c r="K41" t="str">
        <f>IF(ISNA(_xlfn.XLOOKUP(H41,agent_info!$A$2:$A$301, agent_info!$A$2:$A$301)), "Invalid", "Ok")</f>
        <v>Ok</v>
      </c>
    </row>
    <row r="42" spans="1:11" x14ac:dyDescent="0.3">
      <c r="A42" s="1" t="s">
        <v>3399</v>
      </c>
      <c r="B42" s="1" t="s">
        <v>2670</v>
      </c>
      <c r="C42" s="1" t="s">
        <v>3326</v>
      </c>
      <c r="D42" s="1">
        <v>651120.74</v>
      </c>
      <c r="E42" s="1">
        <v>32423.09</v>
      </c>
      <c r="F42" s="41">
        <v>45054</v>
      </c>
      <c r="G42" s="41">
        <v>45420</v>
      </c>
      <c r="H42" s="1" t="s">
        <v>3400</v>
      </c>
      <c r="I42" s="1" t="s">
        <v>3324</v>
      </c>
      <c r="J42" t="str">
        <f>IF(ISNA(_xlfn.XLOOKUP(B42,customer_master!$A$2:$A$1649, customer_master!$A$2:$A$1649)), "Invalid", "Ok")</f>
        <v>Ok</v>
      </c>
      <c r="K42" t="str">
        <f>IF(ISNA(_xlfn.XLOOKUP(H42,agent_info!$A$2:$A$301, agent_info!$A$2:$A$301)), "Invalid", "Ok")</f>
        <v>Ok</v>
      </c>
    </row>
    <row r="43" spans="1:11" x14ac:dyDescent="0.3">
      <c r="A43" s="1" t="s">
        <v>3401</v>
      </c>
      <c r="B43" s="1" t="s">
        <v>3297</v>
      </c>
      <c r="C43" s="1" t="s">
        <v>3331</v>
      </c>
      <c r="D43" s="1">
        <v>647090.43000000005</v>
      </c>
      <c r="E43" s="1">
        <v>34232.019999999997</v>
      </c>
      <c r="F43" s="41">
        <v>44886</v>
      </c>
      <c r="G43" s="41">
        <v>45251</v>
      </c>
      <c r="H43" s="1" t="s">
        <v>3402</v>
      </c>
      <c r="I43" s="1" t="s">
        <v>3320</v>
      </c>
      <c r="J43" t="str">
        <f>IF(ISNA(_xlfn.XLOOKUP(B43,customer_master!$A$2:$A$1649, customer_master!$A$2:$A$1649)), "Invalid", "Ok")</f>
        <v>Ok</v>
      </c>
      <c r="K43" t="str">
        <f>IF(ISNA(_xlfn.XLOOKUP(H43,agent_info!$A$2:$A$301, agent_info!$A$2:$A$301)), "Invalid", "Ok")</f>
        <v>Ok</v>
      </c>
    </row>
    <row r="44" spans="1:11" x14ac:dyDescent="0.3">
      <c r="A44" s="1" t="s">
        <v>3403</v>
      </c>
      <c r="B44" s="1" t="s">
        <v>3025</v>
      </c>
      <c r="C44" s="1" t="s">
        <v>3314</v>
      </c>
      <c r="D44" s="1">
        <v>577891.19999999995</v>
      </c>
      <c r="E44" s="1">
        <v>27946.68</v>
      </c>
      <c r="F44" s="41">
        <v>45230</v>
      </c>
      <c r="G44" s="41">
        <v>45596</v>
      </c>
      <c r="H44" s="1" t="s">
        <v>3404</v>
      </c>
      <c r="I44" s="1" t="s">
        <v>3324</v>
      </c>
      <c r="J44" t="str">
        <f>IF(ISNA(_xlfn.XLOOKUP(B44,customer_master!$A$2:$A$1649, customer_master!$A$2:$A$1649)), "Invalid", "Ok")</f>
        <v>Ok</v>
      </c>
      <c r="K44" t="str">
        <f>IF(ISNA(_xlfn.XLOOKUP(H44,agent_info!$A$2:$A$301, agent_info!$A$2:$A$301)), "Invalid", "Ok")</f>
        <v>Ok</v>
      </c>
    </row>
    <row r="45" spans="1:11" x14ac:dyDescent="0.3">
      <c r="A45" s="1" t="s">
        <v>3405</v>
      </c>
      <c r="B45" s="1" t="s">
        <v>1023</v>
      </c>
      <c r="C45" s="1" t="s">
        <v>3331</v>
      </c>
      <c r="D45" s="1">
        <v>475156.6</v>
      </c>
      <c r="E45" s="1">
        <v>21711.96</v>
      </c>
      <c r="F45" s="41">
        <v>45366</v>
      </c>
      <c r="G45" s="41">
        <v>45731</v>
      </c>
      <c r="H45" s="1" t="s">
        <v>3406</v>
      </c>
      <c r="I45" s="1" t="s">
        <v>3324</v>
      </c>
      <c r="J45" t="str">
        <f>IF(ISNA(_xlfn.XLOOKUP(B45,customer_master!$A$2:$A$1649, customer_master!$A$2:$A$1649)), "Invalid", "Ok")</f>
        <v>Ok</v>
      </c>
      <c r="K45" t="str">
        <f>IF(ISNA(_xlfn.XLOOKUP(H45,agent_info!$A$2:$A$301, agent_info!$A$2:$A$301)), "Invalid", "Ok")</f>
        <v>Ok</v>
      </c>
    </row>
    <row r="46" spans="1:11" x14ac:dyDescent="0.3">
      <c r="A46" s="1" t="s">
        <v>3407</v>
      </c>
      <c r="B46" s="1" t="s">
        <v>2811</v>
      </c>
      <c r="C46" s="1" t="s">
        <v>3318</v>
      </c>
      <c r="D46" s="1">
        <v>557395.25</v>
      </c>
      <c r="E46" s="1">
        <v>30477.63</v>
      </c>
      <c r="F46" s="41">
        <v>45214</v>
      </c>
      <c r="G46" s="41">
        <v>45580</v>
      </c>
      <c r="H46" s="1" t="s">
        <v>3408</v>
      </c>
      <c r="I46" s="1" t="s">
        <v>3324</v>
      </c>
      <c r="J46" t="str">
        <f>IF(ISNA(_xlfn.XLOOKUP(B46,customer_master!$A$2:$A$1649, customer_master!$A$2:$A$1649)), "Invalid", "Ok")</f>
        <v>Ok</v>
      </c>
      <c r="K46" t="str">
        <f>IF(ISNA(_xlfn.XLOOKUP(H46,agent_info!$A$2:$A$301, agent_info!$A$2:$A$301)), "Invalid", "Ok")</f>
        <v>Ok</v>
      </c>
    </row>
    <row r="47" spans="1:11" x14ac:dyDescent="0.3">
      <c r="A47" s="1" t="s">
        <v>3409</v>
      </c>
      <c r="B47" s="1" t="s">
        <v>346</v>
      </c>
      <c r="C47" s="1" t="s">
        <v>3334</v>
      </c>
      <c r="D47" s="1">
        <v>688706.89</v>
      </c>
      <c r="E47" s="1">
        <v>37458.160000000003</v>
      </c>
      <c r="F47" s="41">
        <v>44942</v>
      </c>
      <c r="G47" s="41">
        <v>45307</v>
      </c>
      <c r="H47" s="1" t="s">
        <v>3315</v>
      </c>
      <c r="I47" s="1" t="s">
        <v>3324</v>
      </c>
      <c r="J47" t="str">
        <f>IF(ISNA(_xlfn.XLOOKUP(B47,customer_master!$A$2:$A$1649, customer_master!$A$2:$A$1649)), "Invalid", "Ok")</f>
        <v>Ok</v>
      </c>
      <c r="K47" t="str">
        <f>IF(ISNA(_xlfn.XLOOKUP(H47,agent_info!$A$2:$A$301, agent_info!$A$2:$A$301)), "Invalid", "Ok")</f>
        <v>Ok</v>
      </c>
    </row>
    <row r="48" spans="1:11" x14ac:dyDescent="0.3">
      <c r="A48" s="1" t="s">
        <v>3410</v>
      </c>
      <c r="B48" s="1" t="s">
        <v>2264</v>
      </c>
      <c r="C48" s="1" t="s">
        <v>3334</v>
      </c>
      <c r="D48" s="1">
        <v>416394.13</v>
      </c>
      <c r="E48" s="1">
        <v>21452.22</v>
      </c>
      <c r="F48" s="41">
        <v>44655</v>
      </c>
      <c r="G48" s="41">
        <v>45020</v>
      </c>
      <c r="H48" s="1" t="s">
        <v>3339</v>
      </c>
      <c r="I48" s="1" t="s">
        <v>3324</v>
      </c>
      <c r="J48" t="str">
        <f>IF(ISNA(_xlfn.XLOOKUP(B48,customer_master!$A$2:$A$1649, customer_master!$A$2:$A$1649)), "Invalid", "Ok")</f>
        <v>Ok</v>
      </c>
      <c r="K48" t="str">
        <f>IF(ISNA(_xlfn.XLOOKUP(H48,agent_info!$A$2:$A$301, agent_info!$A$2:$A$301)), "Invalid", "Ok")</f>
        <v>Ok</v>
      </c>
    </row>
    <row r="49" spans="1:11" x14ac:dyDescent="0.3">
      <c r="A49" s="1" t="s">
        <v>3411</v>
      </c>
      <c r="B49" s="1" t="s">
        <v>1163</v>
      </c>
      <c r="C49" s="1" t="s">
        <v>3318</v>
      </c>
      <c r="D49" s="1">
        <v>754022.24</v>
      </c>
      <c r="E49" s="1">
        <v>39072.5</v>
      </c>
      <c r="F49" s="41">
        <v>45170</v>
      </c>
      <c r="G49" s="41">
        <v>45536</v>
      </c>
      <c r="H49" s="1" t="s">
        <v>3402</v>
      </c>
      <c r="I49" s="1" t="s">
        <v>3324</v>
      </c>
      <c r="J49" t="str">
        <f>IF(ISNA(_xlfn.XLOOKUP(B49,customer_master!$A$2:$A$1649, customer_master!$A$2:$A$1649)), "Invalid", "Ok")</f>
        <v>Ok</v>
      </c>
      <c r="K49" t="str">
        <f>IF(ISNA(_xlfn.XLOOKUP(H49,agent_info!$A$2:$A$301, agent_info!$A$2:$A$301)), "Invalid", "Ok")</f>
        <v>Ok</v>
      </c>
    </row>
    <row r="50" spans="1:11" x14ac:dyDescent="0.3">
      <c r="A50" s="1" t="s">
        <v>3412</v>
      </c>
      <c r="B50" s="1" t="s">
        <v>2198</v>
      </c>
      <c r="C50" s="1" t="s">
        <v>3314</v>
      </c>
      <c r="D50" s="1">
        <v>716008.58</v>
      </c>
      <c r="E50" s="1">
        <v>38905.72</v>
      </c>
      <c r="F50" s="41">
        <v>45005</v>
      </c>
      <c r="G50" s="41">
        <v>45371</v>
      </c>
      <c r="H50" s="1" t="s">
        <v>3413</v>
      </c>
      <c r="I50" s="1" t="s">
        <v>3324</v>
      </c>
      <c r="J50" t="str">
        <f>IF(ISNA(_xlfn.XLOOKUP(B50,customer_master!$A$2:$A$1649, customer_master!$A$2:$A$1649)), "Invalid", "Ok")</f>
        <v>Ok</v>
      </c>
      <c r="K50" t="str">
        <f>IF(ISNA(_xlfn.XLOOKUP(H50,agent_info!$A$2:$A$301, agent_info!$A$2:$A$301)), "Invalid", "Ok")</f>
        <v>Ok</v>
      </c>
    </row>
    <row r="51" spans="1:11" x14ac:dyDescent="0.3">
      <c r="A51" s="1" t="s">
        <v>3414</v>
      </c>
      <c r="B51" s="1" t="s">
        <v>1398</v>
      </c>
      <c r="C51" s="1" t="s">
        <v>3318</v>
      </c>
      <c r="D51" s="1">
        <v>498191.07</v>
      </c>
      <c r="E51" s="1">
        <v>25626.27</v>
      </c>
      <c r="F51" s="41">
        <v>45041</v>
      </c>
      <c r="G51" s="41">
        <v>45407</v>
      </c>
      <c r="H51" s="1" t="s">
        <v>3415</v>
      </c>
      <c r="I51" s="1" t="s">
        <v>3324</v>
      </c>
      <c r="J51" t="str">
        <f>IF(ISNA(_xlfn.XLOOKUP(B51,customer_master!$A$2:$A$1649, customer_master!$A$2:$A$1649)), "Invalid", "Ok")</f>
        <v>Ok</v>
      </c>
      <c r="K51" t="str">
        <f>IF(ISNA(_xlfn.XLOOKUP(H51,agent_info!$A$2:$A$301, agent_info!$A$2:$A$301)), "Invalid", "Ok")</f>
        <v>Ok</v>
      </c>
    </row>
    <row r="52" spans="1:11" x14ac:dyDescent="0.3">
      <c r="A52" s="1" t="s">
        <v>3416</v>
      </c>
      <c r="B52" s="1" t="s">
        <v>63</v>
      </c>
      <c r="C52" s="1" t="s">
        <v>3326</v>
      </c>
      <c r="D52" s="1">
        <v>654701.85</v>
      </c>
      <c r="E52" s="1">
        <v>34623.33</v>
      </c>
      <c r="F52" s="41">
        <v>46117</v>
      </c>
      <c r="G52" s="41">
        <v>46482</v>
      </c>
      <c r="H52" s="1" t="s">
        <v>3417</v>
      </c>
      <c r="I52" s="1" t="s">
        <v>3324</v>
      </c>
      <c r="J52" t="str">
        <f>IF(ISNA(_xlfn.XLOOKUP(B52,customer_master!$A$2:$A$1649, customer_master!$A$2:$A$1649)), "Invalid", "Ok")</f>
        <v>Ok</v>
      </c>
      <c r="K52" t="str">
        <f>IF(ISNA(_xlfn.XLOOKUP(H52,agent_info!$A$2:$A$301, agent_info!$A$2:$A$301)), "Invalid", "Ok")</f>
        <v>Ok</v>
      </c>
    </row>
    <row r="53" spans="1:11" x14ac:dyDescent="0.3">
      <c r="A53" s="1" t="s">
        <v>3418</v>
      </c>
      <c r="B53" s="1" t="s">
        <v>811</v>
      </c>
      <c r="C53" s="1" t="s">
        <v>3318</v>
      </c>
      <c r="D53" s="1">
        <v>635688.09</v>
      </c>
      <c r="E53" s="1">
        <v>31552.48</v>
      </c>
      <c r="F53" s="41">
        <v>45150</v>
      </c>
      <c r="G53" s="41">
        <v>45516</v>
      </c>
      <c r="H53" s="1" t="s">
        <v>3315</v>
      </c>
      <c r="I53" s="1" t="s">
        <v>3324</v>
      </c>
      <c r="J53" t="str">
        <f>IF(ISNA(_xlfn.XLOOKUP(B53,customer_master!$A$2:$A$1649, customer_master!$A$2:$A$1649)), "Invalid", "Ok")</f>
        <v>Ok</v>
      </c>
      <c r="K53" t="str">
        <f>IF(ISNA(_xlfn.XLOOKUP(H53,agent_info!$A$2:$A$301, agent_info!$A$2:$A$301)), "Invalid", "Ok")</f>
        <v>Ok</v>
      </c>
    </row>
    <row r="54" spans="1:11" x14ac:dyDescent="0.3">
      <c r="A54" s="1" t="s">
        <v>3419</v>
      </c>
      <c r="B54" s="1" t="s">
        <v>178</v>
      </c>
      <c r="C54" s="1" t="s">
        <v>3326</v>
      </c>
      <c r="D54" s="1">
        <v>583224.05000000005</v>
      </c>
      <c r="E54" s="1">
        <v>27574.85</v>
      </c>
      <c r="F54" s="41">
        <v>46210</v>
      </c>
      <c r="G54" s="41">
        <v>46575</v>
      </c>
      <c r="H54" s="1" t="s">
        <v>3420</v>
      </c>
      <c r="I54" s="1" t="s">
        <v>3324</v>
      </c>
      <c r="J54" t="str">
        <f>IF(ISNA(_xlfn.XLOOKUP(B54,customer_master!$A$2:$A$1649, customer_master!$A$2:$A$1649)), "Invalid", "Ok")</f>
        <v>Ok</v>
      </c>
      <c r="K54" t="str">
        <f>IF(ISNA(_xlfn.XLOOKUP(H54,agent_info!$A$2:$A$301, agent_info!$A$2:$A$301)), "Invalid", "Ok")</f>
        <v>Ok</v>
      </c>
    </row>
    <row r="55" spans="1:11" x14ac:dyDescent="0.3">
      <c r="A55" s="1" t="s">
        <v>3421</v>
      </c>
      <c r="B55" s="1" t="s">
        <v>1441</v>
      </c>
      <c r="C55" s="1" t="s">
        <v>3314</v>
      </c>
      <c r="D55" s="1">
        <v>438788.26</v>
      </c>
      <c r="E55" s="1">
        <v>23398.53</v>
      </c>
      <c r="F55" s="41">
        <v>45882</v>
      </c>
      <c r="G55" s="41">
        <v>46247</v>
      </c>
      <c r="H55" s="1" t="s">
        <v>3422</v>
      </c>
      <c r="I55" s="1" t="s">
        <v>3324</v>
      </c>
      <c r="J55" t="str">
        <f>IF(ISNA(_xlfn.XLOOKUP(B55,customer_master!$A$2:$A$1649, customer_master!$A$2:$A$1649)), "Invalid", "Ok")</f>
        <v>Ok</v>
      </c>
      <c r="K55" t="str">
        <f>IF(ISNA(_xlfn.XLOOKUP(H55,agent_info!$A$2:$A$301, agent_info!$A$2:$A$301)), "Invalid", "Ok")</f>
        <v>Ok</v>
      </c>
    </row>
    <row r="56" spans="1:11" x14ac:dyDescent="0.3">
      <c r="A56" s="1" t="s">
        <v>3423</v>
      </c>
      <c r="B56" s="1" t="s">
        <v>2788</v>
      </c>
      <c r="C56" s="1" t="s">
        <v>3318</v>
      </c>
      <c r="D56" s="1">
        <v>720428.17</v>
      </c>
      <c r="E56" s="1">
        <v>37349.75</v>
      </c>
      <c r="F56" s="41">
        <v>44393</v>
      </c>
      <c r="G56" s="41">
        <v>44758</v>
      </c>
      <c r="H56" s="1" t="s">
        <v>3371</v>
      </c>
      <c r="I56" s="1" t="s">
        <v>3324</v>
      </c>
      <c r="J56" t="str">
        <f>IF(ISNA(_xlfn.XLOOKUP(B56,customer_master!$A$2:$A$1649, customer_master!$A$2:$A$1649)), "Invalid", "Ok")</f>
        <v>Ok</v>
      </c>
      <c r="K56" t="str">
        <f>IF(ISNA(_xlfn.XLOOKUP(H56,agent_info!$A$2:$A$301, agent_info!$A$2:$A$301)), "Invalid", "Ok")</f>
        <v>Ok</v>
      </c>
    </row>
    <row r="57" spans="1:11" x14ac:dyDescent="0.3">
      <c r="A57" s="1" t="s">
        <v>3424</v>
      </c>
      <c r="B57" s="1" t="s">
        <v>2460</v>
      </c>
      <c r="C57" s="1" t="s">
        <v>3334</v>
      </c>
      <c r="D57" s="1">
        <v>558381.59</v>
      </c>
      <c r="E57" s="1">
        <v>26744.03</v>
      </c>
      <c r="F57" s="41">
        <v>44355</v>
      </c>
      <c r="G57" s="41">
        <v>44720</v>
      </c>
      <c r="H57" s="1" t="s">
        <v>3425</v>
      </c>
      <c r="I57" s="1" t="s">
        <v>3316</v>
      </c>
      <c r="J57" t="str">
        <f>IF(ISNA(_xlfn.XLOOKUP(B57,customer_master!$A$2:$A$1649, customer_master!$A$2:$A$1649)), "Invalid", "Ok")</f>
        <v>Ok</v>
      </c>
      <c r="K57" t="str">
        <f>IF(ISNA(_xlfn.XLOOKUP(H57,agent_info!$A$2:$A$301, agent_info!$A$2:$A$301)), "Invalid", "Ok")</f>
        <v>Ok</v>
      </c>
    </row>
    <row r="58" spans="1:11" x14ac:dyDescent="0.3">
      <c r="A58" s="1" t="s">
        <v>3426</v>
      </c>
      <c r="B58" s="1" t="s">
        <v>2619</v>
      </c>
      <c r="C58" s="1" t="s">
        <v>3331</v>
      </c>
      <c r="D58" s="1">
        <v>687931.39</v>
      </c>
      <c r="E58" s="1">
        <v>35244.620000000003</v>
      </c>
      <c r="F58" s="41">
        <v>45635</v>
      </c>
      <c r="G58" s="41">
        <v>46000</v>
      </c>
      <c r="H58" s="1" t="s">
        <v>3427</v>
      </c>
      <c r="I58" s="1" t="s">
        <v>3324</v>
      </c>
      <c r="J58" t="str">
        <f>IF(ISNA(_xlfn.XLOOKUP(B58,customer_master!$A$2:$A$1649, customer_master!$A$2:$A$1649)), "Invalid", "Ok")</f>
        <v>Ok</v>
      </c>
      <c r="K58" t="str">
        <f>IF(ISNA(_xlfn.XLOOKUP(H58,agent_info!$A$2:$A$301, agent_info!$A$2:$A$301)), "Invalid", "Ok")</f>
        <v>Ok</v>
      </c>
    </row>
    <row r="59" spans="1:11" x14ac:dyDescent="0.3">
      <c r="A59" s="1" t="s">
        <v>3428</v>
      </c>
      <c r="B59" s="1" t="s">
        <v>2674</v>
      </c>
      <c r="C59" s="1" t="s">
        <v>3318</v>
      </c>
      <c r="D59" s="1">
        <v>491219.99</v>
      </c>
      <c r="E59" s="1">
        <v>26115.63</v>
      </c>
      <c r="F59" s="41">
        <v>44360</v>
      </c>
      <c r="G59" s="41">
        <v>44725</v>
      </c>
      <c r="H59" s="1" t="s">
        <v>3429</v>
      </c>
      <c r="I59" s="1" t="s">
        <v>3324</v>
      </c>
      <c r="J59" t="str">
        <f>IF(ISNA(_xlfn.XLOOKUP(B59,customer_master!$A$2:$A$1649, customer_master!$A$2:$A$1649)), "Invalid", "Ok")</f>
        <v>Ok</v>
      </c>
      <c r="K59" t="str">
        <f>IF(ISNA(_xlfn.XLOOKUP(H59,agent_info!$A$2:$A$301, agent_info!$A$2:$A$301)), "Invalid", "Ok")</f>
        <v>Ok</v>
      </c>
    </row>
    <row r="60" spans="1:11" x14ac:dyDescent="0.3">
      <c r="A60" s="1" t="s">
        <v>3430</v>
      </c>
      <c r="B60" s="1" t="s">
        <v>1263</v>
      </c>
      <c r="C60" s="1" t="s">
        <v>3318</v>
      </c>
      <c r="D60" s="1">
        <v>494425.39</v>
      </c>
      <c r="E60" s="1">
        <v>23585.8</v>
      </c>
      <c r="F60" s="41">
        <v>45621</v>
      </c>
      <c r="G60" s="41">
        <v>45986</v>
      </c>
      <c r="H60" s="1" t="s">
        <v>3431</v>
      </c>
      <c r="I60" s="1" t="s">
        <v>3316</v>
      </c>
      <c r="J60" t="str">
        <f>IF(ISNA(_xlfn.XLOOKUP(B60,customer_master!$A$2:$A$1649, customer_master!$A$2:$A$1649)), "Invalid", "Ok")</f>
        <v>Ok</v>
      </c>
      <c r="K60" t="str">
        <f>IF(ISNA(_xlfn.XLOOKUP(H60,agent_info!$A$2:$A$301, agent_info!$A$2:$A$301)), "Invalid", "Ok")</f>
        <v>Ok</v>
      </c>
    </row>
    <row r="61" spans="1:11" x14ac:dyDescent="0.3">
      <c r="A61" s="1" t="s">
        <v>3432</v>
      </c>
      <c r="B61" s="1" t="s">
        <v>1701</v>
      </c>
      <c r="C61" s="1" t="s">
        <v>3318</v>
      </c>
      <c r="D61" s="1">
        <v>742652.51</v>
      </c>
      <c r="E61" s="1">
        <v>39124.06</v>
      </c>
      <c r="F61" s="41">
        <v>45969</v>
      </c>
      <c r="G61" s="41">
        <v>46334</v>
      </c>
      <c r="H61" s="1" t="s">
        <v>3433</v>
      </c>
      <c r="I61" s="1" t="s">
        <v>3316</v>
      </c>
      <c r="J61" t="str">
        <f>IF(ISNA(_xlfn.XLOOKUP(B61,customer_master!$A$2:$A$1649, customer_master!$A$2:$A$1649)), "Invalid", "Ok")</f>
        <v>Ok</v>
      </c>
      <c r="K61" t="str">
        <f>IF(ISNA(_xlfn.XLOOKUP(H61,agent_info!$A$2:$A$301, agent_info!$A$2:$A$301)), "Invalid", "Ok")</f>
        <v>Ok</v>
      </c>
    </row>
    <row r="62" spans="1:11" x14ac:dyDescent="0.3">
      <c r="A62" s="1" t="s">
        <v>3434</v>
      </c>
      <c r="B62" s="1" t="s">
        <v>1709</v>
      </c>
      <c r="C62" s="1" t="s">
        <v>3314</v>
      </c>
      <c r="D62" s="1">
        <v>576214.06999999995</v>
      </c>
      <c r="E62" s="1">
        <v>26346.49</v>
      </c>
      <c r="F62" s="41">
        <v>44335</v>
      </c>
      <c r="G62" s="41">
        <v>44700</v>
      </c>
      <c r="H62" s="1" t="s">
        <v>3435</v>
      </c>
      <c r="I62" s="1" t="s">
        <v>3316</v>
      </c>
      <c r="J62" t="str">
        <f>IF(ISNA(_xlfn.XLOOKUP(B62,customer_master!$A$2:$A$1649, customer_master!$A$2:$A$1649)), "Invalid", "Ok")</f>
        <v>Ok</v>
      </c>
      <c r="K62" t="str">
        <f>IF(ISNA(_xlfn.XLOOKUP(H62,agent_info!$A$2:$A$301, agent_info!$A$2:$A$301)), "Invalid", "Ok")</f>
        <v>Ok</v>
      </c>
    </row>
    <row r="63" spans="1:11" x14ac:dyDescent="0.3">
      <c r="A63" s="1" t="s">
        <v>3436</v>
      </c>
      <c r="B63" s="1" t="s">
        <v>405</v>
      </c>
      <c r="C63" s="1" t="s">
        <v>3314</v>
      </c>
      <c r="D63" s="1">
        <v>408057.92</v>
      </c>
      <c r="E63" s="1">
        <v>20912.759999999998</v>
      </c>
      <c r="F63" s="41">
        <v>44543</v>
      </c>
      <c r="G63" s="41">
        <v>44908</v>
      </c>
      <c r="H63" s="1" t="s">
        <v>3437</v>
      </c>
      <c r="I63" s="1" t="s">
        <v>3324</v>
      </c>
      <c r="J63" t="str">
        <f>IF(ISNA(_xlfn.XLOOKUP(B63,customer_master!$A$2:$A$1649, customer_master!$A$2:$A$1649)), "Invalid", "Ok")</f>
        <v>Ok</v>
      </c>
      <c r="K63" t="str">
        <f>IF(ISNA(_xlfn.XLOOKUP(H63,agent_info!$A$2:$A$301, agent_info!$A$2:$A$301)), "Invalid", "Ok")</f>
        <v>Ok</v>
      </c>
    </row>
    <row r="64" spans="1:11" x14ac:dyDescent="0.3">
      <c r="A64" s="1" t="s">
        <v>3438</v>
      </c>
      <c r="B64" s="1" t="s">
        <v>1998</v>
      </c>
      <c r="C64" s="1" t="s">
        <v>3334</v>
      </c>
      <c r="D64" s="1">
        <v>706747.06</v>
      </c>
      <c r="E64" s="1">
        <v>38863.550000000003</v>
      </c>
      <c r="F64" s="41">
        <v>45114</v>
      </c>
      <c r="G64" s="41">
        <v>45480</v>
      </c>
      <c r="H64" s="1" t="s">
        <v>3439</v>
      </c>
      <c r="I64" s="1" t="s">
        <v>3324</v>
      </c>
      <c r="J64" t="str">
        <f>IF(ISNA(_xlfn.XLOOKUP(B64,customer_master!$A$2:$A$1649, customer_master!$A$2:$A$1649)), "Invalid", "Ok")</f>
        <v>Ok</v>
      </c>
      <c r="K64" t="str">
        <f>IF(ISNA(_xlfn.XLOOKUP(H64,agent_info!$A$2:$A$301, agent_info!$A$2:$A$301)), "Invalid", "Ok")</f>
        <v>Ok</v>
      </c>
    </row>
    <row r="65" spans="1:11" x14ac:dyDescent="0.3">
      <c r="A65" s="1" t="s">
        <v>3440</v>
      </c>
      <c r="B65" s="1" t="s">
        <v>2414</v>
      </c>
      <c r="C65" s="1" t="s">
        <v>3334</v>
      </c>
      <c r="D65" s="1">
        <v>472483.56</v>
      </c>
      <c r="E65" s="1">
        <v>25355.24</v>
      </c>
      <c r="F65" s="41">
        <v>45713</v>
      </c>
      <c r="G65" s="41">
        <v>46078</v>
      </c>
      <c r="H65" s="1" t="s">
        <v>3441</v>
      </c>
      <c r="I65" s="1" t="s">
        <v>3324</v>
      </c>
      <c r="J65" t="str">
        <f>IF(ISNA(_xlfn.XLOOKUP(B65,customer_master!$A$2:$A$1649, customer_master!$A$2:$A$1649)), "Invalid", "Ok")</f>
        <v>Ok</v>
      </c>
      <c r="K65" t="str">
        <f>IF(ISNA(_xlfn.XLOOKUP(H65,agent_info!$A$2:$A$301, agent_info!$A$2:$A$301)), "Invalid", "Ok")</f>
        <v>Ok</v>
      </c>
    </row>
    <row r="66" spans="1:11" x14ac:dyDescent="0.3">
      <c r="A66" s="1" t="s">
        <v>3442</v>
      </c>
      <c r="B66" s="1" t="s">
        <v>2052</v>
      </c>
      <c r="C66" s="1" t="s">
        <v>3314</v>
      </c>
      <c r="D66" s="1">
        <v>723320.19</v>
      </c>
      <c r="E66" s="1">
        <v>38883.22</v>
      </c>
      <c r="F66" s="41">
        <v>46146</v>
      </c>
      <c r="G66" s="41">
        <v>46511</v>
      </c>
      <c r="H66" s="1" t="s">
        <v>3443</v>
      </c>
      <c r="I66" s="1" t="s">
        <v>3316</v>
      </c>
      <c r="J66" t="str">
        <f>IF(ISNA(_xlfn.XLOOKUP(B66,customer_master!$A$2:$A$1649, customer_master!$A$2:$A$1649)), "Invalid", "Ok")</f>
        <v>Ok</v>
      </c>
      <c r="K66" t="str">
        <f>IF(ISNA(_xlfn.XLOOKUP(H66,agent_info!$A$2:$A$301, agent_info!$A$2:$A$301)), "Invalid", "Ok")</f>
        <v>Ok</v>
      </c>
    </row>
    <row r="67" spans="1:11" x14ac:dyDescent="0.3">
      <c r="A67" s="1" t="s">
        <v>3444</v>
      </c>
      <c r="B67" s="1" t="s">
        <v>2490</v>
      </c>
      <c r="C67" s="1" t="s">
        <v>3331</v>
      </c>
      <c r="D67" s="1">
        <v>731121.81</v>
      </c>
      <c r="E67" s="1">
        <v>37874.720000000001</v>
      </c>
      <c r="F67" s="41">
        <v>44886</v>
      </c>
      <c r="G67" s="41">
        <v>45251</v>
      </c>
      <c r="H67" s="1" t="s">
        <v>3445</v>
      </c>
      <c r="I67" s="1" t="s">
        <v>3316</v>
      </c>
      <c r="J67" t="str">
        <f>IF(ISNA(_xlfn.XLOOKUP(B67,customer_master!$A$2:$A$1649, customer_master!$A$2:$A$1649)), "Invalid", "Ok")</f>
        <v>Ok</v>
      </c>
      <c r="K67" t="str">
        <f>IF(ISNA(_xlfn.XLOOKUP(H67,agent_info!$A$2:$A$301, agent_info!$A$2:$A$301)), "Invalid", "Ok")</f>
        <v>Ok</v>
      </c>
    </row>
    <row r="68" spans="1:11" x14ac:dyDescent="0.3">
      <c r="A68" s="1" t="s">
        <v>3446</v>
      </c>
      <c r="B68" s="1" t="s">
        <v>429</v>
      </c>
      <c r="C68" s="1" t="s">
        <v>3326</v>
      </c>
      <c r="D68" s="1">
        <v>375468.1</v>
      </c>
      <c r="E68" s="1">
        <v>18627.68</v>
      </c>
      <c r="F68" s="41">
        <v>46163</v>
      </c>
      <c r="G68" s="41">
        <v>46528</v>
      </c>
      <c r="H68" s="1" t="s">
        <v>3447</v>
      </c>
      <c r="I68" s="1" t="s">
        <v>3316</v>
      </c>
      <c r="J68" t="str">
        <f>IF(ISNA(_xlfn.XLOOKUP(B68,customer_master!$A$2:$A$1649, customer_master!$A$2:$A$1649)), "Invalid", "Ok")</f>
        <v>Ok</v>
      </c>
      <c r="K68" t="str">
        <f>IF(ISNA(_xlfn.XLOOKUP(H68,agent_info!$A$2:$A$301, agent_info!$A$2:$A$301)), "Invalid", "Ok")</f>
        <v>Ok</v>
      </c>
    </row>
    <row r="69" spans="1:11" x14ac:dyDescent="0.3">
      <c r="A69" s="1" t="s">
        <v>3448</v>
      </c>
      <c r="B69" s="1" t="s">
        <v>2539</v>
      </c>
      <c r="C69" s="1" t="s">
        <v>3318</v>
      </c>
      <c r="D69" s="1">
        <v>598158.25</v>
      </c>
      <c r="E69" s="1">
        <v>30967.94</v>
      </c>
      <c r="F69" s="41">
        <v>45395</v>
      </c>
      <c r="G69" s="41">
        <v>45760</v>
      </c>
      <c r="H69" s="1" t="s">
        <v>3449</v>
      </c>
      <c r="I69" s="1" t="s">
        <v>3316</v>
      </c>
      <c r="J69" t="str">
        <f>IF(ISNA(_xlfn.XLOOKUP(B69,customer_master!$A$2:$A$1649, customer_master!$A$2:$A$1649)), "Invalid", "Ok")</f>
        <v>Ok</v>
      </c>
      <c r="K69" t="str">
        <f>IF(ISNA(_xlfn.XLOOKUP(H69,agent_info!$A$2:$A$301, agent_info!$A$2:$A$301)), "Invalid", "Ok")</f>
        <v>Ok</v>
      </c>
    </row>
    <row r="70" spans="1:11" x14ac:dyDescent="0.3">
      <c r="A70" s="1" t="s">
        <v>3450</v>
      </c>
      <c r="B70" s="1" t="s">
        <v>741</v>
      </c>
      <c r="C70" s="1" t="s">
        <v>3326</v>
      </c>
      <c r="D70" s="1">
        <v>693533.44</v>
      </c>
      <c r="E70" s="1">
        <v>33436.58</v>
      </c>
      <c r="F70" s="41">
        <v>44972</v>
      </c>
      <c r="G70" s="41">
        <v>45337</v>
      </c>
      <c r="H70" s="1" t="s">
        <v>3451</v>
      </c>
      <c r="I70" s="1" t="s">
        <v>3324</v>
      </c>
      <c r="J70" t="str">
        <f>IF(ISNA(_xlfn.XLOOKUP(B70,customer_master!$A$2:$A$1649, customer_master!$A$2:$A$1649)), "Invalid", "Ok")</f>
        <v>Ok</v>
      </c>
      <c r="K70" t="str">
        <f>IF(ISNA(_xlfn.XLOOKUP(H70,agent_info!$A$2:$A$301, agent_info!$A$2:$A$301)), "Invalid", "Ok")</f>
        <v>Ok</v>
      </c>
    </row>
    <row r="71" spans="1:11" x14ac:dyDescent="0.3">
      <c r="A71" s="1" t="s">
        <v>3452</v>
      </c>
      <c r="B71" s="1" t="s">
        <v>2916</v>
      </c>
      <c r="C71" s="1" t="s">
        <v>3326</v>
      </c>
      <c r="D71" s="1">
        <v>675821.87</v>
      </c>
      <c r="E71" s="1">
        <v>34147.71</v>
      </c>
      <c r="F71" s="41">
        <v>44341</v>
      </c>
      <c r="G71" s="41">
        <v>44706</v>
      </c>
      <c r="H71" s="1" t="s">
        <v>3453</v>
      </c>
      <c r="I71" s="1" t="s">
        <v>3324</v>
      </c>
      <c r="J71" t="str">
        <f>IF(ISNA(_xlfn.XLOOKUP(B71,customer_master!$A$2:$A$1649, customer_master!$A$2:$A$1649)), "Invalid", "Ok")</f>
        <v>Ok</v>
      </c>
      <c r="K71" t="str">
        <f>IF(ISNA(_xlfn.XLOOKUP(H71,agent_info!$A$2:$A$301, agent_info!$A$2:$A$301)), "Invalid", "Ok")</f>
        <v>Ok</v>
      </c>
    </row>
    <row r="72" spans="1:11" x14ac:dyDescent="0.3">
      <c r="A72" s="1" t="s">
        <v>3454</v>
      </c>
      <c r="B72" s="1" t="s">
        <v>847</v>
      </c>
      <c r="C72" s="1" t="s">
        <v>3326</v>
      </c>
      <c r="D72" s="1">
        <v>533835.15</v>
      </c>
      <c r="E72" s="1">
        <v>26903.58</v>
      </c>
      <c r="F72" s="41">
        <v>45330</v>
      </c>
      <c r="G72" s="41">
        <v>45696</v>
      </c>
      <c r="H72" s="1" t="s">
        <v>3455</v>
      </c>
      <c r="I72" s="1" t="s">
        <v>3324</v>
      </c>
      <c r="J72" t="str">
        <f>IF(ISNA(_xlfn.XLOOKUP(B72,customer_master!$A$2:$A$1649, customer_master!$A$2:$A$1649)), "Invalid", "Ok")</f>
        <v>Ok</v>
      </c>
      <c r="K72" t="str">
        <f>IF(ISNA(_xlfn.XLOOKUP(H72,agent_info!$A$2:$A$301, agent_info!$A$2:$A$301)), "Invalid", "Ok")</f>
        <v>Ok</v>
      </c>
    </row>
    <row r="73" spans="1:11" x14ac:dyDescent="0.3">
      <c r="A73" s="1" t="s">
        <v>3456</v>
      </c>
      <c r="B73" s="1" t="s">
        <v>1652</v>
      </c>
      <c r="C73" s="1" t="s">
        <v>3334</v>
      </c>
      <c r="D73" s="1">
        <v>646989.88</v>
      </c>
      <c r="E73" s="1">
        <v>32632.42</v>
      </c>
      <c r="F73" s="41">
        <v>44165</v>
      </c>
      <c r="G73" s="41">
        <v>44530</v>
      </c>
      <c r="H73" s="1" t="s">
        <v>3457</v>
      </c>
      <c r="I73" s="1" t="s">
        <v>3324</v>
      </c>
      <c r="J73" t="str">
        <f>IF(ISNA(_xlfn.XLOOKUP(B73,customer_master!$A$2:$A$1649, customer_master!$A$2:$A$1649)), "Invalid", "Ok")</f>
        <v>Ok</v>
      </c>
      <c r="K73" t="str">
        <f>IF(ISNA(_xlfn.XLOOKUP(H73,agent_info!$A$2:$A$301, agent_info!$A$2:$A$301)), "Invalid", "Ok")</f>
        <v>Ok</v>
      </c>
    </row>
    <row r="74" spans="1:11" x14ac:dyDescent="0.3">
      <c r="A74" s="1" t="s">
        <v>3458</v>
      </c>
      <c r="B74" s="1" t="s">
        <v>1638</v>
      </c>
      <c r="C74" s="1" t="s">
        <v>3326</v>
      </c>
      <c r="D74" s="1">
        <v>561491.71</v>
      </c>
      <c r="E74" s="1">
        <v>27580.400000000001</v>
      </c>
      <c r="F74" s="41">
        <v>44413</v>
      </c>
      <c r="G74" s="41">
        <v>44778</v>
      </c>
      <c r="H74" s="1" t="s">
        <v>3459</v>
      </c>
      <c r="I74" s="1" t="s">
        <v>3316</v>
      </c>
      <c r="J74" t="str">
        <f>IF(ISNA(_xlfn.XLOOKUP(B74,customer_master!$A$2:$A$1649, customer_master!$A$2:$A$1649)), "Invalid", "Ok")</f>
        <v>Ok</v>
      </c>
      <c r="K74" t="str">
        <f>IF(ISNA(_xlfn.XLOOKUP(H74,agent_info!$A$2:$A$301, agent_info!$A$2:$A$301)), "Invalid", "Ok")</f>
        <v>Ok</v>
      </c>
    </row>
    <row r="75" spans="1:11" x14ac:dyDescent="0.3">
      <c r="A75" s="1" t="s">
        <v>3460</v>
      </c>
      <c r="B75" s="1" t="s">
        <v>915</v>
      </c>
      <c r="C75" s="1" t="s">
        <v>3314</v>
      </c>
      <c r="D75" s="1">
        <v>463252.54</v>
      </c>
      <c r="E75" s="1">
        <v>22480.73</v>
      </c>
      <c r="F75" s="41">
        <v>44891</v>
      </c>
      <c r="G75" s="41">
        <v>45256</v>
      </c>
      <c r="H75" s="1" t="s">
        <v>3408</v>
      </c>
      <c r="I75" s="1" t="s">
        <v>3324</v>
      </c>
      <c r="J75" t="str">
        <f>IF(ISNA(_xlfn.XLOOKUP(B75,customer_master!$A$2:$A$1649, customer_master!$A$2:$A$1649)), "Invalid", "Ok")</f>
        <v>Ok</v>
      </c>
      <c r="K75" t="str">
        <f>IF(ISNA(_xlfn.XLOOKUP(H75,agent_info!$A$2:$A$301, agent_info!$A$2:$A$301)), "Invalid", "Ok")</f>
        <v>Ok</v>
      </c>
    </row>
    <row r="76" spans="1:11" x14ac:dyDescent="0.3">
      <c r="A76" s="1" t="s">
        <v>3461</v>
      </c>
      <c r="B76" s="1" t="s">
        <v>1221</v>
      </c>
      <c r="C76" s="1" t="s">
        <v>3318</v>
      </c>
      <c r="D76" s="1">
        <v>624833.07999999996</v>
      </c>
      <c r="E76" s="1">
        <v>30181.65</v>
      </c>
      <c r="F76" s="41">
        <v>46249</v>
      </c>
      <c r="G76" s="41">
        <v>46614</v>
      </c>
      <c r="H76" s="1" t="s">
        <v>3462</v>
      </c>
      <c r="I76" s="1" t="s">
        <v>3324</v>
      </c>
      <c r="J76" t="str">
        <f>IF(ISNA(_xlfn.XLOOKUP(B76,customer_master!$A$2:$A$1649, customer_master!$A$2:$A$1649)), "Invalid", "Ok")</f>
        <v>Ok</v>
      </c>
      <c r="K76" t="str">
        <f>IF(ISNA(_xlfn.XLOOKUP(H76,agent_info!$A$2:$A$301, agent_info!$A$2:$A$301)), "Invalid", "Ok")</f>
        <v>Ok</v>
      </c>
    </row>
    <row r="77" spans="1:11" x14ac:dyDescent="0.3">
      <c r="A77" s="1" t="s">
        <v>3463</v>
      </c>
      <c r="B77" s="1" t="s">
        <v>662</v>
      </c>
      <c r="C77" s="1" t="s">
        <v>3318</v>
      </c>
      <c r="D77" s="1">
        <v>503927.37</v>
      </c>
      <c r="E77" s="1">
        <v>23809.21</v>
      </c>
      <c r="F77" s="41">
        <v>44741</v>
      </c>
      <c r="G77" s="41">
        <v>45106</v>
      </c>
      <c r="H77" s="1" t="s">
        <v>3464</v>
      </c>
      <c r="I77" s="1" t="s">
        <v>3324</v>
      </c>
      <c r="J77" t="str">
        <f>IF(ISNA(_xlfn.XLOOKUP(B77,customer_master!$A$2:$A$1649, customer_master!$A$2:$A$1649)), "Invalid", "Ok")</f>
        <v>Ok</v>
      </c>
      <c r="K77" t="str">
        <f>IF(ISNA(_xlfn.XLOOKUP(H77,agent_info!$A$2:$A$301, agent_info!$A$2:$A$301)), "Invalid", "Ok")</f>
        <v>Ok</v>
      </c>
    </row>
    <row r="78" spans="1:11" x14ac:dyDescent="0.3">
      <c r="A78" s="1" t="s">
        <v>3465</v>
      </c>
      <c r="B78" s="1" t="s">
        <v>1905</v>
      </c>
      <c r="C78" s="1" t="s">
        <v>3314</v>
      </c>
      <c r="D78" s="1">
        <v>515119.19</v>
      </c>
      <c r="E78" s="1">
        <v>25439.4</v>
      </c>
      <c r="F78" s="41">
        <v>45142</v>
      </c>
      <c r="G78" s="41">
        <v>45508</v>
      </c>
      <c r="H78" s="1" t="s">
        <v>3466</v>
      </c>
      <c r="I78" s="1" t="s">
        <v>3324</v>
      </c>
      <c r="J78" t="str">
        <f>IF(ISNA(_xlfn.XLOOKUP(B78,customer_master!$A$2:$A$1649, customer_master!$A$2:$A$1649)), "Invalid", "Ok")</f>
        <v>Ok</v>
      </c>
      <c r="K78" t="str">
        <f>IF(ISNA(_xlfn.XLOOKUP(H78,agent_info!$A$2:$A$301, agent_info!$A$2:$A$301)), "Invalid", "Ok")</f>
        <v>Ok</v>
      </c>
    </row>
    <row r="79" spans="1:11" x14ac:dyDescent="0.3">
      <c r="A79" s="1" t="s">
        <v>3467</v>
      </c>
      <c r="B79" s="1" t="s">
        <v>3033</v>
      </c>
      <c r="C79" s="1" t="s">
        <v>3314</v>
      </c>
      <c r="D79" s="1">
        <v>546695.43999999994</v>
      </c>
      <c r="E79" s="1">
        <v>25245</v>
      </c>
      <c r="F79" s="41">
        <v>45811</v>
      </c>
      <c r="G79" s="41">
        <v>46176</v>
      </c>
      <c r="H79" s="1" t="s">
        <v>3343</v>
      </c>
      <c r="I79" s="1" t="s">
        <v>3320</v>
      </c>
      <c r="J79" t="str">
        <f>IF(ISNA(_xlfn.XLOOKUP(B79,customer_master!$A$2:$A$1649, customer_master!$A$2:$A$1649)), "Invalid", "Ok")</f>
        <v>Ok</v>
      </c>
      <c r="K79" t="str">
        <f>IF(ISNA(_xlfn.XLOOKUP(H79,agent_info!$A$2:$A$301, agent_info!$A$2:$A$301)), "Invalid", "Ok")</f>
        <v>Ok</v>
      </c>
    </row>
    <row r="80" spans="1:11" x14ac:dyDescent="0.3">
      <c r="A80" s="1" t="s">
        <v>3468</v>
      </c>
      <c r="B80" s="1" t="s">
        <v>1073</v>
      </c>
      <c r="C80" s="1" t="s">
        <v>3314</v>
      </c>
      <c r="D80" s="1">
        <v>713088.1</v>
      </c>
      <c r="E80" s="1">
        <v>38517.980000000003</v>
      </c>
      <c r="F80" s="41">
        <v>44388</v>
      </c>
      <c r="G80" s="41">
        <v>44753</v>
      </c>
      <c r="H80" s="1" t="s">
        <v>3353</v>
      </c>
      <c r="I80" s="1" t="s">
        <v>3316</v>
      </c>
      <c r="J80" t="str">
        <f>IF(ISNA(_xlfn.XLOOKUP(B80,customer_master!$A$2:$A$1649, customer_master!$A$2:$A$1649)), "Invalid", "Ok")</f>
        <v>Ok</v>
      </c>
      <c r="K80" t="str">
        <f>IF(ISNA(_xlfn.XLOOKUP(H80,agent_info!$A$2:$A$301, agent_info!$A$2:$A$301)), "Invalid", "Ok")</f>
        <v>Ok</v>
      </c>
    </row>
    <row r="81" spans="1:11" x14ac:dyDescent="0.3">
      <c r="A81" s="1" t="s">
        <v>3469</v>
      </c>
      <c r="B81" s="1" t="s">
        <v>1707</v>
      </c>
      <c r="C81" s="1" t="s">
        <v>3326</v>
      </c>
      <c r="D81" s="1">
        <v>433421.04</v>
      </c>
      <c r="E81" s="1">
        <v>19805.97</v>
      </c>
      <c r="F81" s="41">
        <v>45369</v>
      </c>
      <c r="G81" s="41">
        <v>45734</v>
      </c>
      <c r="H81" s="1" t="s">
        <v>3470</v>
      </c>
      <c r="I81" s="1" t="s">
        <v>3316</v>
      </c>
      <c r="J81" t="str">
        <f>IF(ISNA(_xlfn.XLOOKUP(B81,customer_master!$A$2:$A$1649, customer_master!$A$2:$A$1649)), "Invalid", "Ok")</f>
        <v>Ok</v>
      </c>
      <c r="K81" t="str">
        <f>IF(ISNA(_xlfn.XLOOKUP(H81,agent_info!$A$2:$A$301, agent_info!$A$2:$A$301)), "Invalid", "Ok")</f>
        <v>Ok</v>
      </c>
    </row>
    <row r="82" spans="1:11" x14ac:dyDescent="0.3">
      <c r="A82" s="1" t="s">
        <v>3471</v>
      </c>
      <c r="B82" s="1" t="s">
        <v>2863</v>
      </c>
      <c r="C82" s="1" t="s">
        <v>3331</v>
      </c>
      <c r="D82" s="1">
        <v>477177.02</v>
      </c>
      <c r="E82" s="1">
        <v>25468.94</v>
      </c>
      <c r="F82" s="41">
        <v>44183</v>
      </c>
      <c r="G82" s="41">
        <v>44548</v>
      </c>
      <c r="H82" s="1" t="s">
        <v>3472</v>
      </c>
      <c r="I82" s="1" t="s">
        <v>3324</v>
      </c>
      <c r="J82" t="str">
        <f>IF(ISNA(_xlfn.XLOOKUP(B82,customer_master!$A$2:$A$1649, customer_master!$A$2:$A$1649)), "Invalid", "Ok")</f>
        <v>Ok</v>
      </c>
      <c r="K82" t="str">
        <f>IF(ISNA(_xlfn.XLOOKUP(H82,agent_info!$A$2:$A$301, agent_info!$A$2:$A$301)), "Invalid", "Ok")</f>
        <v>Ok</v>
      </c>
    </row>
    <row r="83" spans="1:11" x14ac:dyDescent="0.3">
      <c r="A83" s="1" t="s">
        <v>3473</v>
      </c>
      <c r="B83" s="1" t="s">
        <v>1519</v>
      </c>
      <c r="C83" s="1" t="s">
        <v>3314</v>
      </c>
      <c r="D83" s="1">
        <v>387825.87</v>
      </c>
      <c r="E83" s="1">
        <v>18387.79</v>
      </c>
      <c r="F83" s="41">
        <v>46037</v>
      </c>
      <c r="G83" s="41">
        <v>46402</v>
      </c>
      <c r="H83" s="1" t="s">
        <v>3453</v>
      </c>
      <c r="I83" s="1" t="s">
        <v>3324</v>
      </c>
      <c r="J83" t="str">
        <f>IF(ISNA(_xlfn.XLOOKUP(B83,customer_master!$A$2:$A$1649, customer_master!$A$2:$A$1649)), "Invalid", "Ok")</f>
        <v>Ok</v>
      </c>
      <c r="K83" t="str">
        <f>IF(ISNA(_xlfn.XLOOKUP(H83,agent_info!$A$2:$A$301, agent_info!$A$2:$A$301)), "Invalid", "Ok")</f>
        <v>Ok</v>
      </c>
    </row>
    <row r="84" spans="1:11" x14ac:dyDescent="0.3">
      <c r="A84" s="1" t="s">
        <v>3474</v>
      </c>
      <c r="B84" s="1" t="s">
        <v>2756</v>
      </c>
      <c r="C84" s="1" t="s">
        <v>3326</v>
      </c>
      <c r="D84" s="1">
        <v>404252.4</v>
      </c>
      <c r="E84" s="1">
        <v>21640.52</v>
      </c>
      <c r="F84" s="41">
        <v>46025</v>
      </c>
      <c r="G84" s="41">
        <v>46390</v>
      </c>
      <c r="H84" s="1" t="s">
        <v>3475</v>
      </c>
      <c r="I84" s="1" t="s">
        <v>3324</v>
      </c>
      <c r="J84" t="str">
        <f>IF(ISNA(_xlfn.XLOOKUP(B84,customer_master!$A$2:$A$1649, customer_master!$A$2:$A$1649)), "Invalid", "Ok")</f>
        <v>Ok</v>
      </c>
      <c r="K84" t="str">
        <f>IF(ISNA(_xlfn.XLOOKUP(H84,agent_info!$A$2:$A$301, agent_info!$A$2:$A$301)), "Invalid", "Ok")</f>
        <v>Ok</v>
      </c>
    </row>
    <row r="85" spans="1:11" x14ac:dyDescent="0.3">
      <c r="A85" s="1" t="s">
        <v>3476</v>
      </c>
      <c r="B85" s="1" t="s">
        <v>1497</v>
      </c>
      <c r="C85" s="1" t="s">
        <v>3314</v>
      </c>
      <c r="D85" s="1">
        <v>761791.53</v>
      </c>
      <c r="E85" s="1">
        <v>39767.550000000003</v>
      </c>
      <c r="F85" s="41">
        <v>44549</v>
      </c>
      <c r="G85" s="41">
        <v>44914</v>
      </c>
      <c r="H85" s="1" t="s">
        <v>3477</v>
      </c>
      <c r="I85" s="1" t="s">
        <v>3316</v>
      </c>
      <c r="J85" t="str">
        <f>IF(ISNA(_xlfn.XLOOKUP(B85,customer_master!$A$2:$A$1649, customer_master!$A$2:$A$1649)), "Invalid", "Ok")</f>
        <v>Ok</v>
      </c>
      <c r="K85" t="str">
        <f>IF(ISNA(_xlfn.XLOOKUP(H85,agent_info!$A$2:$A$301, agent_info!$A$2:$A$301)), "Invalid", "Ok")</f>
        <v>Ok</v>
      </c>
    </row>
    <row r="86" spans="1:11" x14ac:dyDescent="0.3">
      <c r="A86" s="1" t="s">
        <v>3478</v>
      </c>
      <c r="B86" s="1" t="s">
        <v>1475</v>
      </c>
      <c r="C86" s="1" t="s">
        <v>3314</v>
      </c>
      <c r="D86" s="1">
        <v>552039.93000000005</v>
      </c>
      <c r="E86" s="1">
        <v>29925.95</v>
      </c>
      <c r="F86" s="41">
        <v>45872</v>
      </c>
      <c r="G86" s="41">
        <v>46237</v>
      </c>
      <c r="H86" s="1" t="s">
        <v>3479</v>
      </c>
      <c r="I86" s="1" t="s">
        <v>3324</v>
      </c>
      <c r="J86" t="str">
        <f>IF(ISNA(_xlfn.XLOOKUP(B86,customer_master!$A$2:$A$1649, customer_master!$A$2:$A$1649)), "Invalid", "Ok")</f>
        <v>Ok</v>
      </c>
      <c r="K86" t="str">
        <f>IF(ISNA(_xlfn.XLOOKUP(H86,agent_info!$A$2:$A$301, agent_info!$A$2:$A$301)), "Invalid", "Ok")</f>
        <v>Ok</v>
      </c>
    </row>
    <row r="87" spans="1:11" x14ac:dyDescent="0.3">
      <c r="A87" s="1" t="s">
        <v>3480</v>
      </c>
      <c r="B87" s="1" t="s">
        <v>556</v>
      </c>
      <c r="C87" s="1" t="s">
        <v>3314</v>
      </c>
      <c r="D87" s="1">
        <v>460138.41</v>
      </c>
      <c r="E87" s="1">
        <v>24710.5</v>
      </c>
      <c r="F87" s="41">
        <v>45148</v>
      </c>
      <c r="G87" s="41">
        <v>45514</v>
      </c>
      <c r="H87" s="1" t="s">
        <v>3481</v>
      </c>
      <c r="I87" s="1" t="s">
        <v>3324</v>
      </c>
      <c r="J87" t="str">
        <f>IF(ISNA(_xlfn.XLOOKUP(B87,customer_master!$A$2:$A$1649, customer_master!$A$2:$A$1649)), "Invalid", "Ok")</f>
        <v>Ok</v>
      </c>
      <c r="K87" t="str">
        <f>IF(ISNA(_xlfn.XLOOKUP(H87,agent_info!$A$2:$A$301, agent_info!$A$2:$A$301)), "Invalid", "Ok")</f>
        <v>Ok</v>
      </c>
    </row>
    <row r="88" spans="1:11" x14ac:dyDescent="0.3">
      <c r="A88" s="1" t="s">
        <v>3482</v>
      </c>
      <c r="B88" s="1" t="s">
        <v>449</v>
      </c>
      <c r="C88" s="1" t="s">
        <v>3334</v>
      </c>
      <c r="D88" s="1">
        <v>756787.5</v>
      </c>
      <c r="E88" s="1">
        <v>39361.18</v>
      </c>
      <c r="F88" s="41">
        <v>44345</v>
      </c>
      <c r="G88" s="41">
        <v>44710</v>
      </c>
      <c r="H88" s="1" t="s">
        <v>3483</v>
      </c>
      <c r="I88" s="1" t="s">
        <v>3316</v>
      </c>
      <c r="J88" t="str">
        <f>IF(ISNA(_xlfn.XLOOKUP(B88,customer_master!$A$2:$A$1649, customer_master!$A$2:$A$1649)), "Invalid", "Ok")</f>
        <v>Ok</v>
      </c>
      <c r="K88" t="str">
        <f>IF(ISNA(_xlfn.XLOOKUP(H88,agent_info!$A$2:$A$301, agent_info!$A$2:$A$301)), "Invalid", "Ok")</f>
        <v>Ok</v>
      </c>
    </row>
    <row r="89" spans="1:11" x14ac:dyDescent="0.3">
      <c r="A89" s="1" t="s">
        <v>3484</v>
      </c>
      <c r="B89" s="1" t="s">
        <v>2054</v>
      </c>
      <c r="C89" s="1" t="s">
        <v>3326</v>
      </c>
      <c r="D89" s="1">
        <v>359491.25</v>
      </c>
      <c r="E89" s="1">
        <v>16722.38</v>
      </c>
      <c r="F89" s="41">
        <v>44841</v>
      </c>
      <c r="G89" s="41">
        <v>45206</v>
      </c>
      <c r="H89" s="1" t="s">
        <v>3485</v>
      </c>
      <c r="I89" s="1" t="s">
        <v>3316</v>
      </c>
      <c r="J89" t="str">
        <f>IF(ISNA(_xlfn.XLOOKUP(B89,customer_master!$A$2:$A$1649, customer_master!$A$2:$A$1649)), "Invalid", "Ok")</f>
        <v>Ok</v>
      </c>
      <c r="K89" t="str">
        <f>IF(ISNA(_xlfn.XLOOKUP(H89,agent_info!$A$2:$A$301, agent_info!$A$2:$A$301)), "Invalid", "Ok")</f>
        <v>Ok</v>
      </c>
    </row>
    <row r="90" spans="1:11" x14ac:dyDescent="0.3">
      <c r="A90" s="1" t="s">
        <v>3486</v>
      </c>
      <c r="B90" s="1" t="s">
        <v>2744</v>
      </c>
      <c r="C90" s="1" t="s">
        <v>3331</v>
      </c>
      <c r="D90" s="1">
        <v>566209.48</v>
      </c>
      <c r="E90" s="1">
        <v>28588.17</v>
      </c>
      <c r="F90" s="41">
        <v>45984</v>
      </c>
      <c r="G90" s="41">
        <v>46349</v>
      </c>
      <c r="H90" s="1" t="s">
        <v>3487</v>
      </c>
      <c r="I90" s="1" t="s">
        <v>3324</v>
      </c>
      <c r="J90" t="str">
        <f>IF(ISNA(_xlfn.XLOOKUP(B90,customer_master!$A$2:$A$1649, customer_master!$A$2:$A$1649)), "Invalid", "Ok")</f>
        <v>Ok</v>
      </c>
      <c r="K90" t="str">
        <f>IF(ISNA(_xlfn.XLOOKUP(H90,agent_info!$A$2:$A$301, agent_info!$A$2:$A$301)), "Invalid", "Ok")</f>
        <v>Ok</v>
      </c>
    </row>
    <row r="91" spans="1:11" x14ac:dyDescent="0.3">
      <c r="A91" s="1" t="s">
        <v>3488</v>
      </c>
      <c r="B91" s="1" t="s">
        <v>481</v>
      </c>
      <c r="C91" s="1" t="s">
        <v>3331</v>
      </c>
      <c r="D91" s="1">
        <v>688455.71</v>
      </c>
      <c r="E91" s="1">
        <v>33320.07</v>
      </c>
      <c r="F91" s="41">
        <v>44992</v>
      </c>
      <c r="G91" s="41">
        <v>45358</v>
      </c>
      <c r="H91" s="1" t="s">
        <v>3377</v>
      </c>
      <c r="I91" s="1" t="s">
        <v>3324</v>
      </c>
      <c r="J91" t="str">
        <f>IF(ISNA(_xlfn.XLOOKUP(B91,customer_master!$A$2:$A$1649, customer_master!$A$2:$A$1649)), "Invalid", "Ok")</f>
        <v>Ok</v>
      </c>
      <c r="K91" t="str">
        <f>IF(ISNA(_xlfn.XLOOKUP(H91,agent_info!$A$2:$A$301, agent_info!$A$2:$A$301)), "Invalid", "Ok")</f>
        <v>Ok</v>
      </c>
    </row>
    <row r="92" spans="1:11" x14ac:dyDescent="0.3">
      <c r="A92" s="1" t="s">
        <v>3489</v>
      </c>
      <c r="B92" s="1" t="s">
        <v>3025</v>
      </c>
      <c r="C92" s="1" t="s">
        <v>3331</v>
      </c>
      <c r="D92" s="1">
        <v>676332.82</v>
      </c>
      <c r="E92" s="1">
        <v>36425.769999999997</v>
      </c>
      <c r="F92" s="41">
        <v>45333</v>
      </c>
      <c r="G92" s="41">
        <v>45699</v>
      </c>
      <c r="H92" s="1" t="s">
        <v>3490</v>
      </c>
      <c r="I92" s="1" t="s">
        <v>3320</v>
      </c>
      <c r="J92" t="str">
        <f>IF(ISNA(_xlfn.XLOOKUP(B92,customer_master!$A$2:$A$1649, customer_master!$A$2:$A$1649)), "Invalid", "Ok")</f>
        <v>Ok</v>
      </c>
      <c r="K92" t="str">
        <f>IF(ISNA(_xlfn.XLOOKUP(H92,agent_info!$A$2:$A$301, agent_info!$A$2:$A$301)), "Invalid", "Ok")</f>
        <v>Ok</v>
      </c>
    </row>
    <row r="93" spans="1:11" x14ac:dyDescent="0.3">
      <c r="A93" s="1" t="s">
        <v>3491</v>
      </c>
      <c r="B93" s="1" t="s">
        <v>1217</v>
      </c>
      <c r="C93" s="1" t="s">
        <v>3334</v>
      </c>
      <c r="D93" s="1">
        <v>457848.65</v>
      </c>
      <c r="E93" s="1">
        <v>24596.68</v>
      </c>
      <c r="F93" s="41">
        <v>45317</v>
      </c>
      <c r="G93" s="41">
        <v>45683</v>
      </c>
      <c r="H93" s="1" t="s">
        <v>3492</v>
      </c>
      <c r="I93" s="1" t="s">
        <v>3316</v>
      </c>
      <c r="J93" t="str">
        <f>IF(ISNA(_xlfn.XLOOKUP(B93,customer_master!$A$2:$A$1649, customer_master!$A$2:$A$1649)), "Invalid", "Ok")</f>
        <v>Ok</v>
      </c>
      <c r="K93" t="str">
        <f>IF(ISNA(_xlfn.XLOOKUP(H93,agent_info!$A$2:$A$301, agent_info!$A$2:$A$301)), "Invalid", "Ok")</f>
        <v>Ok</v>
      </c>
    </row>
    <row r="94" spans="1:11" x14ac:dyDescent="0.3">
      <c r="A94" s="1" t="s">
        <v>3493</v>
      </c>
      <c r="B94" s="1" t="s">
        <v>1437</v>
      </c>
      <c r="C94" s="1" t="s">
        <v>3326</v>
      </c>
      <c r="D94" s="1">
        <v>597726.39</v>
      </c>
      <c r="E94" s="1">
        <v>28774.77</v>
      </c>
      <c r="F94" s="41">
        <v>46050</v>
      </c>
      <c r="G94" s="41">
        <v>46415</v>
      </c>
      <c r="H94" s="1" t="s">
        <v>3494</v>
      </c>
      <c r="I94" s="1" t="s">
        <v>3316</v>
      </c>
      <c r="J94" t="str">
        <f>IF(ISNA(_xlfn.XLOOKUP(B94,customer_master!$A$2:$A$1649, customer_master!$A$2:$A$1649)), "Invalid", "Ok")</f>
        <v>Ok</v>
      </c>
      <c r="K94" t="str">
        <f>IF(ISNA(_xlfn.XLOOKUP(H94,agent_info!$A$2:$A$301, agent_info!$A$2:$A$301)), "Invalid", "Ok")</f>
        <v>Ok</v>
      </c>
    </row>
    <row r="95" spans="1:11" x14ac:dyDescent="0.3">
      <c r="A95" s="1" t="s">
        <v>3495</v>
      </c>
      <c r="B95" s="1" t="s">
        <v>2973</v>
      </c>
      <c r="C95" s="1" t="s">
        <v>3314</v>
      </c>
      <c r="D95" s="1">
        <v>624581.11</v>
      </c>
      <c r="E95" s="1">
        <v>32301.46</v>
      </c>
      <c r="F95" s="41">
        <v>45789</v>
      </c>
      <c r="G95" s="41">
        <v>46154</v>
      </c>
      <c r="H95" s="1" t="s">
        <v>3496</v>
      </c>
      <c r="I95" s="1" t="s">
        <v>3324</v>
      </c>
      <c r="J95" t="str">
        <f>IF(ISNA(_xlfn.XLOOKUP(B95,customer_master!$A$2:$A$1649, customer_master!$A$2:$A$1649)), "Invalid", "Ok")</f>
        <v>Ok</v>
      </c>
      <c r="K95" t="str">
        <f>IF(ISNA(_xlfn.XLOOKUP(H95,agent_info!$A$2:$A$301, agent_info!$A$2:$A$301)), "Invalid", "Ok")</f>
        <v>Ok</v>
      </c>
    </row>
    <row r="96" spans="1:11" x14ac:dyDescent="0.3">
      <c r="A96" s="1" t="s">
        <v>3497</v>
      </c>
      <c r="B96" s="1" t="s">
        <v>2977</v>
      </c>
      <c r="C96" s="1" t="s">
        <v>3318</v>
      </c>
      <c r="D96" s="1">
        <v>633254.41</v>
      </c>
      <c r="E96" s="1">
        <v>30638.65</v>
      </c>
      <c r="F96" s="41">
        <v>45118</v>
      </c>
      <c r="G96" s="41">
        <v>45484</v>
      </c>
      <c r="H96" s="1" t="s">
        <v>3498</v>
      </c>
      <c r="I96" s="1" t="s">
        <v>3324</v>
      </c>
      <c r="J96" t="str">
        <f>IF(ISNA(_xlfn.XLOOKUP(B96,customer_master!$A$2:$A$1649, customer_master!$A$2:$A$1649)), "Invalid", "Ok")</f>
        <v>Ok</v>
      </c>
      <c r="K96" t="str">
        <f>IF(ISNA(_xlfn.XLOOKUP(H96,agent_info!$A$2:$A$301, agent_info!$A$2:$A$301)), "Invalid", "Ok")</f>
        <v>Ok</v>
      </c>
    </row>
    <row r="97" spans="1:11" x14ac:dyDescent="0.3">
      <c r="A97" s="1" t="s">
        <v>3499</v>
      </c>
      <c r="B97" s="1" t="s">
        <v>1759</v>
      </c>
      <c r="C97" s="1" t="s">
        <v>3314</v>
      </c>
      <c r="D97" s="1">
        <v>487450.35</v>
      </c>
      <c r="E97" s="1">
        <v>25241.11</v>
      </c>
      <c r="F97" s="41">
        <v>45655</v>
      </c>
      <c r="G97" s="41">
        <v>46020</v>
      </c>
      <c r="H97" s="1" t="s">
        <v>3500</v>
      </c>
      <c r="I97" s="1" t="s">
        <v>3316</v>
      </c>
      <c r="J97" t="str">
        <f>IF(ISNA(_xlfn.XLOOKUP(B97,customer_master!$A$2:$A$1649, customer_master!$A$2:$A$1649)), "Invalid", "Ok")</f>
        <v>Ok</v>
      </c>
      <c r="K97" t="str">
        <f>IF(ISNA(_xlfn.XLOOKUP(H97,agent_info!$A$2:$A$301, agent_info!$A$2:$A$301)), "Invalid", "Ok")</f>
        <v>Ok</v>
      </c>
    </row>
    <row r="98" spans="1:11" x14ac:dyDescent="0.3">
      <c r="A98" s="1" t="s">
        <v>3501</v>
      </c>
      <c r="B98" s="1" t="s">
        <v>935</v>
      </c>
      <c r="C98" s="1" t="s">
        <v>3314</v>
      </c>
      <c r="D98" s="1">
        <v>697132.74</v>
      </c>
      <c r="E98" s="1">
        <v>35650.47</v>
      </c>
      <c r="F98" s="41">
        <v>45404</v>
      </c>
      <c r="G98" s="41">
        <v>45769</v>
      </c>
      <c r="H98" s="1" t="s">
        <v>3502</v>
      </c>
      <c r="I98" s="1" t="s">
        <v>3324</v>
      </c>
      <c r="J98" t="str">
        <f>IF(ISNA(_xlfn.XLOOKUP(B98,customer_master!$A$2:$A$1649, customer_master!$A$2:$A$1649)), "Invalid", "Ok")</f>
        <v>Ok</v>
      </c>
      <c r="K98" t="str">
        <f>IF(ISNA(_xlfn.XLOOKUP(H98,agent_info!$A$2:$A$301, agent_info!$A$2:$A$301)), "Invalid", "Ok")</f>
        <v>Ok</v>
      </c>
    </row>
    <row r="99" spans="1:11" x14ac:dyDescent="0.3">
      <c r="A99" s="1" t="s">
        <v>3503</v>
      </c>
      <c r="B99" s="1" t="s">
        <v>606</v>
      </c>
      <c r="C99" s="1" t="s">
        <v>3318</v>
      </c>
      <c r="D99" s="1">
        <v>589391.78</v>
      </c>
      <c r="E99" s="1">
        <v>29534.12</v>
      </c>
      <c r="F99" s="41">
        <v>45747</v>
      </c>
      <c r="G99" s="41">
        <v>46112</v>
      </c>
      <c r="H99" s="1" t="s">
        <v>3504</v>
      </c>
      <c r="I99" s="1" t="s">
        <v>3324</v>
      </c>
      <c r="J99" t="str">
        <f>IF(ISNA(_xlfn.XLOOKUP(B99,customer_master!$A$2:$A$1649, customer_master!$A$2:$A$1649)), "Invalid", "Ok")</f>
        <v>Ok</v>
      </c>
      <c r="K99" t="str">
        <f>IF(ISNA(_xlfn.XLOOKUP(H99,agent_info!$A$2:$A$301, agent_info!$A$2:$A$301)), "Invalid", "Ok")</f>
        <v>Ok</v>
      </c>
    </row>
    <row r="100" spans="1:11" x14ac:dyDescent="0.3">
      <c r="A100" s="1" t="s">
        <v>3505</v>
      </c>
      <c r="B100" s="1" t="s">
        <v>919</v>
      </c>
      <c r="C100" s="1" t="s">
        <v>3334</v>
      </c>
      <c r="D100" s="1">
        <v>664155.05000000005</v>
      </c>
      <c r="E100" s="1">
        <v>35720.959999999999</v>
      </c>
      <c r="F100" s="41">
        <v>45183</v>
      </c>
      <c r="G100" s="41">
        <v>45549</v>
      </c>
      <c r="H100" s="1" t="s">
        <v>3490</v>
      </c>
      <c r="I100" s="1" t="s">
        <v>3316</v>
      </c>
      <c r="J100" t="str">
        <f>IF(ISNA(_xlfn.XLOOKUP(B100,customer_master!$A$2:$A$1649, customer_master!$A$2:$A$1649)), "Invalid", "Ok")</f>
        <v>Ok</v>
      </c>
      <c r="K100" t="str">
        <f>IF(ISNA(_xlfn.XLOOKUP(H100,agent_info!$A$2:$A$301, agent_info!$A$2:$A$301)), "Invalid", "Ok")</f>
        <v>Ok</v>
      </c>
    </row>
    <row r="101" spans="1:11" x14ac:dyDescent="0.3">
      <c r="A101" s="1" t="s">
        <v>3506</v>
      </c>
      <c r="B101" s="1" t="s">
        <v>2593</v>
      </c>
      <c r="C101" s="1" t="s">
        <v>3314</v>
      </c>
      <c r="D101" s="1">
        <v>746735.8</v>
      </c>
      <c r="E101" s="1">
        <v>35440.46</v>
      </c>
      <c r="F101" s="41">
        <v>45087</v>
      </c>
      <c r="G101" s="41">
        <v>45453</v>
      </c>
      <c r="H101" s="1" t="s">
        <v>3507</v>
      </c>
      <c r="I101" s="1" t="s">
        <v>3316</v>
      </c>
      <c r="J101" t="str">
        <f>IF(ISNA(_xlfn.XLOOKUP(B101,customer_master!$A$2:$A$1649, customer_master!$A$2:$A$1649)), "Invalid", "Ok")</f>
        <v>Ok</v>
      </c>
      <c r="K101" t="str">
        <f>IF(ISNA(_xlfn.XLOOKUP(H101,agent_info!$A$2:$A$301, agent_info!$A$2:$A$301)), "Invalid", "Ok")</f>
        <v>Ok</v>
      </c>
    </row>
    <row r="102" spans="1:11" x14ac:dyDescent="0.3">
      <c r="A102" s="1" t="s">
        <v>3508</v>
      </c>
      <c r="B102" s="1" t="s">
        <v>1097</v>
      </c>
      <c r="C102" s="1" t="s">
        <v>3331</v>
      </c>
      <c r="D102" s="1">
        <v>707872.21</v>
      </c>
      <c r="E102" s="1">
        <v>37499.29</v>
      </c>
      <c r="F102" s="41">
        <v>45063</v>
      </c>
      <c r="G102" s="41">
        <v>45429</v>
      </c>
      <c r="H102" s="1" t="s">
        <v>3509</v>
      </c>
      <c r="I102" s="1" t="s">
        <v>3316</v>
      </c>
      <c r="J102" t="str">
        <f>IF(ISNA(_xlfn.XLOOKUP(B102,customer_master!$A$2:$A$1649, customer_master!$A$2:$A$1649)), "Invalid", "Ok")</f>
        <v>Ok</v>
      </c>
      <c r="K102" t="str">
        <f>IF(ISNA(_xlfn.XLOOKUP(H102,agent_info!$A$2:$A$301, agent_info!$A$2:$A$301)), "Invalid", "Ok")</f>
        <v>Ok</v>
      </c>
    </row>
    <row r="103" spans="1:11" x14ac:dyDescent="0.3">
      <c r="A103" s="1" t="s">
        <v>3510</v>
      </c>
      <c r="B103" s="1" t="s">
        <v>2324</v>
      </c>
      <c r="C103" s="1" t="s">
        <v>3331</v>
      </c>
      <c r="D103" s="1">
        <v>679961.75</v>
      </c>
      <c r="E103" s="1">
        <v>35286.67</v>
      </c>
      <c r="F103" s="41">
        <v>45061</v>
      </c>
      <c r="G103" s="41">
        <v>45427</v>
      </c>
      <c r="H103" s="1" t="s">
        <v>3511</v>
      </c>
      <c r="I103" s="1" t="s">
        <v>3316</v>
      </c>
      <c r="J103" t="str">
        <f>IF(ISNA(_xlfn.XLOOKUP(B103,customer_master!$A$2:$A$1649, customer_master!$A$2:$A$1649)), "Invalid", "Ok")</f>
        <v>Ok</v>
      </c>
      <c r="K103" t="str">
        <f>IF(ISNA(_xlfn.XLOOKUP(H103,agent_info!$A$2:$A$301, agent_info!$A$2:$A$301)), "Invalid", "Ok")</f>
        <v>Ok</v>
      </c>
    </row>
    <row r="104" spans="1:11" x14ac:dyDescent="0.3">
      <c r="A104" s="1" t="s">
        <v>3512</v>
      </c>
      <c r="B104" s="1" t="s">
        <v>695</v>
      </c>
      <c r="C104" s="1" t="s">
        <v>3314</v>
      </c>
      <c r="D104" s="1">
        <v>496514.77</v>
      </c>
      <c r="E104" s="1">
        <v>23739.7</v>
      </c>
      <c r="F104" s="41">
        <v>45976</v>
      </c>
      <c r="G104" s="41">
        <v>46341</v>
      </c>
      <c r="H104" s="1" t="s">
        <v>3379</v>
      </c>
      <c r="I104" s="1" t="s">
        <v>3324</v>
      </c>
      <c r="J104" t="str">
        <f>IF(ISNA(_xlfn.XLOOKUP(B104,customer_master!$A$2:$A$1649, customer_master!$A$2:$A$1649)), "Invalid", "Ok")</f>
        <v>Ok</v>
      </c>
      <c r="K104" t="str">
        <f>IF(ISNA(_xlfn.XLOOKUP(H104,agent_info!$A$2:$A$301, agent_info!$A$2:$A$301)), "Invalid", "Ok")</f>
        <v>Ok</v>
      </c>
    </row>
    <row r="105" spans="1:11" x14ac:dyDescent="0.3">
      <c r="A105" s="1" t="s">
        <v>3513</v>
      </c>
      <c r="B105" s="1" t="s">
        <v>1604</v>
      </c>
      <c r="C105" s="1" t="s">
        <v>3334</v>
      </c>
      <c r="D105" s="1">
        <v>405822</v>
      </c>
      <c r="E105" s="1">
        <v>19973.28</v>
      </c>
      <c r="F105" s="41">
        <v>44789</v>
      </c>
      <c r="G105" s="41">
        <v>45154</v>
      </c>
      <c r="H105" s="1" t="s">
        <v>3365</v>
      </c>
      <c r="I105" s="1" t="s">
        <v>3324</v>
      </c>
      <c r="J105" t="str">
        <f>IF(ISNA(_xlfn.XLOOKUP(B105,customer_master!$A$2:$A$1649, customer_master!$A$2:$A$1649)), "Invalid", "Ok")</f>
        <v>Ok</v>
      </c>
      <c r="K105" t="str">
        <f>IF(ISNA(_xlfn.XLOOKUP(H105,agent_info!$A$2:$A$301, agent_info!$A$2:$A$301)), "Invalid", "Ok")</f>
        <v>Ok</v>
      </c>
    </row>
    <row r="106" spans="1:11" x14ac:dyDescent="0.3">
      <c r="A106" s="1" t="s">
        <v>3514</v>
      </c>
      <c r="B106" s="1" t="s">
        <v>1191</v>
      </c>
      <c r="C106" s="1" t="s">
        <v>3334</v>
      </c>
      <c r="D106" s="1">
        <v>606238.12</v>
      </c>
      <c r="E106" s="1">
        <v>27699.11</v>
      </c>
      <c r="F106" s="41">
        <v>45830</v>
      </c>
      <c r="G106" s="41">
        <v>46195</v>
      </c>
      <c r="H106" s="1" t="s">
        <v>3515</v>
      </c>
      <c r="I106" s="1" t="s">
        <v>3324</v>
      </c>
      <c r="J106" t="str">
        <f>IF(ISNA(_xlfn.XLOOKUP(B106,customer_master!$A$2:$A$1649, customer_master!$A$2:$A$1649)), "Invalid", "Ok")</f>
        <v>Ok</v>
      </c>
      <c r="K106" t="str">
        <f>IF(ISNA(_xlfn.XLOOKUP(H106,agent_info!$A$2:$A$301, agent_info!$A$2:$A$301)), "Invalid", "Ok")</f>
        <v>Ok</v>
      </c>
    </row>
    <row r="107" spans="1:11" x14ac:dyDescent="0.3">
      <c r="A107" s="1" t="s">
        <v>3516</v>
      </c>
      <c r="B107" s="1" t="s">
        <v>1692</v>
      </c>
      <c r="C107" s="1" t="s">
        <v>3326</v>
      </c>
      <c r="D107" s="1">
        <v>362079.57</v>
      </c>
      <c r="E107" s="1">
        <v>18457.28</v>
      </c>
      <c r="F107" s="41">
        <v>45533</v>
      </c>
      <c r="G107" s="41">
        <v>45898</v>
      </c>
      <c r="H107" s="1" t="s">
        <v>3355</v>
      </c>
      <c r="I107" s="1" t="s">
        <v>3316</v>
      </c>
      <c r="J107" t="str">
        <f>IF(ISNA(_xlfn.XLOOKUP(B107,customer_master!$A$2:$A$1649, customer_master!$A$2:$A$1649)), "Invalid", "Ok")</f>
        <v>Ok</v>
      </c>
      <c r="K107" t="str">
        <f>IF(ISNA(_xlfn.XLOOKUP(H107,agent_info!$A$2:$A$301, agent_info!$A$2:$A$301)), "Invalid", "Ok")</f>
        <v>Ok</v>
      </c>
    </row>
    <row r="108" spans="1:11" x14ac:dyDescent="0.3">
      <c r="A108" s="1" t="s">
        <v>3517</v>
      </c>
      <c r="B108" s="1" t="s">
        <v>1905</v>
      </c>
      <c r="C108" s="1" t="s">
        <v>3334</v>
      </c>
      <c r="D108" s="1">
        <v>659963.06000000006</v>
      </c>
      <c r="E108" s="1">
        <v>35558.089999999997</v>
      </c>
      <c r="F108" s="41">
        <v>44974</v>
      </c>
      <c r="G108" s="41">
        <v>45339</v>
      </c>
      <c r="H108" s="1" t="s">
        <v>3518</v>
      </c>
      <c r="I108" s="1" t="s">
        <v>3324</v>
      </c>
      <c r="J108" t="str">
        <f>IF(ISNA(_xlfn.XLOOKUP(B108,customer_master!$A$2:$A$1649, customer_master!$A$2:$A$1649)), "Invalid", "Ok")</f>
        <v>Ok</v>
      </c>
      <c r="K108" t="str">
        <f>IF(ISNA(_xlfn.XLOOKUP(H108,agent_info!$A$2:$A$301, agent_info!$A$2:$A$301)), "Invalid", "Ok")</f>
        <v>Ok</v>
      </c>
    </row>
    <row r="109" spans="1:11" x14ac:dyDescent="0.3">
      <c r="A109" s="1" t="s">
        <v>3519</v>
      </c>
      <c r="B109" s="1" t="s">
        <v>3283</v>
      </c>
      <c r="C109" s="1" t="s">
        <v>3318</v>
      </c>
      <c r="D109" s="1">
        <v>656518.59</v>
      </c>
      <c r="E109" s="1">
        <v>30316.84</v>
      </c>
      <c r="F109" s="41">
        <v>44587</v>
      </c>
      <c r="G109" s="41">
        <v>44952</v>
      </c>
      <c r="H109" s="1" t="s">
        <v>3408</v>
      </c>
      <c r="I109" s="1" t="s">
        <v>3316</v>
      </c>
      <c r="J109" t="str">
        <f>IF(ISNA(_xlfn.XLOOKUP(B109,customer_master!$A$2:$A$1649, customer_master!$A$2:$A$1649)), "Invalid", "Ok")</f>
        <v>Ok</v>
      </c>
      <c r="K109" t="str">
        <f>IF(ISNA(_xlfn.XLOOKUP(H109,agent_info!$A$2:$A$301, agent_info!$A$2:$A$301)), "Invalid", "Ok")</f>
        <v>Ok</v>
      </c>
    </row>
    <row r="110" spans="1:11" x14ac:dyDescent="0.3">
      <c r="A110" s="1" t="s">
        <v>3520</v>
      </c>
      <c r="B110" s="1" t="s">
        <v>2989</v>
      </c>
      <c r="C110" s="1" t="s">
        <v>3318</v>
      </c>
      <c r="D110" s="1">
        <v>590780.46</v>
      </c>
      <c r="E110" s="1">
        <v>27364.94</v>
      </c>
      <c r="F110" s="41">
        <v>44943</v>
      </c>
      <c r="G110" s="41">
        <v>45308</v>
      </c>
      <c r="H110" s="1" t="s">
        <v>3502</v>
      </c>
      <c r="I110" s="1" t="s">
        <v>3320</v>
      </c>
      <c r="J110" t="str">
        <f>IF(ISNA(_xlfn.XLOOKUP(B110,customer_master!$A$2:$A$1649, customer_master!$A$2:$A$1649)), "Invalid", "Ok")</f>
        <v>Ok</v>
      </c>
      <c r="K110" t="str">
        <f>IF(ISNA(_xlfn.XLOOKUP(H110,agent_info!$A$2:$A$301, agent_info!$A$2:$A$301)), "Invalid", "Ok")</f>
        <v>Ok</v>
      </c>
    </row>
    <row r="111" spans="1:11" x14ac:dyDescent="0.3">
      <c r="A111" s="1" t="s">
        <v>3521</v>
      </c>
      <c r="B111" s="1" t="s">
        <v>2324</v>
      </c>
      <c r="C111" s="1" t="s">
        <v>3326</v>
      </c>
      <c r="D111" s="1">
        <v>408853.17</v>
      </c>
      <c r="E111" s="1">
        <v>20338.669999999998</v>
      </c>
      <c r="F111" s="41">
        <v>45262</v>
      </c>
      <c r="G111" s="41">
        <v>45628</v>
      </c>
      <c r="H111" s="1" t="s">
        <v>3522</v>
      </c>
      <c r="I111" s="1" t="s">
        <v>3316</v>
      </c>
      <c r="J111" t="str">
        <f>IF(ISNA(_xlfn.XLOOKUP(B111,customer_master!$A$2:$A$1649, customer_master!$A$2:$A$1649)), "Invalid", "Ok")</f>
        <v>Ok</v>
      </c>
      <c r="K111" t="str">
        <f>IF(ISNA(_xlfn.XLOOKUP(H111,agent_info!$A$2:$A$301, agent_info!$A$2:$A$301)), "Invalid", "Ok")</f>
        <v>Ok</v>
      </c>
    </row>
    <row r="112" spans="1:11" x14ac:dyDescent="0.3">
      <c r="A112" s="1" t="s">
        <v>3523</v>
      </c>
      <c r="B112" s="1" t="s">
        <v>544</v>
      </c>
      <c r="C112" s="1" t="s">
        <v>3314</v>
      </c>
      <c r="D112" s="1">
        <v>722152.75</v>
      </c>
      <c r="E112" s="1">
        <v>34527.78</v>
      </c>
      <c r="F112" s="41">
        <v>46177</v>
      </c>
      <c r="G112" s="41">
        <v>46542</v>
      </c>
      <c r="H112" s="1" t="s">
        <v>3524</v>
      </c>
      <c r="I112" s="1" t="s">
        <v>3324</v>
      </c>
      <c r="J112" t="str">
        <f>IF(ISNA(_xlfn.XLOOKUP(B112,customer_master!$A$2:$A$1649, customer_master!$A$2:$A$1649)), "Invalid", "Ok")</f>
        <v>Ok</v>
      </c>
      <c r="K112" t="str">
        <f>IF(ISNA(_xlfn.XLOOKUP(H112,agent_info!$A$2:$A$301, agent_info!$A$2:$A$301)), "Invalid", "Ok")</f>
        <v>Ok</v>
      </c>
    </row>
    <row r="113" spans="1:11" x14ac:dyDescent="0.3">
      <c r="A113" s="1" t="s">
        <v>3525</v>
      </c>
      <c r="B113" s="1" t="s">
        <v>3061</v>
      </c>
      <c r="C113" s="1" t="s">
        <v>3318</v>
      </c>
      <c r="D113" s="1">
        <v>603258.23</v>
      </c>
      <c r="E113" s="1">
        <v>28817.22</v>
      </c>
      <c r="F113" s="41">
        <v>46027</v>
      </c>
      <c r="G113" s="41">
        <v>46392</v>
      </c>
      <c r="H113" s="1" t="s">
        <v>3322</v>
      </c>
      <c r="I113" s="1" t="s">
        <v>3324</v>
      </c>
      <c r="J113" t="str">
        <f>IF(ISNA(_xlfn.XLOOKUP(B113,customer_master!$A$2:$A$1649, customer_master!$A$2:$A$1649)), "Invalid", "Ok")</f>
        <v>Ok</v>
      </c>
      <c r="K113" t="str">
        <f>IF(ISNA(_xlfn.XLOOKUP(H113,agent_info!$A$2:$A$301, agent_info!$A$2:$A$301)), "Invalid", "Ok")</f>
        <v>Ok</v>
      </c>
    </row>
    <row r="114" spans="1:11" x14ac:dyDescent="0.3">
      <c r="A114" s="1" t="s">
        <v>3526</v>
      </c>
      <c r="B114" s="1" t="s">
        <v>2967</v>
      </c>
      <c r="C114" s="1" t="s">
        <v>3318</v>
      </c>
      <c r="D114" s="1">
        <v>572629.16</v>
      </c>
      <c r="E114" s="1">
        <v>29425.52</v>
      </c>
      <c r="F114" s="41">
        <v>45690</v>
      </c>
      <c r="G114" s="41">
        <v>46055</v>
      </c>
      <c r="H114" s="1" t="s">
        <v>3527</v>
      </c>
      <c r="I114" s="1" t="s">
        <v>3324</v>
      </c>
      <c r="J114" t="str">
        <f>IF(ISNA(_xlfn.XLOOKUP(B114,customer_master!$A$2:$A$1649, customer_master!$A$2:$A$1649)), "Invalid", "Ok")</f>
        <v>Ok</v>
      </c>
      <c r="K114" t="str">
        <f>IF(ISNA(_xlfn.XLOOKUP(H114,agent_info!$A$2:$A$301, agent_info!$A$2:$A$301)), "Invalid", "Ok")</f>
        <v>Ok</v>
      </c>
    </row>
    <row r="115" spans="1:11" x14ac:dyDescent="0.3">
      <c r="A115" s="1" t="s">
        <v>3528</v>
      </c>
      <c r="B115" s="1" t="s">
        <v>2947</v>
      </c>
      <c r="C115" s="1" t="s">
        <v>3314</v>
      </c>
      <c r="D115" s="1">
        <v>603522.82999999996</v>
      </c>
      <c r="E115" s="1">
        <v>29634.52</v>
      </c>
      <c r="F115" s="41">
        <v>45492</v>
      </c>
      <c r="G115" s="41">
        <v>45857</v>
      </c>
      <c r="H115" s="1" t="s">
        <v>3504</v>
      </c>
      <c r="I115" s="1" t="s">
        <v>3324</v>
      </c>
      <c r="J115" t="str">
        <f>IF(ISNA(_xlfn.XLOOKUP(B115,customer_master!$A$2:$A$1649, customer_master!$A$2:$A$1649)), "Invalid", "Ok")</f>
        <v>Ok</v>
      </c>
      <c r="K115" t="str">
        <f>IF(ISNA(_xlfn.XLOOKUP(H115,agent_info!$A$2:$A$301, agent_info!$A$2:$A$301)), "Invalid", "Ok")</f>
        <v>Ok</v>
      </c>
    </row>
    <row r="116" spans="1:11" x14ac:dyDescent="0.3">
      <c r="A116" s="1" t="s">
        <v>3529</v>
      </c>
      <c r="B116" s="1" t="s">
        <v>1604</v>
      </c>
      <c r="C116" s="1" t="s">
        <v>3318</v>
      </c>
      <c r="D116" s="1">
        <v>409331.32</v>
      </c>
      <c r="E116" s="1">
        <v>21877.32</v>
      </c>
      <c r="F116" s="41">
        <v>45975</v>
      </c>
      <c r="G116" s="41">
        <v>46340</v>
      </c>
      <c r="H116" s="1" t="s">
        <v>3530</v>
      </c>
      <c r="I116" s="1" t="s">
        <v>3316</v>
      </c>
      <c r="J116" t="str">
        <f>IF(ISNA(_xlfn.XLOOKUP(B116,customer_master!$A$2:$A$1649, customer_master!$A$2:$A$1649)), "Invalid", "Ok")</f>
        <v>Ok</v>
      </c>
      <c r="K116" t="str">
        <f>IF(ISNA(_xlfn.XLOOKUP(H116,agent_info!$A$2:$A$301, agent_info!$A$2:$A$301)), "Invalid", "Ok")</f>
        <v>Ok</v>
      </c>
    </row>
    <row r="117" spans="1:11" x14ac:dyDescent="0.3">
      <c r="A117" s="1" t="s">
        <v>3531</v>
      </c>
      <c r="B117" s="1" t="s">
        <v>604</v>
      </c>
      <c r="C117" s="1" t="s">
        <v>3314</v>
      </c>
      <c r="D117" s="1">
        <v>670068.27</v>
      </c>
      <c r="E117" s="1">
        <v>33027.040000000001</v>
      </c>
      <c r="F117" s="41">
        <v>45627</v>
      </c>
      <c r="G117" s="41">
        <v>45992</v>
      </c>
      <c r="H117" s="1" t="s">
        <v>3532</v>
      </c>
      <c r="I117" s="1" t="s">
        <v>3324</v>
      </c>
      <c r="J117" t="str">
        <f>IF(ISNA(_xlfn.XLOOKUP(B117,customer_master!$A$2:$A$1649, customer_master!$A$2:$A$1649)), "Invalid", "Ok")</f>
        <v>Ok</v>
      </c>
      <c r="K117" t="str">
        <f>IF(ISNA(_xlfn.XLOOKUP(H117,agent_info!$A$2:$A$301, agent_info!$A$2:$A$301)), "Invalid", "Ok")</f>
        <v>Ok</v>
      </c>
    </row>
    <row r="118" spans="1:11" x14ac:dyDescent="0.3">
      <c r="A118" s="1" t="s">
        <v>3533</v>
      </c>
      <c r="B118" s="1" t="s">
        <v>2516</v>
      </c>
      <c r="C118" s="1" t="s">
        <v>3334</v>
      </c>
      <c r="D118" s="1">
        <v>408398.6</v>
      </c>
      <c r="E118" s="1">
        <v>20890.71</v>
      </c>
      <c r="F118" s="41">
        <v>45330</v>
      </c>
      <c r="G118" s="41">
        <v>45696</v>
      </c>
      <c r="H118" s="1" t="s">
        <v>3462</v>
      </c>
      <c r="I118" s="1" t="s">
        <v>3324</v>
      </c>
      <c r="J118" t="str">
        <f>IF(ISNA(_xlfn.XLOOKUP(B118,customer_master!$A$2:$A$1649, customer_master!$A$2:$A$1649)), "Invalid", "Ok")</f>
        <v>Ok</v>
      </c>
      <c r="K118" t="str">
        <f>IF(ISNA(_xlfn.XLOOKUP(H118,agent_info!$A$2:$A$301, agent_info!$A$2:$A$301)), "Invalid", "Ok")</f>
        <v>Ok</v>
      </c>
    </row>
    <row r="119" spans="1:11" x14ac:dyDescent="0.3">
      <c r="A119" s="1" t="s">
        <v>3534</v>
      </c>
      <c r="B119" s="1" t="s">
        <v>1323</v>
      </c>
      <c r="C119" s="1" t="s">
        <v>3314</v>
      </c>
      <c r="D119" s="1">
        <v>607679.43999999994</v>
      </c>
      <c r="E119" s="1">
        <v>29763.48</v>
      </c>
      <c r="F119" s="41">
        <v>45822</v>
      </c>
      <c r="G119" s="41">
        <v>46187</v>
      </c>
      <c r="H119" s="1" t="s">
        <v>3379</v>
      </c>
      <c r="I119" s="1" t="s">
        <v>3324</v>
      </c>
      <c r="J119" t="str">
        <f>IF(ISNA(_xlfn.XLOOKUP(B119,customer_master!$A$2:$A$1649, customer_master!$A$2:$A$1649)), "Invalid", "Ok")</f>
        <v>Ok</v>
      </c>
      <c r="K119" t="str">
        <f>IF(ISNA(_xlfn.XLOOKUP(H119,agent_info!$A$2:$A$301, agent_info!$A$2:$A$301)), "Invalid", "Ok")</f>
        <v>Ok</v>
      </c>
    </row>
    <row r="120" spans="1:11" x14ac:dyDescent="0.3">
      <c r="A120" s="1" t="s">
        <v>3535</v>
      </c>
      <c r="B120" s="1" t="s">
        <v>1169</v>
      </c>
      <c r="C120" s="1" t="s">
        <v>3314</v>
      </c>
      <c r="D120" s="1">
        <v>450163.98</v>
      </c>
      <c r="E120" s="1">
        <v>21409.9</v>
      </c>
      <c r="F120" s="41">
        <v>45627</v>
      </c>
      <c r="G120" s="41">
        <v>45992</v>
      </c>
      <c r="H120" s="1" t="s">
        <v>3536</v>
      </c>
      <c r="I120" s="1" t="s">
        <v>3324</v>
      </c>
      <c r="J120" t="str">
        <f>IF(ISNA(_xlfn.XLOOKUP(B120,customer_master!$A$2:$A$1649, customer_master!$A$2:$A$1649)), "Invalid", "Ok")</f>
        <v>Ok</v>
      </c>
      <c r="K120" t="str">
        <f>IF(ISNA(_xlfn.XLOOKUP(H120,agent_info!$A$2:$A$301, agent_info!$A$2:$A$301)), "Invalid", "Ok")</f>
        <v>Ok</v>
      </c>
    </row>
    <row r="121" spans="1:11" x14ac:dyDescent="0.3">
      <c r="A121" s="1" t="s">
        <v>3537</v>
      </c>
      <c r="B121" s="1" t="s">
        <v>1333</v>
      </c>
      <c r="C121" s="1" t="s">
        <v>3331</v>
      </c>
      <c r="D121" s="1">
        <v>460738.29</v>
      </c>
      <c r="E121" s="1">
        <v>22904.83</v>
      </c>
      <c r="F121" s="41">
        <v>45306</v>
      </c>
      <c r="G121" s="41">
        <v>45672</v>
      </c>
      <c r="H121" s="1" t="s">
        <v>3538</v>
      </c>
      <c r="I121" s="1" t="s">
        <v>3316</v>
      </c>
      <c r="J121" t="str">
        <f>IF(ISNA(_xlfn.XLOOKUP(B121,customer_master!$A$2:$A$1649, customer_master!$A$2:$A$1649)), "Invalid", "Ok")</f>
        <v>Ok</v>
      </c>
      <c r="K121" t="str">
        <f>IF(ISNA(_xlfn.XLOOKUP(H121,agent_info!$A$2:$A$301, agent_info!$A$2:$A$301)), "Invalid", "Ok")</f>
        <v>Ok</v>
      </c>
    </row>
    <row r="122" spans="1:11" x14ac:dyDescent="0.3">
      <c r="A122" s="1" t="s">
        <v>3539</v>
      </c>
      <c r="B122" s="1" t="s">
        <v>1877</v>
      </c>
      <c r="C122" s="1" t="s">
        <v>3314</v>
      </c>
      <c r="D122" s="1">
        <v>474802.89</v>
      </c>
      <c r="E122" s="1">
        <v>24786.99</v>
      </c>
      <c r="F122" s="41">
        <v>44348</v>
      </c>
      <c r="G122" s="41">
        <v>44713</v>
      </c>
      <c r="H122" s="1" t="s">
        <v>3363</v>
      </c>
      <c r="I122" s="1" t="s">
        <v>3324</v>
      </c>
      <c r="J122" t="str">
        <f>IF(ISNA(_xlfn.XLOOKUP(B122,customer_master!$A$2:$A$1649, customer_master!$A$2:$A$1649)), "Invalid", "Ok")</f>
        <v>Ok</v>
      </c>
      <c r="K122" t="str">
        <f>IF(ISNA(_xlfn.XLOOKUP(H122,agent_info!$A$2:$A$301, agent_info!$A$2:$A$301)), "Invalid", "Ok")</f>
        <v>Ok</v>
      </c>
    </row>
    <row r="123" spans="1:11" x14ac:dyDescent="0.3">
      <c r="A123" s="1" t="s">
        <v>3540</v>
      </c>
      <c r="B123" s="1" t="s">
        <v>1129</v>
      </c>
      <c r="C123" s="1" t="s">
        <v>3331</v>
      </c>
      <c r="D123" s="1">
        <v>386957.6</v>
      </c>
      <c r="E123" s="1">
        <v>21100.06</v>
      </c>
      <c r="F123" s="41">
        <v>45303</v>
      </c>
      <c r="G123" s="41">
        <v>45669</v>
      </c>
      <c r="H123" s="1" t="s">
        <v>3541</v>
      </c>
      <c r="I123" s="1" t="s">
        <v>3324</v>
      </c>
      <c r="J123" t="str">
        <f>IF(ISNA(_xlfn.XLOOKUP(B123,customer_master!$A$2:$A$1649, customer_master!$A$2:$A$1649)), "Invalid", "Ok")</f>
        <v>Ok</v>
      </c>
      <c r="K123" t="str">
        <f>IF(ISNA(_xlfn.XLOOKUP(H123,agent_info!$A$2:$A$301, agent_info!$A$2:$A$301)), "Invalid", "Ok")</f>
        <v>Ok</v>
      </c>
    </row>
    <row r="124" spans="1:11" x14ac:dyDescent="0.3">
      <c r="A124" s="1" t="s">
        <v>3542</v>
      </c>
      <c r="B124" s="1" t="s">
        <v>2304</v>
      </c>
      <c r="C124" s="1" t="s">
        <v>3318</v>
      </c>
      <c r="D124" s="1">
        <v>721736.51</v>
      </c>
      <c r="E124" s="1">
        <v>32782.480000000003</v>
      </c>
      <c r="F124" s="41">
        <v>44498</v>
      </c>
      <c r="G124" s="41">
        <v>44863</v>
      </c>
      <c r="H124" s="1" t="s">
        <v>3543</v>
      </c>
      <c r="I124" s="1" t="s">
        <v>3320</v>
      </c>
      <c r="J124" t="str">
        <f>IF(ISNA(_xlfn.XLOOKUP(B124,customer_master!$A$2:$A$1649, customer_master!$A$2:$A$1649)), "Invalid", "Ok")</f>
        <v>Ok</v>
      </c>
      <c r="K124" t="str">
        <f>IF(ISNA(_xlfn.XLOOKUP(H124,agent_info!$A$2:$A$301, agent_info!$A$2:$A$301)), "Invalid", "Ok")</f>
        <v>Ok</v>
      </c>
    </row>
    <row r="125" spans="1:11" x14ac:dyDescent="0.3">
      <c r="A125" s="1" t="s">
        <v>3544</v>
      </c>
      <c r="B125" s="1" t="s">
        <v>2166</v>
      </c>
      <c r="C125" s="1" t="s">
        <v>3331</v>
      </c>
      <c r="D125" s="1">
        <v>688315.76</v>
      </c>
      <c r="E125" s="1">
        <v>34634.86</v>
      </c>
      <c r="F125" s="41">
        <v>45433</v>
      </c>
      <c r="G125" s="41">
        <v>45798</v>
      </c>
      <c r="H125" s="1" t="s">
        <v>3545</v>
      </c>
      <c r="I125" s="1" t="s">
        <v>3316</v>
      </c>
      <c r="J125" t="str">
        <f>IF(ISNA(_xlfn.XLOOKUP(B125,customer_master!$A$2:$A$1649, customer_master!$A$2:$A$1649)), "Invalid", "Ok")</f>
        <v>Ok</v>
      </c>
      <c r="K125" t="str">
        <f>IF(ISNA(_xlfn.XLOOKUP(H125,agent_info!$A$2:$A$301, agent_info!$A$2:$A$301)), "Invalid", "Ok")</f>
        <v>Ok</v>
      </c>
    </row>
    <row r="126" spans="1:11" x14ac:dyDescent="0.3">
      <c r="A126" s="1" t="s">
        <v>3546</v>
      </c>
      <c r="B126" s="1" t="s">
        <v>1709</v>
      </c>
      <c r="C126" s="1" t="s">
        <v>3314</v>
      </c>
      <c r="D126" s="1">
        <v>397045.28</v>
      </c>
      <c r="E126" s="1">
        <v>20392.11</v>
      </c>
      <c r="F126" s="41">
        <v>45341</v>
      </c>
      <c r="G126" s="41">
        <v>45707</v>
      </c>
      <c r="H126" s="1" t="s">
        <v>3459</v>
      </c>
      <c r="I126" s="1" t="s">
        <v>3316</v>
      </c>
      <c r="J126" t="str">
        <f>IF(ISNA(_xlfn.XLOOKUP(B126,customer_master!$A$2:$A$1649, customer_master!$A$2:$A$1649)), "Invalid", "Ok")</f>
        <v>Ok</v>
      </c>
      <c r="K126" t="str">
        <f>IF(ISNA(_xlfn.XLOOKUP(H126,agent_info!$A$2:$A$301, agent_info!$A$2:$A$301)), "Invalid", "Ok")</f>
        <v>Ok</v>
      </c>
    </row>
    <row r="127" spans="1:11" x14ac:dyDescent="0.3">
      <c r="A127" s="1" t="s">
        <v>3547</v>
      </c>
      <c r="B127" s="1" t="s">
        <v>210</v>
      </c>
      <c r="C127" s="1" t="s">
        <v>3331</v>
      </c>
      <c r="D127" s="1">
        <v>403240.19</v>
      </c>
      <c r="E127" s="1">
        <v>18491.47</v>
      </c>
      <c r="F127" s="41">
        <v>44192</v>
      </c>
      <c r="G127" s="41">
        <v>44557</v>
      </c>
      <c r="H127" s="1" t="s">
        <v>3548</v>
      </c>
      <c r="I127" s="1" t="s">
        <v>3324</v>
      </c>
      <c r="J127" t="str">
        <f>IF(ISNA(_xlfn.XLOOKUP(B127,customer_master!$A$2:$A$1649, customer_master!$A$2:$A$1649)), "Invalid", "Ok")</f>
        <v>Ok</v>
      </c>
      <c r="K127" t="str">
        <f>IF(ISNA(_xlfn.XLOOKUP(H127,agent_info!$A$2:$A$301, agent_info!$A$2:$A$301)), "Invalid", "Ok")</f>
        <v>Ok</v>
      </c>
    </row>
    <row r="128" spans="1:11" x14ac:dyDescent="0.3">
      <c r="A128" s="1" t="s">
        <v>3549</v>
      </c>
      <c r="B128" s="1" t="s">
        <v>3112</v>
      </c>
      <c r="C128" s="1" t="s">
        <v>3331</v>
      </c>
      <c r="D128" s="1">
        <v>680167.52</v>
      </c>
      <c r="E128" s="1">
        <v>36247.29</v>
      </c>
      <c r="F128" s="41">
        <v>45326</v>
      </c>
      <c r="G128" s="41">
        <v>45692</v>
      </c>
      <c r="H128" s="1" t="s">
        <v>3550</v>
      </c>
      <c r="I128" s="1" t="s">
        <v>3324</v>
      </c>
      <c r="J128" t="str">
        <f>IF(ISNA(_xlfn.XLOOKUP(B128,customer_master!$A$2:$A$1649, customer_master!$A$2:$A$1649)), "Invalid", "Ok")</f>
        <v>Ok</v>
      </c>
      <c r="K128" t="str">
        <f>IF(ISNA(_xlfn.XLOOKUP(H128,agent_info!$A$2:$A$301, agent_info!$A$2:$A$301)), "Invalid", "Ok")</f>
        <v>Ok</v>
      </c>
    </row>
    <row r="129" spans="1:11" x14ac:dyDescent="0.3">
      <c r="A129" s="1" t="s">
        <v>3551</v>
      </c>
      <c r="B129" s="1" t="s">
        <v>1396</v>
      </c>
      <c r="C129" s="1" t="s">
        <v>3326</v>
      </c>
      <c r="D129" s="1">
        <v>352381.15</v>
      </c>
      <c r="E129" s="1">
        <v>16829.55</v>
      </c>
      <c r="F129" s="41">
        <v>44492</v>
      </c>
      <c r="G129" s="41">
        <v>44857</v>
      </c>
      <c r="H129" s="1" t="s">
        <v>3545</v>
      </c>
      <c r="I129" s="1" t="s">
        <v>3320</v>
      </c>
      <c r="J129" t="str">
        <f>IF(ISNA(_xlfn.XLOOKUP(B129,customer_master!$A$2:$A$1649, customer_master!$A$2:$A$1649)), "Invalid", "Ok")</f>
        <v>Ok</v>
      </c>
      <c r="K129" t="str">
        <f>IF(ISNA(_xlfn.XLOOKUP(H129,agent_info!$A$2:$A$301, agent_info!$A$2:$A$301)), "Invalid", "Ok")</f>
        <v>Ok</v>
      </c>
    </row>
    <row r="130" spans="1:11" x14ac:dyDescent="0.3">
      <c r="A130" s="1" t="s">
        <v>3552</v>
      </c>
      <c r="B130" s="1" t="s">
        <v>1511</v>
      </c>
      <c r="C130" s="1" t="s">
        <v>3314</v>
      </c>
      <c r="D130" s="1">
        <v>565564.57999999996</v>
      </c>
      <c r="E130" s="1">
        <v>30398.6</v>
      </c>
      <c r="F130" s="41">
        <v>45120</v>
      </c>
      <c r="G130" s="41">
        <v>45486</v>
      </c>
      <c r="H130" s="1" t="s">
        <v>3553</v>
      </c>
      <c r="I130" s="1" t="s">
        <v>3316</v>
      </c>
      <c r="J130" t="str">
        <f>IF(ISNA(_xlfn.XLOOKUP(B130,customer_master!$A$2:$A$1649, customer_master!$A$2:$A$1649)), "Invalid", "Ok")</f>
        <v>Ok</v>
      </c>
      <c r="K130" t="str">
        <f>IF(ISNA(_xlfn.XLOOKUP(H130,agent_info!$A$2:$A$301, agent_info!$A$2:$A$301)), "Invalid", "Ok")</f>
        <v>Ok</v>
      </c>
    </row>
    <row r="131" spans="1:11" x14ac:dyDescent="0.3">
      <c r="A131" s="1" t="s">
        <v>3554</v>
      </c>
      <c r="B131" s="1" t="s">
        <v>1533</v>
      </c>
      <c r="C131" s="1" t="s">
        <v>3331</v>
      </c>
      <c r="D131" s="1">
        <v>422433.9</v>
      </c>
      <c r="E131" s="1">
        <v>21343.919999999998</v>
      </c>
      <c r="F131" s="41">
        <v>46042</v>
      </c>
      <c r="G131" s="41">
        <v>46407</v>
      </c>
      <c r="H131" s="1" t="s">
        <v>3555</v>
      </c>
      <c r="I131" s="1" t="s">
        <v>3324</v>
      </c>
      <c r="J131" t="str">
        <f>IF(ISNA(_xlfn.XLOOKUP(B131,customer_master!$A$2:$A$1649, customer_master!$A$2:$A$1649)), "Invalid", "Ok")</f>
        <v>Ok</v>
      </c>
      <c r="K131" t="str">
        <f>IF(ISNA(_xlfn.XLOOKUP(H131,agent_info!$A$2:$A$301, agent_info!$A$2:$A$301)), "Invalid", "Ok")</f>
        <v>Ok</v>
      </c>
    </row>
    <row r="132" spans="1:11" x14ac:dyDescent="0.3">
      <c r="A132" s="1" t="s">
        <v>3556</v>
      </c>
      <c r="B132" s="1" t="s">
        <v>1237</v>
      </c>
      <c r="C132" s="1" t="s">
        <v>3326</v>
      </c>
      <c r="D132" s="1">
        <v>557071.28</v>
      </c>
      <c r="E132" s="1">
        <v>25915.4</v>
      </c>
      <c r="F132" s="41">
        <v>44340</v>
      </c>
      <c r="G132" s="41">
        <v>44705</v>
      </c>
      <c r="H132" s="1" t="s">
        <v>3557</v>
      </c>
      <c r="I132" s="1" t="s">
        <v>3320</v>
      </c>
      <c r="J132" t="str">
        <f>IF(ISNA(_xlfn.XLOOKUP(B132,customer_master!$A$2:$A$1649, customer_master!$A$2:$A$1649)), "Invalid", "Ok")</f>
        <v>Ok</v>
      </c>
      <c r="K132" t="str">
        <f>IF(ISNA(_xlfn.XLOOKUP(H132,agent_info!$A$2:$A$301, agent_info!$A$2:$A$301)), "Invalid", "Ok")</f>
        <v>Ok</v>
      </c>
    </row>
    <row r="133" spans="1:11" x14ac:dyDescent="0.3">
      <c r="A133" s="1" t="s">
        <v>3558</v>
      </c>
      <c r="B133" s="1" t="s">
        <v>2254</v>
      </c>
      <c r="C133" s="1" t="s">
        <v>3334</v>
      </c>
      <c r="D133" s="1">
        <v>769361.06</v>
      </c>
      <c r="E133" s="1">
        <v>40308.53</v>
      </c>
      <c r="F133" s="41">
        <v>46129</v>
      </c>
      <c r="G133" s="41">
        <v>46494</v>
      </c>
      <c r="H133" s="1" t="s">
        <v>3559</v>
      </c>
      <c r="I133" s="1" t="s">
        <v>3316</v>
      </c>
      <c r="J133" t="str">
        <f>IF(ISNA(_xlfn.XLOOKUP(B133,customer_master!$A$2:$A$1649, customer_master!$A$2:$A$1649)), "Invalid", "Ok")</f>
        <v>Ok</v>
      </c>
      <c r="K133" t="str">
        <f>IF(ISNA(_xlfn.XLOOKUP(H133,agent_info!$A$2:$A$301, agent_info!$A$2:$A$301)), "Invalid", "Ok")</f>
        <v>Ok</v>
      </c>
    </row>
    <row r="134" spans="1:11" x14ac:dyDescent="0.3">
      <c r="A134" s="1" t="s">
        <v>3560</v>
      </c>
      <c r="B134" s="1" t="s">
        <v>81</v>
      </c>
      <c r="C134" s="1" t="s">
        <v>3334</v>
      </c>
      <c r="D134" s="1">
        <v>451228.28</v>
      </c>
      <c r="E134" s="1">
        <v>21014.73</v>
      </c>
      <c r="F134" s="41">
        <v>44470</v>
      </c>
      <c r="G134" s="41">
        <v>44835</v>
      </c>
      <c r="H134" s="1" t="s">
        <v>3408</v>
      </c>
      <c r="I134" s="1" t="s">
        <v>3316</v>
      </c>
      <c r="J134" t="str">
        <f>IF(ISNA(_xlfn.XLOOKUP(B134,customer_master!$A$2:$A$1649, customer_master!$A$2:$A$1649)), "Invalid", "Ok")</f>
        <v>Ok</v>
      </c>
      <c r="K134" t="str">
        <f>IF(ISNA(_xlfn.XLOOKUP(H134,agent_info!$A$2:$A$301, agent_info!$A$2:$A$301)), "Invalid", "Ok")</f>
        <v>Ok</v>
      </c>
    </row>
    <row r="135" spans="1:11" x14ac:dyDescent="0.3">
      <c r="A135" s="1" t="s">
        <v>3561</v>
      </c>
      <c r="B135" s="1" t="s">
        <v>2903</v>
      </c>
      <c r="C135" s="1" t="s">
        <v>3334</v>
      </c>
      <c r="D135" s="1">
        <v>753323.28</v>
      </c>
      <c r="E135" s="1">
        <v>39326.33</v>
      </c>
      <c r="F135" s="41">
        <v>44118</v>
      </c>
      <c r="G135" s="41">
        <v>44483</v>
      </c>
      <c r="H135" s="1" t="s">
        <v>3562</v>
      </c>
      <c r="I135" s="1" t="s">
        <v>3324</v>
      </c>
      <c r="J135" t="str">
        <f>IF(ISNA(_xlfn.XLOOKUP(B135,customer_master!$A$2:$A$1649, customer_master!$A$2:$A$1649)), "Invalid", "Ok")</f>
        <v>Ok</v>
      </c>
      <c r="K135" t="str">
        <f>IF(ISNA(_xlfn.XLOOKUP(H135,agent_info!$A$2:$A$301, agent_info!$A$2:$A$301)), "Invalid", "Ok")</f>
        <v>Ok</v>
      </c>
    </row>
    <row r="136" spans="1:11" x14ac:dyDescent="0.3">
      <c r="A136" s="1" t="s">
        <v>3563</v>
      </c>
      <c r="B136" s="1" t="s">
        <v>369</v>
      </c>
      <c r="C136" s="1" t="s">
        <v>3314</v>
      </c>
      <c r="D136" s="1">
        <v>718209.24</v>
      </c>
      <c r="E136" s="1">
        <v>38123.97</v>
      </c>
      <c r="F136" s="41">
        <v>45801</v>
      </c>
      <c r="G136" s="41">
        <v>46166</v>
      </c>
      <c r="H136" s="1" t="s">
        <v>3337</v>
      </c>
      <c r="I136" s="1" t="s">
        <v>3324</v>
      </c>
      <c r="J136" t="str">
        <f>IF(ISNA(_xlfn.XLOOKUP(B136,customer_master!$A$2:$A$1649, customer_master!$A$2:$A$1649)), "Invalid", "Ok")</f>
        <v>Ok</v>
      </c>
      <c r="K136" t="str">
        <f>IF(ISNA(_xlfn.XLOOKUP(H136,agent_info!$A$2:$A$301, agent_info!$A$2:$A$301)), "Invalid", "Ok")</f>
        <v>Ok</v>
      </c>
    </row>
    <row r="137" spans="1:11" x14ac:dyDescent="0.3">
      <c r="A137" s="1" t="s">
        <v>3564</v>
      </c>
      <c r="B137" s="1" t="s">
        <v>3303</v>
      </c>
      <c r="C137" s="1" t="s">
        <v>3318</v>
      </c>
      <c r="D137" s="1">
        <v>750653.18</v>
      </c>
      <c r="E137" s="1">
        <v>38099.620000000003</v>
      </c>
      <c r="F137" s="41">
        <v>44614</v>
      </c>
      <c r="G137" s="41">
        <v>44979</v>
      </c>
      <c r="H137" s="1" t="s">
        <v>3565</v>
      </c>
      <c r="I137" s="1" t="s">
        <v>3324</v>
      </c>
      <c r="J137" t="str">
        <f>IF(ISNA(_xlfn.XLOOKUP(B137,customer_master!$A$2:$A$1649, customer_master!$A$2:$A$1649)), "Invalid", "Ok")</f>
        <v>Ok</v>
      </c>
      <c r="K137" t="str">
        <f>IF(ISNA(_xlfn.XLOOKUP(H137,agent_info!$A$2:$A$301, agent_info!$A$2:$A$301)), "Invalid", "Ok")</f>
        <v>Ok</v>
      </c>
    </row>
    <row r="138" spans="1:11" x14ac:dyDescent="0.3">
      <c r="A138" s="1" t="s">
        <v>3566</v>
      </c>
      <c r="B138" s="1" t="s">
        <v>2115</v>
      </c>
      <c r="C138" s="1" t="s">
        <v>3318</v>
      </c>
      <c r="D138" s="1">
        <v>667619.30000000005</v>
      </c>
      <c r="E138" s="1">
        <v>31852.73</v>
      </c>
      <c r="F138" s="41">
        <v>45623</v>
      </c>
      <c r="G138" s="41">
        <v>45988</v>
      </c>
      <c r="H138" s="1" t="s">
        <v>3511</v>
      </c>
      <c r="I138" s="1" t="s">
        <v>3324</v>
      </c>
      <c r="J138" t="str">
        <f>IF(ISNA(_xlfn.XLOOKUP(B138,customer_master!$A$2:$A$1649, customer_master!$A$2:$A$1649)), "Invalid", "Ok")</f>
        <v>Ok</v>
      </c>
      <c r="K138" t="str">
        <f>IF(ISNA(_xlfn.XLOOKUP(H138,agent_info!$A$2:$A$301, agent_info!$A$2:$A$301)), "Invalid", "Ok")</f>
        <v>Ok</v>
      </c>
    </row>
    <row r="139" spans="1:11" x14ac:dyDescent="0.3">
      <c r="A139" s="1" t="s">
        <v>3567</v>
      </c>
      <c r="B139" s="1" t="s">
        <v>252</v>
      </c>
      <c r="C139" s="1" t="s">
        <v>3331</v>
      </c>
      <c r="D139" s="1">
        <v>708443.31</v>
      </c>
      <c r="E139" s="1">
        <v>34978.239999999998</v>
      </c>
      <c r="F139" s="41">
        <v>46022</v>
      </c>
      <c r="G139" s="41">
        <v>46387</v>
      </c>
      <c r="H139" s="1" t="s">
        <v>3568</v>
      </c>
      <c r="I139" s="1" t="s">
        <v>3324</v>
      </c>
      <c r="J139" t="str">
        <f>IF(ISNA(_xlfn.XLOOKUP(B139,customer_master!$A$2:$A$1649, customer_master!$A$2:$A$1649)), "Invalid", "Ok")</f>
        <v>Ok</v>
      </c>
      <c r="K139" t="str">
        <f>IF(ISNA(_xlfn.XLOOKUP(H139,agent_info!$A$2:$A$301, agent_info!$A$2:$A$301)), "Invalid", "Ok")</f>
        <v>Ok</v>
      </c>
    </row>
    <row r="140" spans="1:11" x14ac:dyDescent="0.3">
      <c r="A140" s="1" t="s">
        <v>3569</v>
      </c>
      <c r="B140" s="1" t="s">
        <v>1889</v>
      </c>
      <c r="C140" s="1" t="s">
        <v>3334</v>
      </c>
      <c r="D140" s="1">
        <v>613920.09</v>
      </c>
      <c r="E140" s="1">
        <v>30868.03</v>
      </c>
      <c r="F140" s="41">
        <v>45050</v>
      </c>
      <c r="G140" s="41">
        <v>45416</v>
      </c>
      <c r="H140" s="1" t="s">
        <v>3570</v>
      </c>
      <c r="I140" s="1" t="s">
        <v>3316</v>
      </c>
      <c r="J140" t="str">
        <f>IF(ISNA(_xlfn.XLOOKUP(B140,customer_master!$A$2:$A$1649, customer_master!$A$2:$A$1649)), "Invalid", "Ok")</f>
        <v>Ok</v>
      </c>
      <c r="K140" t="str">
        <f>IF(ISNA(_xlfn.XLOOKUP(H140,agent_info!$A$2:$A$301, agent_info!$A$2:$A$301)), "Invalid", "Ok")</f>
        <v>Ok</v>
      </c>
    </row>
    <row r="141" spans="1:11" x14ac:dyDescent="0.3">
      <c r="A141" s="1" t="s">
        <v>3571</v>
      </c>
      <c r="B141" s="1" t="s">
        <v>1123</v>
      </c>
      <c r="C141" s="1" t="s">
        <v>3314</v>
      </c>
      <c r="D141" s="1">
        <v>718904.37</v>
      </c>
      <c r="E141" s="1">
        <v>37137.03</v>
      </c>
      <c r="F141" s="41">
        <v>45845</v>
      </c>
      <c r="G141" s="41">
        <v>46210</v>
      </c>
      <c r="H141" s="1" t="s">
        <v>3345</v>
      </c>
      <c r="I141" s="1" t="s">
        <v>3324</v>
      </c>
      <c r="J141" t="str">
        <f>IF(ISNA(_xlfn.XLOOKUP(B141,customer_master!$A$2:$A$1649, customer_master!$A$2:$A$1649)), "Invalid", "Ok")</f>
        <v>Ok</v>
      </c>
      <c r="K141" t="str">
        <f>IF(ISNA(_xlfn.XLOOKUP(H141,agent_info!$A$2:$A$301, agent_info!$A$2:$A$301)), "Invalid", "Ok")</f>
        <v>Ok</v>
      </c>
    </row>
    <row r="142" spans="1:11" x14ac:dyDescent="0.3">
      <c r="A142" s="1" t="s">
        <v>3572</v>
      </c>
      <c r="B142" s="1" t="s">
        <v>3160</v>
      </c>
      <c r="C142" s="1" t="s">
        <v>3331</v>
      </c>
      <c r="D142" s="1">
        <v>424041.93</v>
      </c>
      <c r="E142" s="1">
        <v>21770</v>
      </c>
      <c r="F142" s="41">
        <v>45407</v>
      </c>
      <c r="G142" s="41">
        <v>45772</v>
      </c>
      <c r="H142" s="1" t="s">
        <v>3494</v>
      </c>
      <c r="I142" s="1" t="s">
        <v>3324</v>
      </c>
      <c r="J142" t="str">
        <f>IF(ISNA(_xlfn.XLOOKUP(B142,customer_master!$A$2:$A$1649, customer_master!$A$2:$A$1649)), "Invalid", "Ok")</f>
        <v>Ok</v>
      </c>
      <c r="K142" t="str">
        <f>IF(ISNA(_xlfn.XLOOKUP(H142,agent_info!$A$2:$A$301, agent_info!$A$2:$A$301)), "Invalid", "Ok")</f>
        <v>Ok</v>
      </c>
    </row>
    <row r="143" spans="1:11" x14ac:dyDescent="0.3">
      <c r="A143" s="1" t="s">
        <v>3573</v>
      </c>
      <c r="B143" s="1" t="s">
        <v>2519</v>
      </c>
      <c r="C143" s="1" t="s">
        <v>3334</v>
      </c>
      <c r="D143" s="1">
        <v>670536.91</v>
      </c>
      <c r="E143" s="1">
        <v>32859.15</v>
      </c>
      <c r="F143" s="41">
        <v>44957</v>
      </c>
      <c r="G143" s="41">
        <v>45322</v>
      </c>
      <c r="H143" s="1" t="s">
        <v>3574</v>
      </c>
      <c r="I143" s="1" t="s">
        <v>3324</v>
      </c>
      <c r="J143" t="str">
        <f>IF(ISNA(_xlfn.XLOOKUP(B143,customer_master!$A$2:$A$1649, customer_master!$A$2:$A$1649)), "Invalid", "Ok")</f>
        <v>Ok</v>
      </c>
      <c r="K143" t="str">
        <f>IF(ISNA(_xlfn.XLOOKUP(H143,agent_info!$A$2:$A$301, agent_info!$A$2:$A$301)), "Invalid", "Ok")</f>
        <v>Ok</v>
      </c>
    </row>
    <row r="144" spans="1:11" x14ac:dyDescent="0.3">
      <c r="A144" s="1" t="s">
        <v>3575</v>
      </c>
      <c r="B144" s="1" t="s">
        <v>1705</v>
      </c>
      <c r="C144" s="1" t="s">
        <v>3331</v>
      </c>
      <c r="D144" s="1">
        <v>621358.05000000005</v>
      </c>
      <c r="E144" s="1">
        <v>32672.04</v>
      </c>
      <c r="F144" s="41">
        <v>44175</v>
      </c>
      <c r="G144" s="41">
        <v>44540</v>
      </c>
      <c r="H144" s="1" t="s">
        <v>3576</v>
      </c>
      <c r="I144" s="1" t="s">
        <v>3324</v>
      </c>
      <c r="J144" t="str">
        <f>IF(ISNA(_xlfn.XLOOKUP(B144,customer_master!$A$2:$A$1649, customer_master!$A$2:$A$1649)), "Invalid", "Ok")</f>
        <v>Ok</v>
      </c>
      <c r="K144" t="str">
        <f>IF(ISNA(_xlfn.XLOOKUP(H144,agent_info!$A$2:$A$301, agent_info!$A$2:$A$301)), "Invalid", "Ok")</f>
        <v>Ok</v>
      </c>
    </row>
    <row r="145" spans="1:11" x14ac:dyDescent="0.3">
      <c r="A145" s="1" t="s">
        <v>3577</v>
      </c>
      <c r="B145" s="1" t="s">
        <v>1447</v>
      </c>
      <c r="C145" s="1" t="s">
        <v>3318</v>
      </c>
      <c r="D145" s="1">
        <v>400621.97</v>
      </c>
      <c r="E145" s="1">
        <v>21118.45</v>
      </c>
      <c r="F145" s="41">
        <v>45966</v>
      </c>
      <c r="G145" s="41">
        <v>46331</v>
      </c>
      <c r="H145" s="1" t="s">
        <v>3507</v>
      </c>
      <c r="I145" s="1" t="s">
        <v>3316</v>
      </c>
      <c r="J145" t="str">
        <f>IF(ISNA(_xlfn.XLOOKUP(B145,customer_master!$A$2:$A$1649, customer_master!$A$2:$A$1649)), "Invalid", "Ok")</f>
        <v>Ok</v>
      </c>
      <c r="K145" t="str">
        <f>IF(ISNA(_xlfn.XLOOKUP(H145,agent_info!$A$2:$A$301, agent_info!$A$2:$A$301)), "Invalid", "Ok")</f>
        <v>Ok</v>
      </c>
    </row>
    <row r="146" spans="1:11" x14ac:dyDescent="0.3">
      <c r="A146" s="1" t="s">
        <v>3578</v>
      </c>
      <c r="B146" s="1" t="s">
        <v>3295</v>
      </c>
      <c r="C146" s="1" t="s">
        <v>3334</v>
      </c>
      <c r="D146" s="1">
        <v>497262.29</v>
      </c>
      <c r="E146" s="1">
        <v>25839.4</v>
      </c>
      <c r="F146" s="41">
        <v>44127</v>
      </c>
      <c r="G146" s="41">
        <v>44492</v>
      </c>
      <c r="H146" s="1" t="s">
        <v>3579</v>
      </c>
      <c r="I146" s="1" t="s">
        <v>3324</v>
      </c>
      <c r="J146" t="str">
        <f>IF(ISNA(_xlfn.XLOOKUP(B146,customer_master!$A$2:$A$1649, customer_master!$A$2:$A$1649)), "Invalid", "Ok")</f>
        <v>Ok</v>
      </c>
      <c r="K146" t="str">
        <f>IF(ISNA(_xlfn.XLOOKUP(H146,agent_info!$A$2:$A$301, agent_info!$A$2:$A$301)), "Invalid", "Ok")</f>
        <v>Ok</v>
      </c>
    </row>
    <row r="147" spans="1:11" x14ac:dyDescent="0.3">
      <c r="A147" s="1" t="s">
        <v>3580</v>
      </c>
      <c r="B147" s="1" t="s">
        <v>2228</v>
      </c>
      <c r="C147" s="1" t="s">
        <v>3314</v>
      </c>
      <c r="D147" s="1">
        <v>468201.12</v>
      </c>
      <c r="E147" s="1">
        <v>22343.279999999999</v>
      </c>
      <c r="F147" s="41">
        <v>45034</v>
      </c>
      <c r="G147" s="41">
        <v>45400</v>
      </c>
      <c r="H147" s="1" t="s">
        <v>3581</v>
      </c>
      <c r="I147" s="1" t="s">
        <v>3324</v>
      </c>
      <c r="J147" t="str">
        <f>IF(ISNA(_xlfn.XLOOKUP(B147,customer_master!$A$2:$A$1649, customer_master!$A$2:$A$1649)), "Invalid", "Ok")</f>
        <v>Ok</v>
      </c>
      <c r="K147" t="str">
        <f>IF(ISNA(_xlfn.XLOOKUP(H147,agent_info!$A$2:$A$301, agent_info!$A$2:$A$301)), "Invalid", "Ok")</f>
        <v>Ok</v>
      </c>
    </row>
    <row r="148" spans="1:11" x14ac:dyDescent="0.3">
      <c r="A148" s="1" t="s">
        <v>3582</v>
      </c>
      <c r="B148" s="1" t="s">
        <v>1729</v>
      </c>
      <c r="C148" s="1" t="s">
        <v>3334</v>
      </c>
      <c r="D148" s="1">
        <v>540992.55000000005</v>
      </c>
      <c r="E148" s="1">
        <v>26884.06</v>
      </c>
      <c r="F148" s="41">
        <v>44986</v>
      </c>
      <c r="G148" s="41">
        <v>45352</v>
      </c>
      <c r="H148" s="1" t="s">
        <v>3583</v>
      </c>
      <c r="I148" s="1" t="s">
        <v>3316</v>
      </c>
      <c r="J148" t="str">
        <f>IF(ISNA(_xlfn.XLOOKUP(B148,customer_master!$A$2:$A$1649, customer_master!$A$2:$A$1649)), "Invalid", "Ok")</f>
        <v>Ok</v>
      </c>
      <c r="K148" t="str">
        <f>IF(ISNA(_xlfn.XLOOKUP(H148,agent_info!$A$2:$A$301, agent_info!$A$2:$A$301)), "Invalid", "Ok")</f>
        <v>Ok</v>
      </c>
    </row>
    <row r="149" spans="1:11" x14ac:dyDescent="0.3">
      <c r="A149" s="1" t="s">
        <v>3584</v>
      </c>
      <c r="B149" s="1" t="s">
        <v>1358</v>
      </c>
      <c r="C149" s="1" t="s">
        <v>3326</v>
      </c>
      <c r="D149" s="1">
        <v>419423.67</v>
      </c>
      <c r="E149" s="1">
        <v>20689.150000000001</v>
      </c>
      <c r="F149" s="41">
        <v>45961</v>
      </c>
      <c r="G149" s="41">
        <v>46326</v>
      </c>
      <c r="H149" s="1" t="s">
        <v>3585</v>
      </c>
      <c r="I149" s="1" t="s">
        <v>3324</v>
      </c>
      <c r="J149" t="str">
        <f>IF(ISNA(_xlfn.XLOOKUP(B149,customer_master!$A$2:$A$1649, customer_master!$A$2:$A$1649)), "Invalid", "Ok")</f>
        <v>Ok</v>
      </c>
      <c r="K149" t="str">
        <f>IF(ISNA(_xlfn.XLOOKUP(H149,agent_info!$A$2:$A$301, agent_info!$A$2:$A$301)), "Invalid", "Ok")</f>
        <v>Ok</v>
      </c>
    </row>
    <row r="150" spans="1:11" x14ac:dyDescent="0.3">
      <c r="A150" s="1" t="s">
        <v>3586</v>
      </c>
      <c r="B150" s="1" t="s">
        <v>1097</v>
      </c>
      <c r="C150" s="1" t="s">
        <v>3318</v>
      </c>
      <c r="D150" s="1">
        <v>481885.61</v>
      </c>
      <c r="E150" s="1">
        <v>25620.86</v>
      </c>
      <c r="F150" s="41">
        <v>44772</v>
      </c>
      <c r="G150" s="41">
        <v>45137</v>
      </c>
      <c r="H150" s="1" t="s">
        <v>3587</v>
      </c>
      <c r="I150" s="1" t="s">
        <v>3324</v>
      </c>
      <c r="J150" t="str">
        <f>IF(ISNA(_xlfn.XLOOKUP(B150,customer_master!$A$2:$A$1649, customer_master!$A$2:$A$1649)), "Invalid", "Ok")</f>
        <v>Ok</v>
      </c>
      <c r="K150" t="str">
        <f>IF(ISNA(_xlfn.XLOOKUP(H150,agent_info!$A$2:$A$301, agent_info!$A$2:$A$301)), "Invalid", "Ok")</f>
        <v>Ok</v>
      </c>
    </row>
    <row r="151" spans="1:11" x14ac:dyDescent="0.3">
      <c r="A151" s="1" t="s">
        <v>3588</v>
      </c>
      <c r="B151" s="1" t="s">
        <v>2358</v>
      </c>
      <c r="C151" s="1" t="s">
        <v>3318</v>
      </c>
      <c r="D151" s="1">
        <v>489899.39</v>
      </c>
      <c r="E151" s="1">
        <v>26004.74</v>
      </c>
      <c r="F151" s="41">
        <v>44640</v>
      </c>
      <c r="G151" s="41">
        <v>45005</v>
      </c>
      <c r="H151" s="1" t="s">
        <v>3589</v>
      </c>
      <c r="I151" s="1" t="s">
        <v>3324</v>
      </c>
      <c r="J151" t="str">
        <f>IF(ISNA(_xlfn.XLOOKUP(B151,customer_master!$A$2:$A$1649, customer_master!$A$2:$A$1649)), "Invalid", "Ok")</f>
        <v>Ok</v>
      </c>
      <c r="K151" t="str">
        <f>IF(ISNA(_xlfn.XLOOKUP(H151,agent_info!$A$2:$A$301, agent_info!$A$2:$A$301)), "Invalid", "Ok")</f>
        <v>Ok</v>
      </c>
    </row>
    <row r="152" spans="1:11" x14ac:dyDescent="0.3">
      <c r="A152" s="1" t="s">
        <v>3590</v>
      </c>
      <c r="B152" s="1" t="s">
        <v>1964</v>
      </c>
      <c r="C152" s="1" t="s">
        <v>3326</v>
      </c>
      <c r="D152" s="1">
        <v>559933.81000000006</v>
      </c>
      <c r="E152" s="1">
        <v>30046.5</v>
      </c>
      <c r="F152" s="41">
        <v>44328</v>
      </c>
      <c r="G152" s="41">
        <v>44693</v>
      </c>
      <c r="H152" s="1" t="s">
        <v>3347</v>
      </c>
      <c r="I152" s="1" t="s">
        <v>3324</v>
      </c>
      <c r="J152" t="str">
        <f>IF(ISNA(_xlfn.XLOOKUP(B152,customer_master!$A$2:$A$1649, customer_master!$A$2:$A$1649)), "Invalid", "Ok")</f>
        <v>Ok</v>
      </c>
      <c r="K152" t="str">
        <f>IF(ISNA(_xlfn.XLOOKUP(H152,agent_info!$A$2:$A$301, agent_info!$A$2:$A$301)), "Invalid", "Ok")</f>
        <v>Ok</v>
      </c>
    </row>
    <row r="153" spans="1:11" x14ac:dyDescent="0.3">
      <c r="A153" s="1" t="s">
        <v>3591</v>
      </c>
      <c r="B153" s="1" t="s">
        <v>2819</v>
      </c>
      <c r="C153" s="1" t="s">
        <v>3331</v>
      </c>
      <c r="D153" s="1">
        <v>432954.34</v>
      </c>
      <c r="E153" s="1">
        <v>20483.830000000002</v>
      </c>
      <c r="F153" s="41">
        <v>44294</v>
      </c>
      <c r="G153" s="41">
        <v>44659</v>
      </c>
      <c r="H153" s="1" t="s">
        <v>3511</v>
      </c>
      <c r="I153" s="1" t="s">
        <v>3316</v>
      </c>
      <c r="J153" t="str">
        <f>IF(ISNA(_xlfn.XLOOKUP(B153,customer_master!$A$2:$A$1649, customer_master!$A$2:$A$1649)), "Invalid", "Ok")</f>
        <v>Ok</v>
      </c>
      <c r="K153" t="str">
        <f>IF(ISNA(_xlfn.XLOOKUP(H153,agent_info!$A$2:$A$301, agent_info!$A$2:$A$301)), "Invalid", "Ok")</f>
        <v>Ok</v>
      </c>
    </row>
    <row r="154" spans="1:11" x14ac:dyDescent="0.3">
      <c r="A154" s="1" t="s">
        <v>3592</v>
      </c>
      <c r="B154" s="1" t="s">
        <v>1853</v>
      </c>
      <c r="C154" s="1" t="s">
        <v>3334</v>
      </c>
      <c r="D154" s="1">
        <v>477823.98</v>
      </c>
      <c r="E154" s="1">
        <v>25078.37</v>
      </c>
      <c r="F154" s="41">
        <v>44445</v>
      </c>
      <c r="G154" s="41">
        <v>44810</v>
      </c>
      <c r="H154" s="1" t="s">
        <v>3593</v>
      </c>
      <c r="I154" s="1" t="s">
        <v>3316</v>
      </c>
      <c r="J154" t="str">
        <f>IF(ISNA(_xlfn.XLOOKUP(B154,customer_master!$A$2:$A$1649, customer_master!$A$2:$A$1649)), "Invalid", "Ok")</f>
        <v>Ok</v>
      </c>
      <c r="K154" t="str">
        <f>IF(ISNA(_xlfn.XLOOKUP(H154,agent_info!$A$2:$A$301, agent_info!$A$2:$A$301)), "Invalid", "Ok")</f>
        <v>Ok</v>
      </c>
    </row>
    <row r="155" spans="1:11" x14ac:dyDescent="0.3">
      <c r="A155" s="1" t="s">
        <v>3594</v>
      </c>
      <c r="B155" s="1" t="s">
        <v>1940</v>
      </c>
      <c r="C155" s="1" t="s">
        <v>3326</v>
      </c>
      <c r="D155" s="1">
        <v>461001.82</v>
      </c>
      <c r="E155" s="1">
        <v>24757.64</v>
      </c>
      <c r="F155" s="41">
        <v>44392</v>
      </c>
      <c r="G155" s="41">
        <v>44757</v>
      </c>
      <c r="H155" s="1" t="s">
        <v>3595</v>
      </c>
      <c r="I155" s="1" t="s">
        <v>3316</v>
      </c>
      <c r="J155" t="str">
        <f>IF(ISNA(_xlfn.XLOOKUP(B155,customer_master!$A$2:$A$1649, customer_master!$A$2:$A$1649)), "Invalid", "Ok")</f>
        <v>Ok</v>
      </c>
      <c r="K155" t="str">
        <f>IF(ISNA(_xlfn.XLOOKUP(H155,agent_info!$A$2:$A$301, agent_info!$A$2:$A$301)), "Invalid", "Ok")</f>
        <v>Ok</v>
      </c>
    </row>
    <row r="156" spans="1:11" x14ac:dyDescent="0.3">
      <c r="A156" s="1" t="s">
        <v>3596</v>
      </c>
      <c r="B156" s="1" t="s">
        <v>1600</v>
      </c>
      <c r="C156" s="1" t="s">
        <v>3318</v>
      </c>
      <c r="D156" s="1">
        <v>547747.68000000005</v>
      </c>
      <c r="E156" s="1">
        <v>25560.59</v>
      </c>
      <c r="F156" s="41">
        <v>44637</v>
      </c>
      <c r="G156" s="41">
        <v>45002</v>
      </c>
      <c r="H156" s="1" t="s">
        <v>3369</v>
      </c>
      <c r="I156" s="1" t="s">
        <v>3324</v>
      </c>
      <c r="J156" t="str">
        <f>IF(ISNA(_xlfn.XLOOKUP(B156,customer_master!$A$2:$A$1649, customer_master!$A$2:$A$1649)), "Invalid", "Ok")</f>
        <v>Ok</v>
      </c>
      <c r="K156" t="str">
        <f>IF(ISNA(_xlfn.XLOOKUP(H156,agent_info!$A$2:$A$301, agent_info!$A$2:$A$301)), "Invalid", "Ok")</f>
        <v>Ok</v>
      </c>
    </row>
    <row r="157" spans="1:11" x14ac:dyDescent="0.3">
      <c r="A157" s="1" t="s">
        <v>3597</v>
      </c>
      <c r="B157" s="1" t="s">
        <v>2541</v>
      </c>
      <c r="C157" s="1" t="s">
        <v>3326</v>
      </c>
      <c r="D157" s="1">
        <v>363331.02</v>
      </c>
      <c r="E157" s="1">
        <v>16495</v>
      </c>
      <c r="F157" s="41">
        <v>44273</v>
      </c>
      <c r="G157" s="41">
        <v>44638</v>
      </c>
      <c r="H157" s="1" t="s">
        <v>3598</v>
      </c>
      <c r="I157" s="1" t="s">
        <v>3324</v>
      </c>
      <c r="J157" t="str">
        <f>IF(ISNA(_xlfn.XLOOKUP(B157,customer_master!$A$2:$A$1649, customer_master!$A$2:$A$1649)), "Invalid", "Ok")</f>
        <v>Ok</v>
      </c>
      <c r="K157" t="str">
        <f>IF(ISNA(_xlfn.XLOOKUP(H157,agent_info!$A$2:$A$301, agent_info!$A$2:$A$301)), "Invalid", "Ok")</f>
        <v>Ok</v>
      </c>
    </row>
    <row r="158" spans="1:11" x14ac:dyDescent="0.3">
      <c r="A158" s="1" t="s">
        <v>3599</v>
      </c>
      <c r="B158" s="1" t="s">
        <v>1408</v>
      </c>
      <c r="C158" s="1" t="s">
        <v>3331</v>
      </c>
      <c r="D158" s="1">
        <v>762699.17</v>
      </c>
      <c r="E158" s="1">
        <v>35126.18</v>
      </c>
      <c r="F158" s="41">
        <v>44749</v>
      </c>
      <c r="G158" s="41">
        <v>45114</v>
      </c>
      <c r="H158" s="1" t="s">
        <v>3509</v>
      </c>
      <c r="I158" s="1" t="s">
        <v>3324</v>
      </c>
      <c r="J158" t="str">
        <f>IF(ISNA(_xlfn.XLOOKUP(B158,customer_master!$A$2:$A$1649, customer_master!$A$2:$A$1649)), "Invalid", "Ok")</f>
        <v>Ok</v>
      </c>
      <c r="K158" t="str">
        <f>IF(ISNA(_xlfn.XLOOKUP(H158,agent_info!$A$2:$A$301, agent_info!$A$2:$A$301)), "Invalid", "Ok")</f>
        <v>Ok</v>
      </c>
    </row>
    <row r="159" spans="1:11" x14ac:dyDescent="0.3">
      <c r="A159" s="1" t="s">
        <v>3600</v>
      </c>
      <c r="B159" s="1" t="s">
        <v>2831</v>
      </c>
      <c r="C159" s="1" t="s">
        <v>3326</v>
      </c>
      <c r="D159" s="1">
        <v>455137.2</v>
      </c>
      <c r="E159" s="1">
        <v>23240.23</v>
      </c>
      <c r="F159" s="41">
        <v>44969</v>
      </c>
      <c r="G159" s="41">
        <v>45334</v>
      </c>
      <c r="H159" s="1" t="s">
        <v>3601</v>
      </c>
      <c r="I159" s="1" t="s">
        <v>3316</v>
      </c>
      <c r="J159" t="str">
        <f>IF(ISNA(_xlfn.XLOOKUP(B159,customer_master!$A$2:$A$1649, customer_master!$A$2:$A$1649)), "Invalid", "Ok")</f>
        <v>Ok</v>
      </c>
      <c r="K159" t="str">
        <f>IF(ISNA(_xlfn.XLOOKUP(H159,agent_info!$A$2:$A$301, agent_info!$A$2:$A$301)), "Invalid", "Ok")</f>
        <v>Ok</v>
      </c>
    </row>
    <row r="160" spans="1:11" x14ac:dyDescent="0.3">
      <c r="A160" s="1" t="s">
        <v>3602</v>
      </c>
      <c r="B160" s="1" t="s">
        <v>1109</v>
      </c>
      <c r="C160" s="1" t="s">
        <v>3318</v>
      </c>
      <c r="D160" s="1">
        <v>486616.36</v>
      </c>
      <c r="E160" s="1">
        <v>23949.54</v>
      </c>
      <c r="F160" s="41">
        <v>44447</v>
      </c>
      <c r="G160" s="41">
        <v>44812</v>
      </c>
      <c r="H160" s="1" t="s">
        <v>3603</v>
      </c>
      <c r="I160" s="1" t="s">
        <v>3324</v>
      </c>
      <c r="J160" t="str">
        <f>IF(ISNA(_xlfn.XLOOKUP(B160,customer_master!$A$2:$A$1649, customer_master!$A$2:$A$1649)), "Invalid", "Ok")</f>
        <v>Ok</v>
      </c>
      <c r="K160" t="str">
        <f>IF(ISNA(_xlfn.XLOOKUP(H160,agent_info!$A$2:$A$301, agent_info!$A$2:$A$301)), "Invalid", "Ok")</f>
        <v>Ok</v>
      </c>
    </row>
    <row r="161" spans="1:11" x14ac:dyDescent="0.3">
      <c r="A161" s="1" t="s">
        <v>3604</v>
      </c>
      <c r="B161" s="1" t="s">
        <v>2314</v>
      </c>
      <c r="C161" s="1" t="s">
        <v>3326</v>
      </c>
      <c r="D161" s="1">
        <v>544204.71</v>
      </c>
      <c r="E161" s="1">
        <v>25550.69</v>
      </c>
      <c r="F161" s="41">
        <v>45423</v>
      </c>
      <c r="G161" s="41">
        <v>45788</v>
      </c>
      <c r="H161" s="1" t="s">
        <v>3332</v>
      </c>
      <c r="I161" s="1" t="s">
        <v>3324</v>
      </c>
      <c r="J161" t="str">
        <f>IF(ISNA(_xlfn.XLOOKUP(B161,customer_master!$A$2:$A$1649, customer_master!$A$2:$A$1649)), "Invalid", "Ok")</f>
        <v>Ok</v>
      </c>
      <c r="K161" t="str">
        <f>IF(ISNA(_xlfn.XLOOKUP(H161,agent_info!$A$2:$A$301, agent_info!$A$2:$A$301)), "Invalid", "Ok")</f>
        <v>Ok</v>
      </c>
    </row>
    <row r="162" spans="1:11" x14ac:dyDescent="0.3">
      <c r="A162" s="1" t="s">
        <v>3605</v>
      </c>
      <c r="B162" s="1" t="s">
        <v>2969</v>
      </c>
      <c r="C162" s="1" t="s">
        <v>3334</v>
      </c>
      <c r="D162" s="1">
        <v>713802.39</v>
      </c>
      <c r="E162" s="1">
        <v>35892.15</v>
      </c>
      <c r="F162" s="41">
        <v>44790</v>
      </c>
      <c r="G162" s="41">
        <v>45155</v>
      </c>
      <c r="H162" s="1" t="s">
        <v>3553</v>
      </c>
      <c r="I162" s="1" t="s">
        <v>3324</v>
      </c>
      <c r="J162" t="str">
        <f>IF(ISNA(_xlfn.XLOOKUP(B162,customer_master!$A$2:$A$1649, customer_master!$A$2:$A$1649)), "Invalid", "Ok")</f>
        <v>Ok</v>
      </c>
      <c r="K162" t="str">
        <f>IF(ISNA(_xlfn.XLOOKUP(H162,agent_info!$A$2:$A$301, agent_info!$A$2:$A$301)), "Invalid", "Ok")</f>
        <v>Ok</v>
      </c>
    </row>
    <row r="163" spans="1:11" x14ac:dyDescent="0.3">
      <c r="A163" s="1" t="s">
        <v>3606</v>
      </c>
      <c r="B163" s="1" t="s">
        <v>2563</v>
      </c>
      <c r="C163" s="1" t="s">
        <v>3314</v>
      </c>
      <c r="D163" s="1">
        <v>560871.61</v>
      </c>
      <c r="E163" s="1">
        <v>29645</v>
      </c>
      <c r="F163" s="41">
        <v>44136</v>
      </c>
      <c r="G163" s="41">
        <v>44501</v>
      </c>
      <c r="H163" s="1" t="s">
        <v>3607</v>
      </c>
      <c r="I163" s="1" t="s">
        <v>3324</v>
      </c>
      <c r="J163" t="str">
        <f>IF(ISNA(_xlfn.XLOOKUP(B163,customer_master!$A$2:$A$1649, customer_master!$A$2:$A$1649)), "Invalid", "Ok")</f>
        <v>Ok</v>
      </c>
      <c r="K163" t="str">
        <f>IF(ISNA(_xlfn.XLOOKUP(H163,agent_info!$A$2:$A$301, agent_info!$A$2:$A$301)), "Invalid", "Ok")</f>
        <v>Ok</v>
      </c>
    </row>
    <row r="164" spans="1:11" x14ac:dyDescent="0.3">
      <c r="A164" s="1" t="s">
        <v>3608</v>
      </c>
      <c r="B164" s="1" t="s">
        <v>1165</v>
      </c>
      <c r="C164" s="1" t="s">
        <v>3331</v>
      </c>
      <c r="D164" s="1">
        <v>476432.16</v>
      </c>
      <c r="E164" s="1">
        <v>25516.84</v>
      </c>
      <c r="F164" s="41">
        <v>44205</v>
      </c>
      <c r="G164" s="41">
        <v>44570</v>
      </c>
      <c r="H164" s="1" t="s">
        <v>3587</v>
      </c>
      <c r="I164" s="1" t="s">
        <v>3324</v>
      </c>
      <c r="J164" t="str">
        <f>IF(ISNA(_xlfn.XLOOKUP(B164,customer_master!$A$2:$A$1649, customer_master!$A$2:$A$1649)), "Invalid", "Ok")</f>
        <v>Ok</v>
      </c>
      <c r="K164" t="str">
        <f>IF(ISNA(_xlfn.XLOOKUP(H164,agent_info!$A$2:$A$301, agent_info!$A$2:$A$301)), "Invalid", "Ok")</f>
        <v>Ok</v>
      </c>
    </row>
    <row r="165" spans="1:11" x14ac:dyDescent="0.3">
      <c r="A165" s="1" t="s">
        <v>3609</v>
      </c>
      <c r="B165" s="1" t="s">
        <v>2360</v>
      </c>
      <c r="C165" s="1" t="s">
        <v>3318</v>
      </c>
      <c r="D165" s="1">
        <v>591900.93999999994</v>
      </c>
      <c r="E165" s="1">
        <v>31084.99</v>
      </c>
      <c r="F165" s="41">
        <v>44931</v>
      </c>
      <c r="G165" s="41">
        <v>45296</v>
      </c>
      <c r="H165" s="1" t="s">
        <v>3610</v>
      </c>
      <c r="I165" s="1" t="s">
        <v>3316</v>
      </c>
      <c r="J165" t="str">
        <f>IF(ISNA(_xlfn.XLOOKUP(B165,customer_master!$A$2:$A$1649, customer_master!$A$2:$A$1649)), "Invalid", "Ok")</f>
        <v>Ok</v>
      </c>
      <c r="K165" t="str">
        <f>IF(ISNA(_xlfn.XLOOKUP(H165,agent_info!$A$2:$A$301, agent_info!$A$2:$A$301)), "Invalid", "Ok")</f>
        <v>Ok</v>
      </c>
    </row>
    <row r="166" spans="1:11" x14ac:dyDescent="0.3">
      <c r="A166" s="1" t="s">
        <v>3611</v>
      </c>
      <c r="B166" s="1" t="s">
        <v>739</v>
      </c>
      <c r="C166" s="1" t="s">
        <v>3326</v>
      </c>
      <c r="D166" s="1">
        <v>519029.89</v>
      </c>
      <c r="E166" s="1">
        <v>27952.41</v>
      </c>
      <c r="F166" s="41">
        <v>44778</v>
      </c>
      <c r="G166" s="41">
        <v>45143</v>
      </c>
      <c r="H166" s="1" t="s">
        <v>3530</v>
      </c>
      <c r="I166" s="1" t="s">
        <v>3316</v>
      </c>
      <c r="J166" t="str">
        <f>IF(ISNA(_xlfn.XLOOKUP(B166,customer_master!$A$2:$A$1649, customer_master!$A$2:$A$1649)), "Invalid", "Ok")</f>
        <v>Ok</v>
      </c>
      <c r="K166" t="str">
        <f>IF(ISNA(_xlfn.XLOOKUP(H166,agent_info!$A$2:$A$301, agent_info!$A$2:$A$301)), "Invalid", "Ok")</f>
        <v>Ok</v>
      </c>
    </row>
    <row r="167" spans="1:11" x14ac:dyDescent="0.3">
      <c r="A167" s="1" t="s">
        <v>3612</v>
      </c>
      <c r="B167" s="1" t="s">
        <v>230</v>
      </c>
      <c r="C167" s="1" t="s">
        <v>3334</v>
      </c>
      <c r="D167" s="1">
        <v>547883.81000000006</v>
      </c>
      <c r="E167" s="1">
        <v>27965.01</v>
      </c>
      <c r="F167" s="41">
        <v>44981</v>
      </c>
      <c r="G167" s="41">
        <v>45346</v>
      </c>
      <c r="H167" s="1" t="s">
        <v>3490</v>
      </c>
      <c r="I167" s="1" t="s">
        <v>3316</v>
      </c>
      <c r="J167" t="str">
        <f>IF(ISNA(_xlfn.XLOOKUP(B167,customer_master!$A$2:$A$1649, customer_master!$A$2:$A$1649)), "Invalid", "Ok")</f>
        <v>Ok</v>
      </c>
      <c r="K167" t="str">
        <f>IF(ISNA(_xlfn.XLOOKUP(H167,agent_info!$A$2:$A$301, agent_info!$A$2:$A$301)), "Invalid", "Ok")</f>
        <v>Ok</v>
      </c>
    </row>
    <row r="168" spans="1:11" x14ac:dyDescent="0.3">
      <c r="A168" s="1" t="s">
        <v>3613</v>
      </c>
      <c r="B168" s="1" t="s">
        <v>2625</v>
      </c>
      <c r="C168" s="1" t="s">
        <v>3334</v>
      </c>
      <c r="D168" s="1">
        <v>763794.94</v>
      </c>
      <c r="E168" s="1">
        <v>40764.300000000003</v>
      </c>
      <c r="F168" s="41">
        <v>44787</v>
      </c>
      <c r="G168" s="41">
        <v>45152</v>
      </c>
      <c r="H168" s="1" t="s">
        <v>3559</v>
      </c>
      <c r="I168" s="1" t="s">
        <v>3316</v>
      </c>
      <c r="J168" t="str">
        <f>IF(ISNA(_xlfn.XLOOKUP(B168,customer_master!$A$2:$A$1649, customer_master!$A$2:$A$1649)), "Invalid", "Ok")</f>
        <v>Ok</v>
      </c>
      <c r="K168" t="str">
        <f>IF(ISNA(_xlfn.XLOOKUP(H168,agent_info!$A$2:$A$301, agent_info!$A$2:$A$301)), "Invalid", "Ok")</f>
        <v>Ok</v>
      </c>
    </row>
    <row r="169" spans="1:11" x14ac:dyDescent="0.3">
      <c r="A169" s="1" t="s">
        <v>3614</v>
      </c>
      <c r="B169" s="1" t="s">
        <v>2676</v>
      </c>
      <c r="C169" s="1" t="s">
        <v>3318</v>
      </c>
      <c r="D169" s="1">
        <v>754469.2</v>
      </c>
      <c r="E169" s="1">
        <v>37098.660000000003</v>
      </c>
      <c r="F169" s="41">
        <v>44900</v>
      </c>
      <c r="G169" s="41">
        <v>45265</v>
      </c>
      <c r="H169" s="1" t="s">
        <v>3472</v>
      </c>
      <c r="I169" s="1" t="s">
        <v>3324</v>
      </c>
      <c r="J169" t="str">
        <f>IF(ISNA(_xlfn.XLOOKUP(B169,customer_master!$A$2:$A$1649, customer_master!$A$2:$A$1649)), "Invalid", "Ok")</f>
        <v>Ok</v>
      </c>
      <c r="K169" t="str">
        <f>IF(ISNA(_xlfn.XLOOKUP(H169,agent_info!$A$2:$A$301, agent_info!$A$2:$A$301)), "Invalid", "Ok")</f>
        <v>Ok</v>
      </c>
    </row>
    <row r="170" spans="1:11" x14ac:dyDescent="0.3">
      <c r="A170" s="1" t="s">
        <v>3615</v>
      </c>
      <c r="B170" s="1" t="s">
        <v>111</v>
      </c>
      <c r="C170" s="1" t="s">
        <v>3334</v>
      </c>
      <c r="D170" s="1">
        <v>601348.37</v>
      </c>
      <c r="E170" s="1">
        <v>32187.040000000001</v>
      </c>
      <c r="F170" s="41">
        <v>45891</v>
      </c>
      <c r="G170" s="41">
        <v>46256</v>
      </c>
      <c r="H170" s="1" t="s">
        <v>3417</v>
      </c>
      <c r="I170" s="1" t="s">
        <v>3316</v>
      </c>
      <c r="J170" t="str">
        <f>IF(ISNA(_xlfn.XLOOKUP(B170,customer_master!$A$2:$A$1649, customer_master!$A$2:$A$1649)), "Invalid", "Ok")</f>
        <v>Ok</v>
      </c>
      <c r="K170" t="str">
        <f>IF(ISNA(_xlfn.XLOOKUP(H170,agent_info!$A$2:$A$301, agent_info!$A$2:$A$301)), "Invalid", "Ok")</f>
        <v>Ok</v>
      </c>
    </row>
    <row r="171" spans="1:11" x14ac:dyDescent="0.3">
      <c r="A171" s="1" t="s">
        <v>3616</v>
      </c>
      <c r="B171" s="1" t="s">
        <v>3152</v>
      </c>
      <c r="C171" s="1" t="s">
        <v>3314</v>
      </c>
      <c r="D171" s="1">
        <v>411181.51</v>
      </c>
      <c r="E171" s="1">
        <v>22186.59</v>
      </c>
      <c r="F171" s="41">
        <v>44342</v>
      </c>
      <c r="G171" s="41">
        <v>44707</v>
      </c>
      <c r="H171" s="1" t="s">
        <v>3617</v>
      </c>
      <c r="I171" s="1" t="s">
        <v>3316</v>
      </c>
      <c r="J171" t="str">
        <f>IF(ISNA(_xlfn.XLOOKUP(B171,customer_master!$A$2:$A$1649, customer_master!$A$2:$A$1649)), "Invalid", "Ok")</f>
        <v>Ok</v>
      </c>
      <c r="K171" t="str">
        <f>IF(ISNA(_xlfn.XLOOKUP(H171,agent_info!$A$2:$A$301, agent_info!$A$2:$A$301)), "Invalid", "Ok")</f>
        <v>Ok</v>
      </c>
    </row>
    <row r="172" spans="1:11" x14ac:dyDescent="0.3">
      <c r="A172" s="1" t="s">
        <v>3618</v>
      </c>
      <c r="B172" s="1" t="s">
        <v>1495</v>
      </c>
      <c r="C172" s="1" t="s">
        <v>3331</v>
      </c>
      <c r="D172" s="1">
        <v>597779.06000000006</v>
      </c>
      <c r="E172" s="1">
        <v>31003.26</v>
      </c>
      <c r="F172" s="41">
        <v>44521</v>
      </c>
      <c r="G172" s="41">
        <v>44886</v>
      </c>
      <c r="H172" s="1" t="s">
        <v>3603</v>
      </c>
      <c r="I172" s="1" t="s">
        <v>3316</v>
      </c>
      <c r="J172" t="str">
        <f>IF(ISNA(_xlfn.XLOOKUP(B172,customer_master!$A$2:$A$1649, customer_master!$A$2:$A$1649)), "Invalid", "Ok")</f>
        <v>Ok</v>
      </c>
      <c r="K172" t="str">
        <f>IF(ISNA(_xlfn.XLOOKUP(H172,agent_info!$A$2:$A$301, agent_info!$A$2:$A$301)), "Invalid", "Ok")</f>
        <v>Ok</v>
      </c>
    </row>
    <row r="173" spans="1:11" x14ac:dyDescent="0.3">
      <c r="A173" s="1" t="s">
        <v>3619</v>
      </c>
      <c r="B173" s="1" t="s">
        <v>3008</v>
      </c>
      <c r="C173" s="1" t="s">
        <v>3334</v>
      </c>
      <c r="D173" s="1">
        <v>751701.78</v>
      </c>
      <c r="E173" s="1">
        <v>37066.76</v>
      </c>
      <c r="F173" s="41">
        <v>45725</v>
      </c>
      <c r="G173" s="41">
        <v>46090</v>
      </c>
      <c r="H173" s="1" t="s">
        <v>3620</v>
      </c>
      <c r="I173" s="1" t="s">
        <v>3324</v>
      </c>
      <c r="J173" t="str">
        <f>IF(ISNA(_xlfn.XLOOKUP(B173,customer_master!$A$2:$A$1649, customer_master!$A$2:$A$1649)), "Invalid", "Ok")</f>
        <v>Ok</v>
      </c>
      <c r="K173" t="str">
        <f>IF(ISNA(_xlfn.XLOOKUP(H173,agent_info!$A$2:$A$301, agent_info!$A$2:$A$301)), "Invalid", "Ok")</f>
        <v>Ok</v>
      </c>
    </row>
    <row r="174" spans="1:11" x14ac:dyDescent="0.3">
      <c r="A174" s="1" t="s">
        <v>3621</v>
      </c>
      <c r="B174" s="1" t="s">
        <v>2615</v>
      </c>
      <c r="C174" s="1" t="s">
        <v>3326</v>
      </c>
      <c r="D174" s="1">
        <v>673992.39</v>
      </c>
      <c r="E174" s="1">
        <v>32228.12</v>
      </c>
      <c r="F174" s="41">
        <v>45361</v>
      </c>
      <c r="G174" s="41">
        <v>45726</v>
      </c>
      <c r="H174" s="1" t="s">
        <v>3395</v>
      </c>
      <c r="I174" s="1" t="s">
        <v>3324</v>
      </c>
      <c r="J174" t="str">
        <f>IF(ISNA(_xlfn.XLOOKUP(B174,customer_master!$A$2:$A$1649, customer_master!$A$2:$A$1649)), "Invalid", "Ok")</f>
        <v>Ok</v>
      </c>
      <c r="K174" t="str">
        <f>IF(ISNA(_xlfn.XLOOKUP(H174,agent_info!$A$2:$A$301, agent_info!$A$2:$A$301)), "Invalid", "Ok")</f>
        <v>Ok</v>
      </c>
    </row>
    <row r="175" spans="1:11" x14ac:dyDescent="0.3">
      <c r="A175" s="1" t="s">
        <v>3622</v>
      </c>
      <c r="B175" s="1" t="s">
        <v>2991</v>
      </c>
      <c r="C175" s="1" t="s">
        <v>3318</v>
      </c>
      <c r="D175" s="1">
        <v>459459.32</v>
      </c>
      <c r="E175" s="1">
        <v>22169.74</v>
      </c>
      <c r="F175" s="41">
        <v>45157</v>
      </c>
      <c r="G175" s="41">
        <v>45523</v>
      </c>
      <c r="H175" s="1" t="s">
        <v>3502</v>
      </c>
      <c r="I175" s="1" t="s">
        <v>3320</v>
      </c>
      <c r="J175" t="str">
        <f>IF(ISNA(_xlfn.XLOOKUP(B175,customer_master!$A$2:$A$1649, customer_master!$A$2:$A$1649)), "Invalid", "Ok")</f>
        <v>Ok</v>
      </c>
      <c r="K175" t="str">
        <f>IF(ISNA(_xlfn.XLOOKUP(H175,agent_info!$A$2:$A$301, agent_info!$A$2:$A$301)), "Invalid", "Ok")</f>
        <v>Ok</v>
      </c>
    </row>
    <row r="176" spans="1:11" x14ac:dyDescent="0.3">
      <c r="A176" s="1" t="s">
        <v>3623</v>
      </c>
      <c r="B176" s="1" t="s">
        <v>2764</v>
      </c>
      <c r="C176" s="1" t="s">
        <v>3318</v>
      </c>
      <c r="D176" s="1">
        <v>449865.16</v>
      </c>
      <c r="E176" s="1">
        <v>20839.349999999999</v>
      </c>
      <c r="F176" s="41">
        <v>45726</v>
      </c>
      <c r="G176" s="41">
        <v>46091</v>
      </c>
      <c r="H176" s="1" t="s">
        <v>3443</v>
      </c>
      <c r="I176" s="1" t="s">
        <v>3324</v>
      </c>
      <c r="J176" t="str">
        <f>IF(ISNA(_xlfn.XLOOKUP(B176,customer_master!$A$2:$A$1649, customer_master!$A$2:$A$1649)), "Invalid", "Ok")</f>
        <v>Ok</v>
      </c>
      <c r="K176" t="str">
        <f>IF(ISNA(_xlfn.XLOOKUP(H176,agent_info!$A$2:$A$301, agent_info!$A$2:$A$301)), "Invalid", "Ok")</f>
        <v>Ok</v>
      </c>
    </row>
    <row r="177" spans="1:11" x14ac:dyDescent="0.3">
      <c r="A177" s="1" t="s">
        <v>3624</v>
      </c>
      <c r="B177" s="1" t="s">
        <v>3230</v>
      </c>
      <c r="C177" s="1" t="s">
        <v>3331</v>
      </c>
      <c r="D177" s="1">
        <v>439585.61</v>
      </c>
      <c r="E177" s="1">
        <v>19988.669999999998</v>
      </c>
      <c r="F177" s="41">
        <v>44921</v>
      </c>
      <c r="G177" s="41">
        <v>45286</v>
      </c>
      <c r="H177" s="1" t="s">
        <v>3625</v>
      </c>
      <c r="I177" s="1" t="s">
        <v>3324</v>
      </c>
      <c r="J177" t="str">
        <f>IF(ISNA(_xlfn.XLOOKUP(B177,customer_master!$A$2:$A$1649, customer_master!$A$2:$A$1649)), "Invalid", "Ok")</f>
        <v>Ok</v>
      </c>
      <c r="K177" t="str">
        <f>IF(ISNA(_xlfn.XLOOKUP(H177,agent_info!$A$2:$A$301, agent_info!$A$2:$A$301)), "Invalid", "Ok")</f>
        <v>Ok</v>
      </c>
    </row>
    <row r="178" spans="1:11" x14ac:dyDescent="0.3">
      <c r="A178" s="1" t="s">
        <v>3626</v>
      </c>
      <c r="B178" s="1" t="s">
        <v>2119</v>
      </c>
      <c r="C178" s="1" t="s">
        <v>3318</v>
      </c>
      <c r="D178" s="1">
        <v>687878.48</v>
      </c>
      <c r="E178" s="1">
        <v>33805.22</v>
      </c>
      <c r="F178" s="41">
        <v>44329</v>
      </c>
      <c r="G178" s="41">
        <v>44694</v>
      </c>
      <c r="H178" s="1" t="s">
        <v>3627</v>
      </c>
      <c r="I178" s="1" t="s">
        <v>3324</v>
      </c>
      <c r="J178" t="str">
        <f>IF(ISNA(_xlfn.XLOOKUP(B178,customer_master!$A$2:$A$1649, customer_master!$A$2:$A$1649)), "Invalid", "Ok")</f>
        <v>Ok</v>
      </c>
      <c r="K178" t="str">
        <f>IF(ISNA(_xlfn.XLOOKUP(H178,agent_info!$A$2:$A$301, agent_info!$A$2:$A$301)), "Invalid", "Ok")</f>
        <v>Ok</v>
      </c>
    </row>
    <row r="179" spans="1:11" x14ac:dyDescent="0.3">
      <c r="A179" s="1" t="s">
        <v>3628</v>
      </c>
      <c r="B179" s="1" t="s">
        <v>803</v>
      </c>
      <c r="C179" s="1" t="s">
        <v>3331</v>
      </c>
      <c r="D179" s="1">
        <v>568456</v>
      </c>
      <c r="E179" s="1">
        <v>25823.07</v>
      </c>
      <c r="F179" s="41">
        <v>44209</v>
      </c>
      <c r="G179" s="41">
        <v>44574</v>
      </c>
      <c r="H179" s="1" t="s">
        <v>3629</v>
      </c>
      <c r="I179" s="1" t="s">
        <v>3324</v>
      </c>
      <c r="J179" t="str">
        <f>IF(ISNA(_xlfn.XLOOKUP(B179,customer_master!$A$2:$A$1649, customer_master!$A$2:$A$1649)), "Invalid", "Ok")</f>
        <v>Ok</v>
      </c>
      <c r="K179" t="str">
        <f>IF(ISNA(_xlfn.XLOOKUP(H179,agent_info!$A$2:$A$301, agent_info!$A$2:$A$301)), "Invalid", "Ok")</f>
        <v>Ok</v>
      </c>
    </row>
    <row r="180" spans="1:11" x14ac:dyDescent="0.3">
      <c r="A180" s="1" t="s">
        <v>3630</v>
      </c>
      <c r="B180" s="1" t="s">
        <v>1325</v>
      </c>
      <c r="C180" s="1" t="s">
        <v>3314</v>
      </c>
      <c r="D180" s="1">
        <v>515147.93</v>
      </c>
      <c r="E180" s="1">
        <v>27717.99</v>
      </c>
      <c r="F180" s="41">
        <v>45095</v>
      </c>
      <c r="G180" s="41">
        <v>45461</v>
      </c>
      <c r="H180" s="1" t="s">
        <v>3631</v>
      </c>
      <c r="I180" s="1" t="s">
        <v>3324</v>
      </c>
      <c r="J180" t="str">
        <f>IF(ISNA(_xlfn.XLOOKUP(B180,customer_master!$A$2:$A$1649, customer_master!$A$2:$A$1649)), "Invalid", "Ok")</f>
        <v>Ok</v>
      </c>
      <c r="K180" t="str">
        <f>IF(ISNA(_xlfn.XLOOKUP(H180,agent_info!$A$2:$A$301, agent_info!$A$2:$A$301)), "Invalid", "Ok")</f>
        <v>Ok</v>
      </c>
    </row>
    <row r="181" spans="1:11" x14ac:dyDescent="0.3">
      <c r="A181" s="1" t="s">
        <v>3632</v>
      </c>
      <c r="B181" s="1" t="s">
        <v>2506</v>
      </c>
      <c r="C181" s="1" t="s">
        <v>3318</v>
      </c>
      <c r="D181" s="1">
        <v>500777.11</v>
      </c>
      <c r="E181" s="1">
        <v>25789.81</v>
      </c>
      <c r="F181" s="41">
        <v>44969</v>
      </c>
      <c r="G181" s="41">
        <v>45334</v>
      </c>
      <c r="H181" s="1" t="s">
        <v>3319</v>
      </c>
      <c r="I181" s="1" t="s">
        <v>3324</v>
      </c>
      <c r="J181" t="str">
        <f>IF(ISNA(_xlfn.XLOOKUP(B181,customer_master!$A$2:$A$1649, customer_master!$A$2:$A$1649)), "Invalid", "Ok")</f>
        <v>Ok</v>
      </c>
      <c r="K181" t="str">
        <f>IF(ISNA(_xlfn.XLOOKUP(H181,agent_info!$A$2:$A$301, agent_info!$A$2:$A$301)), "Invalid", "Ok")</f>
        <v>Ok</v>
      </c>
    </row>
    <row r="182" spans="1:11" x14ac:dyDescent="0.3">
      <c r="A182" s="1" t="s">
        <v>3633</v>
      </c>
      <c r="B182" s="1" t="s">
        <v>556</v>
      </c>
      <c r="C182" s="1" t="s">
        <v>3331</v>
      </c>
      <c r="D182" s="1">
        <v>486570.15</v>
      </c>
      <c r="E182" s="1">
        <v>26000.69</v>
      </c>
      <c r="F182" s="41">
        <v>45138</v>
      </c>
      <c r="G182" s="41">
        <v>45504</v>
      </c>
      <c r="H182" s="1" t="s">
        <v>3634</v>
      </c>
      <c r="I182" s="1" t="s">
        <v>3316</v>
      </c>
      <c r="J182" t="str">
        <f>IF(ISNA(_xlfn.XLOOKUP(B182,customer_master!$A$2:$A$1649, customer_master!$A$2:$A$1649)), "Invalid", "Ok")</f>
        <v>Ok</v>
      </c>
      <c r="K182" t="str">
        <f>IF(ISNA(_xlfn.XLOOKUP(H182,agent_info!$A$2:$A$301, agent_info!$A$2:$A$301)), "Invalid", "Ok")</f>
        <v>Ok</v>
      </c>
    </row>
    <row r="183" spans="1:11" x14ac:dyDescent="0.3">
      <c r="A183" s="1" t="s">
        <v>3635</v>
      </c>
      <c r="B183" s="1" t="s">
        <v>3090</v>
      </c>
      <c r="C183" s="1" t="s">
        <v>3334</v>
      </c>
      <c r="D183" s="1">
        <v>724808.61</v>
      </c>
      <c r="E183" s="1">
        <v>35837.56</v>
      </c>
      <c r="F183" s="41">
        <v>44970</v>
      </c>
      <c r="G183" s="41">
        <v>45335</v>
      </c>
      <c r="H183" s="1" t="s">
        <v>3437</v>
      </c>
      <c r="I183" s="1" t="s">
        <v>3324</v>
      </c>
      <c r="J183" t="str">
        <f>IF(ISNA(_xlfn.XLOOKUP(B183,customer_master!$A$2:$A$1649, customer_master!$A$2:$A$1649)), "Invalid", "Ok")</f>
        <v>Ok</v>
      </c>
      <c r="K183" t="str">
        <f>IF(ISNA(_xlfn.XLOOKUP(H183,agent_info!$A$2:$A$301, agent_info!$A$2:$A$301)), "Invalid", "Ok")</f>
        <v>Ok</v>
      </c>
    </row>
    <row r="184" spans="1:11" x14ac:dyDescent="0.3">
      <c r="A184" s="1" t="s">
        <v>3636</v>
      </c>
      <c r="B184" s="1" t="s">
        <v>733</v>
      </c>
      <c r="C184" s="1" t="s">
        <v>3314</v>
      </c>
      <c r="D184" s="1">
        <v>542726.76</v>
      </c>
      <c r="E184" s="1">
        <v>25638.16</v>
      </c>
      <c r="F184" s="41">
        <v>44589</v>
      </c>
      <c r="G184" s="41">
        <v>44954</v>
      </c>
      <c r="H184" s="1" t="s">
        <v>3637</v>
      </c>
      <c r="I184" s="1" t="s">
        <v>3320</v>
      </c>
      <c r="J184" t="str">
        <f>IF(ISNA(_xlfn.XLOOKUP(B184,customer_master!$A$2:$A$1649, customer_master!$A$2:$A$1649)), "Invalid", "Ok")</f>
        <v>Ok</v>
      </c>
      <c r="K184" t="str">
        <f>IF(ISNA(_xlfn.XLOOKUP(H184,agent_info!$A$2:$A$301, agent_info!$A$2:$A$301)), "Invalid", "Ok")</f>
        <v>Ok</v>
      </c>
    </row>
    <row r="185" spans="1:11" x14ac:dyDescent="0.3">
      <c r="A185" s="1" t="s">
        <v>3638</v>
      </c>
      <c r="B185" s="1" t="s">
        <v>2912</v>
      </c>
      <c r="C185" s="1" t="s">
        <v>3318</v>
      </c>
      <c r="D185" s="1">
        <v>470238.7</v>
      </c>
      <c r="E185" s="1">
        <v>22525.74</v>
      </c>
      <c r="F185" s="41">
        <v>46019</v>
      </c>
      <c r="G185" s="41">
        <v>46384</v>
      </c>
      <c r="H185" s="1" t="s">
        <v>3603</v>
      </c>
      <c r="I185" s="1" t="s">
        <v>3320</v>
      </c>
      <c r="J185" t="str">
        <f>IF(ISNA(_xlfn.XLOOKUP(B185,customer_master!$A$2:$A$1649, customer_master!$A$2:$A$1649)), "Invalid", "Ok")</f>
        <v>Ok</v>
      </c>
      <c r="K185" t="str">
        <f>IF(ISNA(_xlfn.XLOOKUP(H185,agent_info!$A$2:$A$301, agent_info!$A$2:$A$301)), "Invalid", "Ok")</f>
        <v>Ok</v>
      </c>
    </row>
    <row r="186" spans="1:11" x14ac:dyDescent="0.3">
      <c r="A186" s="1" t="s">
        <v>3639</v>
      </c>
      <c r="B186" s="1" t="s">
        <v>1624</v>
      </c>
      <c r="C186" s="1" t="s">
        <v>3331</v>
      </c>
      <c r="D186" s="1">
        <v>652519.43000000005</v>
      </c>
      <c r="E186" s="1">
        <v>34940.67</v>
      </c>
      <c r="F186" s="41">
        <v>44666</v>
      </c>
      <c r="G186" s="41">
        <v>45031</v>
      </c>
      <c r="H186" s="1" t="s">
        <v>3490</v>
      </c>
      <c r="I186" s="1" t="s">
        <v>3324</v>
      </c>
      <c r="J186" t="str">
        <f>IF(ISNA(_xlfn.XLOOKUP(B186,customer_master!$A$2:$A$1649, customer_master!$A$2:$A$1649)), "Invalid", "Ok")</f>
        <v>Ok</v>
      </c>
      <c r="K186" t="str">
        <f>IF(ISNA(_xlfn.XLOOKUP(H186,agent_info!$A$2:$A$301, agent_info!$A$2:$A$301)), "Invalid", "Ok")</f>
        <v>Ok</v>
      </c>
    </row>
    <row r="187" spans="1:11" x14ac:dyDescent="0.3">
      <c r="A187" s="1" t="s">
        <v>3640</v>
      </c>
      <c r="B187" s="1" t="s">
        <v>2792</v>
      </c>
      <c r="C187" s="1" t="s">
        <v>3314</v>
      </c>
      <c r="D187" s="1">
        <v>629650</v>
      </c>
      <c r="E187" s="1">
        <v>29101.75</v>
      </c>
      <c r="F187" s="41">
        <v>46188</v>
      </c>
      <c r="G187" s="41">
        <v>46553</v>
      </c>
      <c r="H187" s="1" t="s">
        <v>3641</v>
      </c>
      <c r="I187" s="1" t="s">
        <v>3324</v>
      </c>
      <c r="J187" t="str">
        <f>IF(ISNA(_xlfn.XLOOKUP(B187,customer_master!$A$2:$A$1649, customer_master!$A$2:$A$1649)), "Invalid", "Ok")</f>
        <v>Ok</v>
      </c>
      <c r="K187" t="str">
        <f>IF(ISNA(_xlfn.XLOOKUP(H187,agent_info!$A$2:$A$301, agent_info!$A$2:$A$301)), "Invalid", "Ok")</f>
        <v>Ok</v>
      </c>
    </row>
    <row r="188" spans="1:11" x14ac:dyDescent="0.3">
      <c r="A188" s="1" t="s">
        <v>3642</v>
      </c>
      <c r="B188" s="1" t="s">
        <v>3180</v>
      </c>
      <c r="C188" s="1" t="s">
        <v>3334</v>
      </c>
      <c r="D188" s="1">
        <v>660415.74</v>
      </c>
      <c r="E188" s="1">
        <v>34330.17</v>
      </c>
      <c r="F188" s="41">
        <v>45556</v>
      </c>
      <c r="G188" s="41">
        <v>45921</v>
      </c>
      <c r="H188" s="1" t="s">
        <v>3643</v>
      </c>
      <c r="I188" s="1" t="s">
        <v>3324</v>
      </c>
      <c r="J188" t="str">
        <f>IF(ISNA(_xlfn.XLOOKUP(B188,customer_master!$A$2:$A$1649, customer_master!$A$2:$A$1649)), "Invalid", "Ok")</f>
        <v>Ok</v>
      </c>
      <c r="K188" t="str">
        <f>IF(ISNA(_xlfn.XLOOKUP(H188,agent_info!$A$2:$A$301, agent_info!$A$2:$A$301)), "Invalid", "Ok")</f>
        <v>Ok</v>
      </c>
    </row>
    <row r="189" spans="1:11" x14ac:dyDescent="0.3">
      <c r="A189" s="1" t="s">
        <v>3644</v>
      </c>
      <c r="B189" s="1" t="s">
        <v>1425</v>
      </c>
      <c r="C189" s="1" t="s">
        <v>3326</v>
      </c>
      <c r="D189" s="1">
        <v>637684.64</v>
      </c>
      <c r="E189" s="1">
        <v>30135</v>
      </c>
      <c r="F189" s="41">
        <v>44616</v>
      </c>
      <c r="G189" s="41">
        <v>44981</v>
      </c>
      <c r="H189" s="1" t="s">
        <v>3603</v>
      </c>
      <c r="I189" s="1" t="s">
        <v>3324</v>
      </c>
      <c r="J189" t="str">
        <f>IF(ISNA(_xlfn.XLOOKUP(B189,customer_master!$A$2:$A$1649, customer_master!$A$2:$A$1649)), "Invalid", "Ok")</f>
        <v>Ok</v>
      </c>
      <c r="K189" t="str">
        <f>IF(ISNA(_xlfn.XLOOKUP(H189,agent_info!$A$2:$A$301, agent_info!$A$2:$A$301)), "Invalid", "Ok")</f>
        <v>Ok</v>
      </c>
    </row>
    <row r="190" spans="1:11" x14ac:dyDescent="0.3">
      <c r="A190" s="1" t="s">
        <v>3645</v>
      </c>
      <c r="B190" s="1" t="s">
        <v>2326</v>
      </c>
      <c r="C190" s="1" t="s">
        <v>3334</v>
      </c>
      <c r="D190" s="1">
        <v>423974.98</v>
      </c>
      <c r="E190" s="1">
        <v>20576.23</v>
      </c>
      <c r="F190" s="41">
        <v>45292</v>
      </c>
      <c r="G190" s="41">
        <v>45658</v>
      </c>
      <c r="H190" s="1" t="s">
        <v>3583</v>
      </c>
      <c r="I190" s="1" t="s">
        <v>3324</v>
      </c>
      <c r="J190" t="str">
        <f>IF(ISNA(_xlfn.XLOOKUP(B190,customer_master!$A$2:$A$1649, customer_master!$A$2:$A$1649)), "Invalid", "Ok")</f>
        <v>Ok</v>
      </c>
      <c r="K190" t="str">
        <f>IF(ISNA(_xlfn.XLOOKUP(H190,agent_info!$A$2:$A$301, agent_info!$A$2:$A$301)), "Invalid", "Ok")</f>
        <v>Ok</v>
      </c>
    </row>
    <row r="191" spans="1:11" x14ac:dyDescent="0.3">
      <c r="A191" s="1" t="s">
        <v>3646</v>
      </c>
      <c r="B191" s="1" t="s">
        <v>801</v>
      </c>
      <c r="C191" s="1" t="s">
        <v>3334</v>
      </c>
      <c r="D191" s="1">
        <v>385765.67</v>
      </c>
      <c r="E191" s="1">
        <v>17371.21</v>
      </c>
      <c r="F191" s="41">
        <v>45798</v>
      </c>
      <c r="G191" s="41">
        <v>46163</v>
      </c>
      <c r="H191" s="1" t="s">
        <v>3647</v>
      </c>
      <c r="I191" s="1" t="s">
        <v>3324</v>
      </c>
      <c r="J191" t="str">
        <f>IF(ISNA(_xlfn.XLOOKUP(B191,customer_master!$A$2:$A$1649, customer_master!$A$2:$A$1649)), "Invalid", "Ok")</f>
        <v>Ok</v>
      </c>
      <c r="K191" t="str">
        <f>IF(ISNA(_xlfn.XLOOKUP(H191,agent_info!$A$2:$A$301, agent_info!$A$2:$A$301)), "Invalid", "Ok")</f>
        <v>Ok</v>
      </c>
    </row>
    <row r="192" spans="1:11" x14ac:dyDescent="0.3">
      <c r="A192" s="1" t="s">
        <v>3648</v>
      </c>
      <c r="B192" s="1" t="s">
        <v>2651</v>
      </c>
      <c r="C192" s="1" t="s">
        <v>3326</v>
      </c>
      <c r="D192" s="1">
        <v>367698.18</v>
      </c>
      <c r="E192" s="1">
        <v>18308.02</v>
      </c>
      <c r="F192" s="41">
        <v>44744</v>
      </c>
      <c r="G192" s="41">
        <v>45109</v>
      </c>
      <c r="H192" s="1" t="s">
        <v>3649</v>
      </c>
      <c r="I192" s="1" t="s">
        <v>3324</v>
      </c>
      <c r="J192" t="str">
        <f>IF(ISNA(_xlfn.XLOOKUP(B192,customer_master!$A$2:$A$1649, customer_master!$A$2:$A$1649)), "Invalid", "Ok")</f>
        <v>Ok</v>
      </c>
      <c r="K192" t="str">
        <f>IF(ISNA(_xlfn.XLOOKUP(H192,agent_info!$A$2:$A$301, agent_info!$A$2:$A$301)), "Invalid", "Ok")</f>
        <v>Ok</v>
      </c>
    </row>
    <row r="193" spans="1:11" x14ac:dyDescent="0.3">
      <c r="A193" s="1" t="s">
        <v>3650</v>
      </c>
      <c r="B193" s="1" t="s">
        <v>2724</v>
      </c>
      <c r="C193" s="1" t="s">
        <v>3318</v>
      </c>
      <c r="D193" s="1">
        <v>645167.85</v>
      </c>
      <c r="E193" s="1">
        <v>29860.639999999999</v>
      </c>
      <c r="F193" s="41">
        <v>44968</v>
      </c>
      <c r="G193" s="41">
        <v>45333</v>
      </c>
      <c r="H193" s="1" t="s">
        <v>3643</v>
      </c>
      <c r="I193" s="1" t="s">
        <v>3316</v>
      </c>
      <c r="J193" t="str">
        <f>IF(ISNA(_xlfn.XLOOKUP(B193,customer_master!$A$2:$A$1649, customer_master!$A$2:$A$1649)), "Invalid", "Ok")</f>
        <v>Ok</v>
      </c>
      <c r="K193" t="str">
        <f>IF(ISNA(_xlfn.XLOOKUP(H193,agent_info!$A$2:$A$301, agent_info!$A$2:$A$301)), "Invalid", "Ok")</f>
        <v>Ok</v>
      </c>
    </row>
    <row r="194" spans="1:11" x14ac:dyDescent="0.3">
      <c r="A194" s="1" t="s">
        <v>3651</v>
      </c>
      <c r="B194" s="1" t="s">
        <v>998</v>
      </c>
      <c r="C194" s="1" t="s">
        <v>3334</v>
      </c>
      <c r="D194" s="1">
        <v>744781.17</v>
      </c>
      <c r="E194" s="1">
        <v>39917.64</v>
      </c>
      <c r="F194" s="41">
        <v>44260</v>
      </c>
      <c r="G194" s="41">
        <v>44625</v>
      </c>
      <c r="H194" s="1" t="s">
        <v>3464</v>
      </c>
      <c r="I194" s="1" t="s">
        <v>3316</v>
      </c>
      <c r="J194" t="str">
        <f>IF(ISNA(_xlfn.XLOOKUP(B194,customer_master!$A$2:$A$1649, customer_master!$A$2:$A$1649)), "Invalid", "Ok")</f>
        <v>Ok</v>
      </c>
      <c r="K194" t="str">
        <f>IF(ISNA(_xlfn.XLOOKUP(H194,agent_info!$A$2:$A$301, agent_info!$A$2:$A$301)), "Invalid", "Ok")</f>
        <v>Ok</v>
      </c>
    </row>
    <row r="195" spans="1:11" x14ac:dyDescent="0.3">
      <c r="A195" s="1" t="s">
        <v>3652</v>
      </c>
      <c r="B195" s="1" t="s">
        <v>115</v>
      </c>
      <c r="C195" s="1" t="s">
        <v>3326</v>
      </c>
      <c r="D195" s="1">
        <v>465886.88</v>
      </c>
      <c r="E195" s="1">
        <v>21420.21</v>
      </c>
      <c r="F195" s="41">
        <v>45470</v>
      </c>
      <c r="G195" s="41">
        <v>45835</v>
      </c>
      <c r="H195" s="1" t="s">
        <v>3653</v>
      </c>
      <c r="I195" s="1" t="s">
        <v>3324</v>
      </c>
      <c r="J195" t="str">
        <f>IF(ISNA(_xlfn.XLOOKUP(B195,customer_master!$A$2:$A$1649, customer_master!$A$2:$A$1649)), "Invalid", "Ok")</f>
        <v>Ok</v>
      </c>
      <c r="K195" t="str">
        <f>IF(ISNA(_xlfn.XLOOKUP(H195,agent_info!$A$2:$A$301, agent_info!$A$2:$A$301)), "Invalid", "Ok")</f>
        <v>Ok</v>
      </c>
    </row>
    <row r="196" spans="1:11" x14ac:dyDescent="0.3">
      <c r="A196" s="1" t="s">
        <v>3654</v>
      </c>
      <c r="B196" s="1" t="s">
        <v>1451</v>
      </c>
      <c r="C196" s="1" t="s">
        <v>3326</v>
      </c>
      <c r="D196" s="1">
        <v>623417.96</v>
      </c>
      <c r="E196" s="1">
        <v>29614.65</v>
      </c>
      <c r="F196" s="41">
        <v>44522</v>
      </c>
      <c r="G196" s="41">
        <v>44887</v>
      </c>
      <c r="H196" s="1" t="s">
        <v>3655</v>
      </c>
      <c r="I196" s="1" t="s">
        <v>3324</v>
      </c>
      <c r="J196" t="str">
        <f>IF(ISNA(_xlfn.XLOOKUP(B196,customer_master!$A$2:$A$1649, customer_master!$A$2:$A$1649)), "Invalid", "Ok")</f>
        <v>Ok</v>
      </c>
      <c r="K196" t="str">
        <f>IF(ISNA(_xlfn.XLOOKUP(H196,agent_info!$A$2:$A$301, agent_info!$A$2:$A$301)), "Invalid", "Ok")</f>
        <v>Ok</v>
      </c>
    </row>
    <row r="197" spans="1:11" x14ac:dyDescent="0.3">
      <c r="A197" s="1" t="s">
        <v>3656</v>
      </c>
      <c r="B197" s="1" t="s">
        <v>598</v>
      </c>
      <c r="C197" s="1" t="s">
        <v>3334</v>
      </c>
      <c r="D197" s="1">
        <v>665736.04</v>
      </c>
      <c r="E197" s="1">
        <v>30056.639999999999</v>
      </c>
      <c r="F197" s="41">
        <v>46198</v>
      </c>
      <c r="G197" s="41">
        <v>46563</v>
      </c>
      <c r="H197" s="1" t="s">
        <v>3570</v>
      </c>
      <c r="I197" s="1" t="s">
        <v>3324</v>
      </c>
      <c r="J197" t="str">
        <f>IF(ISNA(_xlfn.XLOOKUP(B197,customer_master!$A$2:$A$1649, customer_master!$A$2:$A$1649)), "Invalid", "Ok")</f>
        <v>Ok</v>
      </c>
      <c r="K197" t="str">
        <f>IF(ISNA(_xlfn.XLOOKUP(H197,agent_info!$A$2:$A$301, agent_info!$A$2:$A$301)), "Invalid", "Ok")</f>
        <v>Ok</v>
      </c>
    </row>
    <row r="198" spans="1:11" x14ac:dyDescent="0.3">
      <c r="A198" s="1" t="s">
        <v>3657</v>
      </c>
      <c r="B198" s="1" t="s">
        <v>2716</v>
      </c>
      <c r="C198" s="1" t="s">
        <v>3334</v>
      </c>
      <c r="D198" s="1">
        <v>761553.71</v>
      </c>
      <c r="E198" s="1">
        <v>41831.21</v>
      </c>
      <c r="F198" s="41">
        <v>44895</v>
      </c>
      <c r="G198" s="41">
        <v>45260</v>
      </c>
      <c r="H198" s="1" t="s">
        <v>3658</v>
      </c>
      <c r="I198" s="1" t="s">
        <v>3324</v>
      </c>
      <c r="J198" t="str">
        <f>IF(ISNA(_xlfn.XLOOKUP(B198,customer_master!$A$2:$A$1649, customer_master!$A$2:$A$1649)), "Invalid", "Ok")</f>
        <v>Ok</v>
      </c>
      <c r="K198" t="str">
        <f>IF(ISNA(_xlfn.XLOOKUP(H198,agent_info!$A$2:$A$301, agent_info!$A$2:$A$301)), "Invalid", "Ok")</f>
        <v>Ok</v>
      </c>
    </row>
    <row r="199" spans="1:11" x14ac:dyDescent="0.3">
      <c r="A199" s="1" t="s">
        <v>3659</v>
      </c>
      <c r="B199" s="1" t="s">
        <v>893</v>
      </c>
      <c r="C199" s="1" t="s">
        <v>3314</v>
      </c>
      <c r="D199" s="1">
        <v>566255.34</v>
      </c>
      <c r="E199" s="1">
        <v>29113.67</v>
      </c>
      <c r="F199" s="41">
        <v>46236</v>
      </c>
      <c r="G199" s="41">
        <v>46601</v>
      </c>
      <c r="H199" s="1" t="s">
        <v>3660</v>
      </c>
      <c r="I199" s="1" t="s">
        <v>3316</v>
      </c>
      <c r="J199" t="str">
        <f>IF(ISNA(_xlfn.XLOOKUP(B199,customer_master!$A$2:$A$1649, customer_master!$A$2:$A$1649)), "Invalid", "Ok")</f>
        <v>Ok</v>
      </c>
      <c r="K199" t="str">
        <f>IF(ISNA(_xlfn.XLOOKUP(H199,agent_info!$A$2:$A$301, agent_info!$A$2:$A$301)), "Invalid", "Ok")</f>
        <v>Ok</v>
      </c>
    </row>
    <row r="200" spans="1:11" x14ac:dyDescent="0.3">
      <c r="A200" s="1" t="s">
        <v>3661</v>
      </c>
      <c r="B200" s="1" t="s">
        <v>3136</v>
      </c>
      <c r="C200" s="1" t="s">
        <v>3331</v>
      </c>
      <c r="D200" s="1">
        <v>444856.84</v>
      </c>
      <c r="E200" s="1">
        <v>22881.55</v>
      </c>
      <c r="F200" s="41">
        <v>45791</v>
      </c>
      <c r="G200" s="41">
        <v>46156</v>
      </c>
      <c r="H200" s="1" t="s">
        <v>3662</v>
      </c>
      <c r="I200" s="1" t="s">
        <v>3324</v>
      </c>
      <c r="J200" t="str">
        <f>IF(ISNA(_xlfn.XLOOKUP(B200,customer_master!$A$2:$A$1649, customer_master!$A$2:$A$1649)), "Invalid", "Ok")</f>
        <v>Ok</v>
      </c>
      <c r="K200" t="str">
        <f>IF(ISNA(_xlfn.XLOOKUP(H200,agent_info!$A$2:$A$301, agent_info!$A$2:$A$301)), "Invalid", "Ok")</f>
        <v>Ok</v>
      </c>
    </row>
    <row r="201" spans="1:11" x14ac:dyDescent="0.3">
      <c r="A201" s="1" t="s">
        <v>3663</v>
      </c>
      <c r="B201" s="1" t="s">
        <v>3224</v>
      </c>
      <c r="C201" s="1" t="s">
        <v>3331</v>
      </c>
      <c r="D201" s="1">
        <v>673435.78</v>
      </c>
      <c r="E201" s="1">
        <v>33798.800000000003</v>
      </c>
      <c r="F201" s="41">
        <v>45255</v>
      </c>
      <c r="G201" s="41">
        <v>45621</v>
      </c>
      <c r="H201" s="1" t="s">
        <v>3359</v>
      </c>
      <c r="I201" s="1" t="s">
        <v>3324</v>
      </c>
      <c r="J201" t="str">
        <f>IF(ISNA(_xlfn.XLOOKUP(B201,customer_master!$A$2:$A$1649, customer_master!$A$2:$A$1649)), "Invalid", "Ok")</f>
        <v>Ok</v>
      </c>
      <c r="K201" t="str">
        <f>IF(ISNA(_xlfn.XLOOKUP(H201,agent_info!$A$2:$A$301, agent_info!$A$2:$A$301)), "Invalid", "Ok")</f>
        <v>Ok</v>
      </c>
    </row>
    <row r="202" spans="1:11" x14ac:dyDescent="0.3">
      <c r="A202" s="1" t="s">
        <v>3664</v>
      </c>
      <c r="B202" s="1" t="s">
        <v>3019</v>
      </c>
      <c r="C202" s="1" t="s">
        <v>3331</v>
      </c>
      <c r="D202" s="1">
        <v>693879.4</v>
      </c>
      <c r="E202" s="1">
        <v>37247.83</v>
      </c>
      <c r="F202" s="41">
        <v>45005</v>
      </c>
      <c r="G202" s="41">
        <v>45371</v>
      </c>
      <c r="H202" s="1" t="s">
        <v>3665</v>
      </c>
      <c r="I202" s="1" t="s">
        <v>3324</v>
      </c>
      <c r="J202" t="str">
        <f>IF(ISNA(_xlfn.XLOOKUP(B202,customer_master!$A$2:$A$1649, customer_master!$A$2:$A$1649)), "Invalid", "Ok")</f>
        <v>Ok</v>
      </c>
      <c r="K202" t="str">
        <f>IF(ISNA(_xlfn.XLOOKUP(H202,agent_info!$A$2:$A$301, agent_info!$A$2:$A$301)), "Invalid", "Ok")</f>
        <v>Ok</v>
      </c>
    </row>
    <row r="203" spans="1:11" x14ac:dyDescent="0.3">
      <c r="A203" s="1" t="s">
        <v>3666</v>
      </c>
      <c r="B203" s="1" t="s">
        <v>2004</v>
      </c>
      <c r="C203" s="1" t="s">
        <v>3314</v>
      </c>
      <c r="D203" s="1">
        <v>657310.53</v>
      </c>
      <c r="E203" s="1">
        <v>30526.74</v>
      </c>
      <c r="F203" s="41">
        <v>46074</v>
      </c>
      <c r="G203" s="41">
        <v>46439</v>
      </c>
      <c r="H203" s="1" t="s">
        <v>3667</v>
      </c>
      <c r="I203" s="1" t="s">
        <v>3316</v>
      </c>
      <c r="J203" t="str">
        <f>IF(ISNA(_xlfn.XLOOKUP(B203,customer_master!$A$2:$A$1649, customer_master!$A$2:$A$1649)), "Invalid", "Ok")</f>
        <v>Ok</v>
      </c>
      <c r="K203" t="str">
        <f>IF(ISNA(_xlfn.XLOOKUP(H203,agent_info!$A$2:$A$301, agent_info!$A$2:$A$301)), "Invalid", "Ok")</f>
        <v>Ok</v>
      </c>
    </row>
    <row r="204" spans="1:11" x14ac:dyDescent="0.3">
      <c r="A204" s="1" t="s">
        <v>3668</v>
      </c>
      <c r="B204" s="1" t="s">
        <v>909</v>
      </c>
      <c r="C204" s="1" t="s">
        <v>3334</v>
      </c>
      <c r="D204" s="1">
        <v>717324.94</v>
      </c>
      <c r="E204" s="1">
        <v>37966.949999999997</v>
      </c>
      <c r="F204" s="41">
        <v>45067</v>
      </c>
      <c r="G204" s="41">
        <v>45433</v>
      </c>
      <c r="H204" s="1" t="s">
        <v>3538</v>
      </c>
      <c r="I204" s="1" t="s">
        <v>3324</v>
      </c>
      <c r="J204" t="str">
        <f>IF(ISNA(_xlfn.XLOOKUP(B204,customer_master!$A$2:$A$1649, customer_master!$A$2:$A$1649)), "Invalid", "Ok")</f>
        <v>Ok</v>
      </c>
      <c r="K204" t="str">
        <f>IF(ISNA(_xlfn.XLOOKUP(H204,agent_info!$A$2:$A$301, agent_info!$A$2:$A$301)), "Invalid", "Ok")</f>
        <v>Ok</v>
      </c>
    </row>
    <row r="205" spans="1:11" x14ac:dyDescent="0.3">
      <c r="A205" s="1" t="s">
        <v>3669</v>
      </c>
      <c r="B205" s="1" t="s">
        <v>2674</v>
      </c>
      <c r="C205" s="1" t="s">
        <v>3326</v>
      </c>
      <c r="D205" s="1">
        <v>479913.9</v>
      </c>
      <c r="E205" s="1">
        <v>25469.62</v>
      </c>
      <c r="F205" s="41">
        <v>44079</v>
      </c>
      <c r="G205" s="41">
        <v>44444</v>
      </c>
      <c r="H205" s="1" t="s">
        <v>3670</v>
      </c>
      <c r="I205" s="1" t="s">
        <v>3324</v>
      </c>
      <c r="J205" t="str">
        <f>IF(ISNA(_xlfn.XLOOKUP(B205,customer_master!$A$2:$A$1649, customer_master!$A$2:$A$1649)), "Invalid", "Ok")</f>
        <v>Ok</v>
      </c>
      <c r="K205" t="str">
        <f>IF(ISNA(_xlfn.XLOOKUP(H205,agent_info!$A$2:$A$301, agent_info!$A$2:$A$301)), "Invalid", "Ok")</f>
        <v>Ok</v>
      </c>
    </row>
    <row r="206" spans="1:11" x14ac:dyDescent="0.3">
      <c r="A206" s="1" t="s">
        <v>3671</v>
      </c>
      <c r="B206" s="1" t="s">
        <v>2343</v>
      </c>
      <c r="C206" s="1" t="s">
        <v>3318</v>
      </c>
      <c r="D206" s="1">
        <v>638939.06999999995</v>
      </c>
      <c r="E206" s="1">
        <v>28983.1</v>
      </c>
      <c r="F206" s="41">
        <v>45095</v>
      </c>
      <c r="G206" s="41">
        <v>45461</v>
      </c>
      <c r="H206" s="1" t="s">
        <v>3672</v>
      </c>
      <c r="I206" s="1" t="s">
        <v>3324</v>
      </c>
      <c r="J206" t="str">
        <f>IF(ISNA(_xlfn.XLOOKUP(B206,customer_master!$A$2:$A$1649, customer_master!$A$2:$A$1649)), "Invalid", "Ok")</f>
        <v>Ok</v>
      </c>
      <c r="K206" t="str">
        <f>IF(ISNA(_xlfn.XLOOKUP(H206,agent_info!$A$2:$A$301, agent_info!$A$2:$A$301)), "Invalid", "Ok")</f>
        <v>Ok</v>
      </c>
    </row>
    <row r="207" spans="1:11" x14ac:dyDescent="0.3">
      <c r="A207" s="1" t="s">
        <v>3673</v>
      </c>
      <c r="B207" s="1" t="s">
        <v>3238</v>
      </c>
      <c r="C207" s="1" t="s">
        <v>3326</v>
      </c>
      <c r="D207" s="1">
        <v>442347.02</v>
      </c>
      <c r="E207" s="1">
        <v>20492.509999999998</v>
      </c>
      <c r="F207" s="41">
        <v>45894</v>
      </c>
      <c r="G207" s="41">
        <v>46259</v>
      </c>
      <c r="H207" s="1" t="s">
        <v>3674</v>
      </c>
      <c r="I207" s="1" t="s">
        <v>3320</v>
      </c>
      <c r="J207" t="str">
        <f>IF(ISNA(_xlfn.XLOOKUP(B207,customer_master!$A$2:$A$1649, customer_master!$A$2:$A$1649)), "Invalid", "Ok")</f>
        <v>Ok</v>
      </c>
      <c r="K207" t="str">
        <f>IF(ISNA(_xlfn.XLOOKUP(H207,agent_info!$A$2:$A$301, agent_info!$A$2:$A$301)), "Invalid", "Ok")</f>
        <v>Ok</v>
      </c>
    </row>
    <row r="208" spans="1:11" x14ac:dyDescent="0.3">
      <c r="A208" s="1" t="s">
        <v>3675</v>
      </c>
      <c r="B208" s="1" t="s">
        <v>1285</v>
      </c>
      <c r="C208" s="1" t="s">
        <v>3334</v>
      </c>
      <c r="D208" s="1">
        <v>556879.46</v>
      </c>
      <c r="E208" s="1">
        <v>28106.54</v>
      </c>
      <c r="F208" s="41">
        <v>44711</v>
      </c>
      <c r="G208" s="41">
        <v>45076</v>
      </c>
      <c r="H208" s="1" t="s">
        <v>3404</v>
      </c>
      <c r="I208" s="1" t="s">
        <v>3316</v>
      </c>
      <c r="J208" t="str">
        <f>IF(ISNA(_xlfn.XLOOKUP(B208,customer_master!$A$2:$A$1649, customer_master!$A$2:$A$1649)), "Invalid", "Ok")</f>
        <v>Ok</v>
      </c>
      <c r="K208" t="str">
        <f>IF(ISNA(_xlfn.XLOOKUP(H208,agent_info!$A$2:$A$301, agent_info!$A$2:$A$301)), "Invalid", "Ok")</f>
        <v>Ok</v>
      </c>
    </row>
    <row r="209" spans="1:11" x14ac:dyDescent="0.3">
      <c r="A209" s="1" t="s">
        <v>3676</v>
      </c>
      <c r="B209" s="1" t="s">
        <v>230</v>
      </c>
      <c r="C209" s="1" t="s">
        <v>3331</v>
      </c>
      <c r="D209" s="1">
        <v>474010.76</v>
      </c>
      <c r="E209" s="1">
        <v>21758</v>
      </c>
      <c r="F209" s="41">
        <v>46207</v>
      </c>
      <c r="G209" s="41">
        <v>46572</v>
      </c>
      <c r="H209" s="1" t="s">
        <v>3583</v>
      </c>
      <c r="I209" s="1" t="s">
        <v>3316</v>
      </c>
      <c r="J209" t="str">
        <f>IF(ISNA(_xlfn.XLOOKUP(B209,customer_master!$A$2:$A$1649, customer_master!$A$2:$A$1649)), "Invalid", "Ok")</f>
        <v>Ok</v>
      </c>
      <c r="K209" t="str">
        <f>IF(ISNA(_xlfn.XLOOKUP(H209,agent_info!$A$2:$A$301, agent_info!$A$2:$A$301)), "Invalid", "Ok")</f>
        <v>Ok</v>
      </c>
    </row>
    <row r="210" spans="1:11" x14ac:dyDescent="0.3">
      <c r="A210" s="1" t="s">
        <v>3677</v>
      </c>
      <c r="B210" s="1" t="s">
        <v>3301</v>
      </c>
      <c r="C210" s="1" t="s">
        <v>3318</v>
      </c>
      <c r="D210" s="1">
        <v>436413.73</v>
      </c>
      <c r="E210" s="1">
        <v>20870.900000000001</v>
      </c>
      <c r="F210" s="41">
        <v>44078</v>
      </c>
      <c r="G210" s="41">
        <v>44443</v>
      </c>
      <c r="H210" s="1" t="s">
        <v>3678</v>
      </c>
      <c r="I210" s="1" t="s">
        <v>3324</v>
      </c>
      <c r="J210" t="str">
        <f>IF(ISNA(_xlfn.XLOOKUP(B210,customer_master!$A$2:$A$1649, customer_master!$A$2:$A$1649)), "Invalid", "Ok")</f>
        <v>Ok</v>
      </c>
      <c r="K210" t="str">
        <f>IF(ISNA(_xlfn.XLOOKUP(H210,agent_info!$A$2:$A$301, agent_info!$A$2:$A$301)), "Invalid", "Ok")</f>
        <v>Ok</v>
      </c>
    </row>
    <row r="211" spans="1:11" x14ac:dyDescent="0.3">
      <c r="A211" s="1" t="s">
        <v>3679</v>
      </c>
      <c r="B211" s="1" t="s">
        <v>2780</v>
      </c>
      <c r="C211" s="1" t="s">
        <v>3331</v>
      </c>
      <c r="D211" s="1">
        <v>395216.16</v>
      </c>
      <c r="E211" s="1">
        <v>19380.11</v>
      </c>
      <c r="F211" s="41">
        <v>46123</v>
      </c>
      <c r="G211" s="41">
        <v>46488</v>
      </c>
      <c r="H211" s="1" t="s">
        <v>3481</v>
      </c>
      <c r="I211" s="1" t="s">
        <v>3324</v>
      </c>
      <c r="J211" t="str">
        <f>IF(ISNA(_xlfn.XLOOKUP(B211,customer_master!$A$2:$A$1649, customer_master!$A$2:$A$1649)), "Invalid", "Ok")</f>
        <v>Ok</v>
      </c>
      <c r="K211" t="str">
        <f>IF(ISNA(_xlfn.XLOOKUP(H211,agent_info!$A$2:$A$301, agent_info!$A$2:$A$301)), "Invalid", "Ok")</f>
        <v>Ok</v>
      </c>
    </row>
    <row r="212" spans="1:11" x14ac:dyDescent="0.3">
      <c r="A212" s="1" t="s">
        <v>3680</v>
      </c>
      <c r="B212" s="1" t="s">
        <v>783</v>
      </c>
      <c r="C212" s="1" t="s">
        <v>3318</v>
      </c>
      <c r="D212" s="1">
        <v>631798.37</v>
      </c>
      <c r="E212" s="1">
        <v>29424.22</v>
      </c>
      <c r="F212" s="41">
        <v>45133</v>
      </c>
      <c r="G212" s="41">
        <v>45499</v>
      </c>
      <c r="H212" s="1" t="s">
        <v>3498</v>
      </c>
      <c r="I212" s="1" t="s">
        <v>3324</v>
      </c>
      <c r="J212" t="str">
        <f>IF(ISNA(_xlfn.XLOOKUP(B212,customer_master!$A$2:$A$1649, customer_master!$A$2:$A$1649)), "Invalid", "Ok")</f>
        <v>Ok</v>
      </c>
      <c r="K212" t="str">
        <f>IF(ISNA(_xlfn.XLOOKUP(H212,agent_info!$A$2:$A$301, agent_info!$A$2:$A$301)), "Invalid", "Ok")</f>
        <v>Ok</v>
      </c>
    </row>
    <row r="213" spans="1:11" x14ac:dyDescent="0.3">
      <c r="A213" s="1" t="s">
        <v>3681</v>
      </c>
      <c r="B213" s="1" t="s">
        <v>2428</v>
      </c>
      <c r="C213" s="1" t="s">
        <v>3318</v>
      </c>
      <c r="D213" s="1">
        <v>708853.23</v>
      </c>
      <c r="E213" s="1">
        <v>36889.760000000002</v>
      </c>
      <c r="F213" s="41">
        <v>45387</v>
      </c>
      <c r="G213" s="41">
        <v>45752</v>
      </c>
      <c r="H213" s="1" t="s">
        <v>3682</v>
      </c>
      <c r="I213" s="1" t="s">
        <v>3324</v>
      </c>
      <c r="J213" t="str">
        <f>IF(ISNA(_xlfn.XLOOKUP(B213,customer_master!$A$2:$A$1649, customer_master!$A$2:$A$1649)), "Invalid", "Ok")</f>
        <v>Ok</v>
      </c>
      <c r="K213" t="str">
        <f>IF(ISNA(_xlfn.XLOOKUP(H213,agent_info!$A$2:$A$301, agent_info!$A$2:$A$301)), "Invalid", "Ok")</f>
        <v>Ok</v>
      </c>
    </row>
    <row r="214" spans="1:11" x14ac:dyDescent="0.3">
      <c r="A214" s="1" t="s">
        <v>3683</v>
      </c>
      <c r="B214" s="1" t="s">
        <v>18</v>
      </c>
      <c r="C214" s="1" t="s">
        <v>3334</v>
      </c>
      <c r="D214" s="1">
        <v>506051.48</v>
      </c>
      <c r="E214" s="1">
        <v>25277.58</v>
      </c>
      <c r="F214" s="41">
        <v>45917</v>
      </c>
      <c r="G214" s="41">
        <v>46282</v>
      </c>
      <c r="H214" s="1" t="s">
        <v>3381</v>
      </c>
      <c r="I214" s="1" t="s">
        <v>3316</v>
      </c>
      <c r="J214" t="str">
        <f>IF(ISNA(_xlfn.XLOOKUP(B214,customer_master!$A$2:$A$1649, customer_master!$A$2:$A$1649)), "Invalid", "Ok")</f>
        <v>Ok</v>
      </c>
      <c r="K214" t="str">
        <f>IF(ISNA(_xlfn.XLOOKUP(H214,agent_info!$A$2:$A$301, agent_info!$A$2:$A$301)), "Invalid", "Ok")</f>
        <v>Ok</v>
      </c>
    </row>
    <row r="215" spans="1:11" x14ac:dyDescent="0.3">
      <c r="A215" s="1" t="s">
        <v>3684</v>
      </c>
      <c r="B215" s="1" t="s">
        <v>1873</v>
      </c>
      <c r="C215" s="1" t="s">
        <v>3334</v>
      </c>
      <c r="D215" s="1">
        <v>550255.62</v>
      </c>
      <c r="E215" s="1">
        <v>28282.13</v>
      </c>
      <c r="F215" s="41">
        <v>44910</v>
      </c>
      <c r="G215" s="41">
        <v>45275</v>
      </c>
      <c r="H215" s="1" t="s">
        <v>3335</v>
      </c>
      <c r="I215" s="1" t="s">
        <v>3316</v>
      </c>
      <c r="J215" t="str">
        <f>IF(ISNA(_xlfn.XLOOKUP(B215,customer_master!$A$2:$A$1649, customer_master!$A$2:$A$1649)), "Invalid", "Ok")</f>
        <v>Ok</v>
      </c>
      <c r="K215" t="str">
        <f>IF(ISNA(_xlfn.XLOOKUP(H215,agent_info!$A$2:$A$301, agent_info!$A$2:$A$301)), "Invalid", "Ok")</f>
        <v>Ok</v>
      </c>
    </row>
    <row r="216" spans="1:11" x14ac:dyDescent="0.3">
      <c r="A216" s="1" t="s">
        <v>3685</v>
      </c>
      <c r="B216" s="1" t="s">
        <v>1227</v>
      </c>
      <c r="C216" s="1" t="s">
        <v>3334</v>
      </c>
      <c r="D216" s="1">
        <v>386365.58</v>
      </c>
      <c r="E216" s="1">
        <v>19218.98</v>
      </c>
      <c r="F216" s="41">
        <v>44847</v>
      </c>
      <c r="G216" s="41">
        <v>45212</v>
      </c>
      <c r="H216" s="1" t="s">
        <v>3686</v>
      </c>
      <c r="I216" s="1" t="s">
        <v>3324</v>
      </c>
      <c r="J216" t="str">
        <f>IF(ISNA(_xlfn.XLOOKUP(B216,customer_master!$A$2:$A$1649, customer_master!$A$2:$A$1649)), "Invalid", "Ok")</f>
        <v>Ok</v>
      </c>
      <c r="K216" t="str">
        <f>IF(ISNA(_xlfn.XLOOKUP(H216,agent_info!$A$2:$A$301, agent_info!$A$2:$A$301)), "Invalid", "Ok")</f>
        <v>Ok</v>
      </c>
    </row>
    <row r="217" spans="1:11" x14ac:dyDescent="0.3">
      <c r="A217" s="1" t="s">
        <v>3687</v>
      </c>
      <c r="B217" s="1" t="s">
        <v>1299</v>
      </c>
      <c r="C217" s="1" t="s">
        <v>3331</v>
      </c>
      <c r="D217" s="1">
        <v>539004.1</v>
      </c>
      <c r="E217" s="1">
        <v>26478.49</v>
      </c>
      <c r="F217" s="41">
        <v>45462</v>
      </c>
      <c r="G217" s="41">
        <v>45827</v>
      </c>
      <c r="H217" s="1" t="s">
        <v>3483</v>
      </c>
      <c r="I217" s="1" t="s">
        <v>3324</v>
      </c>
      <c r="J217" t="str">
        <f>IF(ISNA(_xlfn.XLOOKUP(B217,customer_master!$A$2:$A$1649, customer_master!$A$2:$A$1649)), "Invalid", "Ok")</f>
        <v>Ok</v>
      </c>
      <c r="K217" t="str">
        <f>IF(ISNA(_xlfn.XLOOKUP(H217,agent_info!$A$2:$A$301, agent_info!$A$2:$A$301)), "Invalid", "Ok")</f>
        <v>Ok</v>
      </c>
    </row>
    <row r="218" spans="1:11" x14ac:dyDescent="0.3">
      <c r="A218" s="1" t="s">
        <v>3688</v>
      </c>
      <c r="B218" s="1" t="s">
        <v>847</v>
      </c>
      <c r="C218" s="1" t="s">
        <v>3314</v>
      </c>
      <c r="D218" s="1">
        <v>493309.01</v>
      </c>
      <c r="E218" s="1">
        <v>24627.91</v>
      </c>
      <c r="F218" s="41">
        <v>45359</v>
      </c>
      <c r="G218" s="41">
        <v>45724</v>
      </c>
      <c r="H218" s="1" t="s">
        <v>3408</v>
      </c>
      <c r="I218" s="1" t="s">
        <v>3324</v>
      </c>
      <c r="J218" t="str">
        <f>IF(ISNA(_xlfn.XLOOKUP(B218,customer_master!$A$2:$A$1649, customer_master!$A$2:$A$1649)), "Invalid", "Ok")</f>
        <v>Ok</v>
      </c>
      <c r="K218" t="str">
        <f>IF(ISNA(_xlfn.XLOOKUP(H218,agent_info!$A$2:$A$301, agent_info!$A$2:$A$301)), "Invalid", "Ok")</f>
        <v>Ok</v>
      </c>
    </row>
    <row r="219" spans="1:11" x14ac:dyDescent="0.3">
      <c r="A219" s="1" t="s">
        <v>3689</v>
      </c>
      <c r="B219" s="1" t="s">
        <v>931</v>
      </c>
      <c r="C219" s="1" t="s">
        <v>3326</v>
      </c>
      <c r="D219" s="1">
        <v>550970.01</v>
      </c>
      <c r="E219" s="1">
        <v>29749.71</v>
      </c>
      <c r="F219" s="41">
        <v>45195</v>
      </c>
      <c r="G219" s="41">
        <v>45561</v>
      </c>
      <c r="H219" s="1" t="s">
        <v>3511</v>
      </c>
      <c r="I219" s="1" t="s">
        <v>3324</v>
      </c>
      <c r="J219" t="str">
        <f>IF(ISNA(_xlfn.XLOOKUP(B219,customer_master!$A$2:$A$1649, customer_master!$A$2:$A$1649)), "Invalid", "Ok")</f>
        <v>Ok</v>
      </c>
      <c r="K219" t="str">
        <f>IF(ISNA(_xlfn.XLOOKUP(H219,agent_info!$A$2:$A$301, agent_info!$A$2:$A$301)), "Invalid", "Ok")</f>
        <v>Ok</v>
      </c>
    </row>
    <row r="220" spans="1:11" x14ac:dyDescent="0.3">
      <c r="A220" s="1" t="s">
        <v>3690</v>
      </c>
      <c r="B220" s="1" t="s">
        <v>1527</v>
      </c>
      <c r="C220" s="1" t="s">
        <v>3318</v>
      </c>
      <c r="D220" s="1">
        <v>721419.5</v>
      </c>
      <c r="E220" s="1">
        <v>35320.980000000003</v>
      </c>
      <c r="F220" s="41">
        <v>44176</v>
      </c>
      <c r="G220" s="41">
        <v>44541</v>
      </c>
      <c r="H220" s="1" t="s">
        <v>3691</v>
      </c>
      <c r="I220" s="1" t="s">
        <v>3324</v>
      </c>
      <c r="J220" t="str">
        <f>IF(ISNA(_xlfn.XLOOKUP(B220,customer_master!$A$2:$A$1649, customer_master!$A$2:$A$1649)), "Invalid", "Ok")</f>
        <v>Ok</v>
      </c>
      <c r="K220" t="str">
        <f>IF(ISNA(_xlfn.XLOOKUP(H220,agent_info!$A$2:$A$301, agent_info!$A$2:$A$301)), "Invalid", "Ok")</f>
        <v>Ok</v>
      </c>
    </row>
    <row r="221" spans="1:11" x14ac:dyDescent="0.3">
      <c r="A221" s="1" t="s">
        <v>3692</v>
      </c>
      <c r="B221" s="1" t="s">
        <v>857</v>
      </c>
      <c r="C221" s="1" t="s">
        <v>3318</v>
      </c>
      <c r="D221" s="1">
        <v>569325.67000000004</v>
      </c>
      <c r="E221" s="1">
        <v>29276.22</v>
      </c>
      <c r="F221" s="41">
        <v>45697</v>
      </c>
      <c r="G221" s="41">
        <v>46062</v>
      </c>
      <c r="H221" s="1" t="s">
        <v>3627</v>
      </c>
      <c r="I221" s="1" t="s">
        <v>3324</v>
      </c>
      <c r="J221" t="str">
        <f>IF(ISNA(_xlfn.XLOOKUP(B221,customer_master!$A$2:$A$1649, customer_master!$A$2:$A$1649)), "Invalid", "Ok")</f>
        <v>Ok</v>
      </c>
      <c r="K221" t="str">
        <f>IF(ISNA(_xlfn.XLOOKUP(H221,agent_info!$A$2:$A$301, agent_info!$A$2:$A$301)), "Invalid", "Ok")</f>
        <v>Ok</v>
      </c>
    </row>
    <row r="222" spans="1:11" x14ac:dyDescent="0.3">
      <c r="A222" s="1" t="s">
        <v>3693</v>
      </c>
      <c r="B222" s="1" t="s">
        <v>1562</v>
      </c>
      <c r="C222" s="1" t="s">
        <v>3318</v>
      </c>
      <c r="D222" s="1">
        <v>633351.35</v>
      </c>
      <c r="E222" s="1">
        <v>33782.720000000001</v>
      </c>
      <c r="F222" s="41">
        <v>45311</v>
      </c>
      <c r="G222" s="41">
        <v>45677</v>
      </c>
      <c r="H222" s="1" t="s">
        <v>3694</v>
      </c>
      <c r="I222" s="1" t="s">
        <v>3324</v>
      </c>
      <c r="J222" t="str">
        <f>IF(ISNA(_xlfn.XLOOKUP(B222,customer_master!$A$2:$A$1649, customer_master!$A$2:$A$1649)), "Invalid", "Ok")</f>
        <v>Ok</v>
      </c>
      <c r="K222" t="str">
        <f>IF(ISNA(_xlfn.XLOOKUP(H222,agent_info!$A$2:$A$301, agent_info!$A$2:$A$301)), "Invalid", "Ok")</f>
        <v>Ok</v>
      </c>
    </row>
    <row r="223" spans="1:11" x14ac:dyDescent="0.3">
      <c r="A223" s="1" t="s">
        <v>3695</v>
      </c>
      <c r="B223" s="1" t="s">
        <v>1929</v>
      </c>
      <c r="C223" s="1" t="s">
        <v>3334</v>
      </c>
      <c r="D223" s="1">
        <v>656610.89</v>
      </c>
      <c r="E223" s="1">
        <v>33625.620000000003</v>
      </c>
      <c r="F223" s="41">
        <v>44735</v>
      </c>
      <c r="G223" s="41">
        <v>45100</v>
      </c>
      <c r="H223" s="1" t="s">
        <v>3653</v>
      </c>
      <c r="I223" s="1" t="s">
        <v>3316</v>
      </c>
      <c r="J223" t="str">
        <f>IF(ISNA(_xlfn.XLOOKUP(B223,customer_master!$A$2:$A$1649, customer_master!$A$2:$A$1649)), "Invalid", "Ok")</f>
        <v>Ok</v>
      </c>
      <c r="K223" t="str">
        <f>IF(ISNA(_xlfn.XLOOKUP(H223,agent_info!$A$2:$A$301, agent_info!$A$2:$A$301)), "Invalid", "Ok")</f>
        <v>Ok</v>
      </c>
    </row>
    <row r="224" spans="1:11" x14ac:dyDescent="0.3">
      <c r="A224" s="1" t="s">
        <v>3696</v>
      </c>
      <c r="B224" s="1" t="s">
        <v>2376</v>
      </c>
      <c r="C224" s="1" t="s">
        <v>3326</v>
      </c>
      <c r="D224" s="1">
        <v>403351.17</v>
      </c>
      <c r="E224" s="1">
        <v>19062.64</v>
      </c>
      <c r="F224" s="41">
        <v>44943</v>
      </c>
      <c r="G224" s="41">
        <v>45308</v>
      </c>
      <c r="H224" s="1" t="s">
        <v>3355</v>
      </c>
      <c r="I224" s="1" t="s">
        <v>3316</v>
      </c>
      <c r="J224" t="str">
        <f>IF(ISNA(_xlfn.XLOOKUP(B224,customer_master!$A$2:$A$1649, customer_master!$A$2:$A$1649)), "Invalid", "Ok")</f>
        <v>Ok</v>
      </c>
      <c r="K224" t="str">
        <f>IF(ISNA(_xlfn.XLOOKUP(H224,agent_info!$A$2:$A$301, agent_info!$A$2:$A$301)), "Invalid", "Ok")</f>
        <v>Ok</v>
      </c>
    </row>
    <row r="225" spans="1:11" x14ac:dyDescent="0.3">
      <c r="A225" s="1" t="s">
        <v>3697</v>
      </c>
      <c r="B225" s="1" t="s">
        <v>2262</v>
      </c>
      <c r="C225" s="1" t="s">
        <v>3334</v>
      </c>
      <c r="D225" s="1">
        <v>518429.68</v>
      </c>
      <c r="E225" s="1">
        <v>23961.61</v>
      </c>
      <c r="F225" s="41">
        <v>44346</v>
      </c>
      <c r="G225" s="41">
        <v>44711</v>
      </c>
      <c r="H225" s="1" t="s">
        <v>3698</v>
      </c>
      <c r="I225" s="1" t="s">
        <v>3324</v>
      </c>
      <c r="J225" t="str">
        <f>IF(ISNA(_xlfn.XLOOKUP(B225,customer_master!$A$2:$A$1649, customer_master!$A$2:$A$1649)), "Invalid", "Ok")</f>
        <v>Ok</v>
      </c>
      <c r="K225" t="str">
        <f>IF(ISNA(_xlfn.XLOOKUP(H225,agent_info!$A$2:$A$301, agent_info!$A$2:$A$301)), "Invalid", "Ok")</f>
        <v>Ok</v>
      </c>
    </row>
    <row r="226" spans="1:11" x14ac:dyDescent="0.3">
      <c r="A226" s="1" t="s">
        <v>3699</v>
      </c>
      <c r="B226" s="1" t="s">
        <v>839</v>
      </c>
      <c r="C226" s="1" t="s">
        <v>3326</v>
      </c>
      <c r="D226" s="1">
        <v>389600.94</v>
      </c>
      <c r="E226" s="1">
        <v>19834.11</v>
      </c>
      <c r="F226" s="41">
        <v>44383</v>
      </c>
      <c r="G226" s="41">
        <v>44748</v>
      </c>
      <c r="H226" s="1" t="s">
        <v>3422</v>
      </c>
      <c r="I226" s="1" t="s">
        <v>3320</v>
      </c>
      <c r="J226" t="str">
        <f>IF(ISNA(_xlfn.XLOOKUP(B226,customer_master!$A$2:$A$1649, customer_master!$A$2:$A$1649)), "Invalid", "Ok")</f>
        <v>Ok</v>
      </c>
      <c r="K226" t="str">
        <f>IF(ISNA(_xlfn.XLOOKUP(H226,agent_info!$A$2:$A$301, agent_info!$A$2:$A$301)), "Invalid", "Ok")</f>
        <v>Ok</v>
      </c>
    </row>
    <row r="227" spans="1:11" x14ac:dyDescent="0.3">
      <c r="A227" s="1" t="s">
        <v>3700</v>
      </c>
      <c r="B227" s="1" t="s">
        <v>164</v>
      </c>
      <c r="C227" s="1" t="s">
        <v>3326</v>
      </c>
      <c r="D227" s="1">
        <v>504261.31</v>
      </c>
      <c r="E227" s="1">
        <v>26359.73</v>
      </c>
      <c r="F227" s="41">
        <v>45296</v>
      </c>
      <c r="G227" s="41">
        <v>45662</v>
      </c>
      <c r="H227" s="1" t="s">
        <v>3701</v>
      </c>
      <c r="I227" s="1" t="s">
        <v>3316</v>
      </c>
      <c r="J227" t="str">
        <f>IF(ISNA(_xlfn.XLOOKUP(B227,customer_master!$A$2:$A$1649, customer_master!$A$2:$A$1649)), "Invalid", "Ok")</f>
        <v>Ok</v>
      </c>
      <c r="K227" t="str">
        <f>IF(ISNA(_xlfn.XLOOKUP(H227,agent_info!$A$2:$A$301, agent_info!$A$2:$A$301)), "Invalid", "Ok")</f>
        <v>Ok</v>
      </c>
    </row>
    <row r="228" spans="1:11" x14ac:dyDescent="0.3">
      <c r="A228" s="1" t="s">
        <v>3702</v>
      </c>
      <c r="B228" s="1" t="s">
        <v>2762</v>
      </c>
      <c r="C228" s="1" t="s">
        <v>3334</v>
      </c>
      <c r="D228" s="1">
        <v>726604.99</v>
      </c>
      <c r="E228" s="1">
        <v>38282.910000000003</v>
      </c>
      <c r="F228" s="41">
        <v>44689</v>
      </c>
      <c r="G228" s="41">
        <v>45054</v>
      </c>
      <c r="H228" s="1" t="s">
        <v>3658</v>
      </c>
      <c r="I228" s="1" t="s">
        <v>3316</v>
      </c>
      <c r="J228" t="str">
        <f>IF(ISNA(_xlfn.XLOOKUP(B228,customer_master!$A$2:$A$1649, customer_master!$A$2:$A$1649)), "Invalid", "Ok")</f>
        <v>Ok</v>
      </c>
      <c r="K228" t="str">
        <f>IF(ISNA(_xlfn.XLOOKUP(H228,agent_info!$A$2:$A$301, agent_info!$A$2:$A$301)), "Invalid", "Ok")</f>
        <v>Ok</v>
      </c>
    </row>
    <row r="229" spans="1:11" x14ac:dyDescent="0.3">
      <c r="A229" s="1" t="s">
        <v>3703</v>
      </c>
      <c r="B229" s="1" t="s">
        <v>2901</v>
      </c>
      <c r="C229" s="1" t="s">
        <v>3331</v>
      </c>
      <c r="D229" s="1">
        <v>564976.44999999995</v>
      </c>
      <c r="E229" s="1">
        <v>29343.759999999998</v>
      </c>
      <c r="F229" s="41">
        <v>45023</v>
      </c>
      <c r="G229" s="41">
        <v>45389</v>
      </c>
      <c r="H229" s="1" t="s">
        <v>3704</v>
      </c>
      <c r="I229" s="1" t="s">
        <v>3324</v>
      </c>
      <c r="J229" t="str">
        <f>IF(ISNA(_xlfn.XLOOKUP(B229,customer_master!$A$2:$A$1649, customer_master!$A$2:$A$1649)), "Invalid", "Ok")</f>
        <v>Ok</v>
      </c>
      <c r="K229" t="str">
        <f>IF(ISNA(_xlfn.XLOOKUP(H229,agent_info!$A$2:$A$301, agent_info!$A$2:$A$301)), "Invalid", "Ok")</f>
        <v>Ok</v>
      </c>
    </row>
    <row r="230" spans="1:11" x14ac:dyDescent="0.3">
      <c r="A230" s="1" t="s">
        <v>3705</v>
      </c>
      <c r="B230" s="1" t="s">
        <v>3241</v>
      </c>
      <c r="C230" s="1" t="s">
        <v>3314</v>
      </c>
      <c r="D230" s="1">
        <v>560618.9</v>
      </c>
      <c r="E230" s="1">
        <v>25247.22</v>
      </c>
      <c r="F230" s="41">
        <v>45415</v>
      </c>
      <c r="G230" s="41">
        <v>45780</v>
      </c>
      <c r="H230" s="1" t="s">
        <v>3706</v>
      </c>
      <c r="I230" s="1" t="s">
        <v>3316</v>
      </c>
      <c r="J230" t="str">
        <f>IF(ISNA(_xlfn.XLOOKUP(B230,customer_master!$A$2:$A$1649, customer_master!$A$2:$A$1649)), "Invalid", "Ok")</f>
        <v>Ok</v>
      </c>
      <c r="K230" t="str">
        <f>IF(ISNA(_xlfn.XLOOKUP(H230,agent_info!$A$2:$A$301, agent_info!$A$2:$A$301)), "Invalid", "Ok")</f>
        <v>Ok</v>
      </c>
    </row>
    <row r="231" spans="1:11" x14ac:dyDescent="0.3">
      <c r="A231" s="1" t="s">
        <v>3707</v>
      </c>
      <c r="B231" s="1" t="s">
        <v>3184</v>
      </c>
      <c r="C231" s="1" t="s">
        <v>3331</v>
      </c>
      <c r="D231" s="1">
        <v>461356.93</v>
      </c>
      <c r="E231" s="1">
        <v>24331.23</v>
      </c>
      <c r="F231" s="41">
        <v>46175</v>
      </c>
      <c r="G231" s="41">
        <v>46540</v>
      </c>
      <c r="H231" s="1" t="s">
        <v>3371</v>
      </c>
      <c r="I231" s="1" t="s">
        <v>3324</v>
      </c>
      <c r="J231" t="str">
        <f>IF(ISNA(_xlfn.XLOOKUP(B231,customer_master!$A$2:$A$1649, customer_master!$A$2:$A$1649)), "Invalid", "Ok")</f>
        <v>Ok</v>
      </c>
      <c r="K231" t="str">
        <f>IF(ISNA(_xlfn.XLOOKUP(H231,agent_info!$A$2:$A$301, agent_info!$A$2:$A$301)), "Invalid", "Ok")</f>
        <v>Ok</v>
      </c>
    </row>
    <row r="232" spans="1:11" x14ac:dyDescent="0.3">
      <c r="A232" s="1" t="s">
        <v>3708</v>
      </c>
      <c r="B232" s="1" t="s">
        <v>2133</v>
      </c>
      <c r="C232" s="1" t="s">
        <v>3326</v>
      </c>
      <c r="D232" s="1">
        <v>458576.05</v>
      </c>
      <c r="E232" s="1">
        <v>23408.58</v>
      </c>
      <c r="F232" s="41">
        <v>44774</v>
      </c>
      <c r="G232" s="41">
        <v>45139</v>
      </c>
      <c r="H232" s="1" t="s">
        <v>3655</v>
      </c>
      <c r="I232" s="1" t="s">
        <v>3324</v>
      </c>
      <c r="J232" t="str">
        <f>IF(ISNA(_xlfn.XLOOKUP(B232,customer_master!$A$2:$A$1649, customer_master!$A$2:$A$1649)), "Invalid", "Ok")</f>
        <v>Ok</v>
      </c>
      <c r="K232" t="str">
        <f>IF(ISNA(_xlfn.XLOOKUP(H232,agent_info!$A$2:$A$301, agent_info!$A$2:$A$301)), "Invalid", "Ok")</f>
        <v>Ok</v>
      </c>
    </row>
    <row r="233" spans="1:11" x14ac:dyDescent="0.3">
      <c r="A233" s="1" t="s">
        <v>3709</v>
      </c>
      <c r="B233" s="1" t="s">
        <v>2973</v>
      </c>
      <c r="C233" s="1" t="s">
        <v>3334</v>
      </c>
      <c r="D233" s="1">
        <v>745590.84</v>
      </c>
      <c r="E233" s="1">
        <v>40919.379999999997</v>
      </c>
      <c r="F233" s="41">
        <v>45572</v>
      </c>
      <c r="G233" s="41">
        <v>45937</v>
      </c>
      <c r="H233" s="1" t="s">
        <v>3710</v>
      </c>
      <c r="I233" s="1" t="s">
        <v>3324</v>
      </c>
      <c r="J233" t="str">
        <f>IF(ISNA(_xlfn.XLOOKUP(B233,customer_master!$A$2:$A$1649, customer_master!$A$2:$A$1649)), "Invalid", "Ok")</f>
        <v>Ok</v>
      </c>
      <c r="K233" t="str">
        <f>IF(ISNA(_xlfn.XLOOKUP(H233,agent_info!$A$2:$A$301, agent_info!$A$2:$A$301)), "Invalid", "Ok")</f>
        <v>Ok</v>
      </c>
    </row>
    <row r="234" spans="1:11" x14ac:dyDescent="0.3">
      <c r="A234" s="1" t="s">
        <v>3711</v>
      </c>
      <c r="B234" s="1" t="s">
        <v>1505</v>
      </c>
      <c r="C234" s="1" t="s">
        <v>3334</v>
      </c>
      <c r="D234" s="1">
        <v>501653.2</v>
      </c>
      <c r="E234" s="1">
        <v>26409.97</v>
      </c>
      <c r="F234" s="41">
        <v>44828</v>
      </c>
      <c r="G234" s="41">
        <v>45193</v>
      </c>
      <c r="H234" s="1" t="s">
        <v>3712</v>
      </c>
      <c r="I234" s="1" t="s">
        <v>3316</v>
      </c>
      <c r="J234" t="str">
        <f>IF(ISNA(_xlfn.XLOOKUP(B234,customer_master!$A$2:$A$1649, customer_master!$A$2:$A$1649)), "Invalid", "Ok")</f>
        <v>Ok</v>
      </c>
      <c r="K234" t="str">
        <f>IF(ISNA(_xlfn.XLOOKUP(H234,agent_info!$A$2:$A$301, agent_info!$A$2:$A$301)), "Invalid", "Ok")</f>
        <v>Ok</v>
      </c>
    </row>
    <row r="235" spans="1:11" x14ac:dyDescent="0.3">
      <c r="A235" s="1" t="s">
        <v>3713</v>
      </c>
      <c r="B235" s="1" t="s">
        <v>2611</v>
      </c>
      <c r="C235" s="1" t="s">
        <v>3334</v>
      </c>
      <c r="D235" s="1">
        <v>666583.84</v>
      </c>
      <c r="E235" s="1">
        <v>32863.96</v>
      </c>
      <c r="F235" s="41">
        <v>44649</v>
      </c>
      <c r="G235" s="41">
        <v>45014</v>
      </c>
      <c r="H235" s="1" t="s">
        <v>3714</v>
      </c>
      <c r="I235" s="1" t="s">
        <v>3324</v>
      </c>
      <c r="J235" t="str">
        <f>IF(ISNA(_xlfn.XLOOKUP(B235,customer_master!$A$2:$A$1649, customer_master!$A$2:$A$1649)), "Invalid", "Ok")</f>
        <v>Ok</v>
      </c>
      <c r="K235" t="str">
        <f>IF(ISNA(_xlfn.XLOOKUP(H235,agent_info!$A$2:$A$301, agent_info!$A$2:$A$301)), "Invalid", "Ok")</f>
        <v>Ok</v>
      </c>
    </row>
    <row r="236" spans="1:11" x14ac:dyDescent="0.3">
      <c r="A236" s="1" t="s">
        <v>3715</v>
      </c>
      <c r="B236" s="1" t="s">
        <v>3168</v>
      </c>
      <c r="C236" s="1" t="s">
        <v>3314</v>
      </c>
      <c r="D236" s="1">
        <v>401224.54</v>
      </c>
      <c r="E236" s="1">
        <v>20767.98</v>
      </c>
      <c r="F236" s="41">
        <v>45726</v>
      </c>
      <c r="G236" s="41">
        <v>46091</v>
      </c>
      <c r="H236" s="1" t="s">
        <v>3417</v>
      </c>
      <c r="I236" s="1" t="s">
        <v>3324</v>
      </c>
      <c r="J236" t="str">
        <f>IF(ISNA(_xlfn.XLOOKUP(B236,customer_master!$A$2:$A$1649, customer_master!$A$2:$A$1649)), "Invalid", "Ok")</f>
        <v>Ok</v>
      </c>
      <c r="K236" t="str">
        <f>IF(ISNA(_xlfn.XLOOKUP(H236,agent_info!$A$2:$A$301, agent_info!$A$2:$A$301)), "Invalid", "Ok")</f>
        <v>Ok</v>
      </c>
    </row>
    <row r="237" spans="1:11" x14ac:dyDescent="0.3">
      <c r="A237" s="1" t="s">
        <v>3716</v>
      </c>
      <c r="B237" s="1" t="s">
        <v>2641</v>
      </c>
      <c r="C237" s="1" t="s">
        <v>3331</v>
      </c>
      <c r="D237" s="1">
        <v>430451.78</v>
      </c>
      <c r="E237" s="1">
        <v>22021.64</v>
      </c>
      <c r="F237" s="41">
        <v>45069</v>
      </c>
      <c r="G237" s="41">
        <v>45435</v>
      </c>
      <c r="H237" s="1" t="s">
        <v>3617</v>
      </c>
      <c r="I237" s="1" t="s">
        <v>3324</v>
      </c>
      <c r="J237" t="str">
        <f>IF(ISNA(_xlfn.XLOOKUP(B237,customer_master!$A$2:$A$1649, customer_master!$A$2:$A$1649)), "Invalid", "Ok")</f>
        <v>Ok</v>
      </c>
      <c r="K237" t="str">
        <f>IF(ISNA(_xlfn.XLOOKUP(H237,agent_info!$A$2:$A$301, agent_info!$A$2:$A$301)), "Invalid", "Ok")</f>
        <v>Ok</v>
      </c>
    </row>
    <row r="238" spans="1:11" x14ac:dyDescent="0.3">
      <c r="A238" s="1" t="s">
        <v>3717</v>
      </c>
      <c r="B238" s="1" t="s">
        <v>1408</v>
      </c>
      <c r="C238" s="1" t="s">
        <v>3318</v>
      </c>
      <c r="D238" s="1">
        <v>495738.65</v>
      </c>
      <c r="E238" s="1">
        <v>23980.83</v>
      </c>
      <c r="F238" s="41">
        <v>44616</v>
      </c>
      <c r="G238" s="41">
        <v>44981</v>
      </c>
      <c r="H238" s="1" t="s">
        <v>3439</v>
      </c>
      <c r="I238" s="1" t="s">
        <v>3324</v>
      </c>
      <c r="J238" t="str">
        <f>IF(ISNA(_xlfn.XLOOKUP(B238,customer_master!$A$2:$A$1649, customer_master!$A$2:$A$1649)), "Invalid", "Ok")</f>
        <v>Ok</v>
      </c>
      <c r="K238" t="str">
        <f>IF(ISNA(_xlfn.XLOOKUP(H238,agent_info!$A$2:$A$301, agent_info!$A$2:$A$301)), "Invalid", "Ok")</f>
        <v>Ok</v>
      </c>
    </row>
    <row r="239" spans="1:11" x14ac:dyDescent="0.3">
      <c r="A239" s="1" t="s">
        <v>3718</v>
      </c>
      <c r="B239" s="1" t="s">
        <v>1287</v>
      </c>
      <c r="C239" s="1" t="s">
        <v>3318</v>
      </c>
      <c r="D239" s="1">
        <v>718737.09</v>
      </c>
      <c r="E239" s="1">
        <v>36177.839999999997</v>
      </c>
      <c r="F239" s="41">
        <v>46231</v>
      </c>
      <c r="G239" s="41">
        <v>46596</v>
      </c>
      <c r="H239" s="1" t="s">
        <v>3719</v>
      </c>
      <c r="I239" s="1" t="s">
        <v>3316</v>
      </c>
      <c r="J239" t="str">
        <f>IF(ISNA(_xlfn.XLOOKUP(B239,customer_master!$A$2:$A$1649, customer_master!$A$2:$A$1649)), "Invalid", "Ok")</f>
        <v>Ok</v>
      </c>
      <c r="K239" t="str">
        <f>IF(ISNA(_xlfn.XLOOKUP(H239,agent_info!$A$2:$A$301, agent_info!$A$2:$A$301)), "Invalid", "Ok")</f>
        <v>Ok</v>
      </c>
    </row>
    <row r="240" spans="1:11" x14ac:dyDescent="0.3">
      <c r="A240" s="1" t="s">
        <v>3720</v>
      </c>
      <c r="B240" s="1" t="s">
        <v>982</v>
      </c>
      <c r="C240" s="1" t="s">
        <v>3334</v>
      </c>
      <c r="D240" s="1">
        <v>469427.29</v>
      </c>
      <c r="E240" s="1">
        <v>22083.65</v>
      </c>
      <c r="F240" s="41">
        <v>44825</v>
      </c>
      <c r="G240" s="41">
        <v>45190</v>
      </c>
      <c r="H240" s="1" t="s">
        <v>3451</v>
      </c>
      <c r="I240" s="1" t="s">
        <v>3324</v>
      </c>
      <c r="J240" t="str">
        <f>IF(ISNA(_xlfn.XLOOKUP(B240,customer_master!$A$2:$A$1649, customer_master!$A$2:$A$1649)), "Invalid", "Ok")</f>
        <v>Ok</v>
      </c>
      <c r="K240" t="str">
        <f>IF(ISNA(_xlfn.XLOOKUP(H240,agent_info!$A$2:$A$301, agent_info!$A$2:$A$301)), "Invalid", "Ok")</f>
        <v>Ok</v>
      </c>
    </row>
    <row r="241" spans="1:11" x14ac:dyDescent="0.3">
      <c r="A241" s="1" t="s">
        <v>3721</v>
      </c>
      <c r="B241" s="1" t="s">
        <v>1243</v>
      </c>
      <c r="C241" s="1" t="s">
        <v>3318</v>
      </c>
      <c r="D241" s="1">
        <v>652709.46</v>
      </c>
      <c r="E241" s="1">
        <v>29945.200000000001</v>
      </c>
      <c r="F241" s="41">
        <v>45084</v>
      </c>
      <c r="G241" s="41">
        <v>45450</v>
      </c>
      <c r="H241" s="1" t="s">
        <v>3543</v>
      </c>
      <c r="I241" s="1" t="s">
        <v>3324</v>
      </c>
      <c r="J241" t="str">
        <f>IF(ISNA(_xlfn.XLOOKUP(B241,customer_master!$A$2:$A$1649, customer_master!$A$2:$A$1649)), "Invalid", "Ok")</f>
        <v>Ok</v>
      </c>
      <c r="K241" t="str">
        <f>IF(ISNA(_xlfn.XLOOKUP(H241,agent_info!$A$2:$A$301, agent_info!$A$2:$A$301)), "Invalid", "Ok")</f>
        <v>Ok</v>
      </c>
    </row>
    <row r="242" spans="1:11" x14ac:dyDescent="0.3">
      <c r="A242" s="1" t="s">
        <v>3722</v>
      </c>
      <c r="B242" s="1" t="s">
        <v>2724</v>
      </c>
      <c r="C242" s="1" t="s">
        <v>3331</v>
      </c>
      <c r="D242" s="1">
        <v>445410.58</v>
      </c>
      <c r="E242" s="1">
        <v>23308.44</v>
      </c>
      <c r="F242" s="41">
        <v>45391</v>
      </c>
      <c r="G242" s="41">
        <v>45756</v>
      </c>
      <c r="H242" s="1" t="s">
        <v>3723</v>
      </c>
      <c r="I242" s="1" t="s">
        <v>3324</v>
      </c>
      <c r="J242" t="str">
        <f>IF(ISNA(_xlfn.XLOOKUP(B242,customer_master!$A$2:$A$1649, customer_master!$A$2:$A$1649)), "Invalid", "Ok")</f>
        <v>Ok</v>
      </c>
      <c r="K242" t="str">
        <f>IF(ISNA(_xlfn.XLOOKUP(H242,agent_info!$A$2:$A$301, agent_info!$A$2:$A$301)), "Invalid", "Ok")</f>
        <v>Ok</v>
      </c>
    </row>
    <row r="243" spans="1:11" x14ac:dyDescent="0.3">
      <c r="A243" s="1" t="s">
        <v>3724</v>
      </c>
      <c r="B243" s="1" t="s">
        <v>2343</v>
      </c>
      <c r="C243" s="1" t="s">
        <v>3314</v>
      </c>
      <c r="D243" s="1">
        <v>620944.18999999994</v>
      </c>
      <c r="E243" s="1">
        <v>30327.71</v>
      </c>
      <c r="F243" s="41">
        <v>44111</v>
      </c>
      <c r="G243" s="41">
        <v>44476</v>
      </c>
      <c r="H243" s="1" t="s">
        <v>3725</v>
      </c>
      <c r="I243" s="1" t="s">
        <v>3324</v>
      </c>
      <c r="J243" t="str">
        <f>IF(ISNA(_xlfn.XLOOKUP(B243,customer_master!$A$2:$A$1649, customer_master!$A$2:$A$1649)), "Invalid", "Ok")</f>
        <v>Ok</v>
      </c>
      <c r="K243" t="str">
        <f>IF(ISNA(_xlfn.XLOOKUP(H243,agent_info!$A$2:$A$301, agent_info!$A$2:$A$301)), "Invalid", "Ok")</f>
        <v>Ok</v>
      </c>
    </row>
    <row r="244" spans="1:11" x14ac:dyDescent="0.3">
      <c r="A244" s="1" t="s">
        <v>3726</v>
      </c>
      <c r="B244" s="1" t="s">
        <v>859</v>
      </c>
      <c r="C244" s="1" t="s">
        <v>3318</v>
      </c>
      <c r="D244" s="1">
        <v>599821.06999999995</v>
      </c>
      <c r="E244" s="1">
        <v>31524.880000000001</v>
      </c>
      <c r="F244" s="41">
        <v>45593</v>
      </c>
      <c r="G244" s="41">
        <v>45958</v>
      </c>
      <c r="H244" s="1" t="s">
        <v>3637</v>
      </c>
      <c r="I244" s="1" t="s">
        <v>3320</v>
      </c>
      <c r="J244" t="str">
        <f>IF(ISNA(_xlfn.XLOOKUP(B244,customer_master!$A$2:$A$1649, customer_master!$A$2:$A$1649)), "Invalid", "Ok")</f>
        <v>Ok</v>
      </c>
      <c r="K244" t="str">
        <f>IF(ISNA(_xlfn.XLOOKUP(H244,agent_info!$A$2:$A$301, agent_info!$A$2:$A$301)), "Invalid", "Ok")</f>
        <v>Ok</v>
      </c>
    </row>
    <row r="245" spans="1:11" x14ac:dyDescent="0.3">
      <c r="A245" s="1" t="s">
        <v>3727</v>
      </c>
      <c r="B245" s="1" t="s">
        <v>2378</v>
      </c>
      <c r="C245" s="1" t="s">
        <v>3326</v>
      </c>
      <c r="D245" s="1">
        <v>567681.77</v>
      </c>
      <c r="E245" s="1">
        <v>28317.88</v>
      </c>
      <c r="F245" s="41">
        <v>45494</v>
      </c>
      <c r="G245" s="41">
        <v>45859</v>
      </c>
      <c r="H245" s="1" t="s">
        <v>3670</v>
      </c>
      <c r="I245" s="1" t="s">
        <v>3324</v>
      </c>
      <c r="J245" t="str">
        <f>IF(ISNA(_xlfn.XLOOKUP(B245,customer_master!$A$2:$A$1649, customer_master!$A$2:$A$1649)), "Invalid", "Ok")</f>
        <v>Ok</v>
      </c>
      <c r="K245" t="str">
        <f>IF(ISNA(_xlfn.XLOOKUP(H245,agent_info!$A$2:$A$301, agent_info!$A$2:$A$301)), "Invalid", "Ok")</f>
        <v>Ok</v>
      </c>
    </row>
    <row r="246" spans="1:11" x14ac:dyDescent="0.3">
      <c r="A246" s="1" t="s">
        <v>3728</v>
      </c>
      <c r="B246" s="1" t="s">
        <v>1289</v>
      </c>
      <c r="C246" s="1" t="s">
        <v>3314</v>
      </c>
      <c r="D246" s="1">
        <v>495216.46</v>
      </c>
      <c r="E246" s="1">
        <v>26294.95</v>
      </c>
      <c r="F246" s="41">
        <v>44081</v>
      </c>
      <c r="G246" s="41">
        <v>44446</v>
      </c>
      <c r="H246" s="1" t="s">
        <v>3729</v>
      </c>
      <c r="I246" s="1" t="s">
        <v>3324</v>
      </c>
      <c r="J246" t="str">
        <f>IF(ISNA(_xlfn.XLOOKUP(B246,customer_master!$A$2:$A$1649, customer_master!$A$2:$A$1649)), "Invalid", "Ok")</f>
        <v>Ok</v>
      </c>
      <c r="K246" t="str">
        <f>IF(ISNA(_xlfn.XLOOKUP(H246,agent_info!$A$2:$A$301, agent_info!$A$2:$A$301)), "Invalid", "Ok")</f>
        <v>Ok</v>
      </c>
    </row>
    <row r="247" spans="1:11" x14ac:dyDescent="0.3">
      <c r="A247" s="1" t="s">
        <v>3730</v>
      </c>
      <c r="B247" s="1" t="s">
        <v>1873</v>
      </c>
      <c r="C247" s="1" t="s">
        <v>3334</v>
      </c>
      <c r="D247" s="1">
        <v>447409.65</v>
      </c>
      <c r="E247" s="1">
        <v>23442.52</v>
      </c>
      <c r="F247" s="41">
        <v>45121</v>
      </c>
      <c r="G247" s="41">
        <v>45487</v>
      </c>
      <c r="H247" s="1" t="s">
        <v>3361</v>
      </c>
      <c r="I247" s="1" t="s">
        <v>3316</v>
      </c>
      <c r="J247" t="str">
        <f>IF(ISNA(_xlfn.XLOOKUP(B247,customer_master!$A$2:$A$1649, customer_master!$A$2:$A$1649)), "Invalid", "Ok")</f>
        <v>Ok</v>
      </c>
      <c r="K247" t="str">
        <f>IF(ISNA(_xlfn.XLOOKUP(H247,agent_info!$A$2:$A$301, agent_info!$A$2:$A$301)), "Invalid", "Ok")</f>
        <v>Ok</v>
      </c>
    </row>
    <row r="248" spans="1:11" x14ac:dyDescent="0.3">
      <c r="A248" s="1" t="s">
        <v>3731</v>
      </c>
      <c r="B248" s="1" t="s">
        <v>1255</v>
      </c>
      <c r="C248" s="1" t="s">
        <v>3326</v>
      </c>
      <c r="D248" s="1">
        <v>660270.01</v>
      </c>
      <c r="E248" s="1">
        <v>34757.480000000003</v>
      </c>
      <c r="F248" s="41">
        <v>46052</v>
      </c>
      <c r="G248" s="41">
        <v>46417</v>
      </c>
      <c r="H248" s="1" t="s">
        <v>3494</v>
      </c>
      <c r="I248" s="1" t="s">
        <v>3324</v>
      </c>
      <c r="J248" t="str">
        <f>IF(ISNA(_xlfn.XLOOKUP(B248,customer_master!$A$2:$A$1649, customer_master!$A$2:$A$1649)), "Invalid", "Ok")</f>
        <v>Ok</v>
      </c>
      <c r="K248" t="str">
        <f>IF(ISNA(_xlfn.XLOOKUP(H248,agent_info!$A$2:$A$301, agent_info!$A$2:$A$301)), "Invalid", "Ok")</f>
        <v>Ok</v>
      </c>
    </row>
    <row r="249" spans="1:11" x14ac:dyDescent="0.3">
      <c r="A249" s="1" t="s">
        <v>3732</v>
      </c>
      <c r="B249" s="1" t="s">
        <v>1749</v>
      </c>
      <c r="C249" s="1" t="s">
        <v>3318</v>
      </c>
      <c r="D249" s="1">
        <v>593249.81000000006</v>
      </c>
      <c r="E249" s="1">
        <v>29243.25</v>
      </c>
      <c r="F249" s="41">
        <v>45551</v>
      </c>
      <c r="G249" s="41">
        <v>45916</v>
      </c>
      <c r="H249" s="1" t="s">
        <v>3481</v>
      </c>
      <c r="I249" s="1" t="s">
        <v>3324</v>
      </c>
      <c r="J249" t="str">
        <f>IF(ISNA(_xlfn.XLOOKUP(B249,customer_master!$A$2:$A$1649, customer_master!$A$2:$A$1649)), "Invalid", "Ok")</f>
        <v>Ok</v>
      </c>
      <c r="K249" t="str">
        <f>IF(ISNA(_xlfn.XLOOKUP(H249,agent_info!$A$2:$A$301, agent_info!$A$2:$A$301)), "Invalid", "Ok")</f>
        <v>Ok</v>
      </c>
    </row>
    <row r="250" spans="1:11" x14ac:dyDescent="0.3">
      <c r="A250" s="1" t="s">
        <v>3733</v>
      </c>
      <c r="B250" s="1" t="s">
        <v>2442</v>
      </c>
      <c r="C250" s="1" t="s">
        <v>3331</v>
      </c>
      <c r="D250" s="1">
        <v>462394.47</v>
      </c>
      <c r="E250" s="1">
        <v>25252.19</v>
      </c>
      <c r="F250" s="41">
        <v>44982</v>
      </c>
      <c r="G250" s="41">
        <v>45347</v>
      </c>
      <c r="H250" s="1" t="s">
        <v>3734</v>
      </c>
      <c r="I250" s="1" t="s">
        <v>3320</v>
      </c>
      <c r="J250" t="str">
        <f>IF(ISNA(_xlfn.XLOOKUP(B250,customer_master!$A$2:$A$1649, customer_master!$A$2:$A$1649)), "Invalid", "Ok")</f>
        <v>Ok</v>
      </c>
      <c r="K250" t="str">
        <f>IF(ISNA(_xlfn.XLOOKUP(H250,agent_info!$A$2:$A$301, agent_info!$A$2:$A$301)), "Invalid", "Ok")</f>
        <v>Ok</v>
      </c>
    </row>
    <row r="251" spans="1:11" x14ac:dyDescent="0.3">
      <c r="A251" s="1" t="s">
        <v>3735</v>
      </c>
      <c r="B251" s="1" t="s">
        <v>2444</v>
      </c>
      <c r="C251" s="1" t="s">
        <v>3334</v>
      </c>
      <c r="D251" s="1">
        <v>544131.68999999994</v>
      </c>
      <c r="E251" s="1">
        <v>26691.040000000001</v>
      </c>
      <c r="F251" s="41">
        <v>46039</v>
      </c>
      <c r="G251" s="41">
        <v>46404</v>
      </c>
      <c r="H251" s="1" t="s">
        <v>3470</v>
      </c>
      <c r="I251" s="1" t="s">
        <v>3324</v>
      </c>
      <c r="J251" t="str">
        <f>IF(ISNA(_xlfn.XLOOKUP(B251,customer_master!$A$2:$A$1649, customer_master!$A$2:$A$1649)), "Invalid", "Ok")</f>
        <v>Ok</v>
      </c>
      <c r="K251" t="str">
        <f>IF(ISNA(_xlfn.XLOOKUP(H251,agent_info!$A$2:$A$301, agent_info!$A$2:$A$301)), "Invalid", "Ok")</f>
        <v>Ok</v>
      </c>
    </row>
    <row r="252" spans="1:11" x14ac:dyDescent="0.3">
      <c r="A252" s="1" t="s">
        <v>3736</v>
      </c>
      <c r="B252" s="1" t="s">
        <v>2510</v>
      </c>
      <c r="C252" s="1" t="s">
        <v>3334</v>
      </c>
      <c r="D252" s="1">
        <v>410830.22</v>
      </c>
      <c r="E252" s="1">
        <v>21745.83</v>
      </c>
      <c r="F252" s="41">
        <v>45618</v>
      </c>
      <c r="G252" s="41">
        <v>45983</v>
      </c>
      <c r="H252" s="1" t="s">
        <v>3694</v>
      </c>
      <c r="I252" s="1" t="s">
        <v>3316</v>
      </c>
      <c r="J252" t="str">
        <f>IF(ISNA(_xlfn.XLOOKUP(B252,customer_master!$A$2:$A$1649, customer_master!$A$2:$A$1649)), "Invalid", "Ok")</f>
        <v>Ok</v>
      </c>
      <c r="K252" t="str">
        <f>IF(ISNA(_xlfn.XLOOKUP(H252,agent_info!$A$2:$A$301, agent_info!$A$2:$A$301)), "Invalid", "Ok")</f>
        <v>Ok</v>
      </c>
    </row>
    <row r="253" spans="1:11" x14ac:dyDescent="0.3">
      <c r="A253" s="1" t="s">
        <v>3737</v>
      </c>
      <c r="B253" s="1" t="s">
        <v>1333</v>
      </c>
      <c r="C253" s="1" t="s">
        <v>3334</v>
      </c>
      <c r="D253" s="1">
        <v>568019.80000000005</v>
      </c>
      <c r="E253" s="1">
        <v>28341.85</v>
      </c>
      <c r="F253" s="41">
        <v>45748</v>
      </c>
      <c r="G253" s="41">
        <v>46113</v>
      </c>
      <c r="H253" s="1" t="s">
        <v>3738</v>
      </c>
      <c r="I253" s="1" t="s">
        <v>3316</v>
      </c>
      <c r="J253" t="str">
        <f>IF(ISNA(_xlfn.XLOOKUP(B253,customer_master!$A$2:$A$1649, customer_master!$A$2:$A$1649)), "Invalid", "Ok")</f>
        <v>Ok</v>
      </c>
      <c r="K253" t="str">
        <f>IF(ISNA(_xlfn.XLOOKUP(H253,agent_info!$A$2:$A$301, agent_info!$A$2:$A$301)), "Invalid", "Ok")</f>
        <v>Ok</v>
      </c>
    </row>
    <row r="254" spans="1:11" x14ac:dyDescent="0.3">
      <c r="A254" s="1" t="s">
        <v>3739</v>
      </c>
      <c r="B254" s="1" t="s">
        <v>2308</v>
      </c>
      <c r="C254" s="1" t="s">
        <v>3314</v>
      </c>
      <c r="D254" s="1">
        <v>548197.94999999995</v>
      </c>
      <c r="E254" s="1">
        <v>25957.64</v>
      </c>
      <c r="F254" s="41">
        <v>45256</v>
      </c>
      <c r="G254" s="41">
        <v>45622</v>
      </c>
      <c r="H254" s="1" t="s">
        <v>3655</v>
      </c>
      <c r="I254" s="1" t="s">
        <v>3316</v>
      </c>
      <c r="J254" t="str">
        <f>IF(ISNA(_xlfn.XLOOKUP(B254,customer_master!$A$2:$A$1649, customer_master!$A$2:$A$1649)), "Invalid", "Ok")</f>
        <v>Ok</v>
      </c>
      <c r="K254" t="str">
        <f>IF(ISNA(_xlfn.XLOOKUP(H254,agent_info!$A$2:$A$301, agent_info!$A$2:$A$301)), "Invalid", "Ok")</f>
        <v>Ok</v>
      </c>
    </row>
    <row r="255" spans="1:11" x14ac:dyDescent="0.3">
      <c r="A255" s="1" t="s">
        <v>3740</v>
      </c>
      <c r="B255" s="1" t="s">
        <v>831</v>
      </c>
      <c r="C255" s="1" t="s">
        <v>3314</v>
      </c>
      <c r="D255" s="1">
        <v>436099.6</v>
      </c>
      <c r="E255" s="1">
        <v>22367.17</v>
      </c>
      <c r="F255" s="41">
        <v>45802</v>
      </c>
      <c r="G255" s="41">
        <v>46167</v>
      </c>
      <c r="H255" s="1" t="s">
        <v>3734</v>
      </c>
      <c r="I255" s="1" t="s">
        <v>3324</v>
      </c>
      <c r="J255" t="str">
        <f>IF(ISNA(_xlfn.XLOOKUP(B255,customer_master!$A$2:$A$1649, customer_master!$A$2:$A$1649)), "Invalid", "Ok")</f>
        <v>Ok</v>
      </c>
      <c r="K255" t="str">
        <f>IF(ISNA(_xlfn.XLOOKUP(H255,agent_info!$A$2:$A$301, agent_info!$A$2:$A$301)), "Invalid", "Ok")</f>
        <v>Ok</v>
      </c>
    </row>
    <row r="256" spans="1:11" x14ac:dyDescent="0.3">
      <c r="A256" s="1" t="s">
        <v>3741</v>
      </c>
      <c r="B256" s="1" t="s">
        <v>1600</v>
      </c>
      <c r="C256" s="1" t="s">
        <v>3314</v>
      </c>
      <c r="D256" s="1">
        <v>556083.35</v>
      </c>
      <c r="E256" s="1">
        <v>27632.39</v>
      </c>
      <c r="F256" s="41">
        <v>45499</v>
      </c>
      <c r="G256" s="41">
        <v>45864</v>
      </c>
      <c r="H256" s="1" t="s">
        <v>3459</v>
      </c>
      <c r="I256" s="1" t="s">
        <v>3316</v>
      </c>
      <c r="J256" t="str">
        <f>IF(ISNA(_xlfn.XLOOKUP(B256,customer_master!$A$2:$A$1649, customer_master!$A$2:$A$1649)), "Invalid", "Ok")</f>
        <v>Ok</v>
      </c>
      <c r="K256" t="str">
        <f>IF(ISNA(_xlfn.XLOOKUP(H256,agent_info!$A$2:$A$301, agent_info!$A$2:$A$301)), "Invalid", "Ok")</f>
        <v>Ok</v>
      </c>
    </row>
    <row r="257" spans="1:11" x14ac:dyDescent="0.3">
      <c r="A257" s="1" t="s">
        <v>3742</v>
      </c>
      <c r="B257" s="1" t="s">
        <v>1944</v>
      </c>
      <c r="C257" s="1" t="s">
        <v>3334</v>
      </c>
      <c r="D257" s="1">
        <v>631219.94999999995</v>
      </c>
      <c r="E257" s="1">
        <v>30071.759999999998</v>
      </c>
      <c r="F257" s="41">
        <v>44246</v>
      </c>
      <c r="G257" s="41">
        <v>44611</v>
      </c>
      <c r="H257" s="1" t="s">
        <v>3743</v>
      </c>
      <c r="I257" s="1" t="s">
        <v>3316</v>
      </c>
      <c r="J257" t="str">
        <f>IF(ISNA(_xlfn.XLOOKUP(B257,customer_master!$A$2:$A$1649, customer_master!$A$2:$A$1649)), "Invalid", "Ok")</f>
        <v>Ok</v>
      </c>
      <c r="K257" t="str">
        <f>IF(ISNA(_xlfn.XLOOKUP(H257,agent_info!$A$2:$A$301, agent_info!$A$2:$A$301)), "Invalid", "Ok")</f>
        <v>Ok</v>
      </c>
    </row>
    <row r="258" spans="1:11" x14ac:dyDescent="0.3">
      <c r="A258" s="1" t="s">
        <v>3744</v>
      </c>
      <c r="B258" s="1" t="s">
        <v>2294</v>
      </c>
      <c r="C258" s="1" t="s">
        <v>3314</v>
      </c>
      <c r="D258" s="1">
        <v>742468.82</v>
      </c>
      <c r="E258" s="1">
        <v>36251.279999999999</v>
      </c>
      <c r="F258" s="41">
        <v>44144</v>
      </c>
      <c r="G258" s="41">
        <v>44509</v>
      </c>
      <c r="H258" s="1" t="s">
        <v>3745</v>
      </c>
      <c r="I258" s="1" t="s">
        <v>3324</v>
      </c>
      <c r="J258" t="str">
        <f>IF(ISNA(_xlfn.XLOOKUP(B258,customer_master!$A$2:$A$1649, customer_master!$A$2:$A$1649)), "Invalid", "Ok")</f>
        <v>Ok</v>
      </c>
      <c r="K258" t="str">
        <f>IF(ISNA(_xlfn.XLOOKUP(H258,agent_info!$A$2:$A$301, agent_info!$A$2:$A$301)), "Invalid", "Ok")</f>
        <v>Ok</v>
      </c>
    </row>
    <row r="259" spans="1:11" x14ac:dyDescent="0.3">
      <c r="A259" s="1" t="s">
        <v>3746</v>
      </c>
      <c r="B259" s="1" t="s">
        <v>3031</v>
      </c>
      <c r="C259" s="1" t="s">
        <v>3334</v>
      </c>
      <c r="D259" s="1">
        <v>655726.30000000005</v>
      </c>
      <c r="E259" s="1">
        <v>30556.43</v>
      </c>
      <c r="F259" s="41">
        <v>45900</v>
      </c>
      <c r="G259" s="41">
        <v>46265</v>
      </c>
      <c r="H259" s="1" t="s">
        <v>3747</v>
      </c>
      <c r="I259" s="1" t="s">
        <v>3324</v>
      </c>
      <c r="J259" t="str">
        <f>IF(ISNA(_xlfn.XLOOKUP(B259,customer_master!$A$2:$A$1649, customer_master!$A$2:$A$1649)), "Invalid", "Ok")</f>
        <v>Ok</v>
      </c>
      <c r="K259" t="str">
        <f>IF(ISNA(_xlfn.XLOOKUP(H259,agent_info!$A$2:$A$301, agent_info!$A$2:$A$301)), "Invalid", "Ok")</f>
        <v>Ok</v>
      </c>
    </row>
    <row r="260" spans="1:11" x14ac:dyDescent="0.3">
      <c r="A260" s="1" t="s">
        <v>3748</v>
      </c>
      <c r="B260" s="1" t="s">
        <v>1029</v>
      </c>
      <c r="C260" s="1" t="s">
        <v>3314</v>
      </c>
      <c r="D260" s="1">
        <v>578437.59</v>
      </c>
      <c r="E260" s="1">
        <v>31739.13</v>
      </c>
      <c r="F260" s="41">
        <v>45549</v>
      </c>
      <c r="G260" s="41">
        <v>45914</v>
      </c>
      <c r="H260" s="1" t="s">
        <v>3749</v>
      </c>
      <c r="I260" s="1" t="s">
        <v>3324</v>
      </c>
      <c r="J260" t="str">
        <f>IF(ISNA(_xlfn.XLOOKUP(B260,customer_master!$A$2:$A$1649, customer_master!$A$2:$A$1649)), "Invalid", "Ok")</f>
        <v>Ok</v>
      </c>
      <c r="K260" t="str">
        <f>IF(ISNA(_xlfn.XLOOKUP(H260,agent_info!$A$2:$A$301, agent_info!$A$2:$A$301)), "Invalid", "Ok")</f>
        <v>Ok</v>
      </c>
    </row>
    <row r="261" spans="1:11" x14ac:dyDescent="0.3">
      <c r="A261" s="1" t="s">
        <v>3750</v>
      </c>
      <c r="B261" s="1" t="s">
        <v>2807</v>
      </c>
      <c r="C261" s="1" t="s">
        <v>3314</v>
      </c>
      <c r="D261" s="1">
        <v>681469.68</v>
      </c>
      <c r="E261" s="1">
        <v>35049.24</v>
      </c>
      <c r="F261" s="41">
        <v>45550</v>
      </c>
      <c r="G261" s="41">
        <v>45915</v>
      </c>
      <c r="H261" s="1" t="s">
        <v>3751</v>
      </c>
      <c r="I261" s="1" t="s">
        <v>3316</v>
      </c>
      <c r="J261" t="str">
        <f>IF(ISNA(_xlfn.XLOOKUP(B261,customer_master!$A$2:$A$1649, customer_master!$A$2:$A$1649)), "Invalid", "Ok")</f>
        <v>Ok</v>
      </c>
      <c r="K261" t="str">
        <f>IF(ISNA(_xlfn.XLOOKUP(H261,agent_info!$A$2:$A$301, agent_info!$A$2:$A$301)), "Invalid", "Ok")</f>
        <v>Ok</v>
      </c>
    </row>
    <row r="262" spans="1:11" x14ac:dyDescent="0.3">
      <c r="A262" s="1" t="s">
        <v>3752</v>
      </c>
      <c r="B262" s="1" t="s">
        <v>1049</v>
      </c>
      <c r="C262" s="1" t="s">
        <v>3331</v>
      </c>
      <c r="D262" s="1">
        <v>488295.31</v>
      </c>
      <c r="E262" s="1">
        <v>22820.7</v>
      </c>
      <c r="F262" s="41">
        <v>44850</v>
      </c>
      <c r="G262" s="41">
        <v>45215</v>
      </c>
      <c r="H262" s="1" t="s">
        <v>3496</v>
      </c>
      <c r="I262" s="1" t="s">
        <v>3316</v>
      </c>
      <c r="J262" t="str">
        <f>IF(ISNA(_xlfn.XLOOKUP(B262,customer_master!$A$2:$A$1649, customer_master!$A$2:$A$1649)), "Invalid", "Ok")</f>
        <v>Ok</v>
      </c>
      <c r="K262" t="str">
        <f>IF(ISNA(_xlfn.XLOOKUP(H262,agent_info!$A$2:$A$301, agent_info!$A$2:$A$301)), "Invalid", "Ok")</f>
        <v>Ok</v>
      </c>
    </row>
    <row r="263" spans="1:11" x14ac:dyDescent="0.3">
      <c r="A263" s="1" t="s">
        <v>3753</v>
      </c>
      <c r="B263" s="1" t="s">
        <v>1845</v>
      </c>
      <c r="C263" s="1" t="s">
        <v>3314</v>
      </c>
      <c r="D263" s="1">
        <v>642480.92000000004</v>
      </c>
      <c r="E263" s="1">
        <v>33823.980000000003</v>
      </c>
      <c r="F263" s="41">
        <v>45858</v>
      </c>
      <c r="G263" s="41">
        <v>46223</v>
      </c>
      <c r="H263" s="1" t="s">
        <v>3754</v>
      </c>
      <c r="I263" s="1" t="s">
        <v>3324</v>
      </c>
      <c r="J263" t="str">
        <f>IF(ISNA(_xlfn.XLOOKUP(B263,customer_master!$A$2:$A$1649, customer_master!$A$2:$A$1649)), "Invalid", "Ok")</f>
        <v>Ok</v>
      </c>
      <c r="K263" t="str">
        <f>IF(ISNA(_xlfn.XLOOKUP(H263,agent_info!$A$2:$A$301, agent_info!$A$2:$A$301)), "Invalid", "Ok")</f>
        <v>Ok</v>
      </c>
    </row>
    <row r="264" spans="1:11" x14ac:dyDescent="0.3">
      <c r="A264" s="1" t="s">
        <v>3755</v>
      </c>
      <c r="B264" s="1" t="s">
        <v>2746</v>
      </c>
      <c r="C264" s="1" t="s">
        <v>3326</v>
      </c>
      <c r="D264" s="1">
        <v>351771.76</v>
      </c>
      <c r="E264" s="1">
        <v>17946.97</v>
      </c>
      <c r="F264" s="41">
        <v>45890</v>
      </c>
      <c r="G264" s="41">
        <v>46255</v>
      </c>
      <c r="H264" s="1" t="s">
        <v>3483</v>
      </c>
      <c r="I264" s="1" t="s">
        <v>3316</v>
      </c>
      <c r="J264" t="str">
        <f>IF(ISNA(_xlfn.XLOOKUP(B264,customer_master!$A$2:$A$1649, customer_master!$A$2:$A$1649)), "Invalid", "Ok")</f>
        <v>Ok</v>
      </c>
      <c r="K264" t="str">
        <f>IF(ISNA(_xlfn.XLOOKUP(H264,agent_info!$A$2:$A$301, agent_info!$A$2:$A$301)), "Invalid", "Ok")</f>
        <v>Ok</v>
      </c>
    </row>
    <row r="265" spans="1:11" x14ac:dyDescent="0.3">
      <c r="A265" s="1" t="s">
        <v>3756</v>
      </c>
      <c r="B265" s="1" t="s">
        <v>2420</v>
      </c>
      <c r="C265" s="1" t="s">
        <v>3331</v>
      </c>
      <c r="D265" s="1">
        <v>409178.26</v>
      </c>
      <c r="E265" s="1">
        <v>21369.54</v>
      </c>
      <c r="F265" s="41">
        <v>44861</v>
      </c>
      <c r="G265" s="41">
        <v>45226</v>
      </c>
      <c r="H265" s="1" t="s">
        <v>3351</v>
      </c>
      <c r="I265" s="1" t="s">
        <v>3324</v>
      </c>
      <c r="J265" t="str">
        <f>IF(ISNA(_xlfn.XLOOKUP(B265,customer_master!$A$2:$A$1649, customer_master!$A$2:$A$1649)), "Invalid", "Ok")</f>
        <v>Ok</v>
      </c>
      <c r="K265" t="str">
        <f>IF(ISNA(_xlfn.XLOOKUP(H265,agent_info!$A$2:$A$301, agent_info!$A$2:$A$301)), "Invalid", "Ok")</f>
        <v>Ok</v>
      </c>
    </row>
    <row r="266" spans="1:11" x14ac:dyDescent="0.3">
      <c r="A266" s="1" t="s">
        <v>3757</v>
      </c>
      <c r="B266" s="1" t="s">
        <v>2867</v>
      </c>
      <c r="C266" s="1" t="s">
        <v>3326</v>
      </c>
      <c r="D266" s="1">
        <v>568492.97</v>
      </c>
      <c r="E266" s="1">
        <v>28904.95</v>
      </c>
      <c r="F266" s="41">
        <v>44465</v>
      </c>
      <c r="G266" s="41">
        <v>44830</v>
      </c>
      <c r="H266" s="1" t="s">
        <v>3758</v>
      </c>
      <c r="I266" s="1" t="s">
        <v>3324</v>
      </c>
      <c r="J266" t="str">
        <f>IF(ISNA(_xlfn.XLOOKUP(B266,customer_master!$A$2:$A$1649, customer_master!$A$2:$A$1649)), "Invalid", "Ok")</f>
        <v>Ok</v>
      </c>
      <c r="K266" t="str">
        <f>IF(ISNA(_xlfn.XLOOKUP(H266,agent_info!$A$2:$A$301, agent_info!$A$2:$A$301)), "Invalid", "Ok")</f>
        <v>Ok</v>
      </c>
    </row>
    <row r="267" spans="1:11" x14ac:dyDescent="0.3">
      <c r="A267" s="1" t="s">
        <v>3759</v>
      </c>
      <c r="B267" s="1" t="s">
        <v>2704</v>
      </c>
      <c r="C267" s="1" t="s">
        <v>3331</v>
      </c>
      <c r="D267" s="1">
        <v>454957.66</v>
      </c>
      <c r="E267" s="1">
        <v>20748.189999999999</v>
      </c>
      <c r="F267" s="41">
        <v>45760</v>
      </c>
      <c r="G267" s="41">
        <v>46125</v>
      </c>
      <c r="H267" s="1" t="s">
        <v>3760</v>
      </c>
      <c r="I267" s="1" t="s">
        <v>3316</v>
      </c>
      <c r="J267" t="str">
        <f>IF(ISNA(_xlfn.XLOOKUP(B267,customer_master!$A$2:$A$1649, customer_master!$A$2:$A$1649)), "Invalid", "Ok")</f>
        <v>Ok</v>
      </c>
      <c r="K267" t="str">
        <f>IF(ISNA(_xlfn.XLOOKUP(H267,agent_info!$A$2:$A$301, agent_info!$A$2:$A$301)), "Invalid", "Ok")</f>
        <v>Ok</v>
      </c>
    </row>
    <row r="268" spans="1:11" x14ac:dyDescent="0.3">
      <c r="A268" s="1" t="s">
        <v>3761</v>
      </c>
      <c r="B268" s="1" t="s">
        <v>935</v>
      </c>
      <c r="C268" s="1" t="s">
        <v>3334</v>
      </c>
      <c r="D268" s="1">
        <v>650160.89</v>
      </c>
      <c r="E268" s="1">
        <v>30578.63</v>
      </c>
      <c r="F268" s="41">
        <v>45604</v>
      </c>
      <c r="G268" s="41">
        <v>45969</v>
      </c>
      <c r="H268" s="1" t="s">
        <v>3762</v>
      </c>
      <c r="I268" s="1" t="s">
        <v>3324</v>
      </c>
      <c r="J268" t="str">
        <f>IF(ISNA(_xlfn.XLOOKUP(B268,customer_master!$A$2:$A$1649, customer_master!$A$2:$A$1649)), "Invalid", "Ok")</f>
        <v>Ok</v>
      </c>
      <c r="K268" t="str">
        <f>IF(ISNA(_xlfn.XLOOKUP(H268,agent_info!$A$2:$A$301, agent_info!$A$2:$A$301)), "Invalid", "Ok")</f>
        <v>Ok</v>
      </c>
    </row>
    <row r="269" spans="1:11" x14ac:dyDescent="0.3">
      <c r="A269" s="1" t="s">
        <v>3763</v>
      </c>
      <c r="B269" s="1" t="s">
        <v>3287</v>
      </c>
      <c r="C269" s="1" t="s">
        <v>3314</v>
      </c>
      <c r="D269" s="1">
        <v>630150.01</v>
      </c>
      <c r="E269" s="1">
        <v>33200.99</v>
      </c>
      <c r="F269" s="41">
        <v>44095</v>
      </c>
      <c r="G269" s="41">
        <v>44460</v>
      </c>
      <c r="H269" s="1" t="s">
        <v>3764</v>
      </c>
      <c r="I269" s="1" t="s">
        <v>3324</v>
      </c>
      <c r="J269" t="str">
        <f>IF(ISNA(_xlfn.XLOOKUP(B269,customer_master!$A$2:$A$1649, customer_master!$A$2:$A$1649)), "Invalid", "Ok")</f>
        <v>Ok</v>
      </c>
      <c r="K269" t="str">
        <f>IF(ISNA(_xlfn.XLOOKUP(H269,agent_info!$A$2:$A$301, agent_info!$A$2:$A$301)), "Invalid", "Ok")</f>
        <v>Ok</v>
      </c>
    </row>
    <row r="270" spans="1:11" x14ac:dyDescent="0.3">
      <c r="A270" s="1" t="s">
        <v>3765</v>
      </c>
      <c r="B270" s="1" t="s">
        <v>3114</v>
      </c>
      <c r="C270" s="1" t="s">
        <v>3318</v>
      </c>
      <c r="D270" s="1">
        <v>402066.03</v>
      </c>
      <c r="E270" s="1">
        <v>21125.96</v>
      </c>
      <c r="F270" s="41">
        <v>45091</v>
      </c>
      <c r="G270" s="41">
        <v>45457</v>
      </c>
      <c r="H270" s="1" t="s">
        <v>3559</v>
      </c>
      <c r="I270" s="1" t="s">
        <v>3316</v>
      </c>
      <c r="J270" t="str">
        <f>IF(ISNA(_xlfn.XLOOKUP(B270,customer_master!$A$2:$A$1649, customer_master!$A$2:$A$1649)), "Invalid", "Ok")</f>
        <v>Ok</v>
      </c>
      <c r="K270" t="str">
        <f>IF(ISNA(_xlfn.XLOOKUP(H270,agent_info!$A$2:$A$301, agent_info!$A$2:$A$301)), "Invalid", "Ok")</f>
        <v>Ok</v>
      </c>
    </row>
    <row r="271" spans="1:11" x14ac:dyDescent="0.3">
      <c r="A271" s="1" t="s">
        <v>3766</v>
      </c>
      <c r="B271" s="1" t="s">
        <v>1449</v>
      </c>
      <c r="C271" s="1" t="s">
        <v>3331</v>
      </c>
      <c r="D271" s="1">
        <v>531237.48</v>
      </c>
      <c r="E271" s="1">
        <v>27910.55</v>
      </c>
      <c r="F271" s="41">
        <v>46129</v>
      </c>
      <c r="G271" s="41">
        <v>46494</v>
      </c>
      <c r="H271" s="1" t="s">
        <v>3767</v>
      </c>
      <c r="I271" s="1" t="s">
        <v>3324</v>
      </c>
      <c r="J271" t="str">
        <f>IF(ISNA(_xlfn.XLOOKUP(B271,customer_master!$A$2:$A$1649, customer_master!$A$2:$A$1649)), "Invalid", "Ok")</f>
        <v>Ok</v>
      </c>
      <c r="K271" t="str">
        <f>IF(ISNA(_xlfn.XLOOKUP(H271,agent_info!$A$2:$A$301, agent_info!$A$2:$A$301)), "Invalid", "Ok")</f>
        <v>Ok</v>
      </c>
    </row>
    <row r="272" spans="1:11" x14ac:dyDescent="0.3">
      <c r="A272" s="1" t="s">
        <v>3768</v>
      </c>
      <c r="B272" s="1" t="s">
        <v>190</v>
      </c>
      <c r="C272" s="1" t="s">
        <v>3334</v>
      </c>
      <c r="D272" s="1">
        <v>621005.85</v>
      </c>
      <c r="E272" s="1">
        <v>28039.75</v>
      </c>
      <c r="F272" s="41">
        <v>45051</v>
      </c>
      <c r="G272" s="41">
        <v>45417</v>
      </c>
      <c r="H272" s="1" t="s">
        <v>3672</v>
      </c>
      <c r="I272" s="1" t="s">
        <v>3320</v>
      </c>
      <c r="J272" t="str">
        <f>IF(ISNA(_xlfn.XLOOKUP(B272,customer_master!$A$2:$A$1649, customer_master!$A$2:$A$1649)), "Invalid", "Ok")</f>
        <v>Ok</v>
      </c>
      <c r="K272" t="str">
        <f>IF(ISNA(_xlfn.XLOOKUP(H272,agent_info!$A$2:$A$301, agent_info!$A$2:$A$301)), "Invalid", "Ok")</f>
        <v>Ok</v>
      </c>
    </row>
    <row r="273" spans="1:11" x14ac:dyDescent="0.3">
      <c r="A273" s="1" t="s">
        <v>3769</v>
      </c>
      <c r="B273" s="1" t="s">
        <v>1021</v>
      </c>
      <c r="C273" s="1" t="s">
        <v>3326</v>
      </c>
      <c r="D273" s="1">
        <v>599718.56999999995</v>
      </c>
      <c r="E273" s="1">
        <v>31815.97</v>
      </c>
      <c r="F273" s="41">
        <v>44562</v>
      </c>
      <c r="G273" s="41">
        <v>44927</v>
      </c>
      <c r="H273" s="1" t="s">
        <v>3770</v>
      </c>
      <c r="I273" s="1" t="s">
        <v>3316</v>
      </c>
      <c r="J273" t="str">
        <f>IF(ISNA(_xlfn.XLOOKUP(B273,customer_master!$A$2:$A$1649, customer_master!$A$2:$A$1649)), "Invalid", "Ok")</f>
        <v>Ok</v>
      </c>
      <c r="K273" t="str">
        <f>IF(ISNA(_xlfn.XLOOKUP(H273,agent_info!$A$2:$A$301, agent_info!$A$2:$A$301)), "Invalid", "Ok")</f>
        <v>Ok</v>
      </c>
    </row>
    <row r="274" spans="1:11" x14ac:dyDescent="0.3">
      <c r="A274" s="1" t="s">
        <v>3771</v>
      </c>
      <c r="B274" s="1" t="s">
        <v>2772</v>
      </c>
      <c r="C274" s="1" t="s">
        <v>3331</v>
      </c>
      <c r="D274" s="1">
        <v>692836.11</v>
      </c>
      <c r="E274" s="1">
        <v>34220.06</v>
      </c>
      <c r="F274" s="41">
        <v>44120</v>
      </c>
      <c r="G274" s="41">
        <v>44485</v>
      </c>
      <c r="H274" s="1" t="s">
        <v>3772</v>
      </c>
      <c r="I274" s="1" t="s">
        <v>3324</v>
      </c>
      <c r="J274" t="str">
        <f>IF(ISNA(_xlfn.XLOOKUP(B274,customer_master!$A$2:$A$1649, customer_master!$A$2:$A$1649)), "Invalid", "Ok")</f>
        <v>Ok</v>
      </c>
      <c r="K274" t="str">
        <f>IF(ISNA(_xlfn.XLOOKUP(H274,agent_info!$A$2:$A$301, agent_info!$A$2:$A$301)), "Invalid", "Ok")</f>
        <v>Ok</v>
      </c>
    </row>
    <row r="275" spans="1:11" x14ac:dyDescent="0.3">
      <c r="A275" s="1" t="s">
        <v>3773</v>
      </c>
      <c r="B275" s="1" t="s">
        <v>3158</v>
      </c>
      <c r="C275" s="1" t="s">
        <v>3334</v>
      </c>
      <c r="D275" s="1">
        <v>512220.52</v>
      </c>
      <c r="E275" s="1">
        <v>26603</v>
      </c>
      <c r="F275" s="41">
        <v>44693</v>
      </c>
      <c r="G275" s="41">
        <v>45058</v>
      </c>
      <c r="H275" s="1" t="s">
        <v>3774</v>
      </c>
      <c r="I275" s="1" t="s">
        <v>3324</v>
      </c>
      <c r="J275" t="str">
        <f>IF(ISNA(_xlfn.XLOOKUP(B275,customer_master!$A$2:$A$1649, customer_master!$A$2:$A$1649)), "Invalid", "Ok")</f>
        <v>Ok</v>
      </c>
      <c r="K275" t="str">
        <f>IF(ISNA(_xlfn.XLOOKUP(H275,agent_info!$A$2:$A$301, agent_info!$A$2:$A$301)), "Invalid", "Ok")</f>
        <v>Ok</v>
      </c>
    </row>
    <row r="276" spans="1:11" x14ac:dyDescent="0.3">
      <c r="A276" s="1" t="s">
        <v>3775</v>
      </c>
      <c r="B276" s="1" t="s">
        <v>2758</v>
      </c>
      <c r="C276" s="1" t="s">
        <v>3331</v>
      </c>
      <c r="D276" s="1">
        <v>700707.17</v>
      </c>
      <c r="E276" s="1">
        <v>33438.300000000003</v>
      </c>
      <c r="F276" s="41">
        <v>46096</v>
      </c>
      <c r="G276" s="41">
        <v>46461</v>
      </c>
      <c r="H276" s="1" t="s">
        <v>3747</v>
      </c>
      <c r="I276" s="1" t="s">
        <v>3324</v>
      </c>
      <c r="J276" t="str">
        <f>IF(ISNA(_xlfn.XLOOKUP(B276,customer_master!$A$2:$A$1649, customer_master!$A$2:$A$1649)), "Invalid", "Ok")</f>
        <v>Ok</v>
      </c>
      <c r="K276" t="str">
        <f>IF(ISNA(_xlfn.XLOOKUP(H276,agent_info!$A$2:$A$301, agent_info!$A$2:$A$301)), "Invalid", "Ok")</f>
        <v>Ok</v>
      </c>
    </row>
    <row r="277" spans="1:11" x14ac:dyDescent="0.3">
      <c r="A277" s="1" t="s">
        <v>3776</v>
      </c>
      <c r="B277" s="1" t="s">
        <v>1354</v>
      </c>
      <c r="C277" s="1" t="s">
        <v>3318</v>
      </c>
      <c r="D277" s="1">
        <v>511908.17</v>
      </c>
      <c r="E277" s="1">
        <v>26975.15</v>
      </c>
      <c r="F277" s="41">
        <v>44861</v>
      </c>
      <c r="G277" s="41">
        <v>45226</v>
      </c>
      <c r="H277" s="1" t="s">
        <v>3625</v>
      </c>
      <c r="I277" s="1" t="s">
        <v>3324</v>
      </c>
      <c r="J277" t="str">
        <f>IF(ISNA(_xlfn.XLOOKUP(B277,customer_master!$A$2:$A$1649, customer_master!$A$2:$A$1649)), "Invalid", "Ok")</f>
        <v>Ok</v>
      </c>
      <c r="K277" t="str">
        <f>IF(ISNA(_xlfn.XLOOKUP(H277,agent_info!$A$2:$A$301, agent_info!$A$2:$A$301)), "Invalid", "Ok")</f>
        <v>Ok</v>
      </c>
    </row>
    <row r="278" spans="1:11" x14ac:dyDescent="0.3">
      <c r="A278" s="1" t="s">
        <v>3777</v>
      </c>
      <c r="B278" s="1" t="s">
        <v>226</v>
      </c>
      <c r="C278" s="1" t="s">
        <v>3314</v>
      </c>
      <c r="D278" s="1">
        <v>387689.93</v>
      </c>
      <c r="E278" s="1">
        <v>21254.25</v>
      </c>
      <c r="F278" s="41">
        <v>44274</v>
      </c>
      <c r="G278" s="41">
        <v>44639</v>
      </c>
      <c r="H278" s="1" t="s">
        <v>3383</v>
      </c>
      <c r="I278" s="1" t="s">
        <v>3324</v>
      </c>
      <c r="J278" t="str">
        <f>IF(ISNA(_xlfn.XLOOKUP(B278,customer_master!$A$2:$A$1649, customer_master!$A$2:$A$1649)), "Invalid", "Ok")</f>
        <v>Ok</v>
      </c>
      <c r="K278" t="str">
        <f>IF(ISNA(_xlfn.XLOOKUP(H278,agent_info!$A$2:$A$301, agent_info!$A$2:$A$301)), "Invalid", "Ok")</f>
        <v>Ok</v>
      </c>
    </row>
    <row r="279" spans="1:11" x14ac:dyDescent="0.3">
      <c r="A279" s="1" t="s">
        <v>3778</v>
      </c>
      <c r="B279" s="1" t="s">
        <v>1737</v>
      </c>
      <c r="C279" s="1" t="s">
        <v>3334</v>
      </c>
      <c r="D279" s="1">
        <v>619852.27</v>
      </c>
      <c r="E279" s="1">
        <v>29464.92</v>
      </c>
      <c r="F279" s="41">
        <v>45421</v>
      </c>
      <c r="G279" s="41">
        <v>45786</v>
      </c>
      <c r="H279" s="1" t="s">
        <v>3570</v>
      </c>
      <c r="I279" s="1" t="s">
        <v>3324</v>
      </c>
      <c r="J279" t="str">
        <f>IF(ISNA(_xlfn.XLOOKUP(B279,customer_master!$A$2:$A$1649, customer_master!$A$2:$A$1649)), "Invalid", "Ok")</f>
        <v>Ok</v>
      </c>
      <c r="K279" t="str">
        <f>IF(ISNA(_xlfn.XLOOKUP(H279,agent_info!$A$2:$A$301, agent_info!$A$2:$A$301)), "Invalid", "Ok")</f>
        <v>Ok</v>
      </c>
    </row>
    <row r="280" spans="1:11" x14ac:dyDescent="0.3">
      <c r="A280" s="1" t="s">
        <v>3779</v>
      </c>
      <c r="B280" s="1" t="s">
        <v>1279</v>
      </c>
      <c r="C280" s="1" t="s">
        <v>3318</v>
      </c>
      <c r="D280" s="1">
        <v>469350.73</v>
      </c>
      <c r="E280" s="1">
        <v>24801.42</v>
      </c>
      <c r="F280" s="41">
        <v>44741</v>
      </c>
      <c r="G280" s="41">
        <v>45106</v>
      </c>
      <c r="H280" s="1" t="s">
        <v>3395</v>
      </c>
      <c r="I280" s="1" t="s">
        <v>3324</v>
      </c>
      <c r="J280" t="str">
        <f>IF(ISNA(_xlfn.XLOOKUP(B280,customer_master!$A$2:$A$1649, customer_master!$A$2:$A$1649)), "Invalid", "Ok")</f>
        <v>Ok</v>
      </c>
      <c r="K280" t="str">
        <f>IF(ISNA(_xlfn.XLOOKUP(H280,agent_info!$A$2:$A$301, agent_info!$A$2:$A$301)), "Invalid", "Ok")</f>
        <v>Ok</v>
      </c>
    </row>
    <row r="281" spans="1:11" x14ac:dyDescent="0.3">
      <c r="A281" s="1" t="s">
        <v>3780</v>
      </c>
      <c r="B281" s="1" t="s">
        <v>443</v>
      </c>
      <c r="C281" s="1" t="s">
        <v>3331</v>
      </c>
      <c r="D281" s="1">
        <v>428951.47</v>
      </c>
      <c r="E281" s="1">
        <v>21897.759999999998</v>
      </c>
      <c r="F281" s="41">
        <v>45650</v>
      </c>
      <c r="G281" s="41">
        <v>46015</v>
      </c>
      <c r="H281" s="1" t="s">
        <v>3749</v>
      </c>
      <c r="I281" s="1" t="s">
        <v>3324</v>
      </c>
      <c r="J281" t="str">
        <f>IF(ISNA(_xlfn.XLOOKUP(B281,customer_master!$A$2:$A$1649, customer_master!$A$2:$A$1649)), "Invalid", "Ok")</f>
        <v>Ok</v>
      </c>
      <c r="K281" t="str">
        <f>IF(ISNA(_xlfn.XLOOKUP(H281,agent_info!$A$2:$A$301, agent_info!$A$2:$A$301)), "Invalid", "Ok")</f>
        <v>Ok</v>
      </c>
    </row>
    <row r="282" spans="1:11" x14ac:dyDescent="0.3">
      <c r="A282" s="1" t="s">
        <v>3781</v>
      </c>
      <c r="B282" s="1" t="s">
        <v>381</v>
      </c>
      <c r="C282" s="1" t="s">
        <v>3331</v>
      </c>
      <c r="D282" s="1">
        <v>480063.5</v>
      </c>
      <c r="E282" s="1">
        <v>22913.89</v>
      </c>
      <c r="F282" s="41">
        <v>44590</v>
      </c>
      <c r="G282" s="41">
        <v>44955</v>
      </c>
      <c r="H282" s="1" t="s">
        <v>3464</v>
      </c>
      <c r="I282" s="1" t="s">
        <v>3316</v>
      </c>
      <c r="J282" t="str">
        <f>IF(ISNA(_xlfn.XLOOKUP(B282,customer_master!$A$2:$A$1649, customer_master!$A$2:$A$1649)), "Invalid", "Ok")</f>
        <v>Ok</v>
      </c>
      <c r="K282" t="str">
        <f>IF(ISNA(_xlfn.XLOOKUP(H282,agent_info!$A$2:$A$301, agent_info!$A$2:$A$301)), "Invalid", "Ok")</f>
        <v>Ok</v>
      </c>
    </row>
    <row r="283" spans="1:11" x14ac:dyDescent="0.3">
      <c r="A283" s="1" t="s">
        <v>3782</v>
      </c>
      <c r="B283" s="1" t="s">
        <v>540</v>
      </c>
      <c r="C283" s="1" t="s">
        <v>3326</v>
      </c>
      <c r="D283" s="1">
        <v>639769.9</v>
      </c>
      <c r="E283" s="1">
        <v>30672.85</v>
      </c>
      <c r="F283" s="41">
        <v>45159</v>
      </c>
      <c r="G283" s="41">
        <v>45525</v>
      </c>
      <c r="H283" s="1" t="s">
        <v>3445</v>
      </c>
      <c r="I283" s="1" t="s">
        <v>3316</v>
      </c>
      <c r="J283" t="str">
        <f>IF(ISNA(_xlfn.XLOOKUP(B283,customer_master!$A$2:$A$1649, customer_master!$A$2:$A$1649)), "Invalid", "Ok")</f>
        <v>Ok</v>
      </c>
      <c r="K283" t="str">
        <f>IF(ISNA(_xlfn.XLOOKUP(H283,agent_info!$A$2:$A$301, agent_info!$A$2:$A$301)), "Invalid", "Ok")</f>
        <v>Ok</v>
      </c>
    </row>
    <row r="284" spans="1:11" x14ac:dyDescent="0.3">
      <c r="A284" s="1" t="s">
        <v>3783</v>
      </c>
      <c r="B284" s="1" t="s">
        <v>735</v>
      </c>
      <c r="C284" s="1" t="s">
        <v>3331</v>
      </c>
      <c r="D284" s="1">
        <v>730191.5</v>
      </c>
      <c r="E284" s="1">
        <v>38200.97</v>
      </c>
      <c r="F284" s="41">
        <v>44872</v>
      </c>
      <c r="G284" s="41">
        <v>45237</v>
      </c>
      <c r="H284" s="1" t="s">
        <v>3751</v>
      </c>
      <c r="I284" s="1" t="s">
        <v>3320</v>
      </c>
      <c r="J284" t="str">
        <f>IF(ISNA(_xlfn.XLOOKUP(B284,customer_master!$A$2:$A$1649, customer_master!$A$2:$A$1649)), "Invalid", "Ok")</f>
        <v>Ok</v>
      </c>
      <c r="K284" t="str">
        <f>IF(ISNA(_xlfn.XLOOKUP(H284,agent_info!$A$2:$A$301, agent_info!$A$2:$A$301)), "Invalid", "Ok")</f>
        <v>Ok</v>
      </c>
    </row>
    <row r="285" spans="1:11" x14ac:dyDescent="0.3">
      <c r="A285" s="1" t="s">
        <v>3784</v>
      </c>
      <c r="B285" s="1" t="s">
        <v>2512</v>
      </c>
      <c r="C285" s="1" t="s">
        <v>3318</v>
      </c>
      <c r="D285" s="1">
        <v>741521.32</v>
      </c>
      <c r="E285" s="1">
        <v>35476.949999999997</v>
      </c>
      <c r="F285" s="41">
        <v>44692</v>
      </c>
      <c r="G285" s="41">
        <v>45057</v>
      </c>
      <c r="H285" s="1" t="s">
        <v>3785</v>
      </c>
      <c r="I285" s="1" t="s">
        <v>3316</v>
      </c>
      <c r="J285" t="str">
        <f>IF(ISNA(_xlfn.XLOOKUP(B285,customer_master!$A$2:$A$1649, customer_master!$A$2:$A$1649)), "Invalid", "Ok")</f>
        <v>Ok</v>
      </c>
      <c r="K285" t="str">
        <f>IF(ISNA(_xlfn.XLOOKUP(H285,agent_info!$A$2:$A$301, agent_info!$A$2:$A$301)), "Invalid", "Ok")</f>
        <v>Ok</v>
      </c>
    </row>
    <row r="286" spans="1:11" x14ac:dyDescent="0.3">
      <c r="A286" s="1" t="s">
        <v>3786</v>
      </c>
      <c r="B286" s="1" t="s">
        <v>1301</v>
      </c>
      <c r="C286" s="1" t="s">
        <v>3314</v>
      </c>
      <c r="D286" s="1">
        <v>501589.69</v>
      </c>
      <c r="E286" s="1">
        <v>22811.26</v>
      </c>
      <c r="F286" s="41">
        <v>46059</v>
      </c>
      <c r="G286" s="41">
        <v>46424</v>
      </c>
      <c r="H286" s="1" t="s">
        <v>3543</v>
      </c>
      <c r="I286" s="1" t="s">
        <v>3324</v>
      </c>
      <c r="J286" t="str">
        <f>IF(ISNA(_xlfn.XLOOKUP(B286,customer_master!$A$2:$A$1649, customer_master!$A$2:$A$1649)), "Invalid", "Ok")</f>
        <v>Ok</v>
      </c>
      <c r="K286" t="str">
        <f>IF(ISNA(_xlfn.XLOOKUP(H286,agent_info!$A$2:$A$301, agent_info!$A$2:$A$301)), "Invalid", "Ok")</f>
        <v>Ok</v>
      </c>
    </row>
    <row r="287" spans="1:11" x14ac:dyDescent="0.3">
      <c r="A287" s="1" t="s">
        <v>3787</v>
      </c>
      <c r="B287" s="1" t="s">
        <v>1459</v>
      </c>
      <c r="C287" s="1" t="s">
        <v>3331</v>
      </c>
      <c r="D287" s="1">
        <v>555436.80000000005</v>
      </c>
      <c r="E287" s="1">
        <v>29848.95</v>
      </c>
      <c r="F287" s="41">
        <v>45626</v>
      </c>
      <c r="G287" s="41">
        <v>45991</v>
      </c>
      <c r="H287" s="1" t="s">
        <v>3788</v>
      </c>
      <c r="I287" s="1" t="s">
        <v>3316</v>
      </c>
      <c r="J287" t="str">
        <f>IF(ISNA(_xlfn.XLOOKUP(B287,customer_master!$A$2:$A$1649, customer_master!$A$2:$A$1649)), "Invalid", "Ok")</f>
        <v>Ok</v>
      </c>
      <c r="K287" t="str">
        <f>IF(ISNA(_xlfn.XLOOKUP(H287,agent_info!$A$2:$A$301, agent_info!$A$2:$A$301)), "Invalid", "Ok")</f>
        <v>Ok</v>
      </c>
    </row>
    <row r="288" spans="1:11" x14ac:dyDescent="0.3">
      <c r="A288" s="1" t="s">
        <v>3789</v>
      </c>
      <c r="B288" s="1" t="s">
        <v>2002</v>
      </c>
      <c r="C288" s="1" t="s">
        <v>3331</v>
      </c>
      <c r="D288" s="1">
        <v>687663.71</v>
      </c>
      <c r="E288" s="1">
        <v>34994.86</v>
      </c>
      <c r="F288" s="41">
        <v>44535</v>
      </c>
      <c r="G288" s="41">
        <v>44900</v>
      </c>
      <c r="H288" s="1" t="s">
        <v>3674</v>
      </c>
      <c r="I288" s="1" t="s">
        <v>3324</v>
      </c>
      <c r="J288" t="str">
        <f>IF(ISNA(_xlfn.XLOOKUP(B288,customer_master!$A$2:$A$1649, customer_master!$A$2:$A$1649)), "Invalid", "Ok")</f>
        <v>Ok</v>
      </c>
      <c r="K288" t="str">
        <f>IF(ISNA(_xlfn.XLOOKUP(H288,agent_info!$A$2:$A$301, agent_info!$A$2:$A$301)), "Invalid", "Ok")</f>
        <v>Ok</v>
      </c>
    </row>
    <row r="289" spans="1:11" x14ac:dyDescent="0.3">
      <c r="A289" s="1" t="s">
        <v>3790</v>
      </c>
      <c r="B289" s="1" t="s">
        <v>3186</v>
      </c>
      <c r="C289" s="1" t="s">
        <v>3334</v>
      </c>
      <c r="D289" s="1">
        <v>507392.54</v>
      </c>
      <c r="E289" s="1">
        <v>26681.1</v>
      </c>
      <c r="F289" s="41">
        <v>44506</v>
      </c>
      <c r="G289" s="41">
        <v>44871</v>
      </c>
      <c r="H289" s="1" t="s">
        <v>3686</v>
      </c>
      <c r="I289" s="1" t="s">
        <v>3324</v>
      </c>
      <c r="J289" t="str">
        <f>IF(ISNA(_xlfn.XLOOKUP(B289,customer_master!$A$2:$A$1649, customer_master!$A$2:$A$1649)), "Invalid", "Ok")</f>
        <v>Ok</v>
      </c>
      <c r="K289" t="str">
        <f>IF(ISNA(_xlfn.XLOOKUP(H289,agent_info!$A$2:$A$301, agent_info!$A$2:$A$301)), "Invalid", "Ok")</f>
        <v>Ok</v>
      </c>
    </row>
    <row r="290" spans="1:11" x14ac:dyDescent="0.3">
      <c r="A290" s="1" t="s">
        <v>3791</v>
      </c>
      <c r="B290" s="1" t="s">
        <v>2523</v>
      </c>
      <c r="C290" s="1" t="s">
        <v>3334</v>
      </c>
      <c r="D290" s="1">
        <v>533280.13</v>
      </c>
      <c r="E290" s="1">
        <v>27214.48</v>
      </c>
      <c r="F290" s="41">
        <v>45876</v>
      </c>
      <c r="G290" s="41">
        <v>46241</v>
      </c>
      <c r="H290" s="1" t="s">
        <v>3792</v>
      </c>
      <c r="I290" s="1" t="s">
        <v>3320</v>
      </c>
      <c r="J290" t="str">
        <f>IF(ISNA(_xlfn.XLOOKUP(B290,customer_master!$A$2:$A$1649, customer_master!$A$2:$A$1649)), "Invalid", "Ok")</f>
        <v>Ok</v>
      </c>
      <c r="K290" t="str">
        <f>IF(ISNA(_xlfn.XLOOKUP(H290,agent_info!$A$2:$A$301, agent_info!$A$2:$A$301)), "Invalid", "Ok")</f>
        <v>Ok</v>
      </c>
    </row>
    <row r="291" spans="1:11" x14ac:dyDescent="0.3">
      <c r="A291" s="1" t="s">
        <v>3793</v>
      </c>
      <c r="B291" s="1" t="s">
        <v>2162</v>
      </c>
      <c r="C291" s="1" t="s">
        <v>3331</v>
      </c>
      <c r="D291" s="1">
        <v>472020.22</v>
      </c>
      <c r="E291" s="1">
        <v>23678.69</v>
      </c>
      <c r="F291" s="41">
        <v>44945</v>
      </c>
      <c r="G291" s="41">
        <v>45310</v>
      </c>
      <c r="H291" s="1" t="s">
        <v>3794</v>
      </c>
      <c r="I291" s="1" t="s">
        <v>3324</v>
      </c>
      <c r="J291" t="str">
        <f>IF(ISNA(_xlfn.XLOOKUP(B291,customer_master!$A$2:$A$1649, customer_master!$A$2:$A$1649)), "Invalid", "Ok")</f>
        <v>Ok</v>
      </c>
      <c r="K291" t="str">
        <f>IF(ISNA(_xlfn.XLOOKUP(H291,agent_info!$A$2:$A$301, agent_info!$A$2:$A$301)), "Invalid", "Ok")</f>
        <v>Ok</v>
      </c>
    </row>
    <row r="292" spans="1:11" x14ac:dyDescent="0.3">
      <c r="A292" s="1" t="s">
        <v>3795</v>
      </c>
      <c r="B292" s="1" t="s">
        <v>2478</v>
      </c>
      <c r="C292" s="1" t="s">
        <v>3326</v>
      </c>
      <c r="D292" s="1">
        <v>550328.56000000006</v>
      </c>
      <c r="E292" s="1">
        <v>29002.22</v>
      </c>
      <c r="F292" s="41">
        <v>45983</v>
      </c>
      <c r="G292" s="41">
        <v>46348</v>
      </c>
      <c r="H292" s="1" t="s">
        <v>3796</v>
      </c>
      <c r="I292" s="1" t="s">
        <v>3324</v>
      </c>
      <c r="J292" t="str">
        <f>IF(ISNA(_xlfn.XLOOKUP(B292,customer_master!$A$2:$A$1649, customer_master!$A$2:$A$1649)), "Invalid", "Ok")</f>
        <v>Ok</v>
      </c>
      <c r="K292" t="str">
        <f>IF(ISNA(_xlfn.XLOOKUP(H292,agent_info!$A$2:$A$301, agent_info!$A$2:$A$301)), "Invalid", "Ok")</f>
        <v>Ok</v>
      </c>
    </row>
    <row r="293" spans="1:11" x14ac:dyDescent="0.3">
      <c r="A293" s="1" t="s">
        <v>3797</v>
      </c>
      <c r="B293" s="1" t="s">
        <v>2410</v>
      </c>
      <c r="C293" s="1" t="s">
        <v>3318</v>
      </c>
      <c r="D293" s="1">
        <v>627202.81000000006</v>
      </c>
      <c r="E293" s="1">
        <v>28425.81</v>
      </c>
      <c r="F293" s="41">
        <v>45324</v>
      </c>
      <c r="G293" s="41">
        <v>45690</v>
      </c>
      <c r="H293" s="1" t="s">
        <v>3798</v>
      </c>
      <c r="I293" s="1" t="s">
        <v>3316</v>
      </c>
      <c r="J293" t="str">
        <f>IF(ISNA(_xlfn.XLOOKUP(B293,customer_master!$A$2:$A$1649, customer_master!$A$2:$A$1649)), "Invalid", "Ok")</f>
        <v>Ok</v>
      </c>
      <c r="K293" t="str">
        <f>IF(ISNA(_xlfn.XLOOKUP(H293,agent_info!$A$2:$A$301, agent_info!$A$2:$A$301)), "Invalid", "Ok")</f>
        <v>Ok</v>
      </c>
    </row>
    <row r="294" spans="1:11" x14ac:dyDescent="0.3">
      <c r="A294" s="1" t="s">
        <v>3799</v>
      </c>
      <c r="B294" s="1" t="s">
        <v>2308</v>
      </c>
      <c r="C294" s="1" t="s">
        <v>3314</v>
      </c>
      <c r="D294" s="1">
        <v>507599.19</v>
      </c>
      <c r="E294" s="1">
        <v>24425.1</v>
      </c>
      <c r="F294" s="41">
        <v>45159</v>
      </c>
      <c r="G294" s="41">
        <v>45525</v>
      </c>
      <c r="H294" s="1" t="s">
        <v>3341</v>
      </c>
      <c r="I294" s="1" t="s">
        <v>3316</v>
      </c>
      <c r="J294" t="str">
        <f>IF(ISNA(_xlfn.XLOOKUP(B294,customer_master!$A$2:$A$1649, customer_master!$A$2:$A$1649)), "Invalid", "Ok")</f>
        <v>Ok</v>
      </c>
      <c r="K294" t="str">
        <f>IF(ISNA(_xlfn.XLOOKUP(H294,agent_info!$A$2:$A$301, agent_info!$A$2:$A$301)), "Invalid", "Ok")</f>
        <v>Ok</v>
      </c>
    </row>
    <row r="295" spans="1:11" x14ac:dyDescent="0.3">
      <c r="A295" s="1" t="s">
        <v>3800</v>
      </c>
      <c r="B295" s="1" t="s">
        <v>1674</v>
      </c>
      <c r="C295" s="1" t="s">
        <v>3314</v>
      </c>
      <c r="D295" s="1">
        <v>394328.75</v>
      </c>
      <c r="E295" s="1">
        <v>20219.080000000002</v>
      </c>
      <c r="F295" s="41">
        <v>45286</v>
      </c>
      <c r="G295" s="41">
        <v>45652</v>
      </c>
      <c r="H295" s="1" t="s">
        <v>3801</v>
      </c>
      <c r="I295" s="1" t="s">
        <v>3324</v>
      </c>
      <c r="J295" t="str">
        <f>IF(ISNA(_xlfn.XLOOKUP(B295,customer_master!$A$2:$A$1649, customer_master!$A$2:$A$1649)), "Invalid", "Ok")</f>
        <v>Ok</v>
      </c>
      <c r="K295" t="str">
        <f>IF(ISNA(_xlfn.XLOOKUP(H295,agent_info!$A$2:$A$301, agent_info!$A$2:$A$301)), "Invalid", "Ok")</f>
        <v>Ok</v>
      </c>
    </row>
    <row r="296" spans="1:11" x14ac:dyDescent="0.3">
      <c r="A296" s="1" t="s">
        <v>3802</v>
      </c>
      <c r="B296" s="1" t="s">
        <v>1897</v>
      </c>
      <c r="C296" s="1" t="s">
        <v>3331</v>
      </c>
      <c r="D296" s="1">
        <v>662248.82999999996</v>
      </c>
      <c r="E296" s="1">
        <v>36052.660000000003</v>
      </c>
      <c r="F296" s="41">
        <v>45523</v>
      </c>
      <c r="G296" s="41">
        <v>45888</v>
      </c>
      <c r="H296" s="1" t="s">
        <v>3803</v>
      </c>
      <c r="I296" s="1" t="s">
        <v>3324</v>
      </c>
      <c r="J296" t="str">
        <f>IF(ISNA(_xlfn.XLOOKUP(B296,customer_master!$A$2:$A$1649, customer_master!$A$2:$A$1649)), "Invalid", "Ok")</f>
        <v>Ok</v>
      </c>
      <c r="K296" t="str">
        <f>IF(ISNA(_xlfn.XLOOKUP(H296,agent_info!$A$2:$A$301, agent_info!$A$2:$A$301)), "Invalid", "Ok")</f>
        <v>Ok</v>
      </c>
    </row>
    <row r="297" spans="1:11" x14ac:dyDescent="0.3">
      <c r="A297" s="1" t="s">
        <v>3804</v>
      </c>
      <c r="B297" s="1" t="s">
        <v>1549</v>
      </c>
      <c r="C297" s="1" t="s">
        <v>3318</v>
      </c>
      <c r="D297" s="1">
        <v>611073.78</v>
      </c>
      <c r="E297" s="1">
        <v>29903.82</v>
      </c>
      <c r="F297" s="41">
        <v>45317</v>
      </c>
      <c r="G297" s="41">
        <v>45683</v>
      </c>
      <c r="H297" s="1" t="s">
        <v>3805</v>
      </c>
      <c r="I297" s="1" t="s">
        <v>3324</v>
      </c>
      <c r="J297" t="str">
        <f>IF(ISNA(_xlfn.XLOOKUP(B297,customer_master!$A$2:$A$1649, customer_master!$A$2:$A$1649)), "Invalid", "Ok")</f>
        <v>Ok</v>
      </c>
      <c r="K297" t="str">
        <f>IF(ISNA(_xlfn.XLOOKUP(H297,agent_info!$A$2:$A$301, agent_info!$A$2:$A$301)), "Invalid", "Ok")</f>
        <v>Ok</v>
      </c>
    </row>
    <row r="298" spans="1:11" x14ac:dyDescent="0.3">
      <c r="A298" s="1" t="s">
        <v>3806</v>
      </c>
      <c r="B298" s="1" t="s">
        <v>1349</v>
      </c>
      <c r="C298" s="1" t="s">
        <v>3314</v>
      </c>
      <c r="D298" s="1">
        <v>469314.53</v>
      </c>
      <c r="E298" s="1">
        <v>25696.34</v>
      </c>
      <c r="F298" s="41">
        <v>45572</v>
      </c>
      <c r="G298" s="41">
        <v>45937</v>
      </c>
      <c r="H298" s="1" t="s">
        <v>3807</v>
      </c>
      <c r="I298" s="1" t="s">
        <v>3324</v>
      </c>
      <c r="J298" t="str">
        <f>IF(ISNA(_xlfn.XLOOKUP(B298,customer_master!$A$2:$A$1649, customer_master!$A$2:$A$1649)), "Invalid", "Ok")</f>
        <v>Ok</v>
      </c>
      <c r="K298" t="str">
        <f>IF(ISNA(_xlfn.XLOOKUP(H298,agent_info!$A$2:$A$301, agent_info!$A$2:$A$301)), "Invalid", "Ok")</f>
        <v>Ok</v>
      </c>
    </row>
    <row r="299" spans="1:11" x14ac:dyDescent="0.3">
      <c r="A299" s="1" t="s">
        <v>3808</v>
      </c>
      <c r="B299" s="1" t="s">
        <v>917</v>
      </c>
      <c r="C299" s="1" t="s">
        <v>3326</v>
      </c>
      <c r="D299" s="1">
        <v>460126.69</v>
      </c>
      <c r="E299" s="1">
        <v>24180.95</v>
      </c>
      <c r="F299" s="41">
        <v>45315</v>
      </c>
      <c r="G299" s="41">
        <v>45681</v>
      </c>
      <c r="H299" s="1" t="s">
        <v>3809</v>
      </c>
      <c r="I299" s="1" t="s">
        <v>3324</v>
      </c>
      <c r="J299" t="str">
        <f>IF(ISNA(_xlfn.XLOOKUP(B299,customer_master!$A$2:$A$1649, customer_master!$A$2:$A$1649)), "Invalid", "Ok")</f>
        <v>Ok</v>
      </c>
      <c r="K299" t="str">
        <f>IF(ISNA(_xlfn.XLOOKUP(H299,agent_info!$A$2:$A$301, agent_info!$A$2:$A$301)), "Invalid", "Ok")</f>
        <v>Ok</v>
      </c>
    </row>
    <row r="300" spans="1:11" x14ac:dyDescent="0.3">
      <c r="A300" s="1" t="s">
        <v>3810</v>
      </c>
      <c r="B300" s="1" t="s">
        <v>1203</v>
      </c>
      <c r="C300" s="1" t="s">
        <v>3331</v>
      </c>
      <c r="D300" s="1">
        <v>746638.83</v>
      </c>
      <c r="E300" s="1">
        <v>37219.17</v>
      </c>
      <c r="F300" s="41">
        <v>44220</v>
      </c>
      <c r="G300" s="41">
        <v>44585</v>
      </c>
      <c r="H300" s="1" t="s">
        <v>3811</v>
      </c>
      <c r="I300" s="1" t="s">
        <v>3324</v>
      </c>
      <c r="J300" t="str">
        <f>IF(ISNA(_xlfn.XLOOKUP(B300,customer_master!$A$2:$A$1649, customer_master!$A$2:$A$1649)), "Invalid", "Ok")</f>
        <v>Ok</v>
      </c>
      <c r="K300" t="str">
        <f>IF(ISNA(_xlfn.XLOOKUP(H300,agent_info!$A$2:$A$301, agent_info!$A$2:$A$301)), "Invalid", "Ok")</f>
        <v>Ok</v>
      </c>
    </row>
    <row r="301" spans="1:11" x14ac:dyDescent="0.3">
      <c r="A301" s="1" t="s">
        <v>3812</v>
      </c>
      <c r="B301" s="1" t="s">
        <v>1441</v>
      </c>
      <c r="C301" s="1" t="s">
        <v>3326</v>
      </c>
      <c r="D301" s="1">
        <v>570571.24</v>
      </c>
      <c r="E301" s="1">
        <v>28124.36</v>
      </c>
      <c r="F301" s="41">
        <v>44358</v>
      </c>
      <c r="G301" s="41">
        <v>44723</v>
      </c>
      <c r="H301" s="1" t="s">
        <v>3813</v>
      </c>
      <c r="I301" s="1" t="s">
        <v>3324</v>
      </c>
      <c r="J301" t="str">
        <f>IF(ISNA(_xlfn.XLOOKUP(B301,customer_master!$A$2:$A$1649, customer_master!$A$2:$A$1649)), "Invalid", "Ok")</f>
        <v>Ok</v>
      </c>
      <c r="K301" t="str">
        <f>IF(ISNA(_xlfn.XLOOKUP(H301,agent_info!$A$2:$A$301, agent_info!$A$2:$A$301)), "Invalid", "Ok")</f>
        <v>Ok</v>
      </c>
    </row>
    <row r="302" spans="1:11" x14ac:dyDescent="0.3">
      <c r="A302" s="1" t="s">
        <v>3814</v>
      </c>
      <c r="B302" s="1" t="s">
        <v>1933</v>
      </c>
      <c r="C302" s="1" t="s">
        <v>3331</v>
      </c>
      <c r="D302" s="1">
        <v>608674.76</v>
      </c>
      <c r="E302" s="1">
        <v>28178.25</v>
      </c>
      <c r="F302" s="41">
        <v>44219</v>
      </c>
      <c r="G302" s="41">
        <v>44584</v>
      </c>
      <c r="H302" s="1" t="s">
        <v>3815</v>
      </c>
      <c r="I302" s="1" t="s">
        <v>3324</v>
      </c>
      <c r="J302" t="str">
        <f>IF(ISNA(_xlfn.XLOOKUP(B302,customer_master!$A$2:$A$1649, customer_master!$A$2:$A$1649)), "Invalid", "Ok")</f>
        <v>Ok</v>
      </c>
      <c r="K302" t="str">
        <f>IF(ISNA(_xlfn.XLOOKUP(H302,agent_info!$A$2:$A$301, agent_info!$A$2:$A$301)), "Invalid", "Ok")</f>
        <v>Ok</v>
      </c>
    </row>
    <row r="303" spans="1:11" x14ac:dyDescent="0.3">
      <c r="A303" s="1" t="s">
        <v>3816</v>
      </c>
      <c r="B303" s="1" t="s">
        <v>1680</v>
      </c>
      <c r="C303" s="1" t="s">
        <v>3334</v>
      </c>
      <c r="D303" s="1">
        <v>631280.93000000005</v>
      </c>
      <c r="E303" s="1">
        <v>32291.25</v>
      </c>
      <c r="F303" s="41">
        <v>44646</v>
      </c>
      <c r="G303" s="41">
        <v>45011</v>
      </c>
      <c r="H303" s="1" t="s">
        <v>3817</v>
      </c>
      <c r="I303" s="1" t="s">
        <v>3316</v>
      </c>
      <c r="J303" t="str">
        <f>IF(ISNA(_xlfn.XLOOKUP(B303,customer_master!$A$2:$A$1649, customer_master!$A$2:$A$1649)), "Invalid", "Ok")</f>
        <v>Ok</v>
      </c>
      <c r="K303" t="str">
        <f>IF(ISNA(_xlfn.XLOOKUP(H303,agent_info!$A$2:$A$301, agent_info!$A$2:$A$301)), "Invalid", "Ok")</f>
        <v>Ok</v>
      </c>
    </row>
    <row r="304" spans="1:11" x14ac:dyDescent="0.3">
      <c r="A304" s="1" t="s">
        <v>3818</v>
      </c>
      <c r="B304" s="1" t="s">
        <v>387</v>
      </c>
      <c r="C304" s="1" t="s">
        <v>3331</v>
      </c>
      <c r="D304" s="1">
        <v>745620.59</v>
      </c>
      <c r="E304" s="1">
        <v>33943.29</v>
      </c>
      <c r="F304" s="41">
        <v>45326</v>
      </c>
      <c r="G304" s="41">
        <v>45692</v>
      </c>
      <c r="H304" s="1" t="s">
        <v>3819</v>
      </c>
      <c r="I304" s="1" t="s">
        <v>3324</v>
      </c>
      <c r="J304" t="str">
        <f>IF(ISNA(_xlfn.XLOOKUP(B304,customer_master!$A$2:$A$1649, customer_master!$A$2:$A$1649)), "Invalid", "Ok")</f>
        <v>Ok</v>
      </c>
      <c r="K304" t="str">
        <f>IF(ISNA(_xlfn.XLOOKUP(H304,agent_info!$A$2:$A$301, agent_info!$A$2:$A$301)), "Invalid", "Ok")</f>
        <v>Ok</v>
      </c>
    </row>
    <row r="305" spans="1:11" x14ac:dyDescent="0.3">
      <c r="A305" s="1" t="s">
        <v>3820</v>
      </c>
      <c r="B305" s="1" t="s">
        <v>1151</v>
      </c>
      <c r="C305" s="1" t="s">
        <v>3331</v>
      </c>
      <c r="D305" s="1">
        <v>511156.24</v>
      </c>
      <c r="E305" s="1">
        <v>25195.27</v>
      </c>
      <c r="F305" s="41">
        <v>44576</v>
      </c>
      <c r="G305" s="41">
        <v>44941</v>
      </c>
      <c r="H305" s="1" t="s">
        <v>3821</v>
      </c>
      <c r="I305" s="1" t="s">
        <v>3324</v>
      </c>
      <c r="J305" t="str">
        <f>IF(ISNA(_xlfn.XLOOKUP(B305,customer_master!$A$2:$A$1649, customer_master!$A$2:$A$1649)), "Invalid", "Ok")</f>
        <v>Ok</v>
      </c>
      <c r="K305" t="str">
        <f>IF(ISNA(_xlfn.XLOOKUP(H305,agent_info!$A$2:$A$301, agent_info!$A$2:$A$301)), "Invalid", "Ok")</f>
        <v>Ok</v>
      </c>
    </row>
    <row r="306" spans="1:11" x14ac:dyDescent="0.3">
      <c r="A306" s="1" t="s">
        <v>3822</v>
      </c>
      <c r="B306" s="1" t="s">
        <v>1277</v>
      </c>
      <c r="C306" s="1" t="s">
        <v>3314</v>
      </c>
      <c r="D306" s="1">
        <v>493152.65</v>
      </c>
      <c r="E306" s="1">
        <v>23364.14</v>
      </c>
      <c r="F306" s="41">
        <v>45223</v>
      </c>
      <c r="G306" s="41">
        <v>45589</v>
      </c>
      <c r="H306" s="1" t="s">
        <v>3381</v>
      </c>
      <c r="I306" s="1" t="s">
        <v>3324</v>
      </c>
      <c r="J306" t="str">
        <f>IF(ISNA(_xlfn.XLOOKUP(B306,customer_master!$A$2:$A$1649, customer_master!$A$2:$A$1649)), "Invalid", "Ok")</f>
        <v>Ok</v>
      </c>
      <c r="K306" t="str">
        <f>IF(ISNA(_xlfn.XLOOKUP(H306,agent_info!$A$2:$A$301, agent_info!$A$2:$A$301)), "Invalid", "Ok")</f>
        <v>Ok</v>
      </c>
    </row>
    <row r="307" spans="1:11" x14ac:dyDescent="0.3">
      <c r="A307" s="1" t="s">
        <v>3823</v>
      </c>
      <c r="B307" s="1" t="s">
        <v>2362</v>
      </c>
      <c r="C307" s="1" t="s">
        <v>3331</v>
      </c>
      <c r="D307" s="1">
        <v>525227.26</v>
      </c>
      <c r="E307" s="1">
        <v>28657.9</v>
      </c>
      <c r="F307" s="41">
        <v>45791</v>
      </c>
      <c r="G307" s="41">
        <v>46156</v>
      </c>
      <c r="H307" s="1" t="s">
        <v>3824</v>
      </c>
      <c r="I307" s="1" t="s">
        <v>3324</v>
      </c>
      <c r="J307" t="str">
        <f>IF(ISNA(_xlfn.XLOOKUP(B307,customer_master!$A$2:$A$1649, customer_master!$A$2:$A$1649)), "Invalid", "Ok")</f>
        <v>Ok</v>
      </c>
      <c r="K307" t="str">
        <f>IF(ISNA(_xlfn.XLOOKUP(H307,agent_info!$A$2:$A$301, agent_info!$A$2:$A$301)), "Invalid", "Ok")</f>
        <v>Ok</v>
      </c>
    </row>
    <row r="308" spans="1:11" x14ac:dyDescent="0.3">
      <c r="A308" s="1" t="s">
        <v>3825</v>
      </c>
      <c r="B308" s="1" t="s">
        <v>1127</v>
      </c>
      <c r="C308" s="1" t="s">
        <v>3314</v>
      </c>
      <c r="D308" s="1">
        <v>693365.4</v>
      </c>
      <c r="E308" s="1">
        <v>33720.19</v>
      </c>
      <c r="F308" s="41">
        <v>44497</v>
      </c>
      <c r="G308" s="41">
        <v>44862</v>
      </c>
      <c r="H308" s="1" t="s">
        <v>3826</v>
      </c>
      <c r="I308" s="1" t="s">
        <v>3324</v>
      </c>
      <c r="J308" t="str">
        <f>IF(ISNA(_xlfn.XLOOKUP(B308,customer_master!$A$2:$A$1649, customer_master!$A$2:$A$1649)), "Invalid", "Ok")</f>
        <v>Ok</v>
      </c>
      <c r="K308" t="str">
        <f>IF(ISNA(_xlfn.XLOOKUP(H308,agent_info!$A$2:$A$301, agent_info!$A$2:$A$301)), "Invalid", "Ok")</f>
        <v>Ok</v>
      </c>
    </row>
    <row r="309" spans="1:11" x14ac:dyDescent="0.3">
      <c r="A309" s="1" t="s">
        <v>3827</v>
      </c>
      <c r="B309" s="1" t="s">
        <v>58</v>
      </c>
      <c r="C309" s="1" t="s">
        <v>3326</v>
      </c>
      <c r="D309" s="1">
        <v>392335.61</v>
      </c>
      <c r="E309" s="1">
        <v>19574.62</v>
      </c>
      <c r="F309" s="41">
        <v>45563</v>
      </c>
      <c r="G309" s="41">
        <v>45928</v>
      </c>
      <c r="H309" s="1" t="s">
        <v>3522</v>
      </c>
      <c r="I309" s="1" t="s">
        <v>3324</v>
      </c>
      <c r="J309" t="str">
        <f>IF(ISNA(_xlfn.XLOOKUP(B309,customer_master!$A$2:$A$1649, customer_master!$A$2:$A$1649)), "Invalid", "Ok")</f>
        <v>Ok</v>
      </c>
      <c r="K309" t="str">
        <f>IF(ISNA(_xlfn.XLOOKUP(H309,agent_info!$A$2:$A$301, agent_info!$A$2:$A$301)), "Invalid", "Ok")</f>
        <v>Ok</v>
      </c>
    </row>
    <row r="310" spans="1:11" x14ac:dyDescent="0.3">
      <c r="A310" s="1" t="s">
        <v>3828</v>
      </c>
      <c r="B310" s="1" t="s">
        <v>316</v>
      </c>
      <c r="C310" s="1" t="s">
        <v>3334</v>
      </c>
      <c r="D310" s="1">
        <v>464627.51</v>
      </c>
      <c r="E310" s="1">
        <v>22652.880000000001</v>
      </c>
      <c r="F310" s="41">
        <v>46251</v>
      </c>
      <c r="G310" s="41">
        <v>46616</v>
      </c>
      <c r="H310" s="1" t="s">
        <v>3660</v>
      </c>
      <c r="I310" s="1" t="s">
        <v>3324</v>
      </c>
      <c r="J310" t="str">
        <f>IF(ISNA(_xlfn.XLOOKUP(B310,customer_master!$A$2:$A$1649, customer_master!$A$2:$A$1649)), "Invalid", "Ok")</f>
        <v>Ok</v>
      </c>
      <c r="K310" t="str">
        <f>IF(ISNA(_xlfn.XLOOKUP(H310,agent_info!$A$2:$A$301, agent_info!$A$2:$A$301)), "Invalid", "Ok")</f>
        <v>Ok</v>
      </c>
    </row>
    <row r="311" spans="1:11" x14ac:dyDescent="0.3">
      <c r="A311" s="1" t="s">
        <v>3829</v>
      </c>
      <c r="B311" s="1" t="s">
        <v>1676</v>
      </c>
      <c r="C311" s="1" t="s">
        <v>3318</v>
      </c>
      <c r="D311" s="1">
        <v>464276.8</v>
      </c>
      <c r="E311" s="1">
        <v>21529.49</v>
      </c>
      <c r="F311" s="41">
        <v>45596</v>
      </c>
      <c r="G311" s="41">
        <v>45961</v>
      </c>
      <c r="H311" s="1" t="s">
        <v>3830</v>
      </c>
      <c r="I311" s="1" t="s">
        <v>3320</v>
      </c>
      <c r="J311" t="str">
        <f>IF(ISNA(_xlfn.XLOOKUP(B311,customer_master!$A$2:$A$1649, customer_master!$A$2:$A$1649)), "Invalid", "Ok")</f>
        <v>Ok</v>
      </c>
      <c r="K311" t="str">
        <f>IF(ISNA(_xlfn.XLOOKUP(H311,agent_info!$A$2:$A$301, agent_info!$A$2:$A$301)), "Invalid", "Ok")</f>
        <v>Ok</v>
      </c>
    </row>
    <row r="312" spans="1:11" x14ac:dyDescent="0.3">
      <c r="A312" s="1" t="s">
        <v>3831</v>
      </c>
      <c r="B312" s="1" t="s">
        <v>674</v>
      </c>
      <c r="C312" s="1" t="s">
        <v>3326</v>
      </c>
      <c r="D312" s="1">
        <v>572732.09</v>
      </c>
      <c r="E312" s="1">
        <v>27792.29</v>
      </c>
      <c r="F312" s="41">
        <v>45245</v>
      </c>
      <c r="G312" s="41">
        <v>45611</v>
      </c>
      <c r="H312" s="1" t="s">
        <v>3710</v>
      </c>
      <c r="I312" s="1" t="s">
        <v>3324</v>
      </c>
      <c r="J312" t="str">
        <f>IF(ISNA(_xlfn.XLOOKUP(B312,customer_master!$A$2:$A$1649, customer_master!$A$2:$A$1649)), "Invalid", "Ok")</f>
        <v>Ok</v>
      </c>
      <c r="K312" t="str">
        <f>IF(ISNA(_xlfn.XLOOKUP(H312,agent_info!$A$2:$A$301, agent_info!$A$2:$A$301)), "Invalid", "Ok")</f>
        <v>Ok</v>
      </c>
    </row>
    <row r="313" spans="1:11" x14ac:dyDescent="0.3">
      <c r="A313" s="1" t="s">
        <v>3832</v>
      </c>
      <c r="B313" s="1" t="s">
        <v>1664</v>
      </c>
      <c r="C313" s="1" t="s">
        <v>3326</v>
      </c>
      <c r="D313" s="1">
        <v>574554.06000000006</v>
      </c>
      <c r="E313" s="1">
        <v>30330.7</v>
      </c>
      <c r="F313" s="41">
        <v>44631</v>
      </c>
      <c r="G313" s="41">
        <v>44996</v>
      </c>
      <c r="H313" s="1" t="s">
        <v>3701</v>
      </c>
      <c r="I313" s="1" t="s">
        <v>3320</v>
      </c>
      <c r="J313" t="str">
        <f>IF(ISNA(_xlfn.XLOOKUP(B313,customer_master!$A$2:$A$1649, customer_master!$A$2:$A$1649)), "Invalid", "Ok")</f>
        <v>Ok</v>
      </c>
      <c r="K313" t="str">
        <f>IF(ISNA(_xlfn.XLOOKUP(H313,agent_info!$A$2:$A$301, agent_info!$A$2:$A$301)), "Invalid", "Ok")</f>
        <v>Ok</v>
      </c>
    </row>
    <row r="314" spans="1:11" x14ac:dyDescent="0.3">
      <c r="A314" s="1" t="s">
        <v>3833</v>
      </c>
      <c r="B314" s="1" t="s">
        <v>1917</v>
      </c>
      <c r="C314" s="1" t="s">
        <v>3326</v>
      </c>
      <c r="D314" s="1">
        <v>480160.23</v>
      </c>
      <c r="E314" s="1">
        <v>24589.94</v>
      </c>
      <c r="F314" s="41">
        <v>45304</v>
      </c>
      <c r="G314" s="41">
        <v>45670</v>
      </c>
      <c r="H314" s="1" t="s">
        <v>3367</v>
      </c>
      <c r="I314" s="1" t="s">
        <v>3324</v>
      </c>
      <c r="J314" t="str">
        <f>IF(ISNA(_xlfn.XLOOKUP(B314,customer_master!$A$2:$A$1649, customer_master!$A$2:$A$1649)), "Invalid", "Ok")</f>
        <v>Ok</v>
      </c>
      <c r="K314" t="str">
        <f>IF(ISNA(_xlfn.XLOOKUP(H314,agent_info!$A$2:$A$301, agent_info!$A$2:$A$301)), "Invalid", "Ok")</f>
        <v>Ok</v>
      </c>
    </row>
    <row r="315" spans="1:11" x14ac:dyDescent="0.3">
      <c r="A315" s="1" t="s">
        <v>3834</v>
      </c>
      <c r="B315" s="1" t="s">
        <v>3102</v>
      </c>
      <c r="C315" s="1" t="s">
        <v>3331</v>
      </c>
      <c r="D315" s="1">
        <v>486867.35</v>
      </c>
      <c r="E315" s="1">
        <v>24038.66</v>
      </c>
      <c r="F315" s="41">
        <v>45072</v>
      </c>
      <c r="G315" s="41">
        <v>45438</v>
      </c>
      <c r="H315" s="1" t="s">
        <v>3794</v>
      </c>
      <c r="I315" s="1" t="s">
        <v>3324</v>
      </c>
      <c r="J315" t="str">
        <f>IF(ISNA(_xlfn.XLOOKUP(B315,customer_master!$A$2:$A$1649, customer_master!$A$2:$A$1649)), "Invalid", "Ok")</f>
        <v>Ok</v>
      </c>
      <c r="K315" t="str">
        <f>IF(ISNA(_xlfn.XLOOKUP(H315,agent_info!$A$2:$A$301, agent_info!$A$2:$A$301)), "Invalid", "Ok")</f>
        <v>Ok</v>
      </c>
    </row>
    <row r="316" spans="1:11" x14ac:dyDescent="0.3">
      <c r="A316" s="1" t="s">
        <v>3835</v>
      </c>
      <c r="B316" s="1" t="s">
        <v>2188</v>
      </c>
      <c r="C316" s="1" t="s">
        <v>3318</v>
      </c>
      <c r="D316" s="1">
        <v>663258.43000000005</v>
      </c>
      <c r="E316" s="1">
        <v>35289.129999999997</v>
      </c>
      <c r="F316" s="41">
        <v>46132</v>
      </c>
      <c r="G316" s="41">
        <v>46497</v>
      </c>
      <c r="H316" s="1" t="s">
        <v>3836</v>
      </c>
      <c r="I316" s="1" t="s">
        <v>3324</v>
      </c>
      <c r="J316" t="str">
        <f>IF(ISNA(_xlfn.XLOOKUP(B316,customer_master!$A$2:$A$1649, customer_master!$A$2:$A$1649)), "Invalid", "Ok")</f>
        <v>Ok</v>
      </c>
      <c r="K316" t="str">
        <f>IF(ISNA(_xlfn.XLOOKUP(H316,agent_info!$A$2:$A$301, agent_info!$A$2:$A$301)), "Invalid", "Ok")</f>
        <v>Ok</v>
      </c>
    </row>
    <row r="317" spans="1:11" x14ac:dyDescent="0.3">
      <c r="A317" s="1" t="s">
        <v>3837</v>
      </c>
      <c r="B317" s="1" t="s">
        <v>135</v>
      </c>
      <c r="C317" s="1" t="s">
        <v>3331</v>
      </c>
      <c r="D317" s="1">
        <v>393603.69</v>
      </c>
      <c r="E317" s="1">
        <v>17728.5</v>
      </c>
      <c r="F317" s="41">
        <v>45481</v>
      </c>
      <c r="G317" s="41">
        <v>45846</v>
      </c>
      <c r="H317" s="1" t="s">
        <v>3838</v>
      </c>
      <c r="I317" s="1" t="s">
        <v>3324</v>
      </c>
      <c r="J317" t="str">
        <f>IF(ISNA(_xlfn.XLOOKUP(B317,customer_master!$A$2:$A$1649, customer_master!$A$2:$A$1649)), "Invalid", "Ok")</f>
        <v>Ok</v>
      </c>
      <c r="K317" t="str">
        <f>IF(ISNA(_xlfn.XLOOKUP(H317,agent_info!$A$2:$A$301, agent_info!$A$2:$A$301)), "Invalid", "Ok")</f>
        <v>Ok</v>
      </c>
    </row>
    <row r="318" spans="1:11" x14ac:dyDescent="0.3">
      <c r="A318" s="1" t="s">
        <v>3839</v>
      </c>
      <c r="B318" s="1" t="s">
        <v>1295</v>
      </c>
      <c r="C318" s="1" t="s">
        <v>3314</v>
      </c>
      <c r="D318" s="1">
        <v>669414.02</v>
      </c>
      <c r="E318" s="1">
        <v>35657.01</v>
      </c>
      <c r="F318" s="41">
        <v>46144</v>
      </c>
      <c r="G318" s="41">
        <v>46509</v>
      </c>
      <c r="H318" s="1" t="s">
        <v>3840</v>
      </c>
      <c r="I318" s="1" t="s">
        <v>3324</v>
      </c>
      <c r="J318" t="str">
        <f>IF(ISNA(_xlfn.XLOOKUP(B318,customer_master!$A$2:$A$1649, customer_master!$A$2:$A$1649)), "Invalid", "Ok")</f>
        <v>Ok</v>
      </c>
      <c r="K318" t="str">
        <f>IF(ISNA(_xlfn.XLOOKUP(H318,agent_info!$A$2:$A$301, agent_info!$A$2:$A$301)), "Invalid", "Ok")</f>
        <v>Ok</v>
      </c>
    </row>
    <row r="319" spans="1:11" x14ac:dyDescent="0.3">
      <c r="A319" s="1" t="s">
        <v>3841</v>
      </c>
      <c r="B319" s="1" t="s">
        <v>2631</v>
      </c>
      <c r="C319" s="1" t="s">
        <v>3326</v>
      </c>
      <c r="D319" s="1">
        <v>423595.9</v>
      </c>
      <c r="E319" s="1">
        <v>19314.009999999998</v>
      </c>
      <c r="F319" s="41">
        <v>44190</v>
      </c>
      <c r="G319" s="41">
        <v>44555</v>
      </c>
      <c r="H319" s="1" t="s">
        <v>3734</v>
      </c>
      <c r="I319" s="1" t="s">
        <v>3324</v>
      </c>
      <c r="J319" t="str">
        <f>IF(ISNA(_xlfn.XLOOKUP(B319,customer_master!$A$2:$A$1649, customer_master!$A$2:$A$1649)), "Invalid", "Ok")</f>
        <v>Ok</v>
      </c>
      <c r="K319" t="str">
        <f>IF(ISNA(_xlfn.XLOOKUP(H319,agent_info!$A$2:$A$301, agent_info!$A$2:$A$301)), "Invalid", "Ok")</f>
        <v>Ok</v>
      </c>
    </row>
    <row r="320" spans="1:11" x14ac:dyDescent="0.3">
      <c r="A320" s="1" t="s">
        <v>3842</v>
      </c>
      <c r="B320" s="1" t="s">
        <v>891</v>
      </c>
      <c r="C320" s="1" t="s">
        <v>3314</v>
      </c>
      <c r="D320" s="1">
        <v>732569.17</v>
      </c>
      <c r="E320" s="1">
        <v>39340.959999999999</v>
      </c>
      <c r="F320" s="41">
        <v>46134</v>
      </c>
      <c r="G320" s="41">
        <v>46499</v>
      </c>
      <c r="H320" s="1" t="s">
        <v>3843</v>
      </c>
      <c r="I320" s="1" t="s">
        <v>3324</v>
      </c>
      <c r="J320" t="str">
        <f>IF(ISNA(_xlfn.XLOOKUP(B320,customer_master!$A$2:$A$1649, customer_master!$A$2:$A$1649)), "Invalid", "Ok")</f>
        <v>Ok</v>
      </c>
      <c r="K320" t="str">
        <f>IF(ISNA(_xlfn.XLOOKUP(H320,agent_info!$A$2:$A$301, agent_info!$A$2:$A$301)), "Invalid", "Ok")</f>
        <v>Ok</v>
      </c>
    </row>
    <row r="321" spans="1:11" x14ac:dyDescent="0.3">
      <c r="A321" s="1" t="s">
        <v>3844</v>
      </c>
      <c r="B321" s="1" t="s">
        <v>3075</v>
      </c>
      <c r="C321" s="1" t="s">
        <v>3334</v>
      </c>
      <c r="D321" s="1">
        <v>544271.9</v>
      </c>
      <c r="E321" s="1">
        <v>29649.599999999999</v>
      </c>
      <c r="F321" s="41">
        <v>45025</v>
      </c>
      <c r="G321" s="41">
        <v>45391</v>
      </c>
      <c r="H321" s="1" t="s">
        <v>3502</v>
      </c>
      <c r="I321" s="1" t="s">
        <v>3320</v>
      </c>
      <c r="J321" t="str">
        <f>IF(ISNA(_xlfn.XLOOKUP(B321,customer_master!$A$2:$A$1649, customer_master!$A$2:$A$1649)), "Invalid", "Ok")</f>
        <v>Ok</v>
      </c>
      <c r="K321" t="str">
        <f>IF(ISNA(_xlfn.XLOOKUP(H321,agent_info!$A$2:$A$301, agent_info!$A$2:$A$301)), "Invalid", "Ok")</f>
        <v>Ok</v>
      </c>
    </row>
    <row r="322" spans="1:11" x14ac:dyDescent="0.3">
      <c r="A322" s="1" t="s">
        <v>3845</v>
      </c>
      <c r="B322" s="1" t="s">
        <v>1769</v>
      </c>
      <c r="C322" s="1" t="s">
        <v>3318</v>
      </c>
      <c r="D322" s="1">
        <v>620788.23</v>
      </c>
      <c r="E322" s="1">
        <v>33020.78</v>
      </c>
      <c r="F322" s="41">
        <v>46258</v>
      </c>
      <c r="G322" s="41">
        <v>46623</v>
      </c>
      <c r="H322" s="1" t="s">
        <v>3846</v>
      </c>
      <c r="I322" s="1" t="s">
        <v>3324</v>
      </c>
      <c r="J322" t="str">
        <f>IF(ISNA(_xlfn.XLOOKUP(B322,customer_master!$A$2:$A$1649, customer_master!$A$2:$A$1649)), "Invalid", "Ok")</f>
        <v>Ok</v>
      </c>
      <c r="K322" t="str">
        <f>IF(ISNA(_xlfn.XLOOKUP(H322,agent_info!$A$2:$A$301, agent_info!$A$2:$A$301)), "Invalid", "Ok")</f>
        <v>Ok</v>
      </c>
    </row>
    <row r="323" spans="1:11" x14ac:dyDescent="0.3">
      <c r="A323" s="1" t="s">
        <v>3847</v>
      </c>
      <c r="B323" s="1" t="s">
        <v>338</v>
      </c>
      <c r="C323" s="1" t="s">
        <v>3314</v>
      </c>
      <c r="D323" s="1">
        <v>431573.18</v>
      </c>
      <c r="E323" s="1">
        <v>19505.349999999999</v>
      </c>
      <c r="F323" s="41">
        <v>44677</v>
      </c>
      <c r="G323" s="41">
        <v>45042</v>
      </c>
      <c r="H323" s="1" t="s">
        <v>3764</v>
      </c>
      <c r="I323" s="1" t="s">
        <v>3324</v>
      </c>
      <c r="J323" t="str">
        <f>IF(ISNA(_xlfn.XLOOKUP(B323,customer_master!$A$2:$A$1649, customer_master!$A$2:$A$1649)), "Invalid", "Ok")</f>
        <v>Ok</v>
      </c>
      <c r="K323" t="str">
        <f>IF(ISNA(_xlfn.XLOOKUP(H323,agent_info!$A$2:$A$301, agent_info!$A$2:$A$301)), "Invalid", "Ok")</f>
        <v>Ok</v>
      </c>
    </row>
    <row r="324" spans="1:11" x14ac:dyDescent="0.3">
      <c r="A324" s="1" t="s">
        <v>3848</v>
      </c>
      <c r="B324" s="1" t="s">
        <v>837</v>
      </c>
      <c r="C324" s="1" t="s">
        <v>3334</v>
      </c>
      <c r="D324" s="1">
        <v>482745.5</v>
      </c>
      <c r="E324" s="1">
        <v>24263.79</v>
      </c>
      <c r="F324" s="41">
        <v>45567</v>
      </c>
      <c r="G324" s="41">
        <v>45932</v>
      </c>
      <c r="H324" s="1" t="s">
        <v>3504</v>
      </c>
      <c r="I324" s="1" t="s">
        <v>3324</v>
      </c>
      <c r="J324" t="str">
        <f>IF(ISNA(_xlfn.XLOOKUP(B324,customer_master!$A$2:$A$1649, customer_master!$A$2:$A$1649)), "Invalid", "Ok")</f>
        <v>Ok</v>
      </c>
      <c r="K324" t="str">
        <f>IF(ISNA(_xlfn.XLOOKUP(H324,agent_info!$A$2:$A$301, agent_info!$A$2:$A$301)), "Invalid", "Ok")</f>
        <v>Ok</v>
      </c>
    </row>
    <row r="325" spans="1:11" x14ac:dyDescent="0.3">
      <c r="A325" s="1" t="s">
        <v>3849</v>
      </c>
      <c r="B325" s="1" t="s">
        <v>3014</v>
      </c>
      <c r="C325" s="1" t="s">
        <v>3314</v>
      </c>
      <c r="D325" s="1">
        <v>654734.31000000006</v>
      </c>
      <c r="E325" s="1">
        <v>34889.46</v>
      </c>
      <c r="F325" s="41">
        <v>45099</v>
      </c>
      <c r="G325" s="41">
        <v>45465</v>
      </c>
      <c r="H325" s="1" t="s">
        <v>3643</v>
      </c>
      <c r="I325" s="1" t="s">
        <v>3324</v>
      </c>
      <c r="J325" t="str">
        <f>IF(ISNA(_xlfn.XLOOKUP(B325,customer_master!$A$2:$A$1649, customer_master!$A$2:$A$1649)), "Invalid", "Ok")</f>
        <v>Ok</v>
      </c>
      <c r="K325" t="str">
        <f>IF(ISNA(_xlfn.XLOOKUP(H325,agent_info!$A$2:$A$301, agent_info!$A$2:$A$301)), "Invalid", "Ok")</f>
        <v>Ok</v>
      </c>
    </row>
    <row r="326" spans="1:11" x14ac:dyDescent="0.3">
      <c r="A326" s="1" t="s">
        <v>3850</v>
      </c>
      <c r="B326" s="1" t="s">
        <v>3283</v>
      </c>
      <c r="C326" s="1" t="s">
        <v>3318</v>
      </c>
      <c r="D326" s="1">
        <v>586034.36</v>
      </c>
      <c r="E326" s="1">
        <v>29565.53</v>
      </c>
      <c r="F326" s="41">
        <v>44869</v>
      </c>
      <c r="G326" s="41">
        <v>45234</v>
      </c>
      <c r="H326" s="1" t="s">
        <v>3662</v>
      </c>
      <c r="I326" s="1" t="s">
        <v>3324</v>
      </c>
      <c r="J326" t="str">
        <f>IF(ISNA(_xlfn.XLOOKUP(B326,customer_master!$A$2:$A$1649, customer_master!$A$2:$A$1649)), "Invalid", "Ok")</f>
        <v>Ok</v>
      </c>
      <c r="K326" t="str">
        <f>IF(ISNA(_xlfn.XLOOKUP(H326,agent_info!$A$2:$A$301, agent_info!$A$2:$A$301)), "Invalid", "Ok")</f>
        <v>Ok</v>
      </c>
    </row>
    <row r="327" spans="1:11" x14ac:dyDescent="0.3">
      <c r="A327" s="1" t="s">
        <v>3851</v>
      </c>
      <c r="B327" s="1" t="s">
        <v>2867</v>
      </c>
      <c r="C327" s="1" t="s">
        <v>3326</v>
      </c>
      <c r="D327" s="1">
        <v>619667.07999999996</v>
      </c>
      <c r="E327" s="1">
        <v>30115.43</v>
      </c>
      <c r="F327" s="41">
        <v>45740</v>
      </c>
      <c r="G327" s="41">
        <v>46105</v>
      </c>
      <c r="H327" s="1" t="s">
        <v>3852</v>
      </c>
      <c r="I327" s="1" t="s">
        <v>3324</v>
      </c>
      <c r="J327" t="str">
        <f>IF(ISNA(_xlfn.XLOOKUP(B327,customer_master!$A$2:$A$1649, customer_master!$A$2:$A$1649)), "Invalid", "Ok")</f>
        <v>Ok</v>
      </c>
      <c r="K327" t="str">
        <f>IF(ISNA(_xlfn.XLOOKUP(H327,agent_info!$A$2:$A$301, agent_info!$A$2:$A$301)), "Invalid", "Ok")</f>
        <v>Ok</v>
      </c>
    </row>
    <row r="328" spans="1:11" x14ac:dyDescent="0.3">
      <c r="A328" s="1" t="s">
        <v>3853</v>
      </c>
      <c r="B328" s="1" t="s">
        <v>1083</v>
      </c>
      <c r="C328" s="1" t="s">
        <v>3314</v>
      </c>
      <c r="D328" s="1">
        <v>601909.9</v>
      </c>
      <c r="E328" s="1">
        <v>29919.11</v>
      </c>
      <c r="F328" s="41">
        <v>46014</v>
      </c>
      <c r="G328" s="41">
        <v>46379</v>
      </c>
      <c r="H328" s="1" t="s">
        <v>3443</v>
      </c>
      <c r="I328" s="1" t="s">
        <v>3324</v>
      </c>
      <c r="J328" t="str">
        <f>IF(ISNA(_xlfn.XLOOKUP(B328,customer_master!$A$2:$A$1649, customer_master!$A$2:$A$1649)), "Invalid", "Ok")</f>
        <v>Ok</v>
      </c>
      <c r="K328" t="str">
        <f>IF(ISNA(_xlfn.XLOOKUP(H328,agent_info!$A$2:$A$301, agent_info!$A$2:$A$301)), "Invalid", "Ok")</f>
        <v>Ok</v>
      </c>
    </row>
    <row r="329" spans="1:11" x14ac:dyDescent="0.3">
      <c r="A329" s="1" t="s">
        <v>3854</v>
      </c>
      <c r="B329" s="1" t="s">
        <v>2561</v>
      </c>
      <c r="C329" s="1" t="s">
        <v>3326</v>
      </c>
      <c r="D329" s="1">
        <v>549265.91</v>
      </c>
      <c r="E329" s="1">
        <v>25160.19</v>
      </c>
      <c r="F329" s="41">
        <v>44569</v>
      </c>
      <c r="G329" s="41">
        <v>44934</v>
      </c>
      <c r="H329" s="1" t="s">
        <v>3785</v>
      </c>
      <c r="I329" s="1" t="s">
        <v>3320</v>
      </c>
      <c r="J329" t="str">
        <f>IF(ISNA(_xlfn.XLOOKUP(B329,customer_master!$A$2:$A$1649, customer_master!$A$2:$A$1649)), "Invalid", "Ok")</f>
        <v>Ok</v>
      </c>
      <c r="K329" t="str">
        <f>IF(ISNA(_xlfn.XLOOKUP(H329,agent_info!$A$2:$A$301, agent_info!$A$2:$A$301)), "Invalid", "Ok")</f>
        <v>Ok</v>
      </c>
    </row>
    <row r="330" spans="1:11" x14ac:dyDescent="0.3">
      <c r="A330" s="1" t="s">
        <v>3855</v>
      </c>
      <c r="B330" s="1" t="s">
        <v>785</v>
      </c>
      <c r="C330" s="1" t="s">
        <v>3331</v>
      </c>
      <c r="D330" s="1">
        <v>708925.8</v>
      </c>
      <c r="E330" s="1">
        <v>35420.160000000003</v>
      </c>
      <c r="F330" s="41">
        <v>44686</v>
      </c>
      <c r="G330" s="41">
        <v>45051</v>
      </c>
      <c r="H330" s="1" t="s">
        <v>3351</v>
      </c>
      <c r="I330" s="1" t="s">
        <v>3324</v>
      </c>
      <c r="J330" t="str">
        <f>IF(ISNA(_xlfn.XLOOKUP(B330,customer_master!$A$2:$A$1649, customer_master!$A$2:$A$1649)), "Invalid", "Ok")</f>
        <v>Ok</v>
      </c>
      <c r="K330" t="str">
        <f>IF(ISNA(_xlfn.XLOOKUP(H330,agent_info!$A$2:$A$301, agent_info!$A$2:$A$301)), "Invalid", "Ok")</f>
        <v>Ok</v>
      </c>
    </row>
    <row r="331" spans="1:11" x14ac:dyDescent="0.3">
      <c r="A331" s="1" t="s">
        <v>3856</v>
      </c>
      <c r="B331" s="1" t="s">
        <v>1311</v>
      </c>
      <c r="C331" s="1" t="s">
        <v>3318</v>
      </c>
      <c r="D331" s="1">
        <v>538532.79</v>
      </c>
      <c r="E331" s="1">
        <v>24383.94</v>
      </c>
      <c r="F331" s="41">
        <v>44997</v>
      </c>
      <c r="G331" s="41">
        <v>45363</v>
      </c>
      <c r="H331" s="1" t="s">
        <v>3335</v>
      </c>
      <c r="I331" s="1" t="s">
        <v>3316</v>
      </c>
      <c r="J331" t="str">
        <f>IF(ISNA(_xlfn.XLOOKUP(B331,customer_master!$A$2:$A$1649, customer_master!$A$2:$A$1649)), "Invalid", "Ok")</f>
        <v>Ok</v>
      </c>
      <c r="K331" t="str">
        <f>IF(ISNA(_xlfn.XLOOKUP(H331,agent_info!$A$2:$A$301, agent_info!$A$2:$A$301)), "Invalid", "Ok")</f>
        <v>Ok</v>
      </c>
    </row>
    <row r="332" spans="1:11" x14ac:dyDescent="0.3">
      <c r="A332" s="1" t="s">
        <v>3857</v>
      </c>
      <c r="B332" s="1" t="s">
        <v>2329</v>
      </c>
      <c r="C332" s="1" t="s">
        <v>3326</v>
      </c>
      <c r="D332" s="1">
        <v>663265.65</v>
      </c>
      <c r="E332" s="1">
        <v>34119.15</v>
      </c>
      <c r="F332" s="41">
        <v>45060</v>
      </c>
      <c r="G332" s="41">
        <v>45426</v>
      </c>
      <c r="H332" s="1" t="s">
        <v>3858</v>
      </c>
      <c r="I332" s="1" t="s">
        <v>3324</v>
      </c>
      <c r="J332" t="str">
        <f>IF(ISNA(_xlfn.XLOOKUP(B332,customer_master!$A$2:$A$1649, customer_master!$A$2:$A$1649)), "Invalid", "Ok")</f>
        <v>Ok</v>
      </c>
      <c r="K332" t="str">
        <f>IF(ISNA(_xlfn.XLOOKUP(H332,agent_info!$A$2:$A$301, agent_info!$A$2:$A$301)), "Invalid", "Ok")</f>
        <v>Ok</v>
      </c>
    </row>
    <row r="333" spans="1:11" x14ac:dyDescent="0.3">
      <c r="A333" s="1" t="s">
        <v>3859</v>
      </c>
      <c r="B333" s="1" t="s">
        <v>3216</v>
      </c>
      <c r="C333" s="1" t="s">
        <v>3318</v>
      </c>
      <c r="D333" s="1">
        <v>518697.36</v>
      </c>
      <c r="E333" s="1">
        <v>25366.65</v>
      </c>
      <c r="F333" s="41">
        <v>44088</v>
      </c>
      <c r="G333" s="41">
        <v>44453</v>
      </c>
      <c r="H333" s="1" t="s">
        <v>3712</v>
      </c>
      <c r="I333" s="1" t="s">
        <v>3324</v>
      </c>
      <c r="J333" t="str">
        <f>IF(ISNA(_xlfn.XLOOKUP(B333,customer_master!$A$2:$A$1649, customer_master!$A$2:$A$1649)), "Invalid", "Ok")</f>
        <v>Ok</v>
      </c>
      <c r="K333" t="str">
        <f>IF(ISNA(_xlfn.XLOOKUP(H333,agent_info!$A$2:$A$301, agent_info!$A$2:$A$301)), "Invalid", "Ok")</f>
        <v>Ok</v>
      </c>
    </row>
    <row r="334" spans="1:11" x14ac:dyDescent="0.3">
      <c r="A334" s="1" t="s">
        <v>3860</v>
      </c>
      <c r="B334" s="1" t="s">
        <v>1469</v>
      </c>
      <c r="C334" s="1" t="s">
        <v>3334</v>
      </c>
      <c r="D334" s="1">
        <v>511508.77</v>
      </c>
      <c r="E334" s="1">
        <v>23996.63</v>
      </c>
      <c r="F334" s="41">
        <v>44503</v>
      </c>
      <c r="G334" s="41">
        <v>44868</v>
      </c>
      <c r="H334" s="1" t="s">
        <v>3435</v>
      </c>
      <c r="I334" s="1" t="s">
        <v>3320</v>
      </c>
      <c r="J334" t="str">
        <f>IF(ISNA(_xlfn.XLOOKUP(B334,customer_master!$A$2:$A$1649, customer_master!$A$2:$A$1649)), "Invalid", "Ok")</f>
        <v>Ok</v>
      </c>
      <c r="K334" t="str">
        <f>IF(ISNA(_xlfn.XLOOKUP(H334,agent_info!$A$2:$A$301, agent_info!$A$2:$A$301)), "Invalid", "Ok")</f>
        <v>Ok</v>
      </c>
    </row>
    <row r="335" spans="1:11" x14ac:dyDescent="0.3">
      <c r="A335" s="1" t="s">
        <v>3861</v>
      </c>
      <c r="B335" s="1" t="s">
        <v>1670</v>
      </c>
      <c r="C335" s="1" t="s">
        <v>3326</v>
      </c>
      <c r="D335" s="1">
        <v>622797.44999999995</v>
      </c>
      <c r="E335" s="1">
        <v>28134.15</v>
      </c>
      <c r="F335" s="41">
        <v>44256</v>
      </c>
      <c r="G335" s="41">
        <v>44621</v>
      </c>
      <c r="H335" s="1" t="s">
        <v>3862</v>
      </c>
      <c r="I335" s="1" t="s">
        <v>3316</v>
      </c>
      <c r="J335" t="str">
        <f>IF(ISNA(_xlfn.XLOOKUP(B335,customer_master!$A$2:$A$1649, customer_master!$A$2:$A$1649)), "Invalid", "Ok")</f>
        <v>Ok</v>
      </c>
      <c r="K335" t="str">
        <f>IF(ISNA(_xlfn.XLOOKUP(H335,agent_info!$A$2:$A$301, agent_info!$A$2:$A$301)), "Invalid", "Ok")</f>
        <v>Ok</v>
      </c>
    </row>
    <row r="336" spans="1:11" x14ac:dyDescent="0.3">
      <c r="A336" s="1" t="s">
        <v>3863</v>
      </c>
      <c r="B336" s="1" t="s">
        <v>779</v>
      </c>
      <c r="C336" s="1" t="s">
        <v>3318</v>
      </c>
      <c r="D336" s="1">
        <v>382364.54</v>
      </c>
      <c r="E336" s="1">
        <v>20732.259999999998</v>
      </c>
      <c r="F336" s="41">
        <v>45330</v>
      </c>
      <c r="G336" s="41">
        <v>45696</v>
      </c>
      <c r="H336" s="1" t="s">
        <v>3701</v>
      </c>
      <c r="I336" s="1" t="s">
        <v>3320</v>
      </c>
      <c r="J336" t="str">
        <f>IF(ISNA(_xlfn.XLOOKUP(B336,customer_master!$A$2:$A$1649, customer_master!$A$2:$A$1649)), "Invalid", "Ok")</f>
        <v>Ok</v>
      </c>
      <c r="K336" t="str">
        <f>IF(ISNA(_xlfn.XLOOKUP(H336,agent_info!$A$2:$A$301, agent_info!$A$2:$A$301)), "Invalid", "Ok")</f>
        <v>Ok</v>
      </c>
    </row>
    <row r="337" spans="1:11" x14ac:dyDescent="0.3">
      <c r="A337" s="1" t="s">
        <v>3864</v>
      </c>
      <c r="B337" s="1" t="s">
        <v>1372</v>
      </c>
      <c r="C337" s="1" t="s">
        <v>3326</v>
      </c>
      <c r="D337" s="1">
        <v>410267.24</v>
      </c>
      <c r="E337" s="1">
        <v>20744.419999999998</v>
      </c>
      <c r="F337" s="41">
        <v>44132</v>
      </c>
      <c r="G337" s="41">
        <v>44497</v>
      </c>
      <c r="H337" s="1" t="s">
        <v>3455</v>
      </c>
      <c r="I337" s="1" t="s">
        <v>3324</v>
      </c>
      <c r="J337" t="str">
        <f>IF(ISNA(_xlfn.XLOOKUP(B337,customer_master!$A$2:$A$1649, customer_master!$A$2:$A$1649)), "Invalid", "Ok")</f>
        <v>Ok</v>
      </c>
      <c r="K337" t="str">
        <f>IF(ISNA(_xlfn.XLOOKUP(H337,agent_info!$A$2:$A$301, agent_info!$A$2:$A$301)), "Invalid", "Ok")</f>
        <v>Ok</v>
      </c>
    </row>
    <row r="338" spans="1:11" x14ac:dyDescent="0.3">
      <c r="A338" s="1" t="s">
        <v>3865</v>
      </c>
      <c r="B338" s="1" t="s">
        <v>242</v>
      </c>
      <c r="C338" s="1" t="s">
        <v>3318</v>
      </c>
      <c r="D338" s="1">
        <v>405127.45</v>
      </c>
      <c r="E338" s="1">
        <v>20851.72</v>
      </c>
      <c r="F338" s="41">
        <v>45693</v>
      </c>
      <c r="G338" s="41">
        <v>46058</v>
      </c>
      <c r="H338" s="1" t="s">
        <v>3498</v>
      </c>
      <c r="I338" s="1" t="s">
        <v>3320</v>
      </c>
      <c r="J338" t="str">
        <f>IF(ISNA(_xlfn.XLOOKUP(B338,customer_master!$A$2:$A$1649, customer_master!$A$2:$A$1649)), "Invalid", "Ok")</f>
        <v>Ok</v>
      </c>
      <c r="K338" t="str">
        <f>IF(ISNA(_xlfn.XLOOKUP(H338,agent_info!$A$2:$A$301, agent_info!$A$2:$A$301)), "Invalid", "Ok")</f>
        <v>Ok</v>
      </c>
    </row>
    <row r="339" spans="1:11" x14ac:dyDescent="0.3">
      <c r="A339" s="1" t="s">
        <v>3866</v>
      </c>
      <c r="B339" s="1" t="s">
        <v>2855</v>
      </c>
      <c r="C339" s="1" t="s">
        <v>3334</v>
      </c>
      <c r="D339" s="1">
        <v>582160.46</v>
      </c>
      <c r="E339" s="1">
        <v>30734.33</v>
      </c>
      <c r="F339" s="41">
        <v>46220</v>
      </c>
      <c r="G339" s="41">
        <v>46585</v>
      </c>
      <c r="H339" s="1" t="s">
        <v>3555</v>
      </c>
      <c r="I339" s="1" t="s">
        <v>3316</v>
      </c>
      <c r="J339" t="str">
        <f>IF(ISNA(_xlfn.XLOOKUP(B339,customer_master!$A$2:$A$1649, customer_master!$A$2:$A$1649)), "Invalid", "Ok")</f>
        <v>Ok</v>
      </c>
      <c r="K339" t="str">
        <f>IF(ISNA(_xlfn.XLOOKUP(H339,agent_info!$A$2:$A$301, agent_info!$A$2:$A$301)), "Invalid", "Ok")</f>
        <v>Ok</v>
      </c>
    </row>
    <row r="340" spans="1:11" x14ac:dyDescent="0.3">
      <c r="A340" s="1" t="s">
        <v>3867</v>
      </c>
      <c r="B340" s="1" t="s">
        <v>113</v>
      </c>
      <c r="C340" s="1" t="s">
        <v>3314</v>
      </c>
      <c r="D340" s="1">
        <v>626807.34</v>
      </c>
      <c r="E340" s="1">
        <v>32133.85</v>
      </c>
      <c r="F340" s="41">
        <v>45006</v>
      </c>
      <c r="G340" s="41">
        <v>45372</v>
      </c>
      <c r="H340" s="1" t="s">
        <v>3660</v>
      </c>
      <c r="I340" s="1" t="s">
        <v>3316</v>
      </c>
      <c r="J340" t="str">
        <f>IF(ISNA(_xlfn.XLOOKUP(B340,customer_master!$A$2:$A$1649, customer_master!$A$2:$A$1649)), "Invalid", "Ok")</f>
        <v>Ok</v>
      </c>
      <c r="K340" t="str">
        <f>IF(ISNA(_xlfn.XLOOKUP(H340,agent_info!$A$2:$A$301, agent_info!$A$2:$A$301)), "Invalid", "Ok")</f>
        <v>Ok</v>
      </c>
    </row>
    <row r="341" spans="1:11" x14ac:dyDescent="0.3">
      <c r="A341" s="1" t="s">
        <v>3868</v>
      </c>
      <c r="B341" s="1" t="s">
        <v>2286</v>
      </c>
      <c r="C341" s="1" t="s">
        <v>3314</v>
      </c>
      <c r="D341" s="1">
        <v>388994.74</v>
      </c>
      <c r="E341" s="1">
        <v>19111.72</v>
      </c>
      <c r="F341" s="41">
        <v>44240</v>
      </c>
      <c r="G341" s="41">
        <v>44605</v>
      </c>
      <c r="H341" s="1" t="s">
        <v>3545</v>
      </c>
      <c r="I341" s="1" t="s">
        <v>3316</v>
      </c>
      <c r="J341" t="str">
        <f>IF(ISNA(_xlfn.XLOOKUP(B341,customer_master!$A$2:$A$1649, customer_master!$A$2:$A$1649)), "Invalid", "Ok")</f>
        <v>Ok</v>
      </c>
      <c r="K341" t="str">
        <f>IF(ISNA(_xlfn.XLOOKUP(H341,agent_info!$A$2:$A$301, agent_info!$A$2:$A$301)), "Invalid", "Ok")</f>
        <v>Ok</v>
      </c>
    </row>
    <row r="342" spans="1:11" x14ac:dyDescent="0.3">
      <c r="A342" s="1" t="s">
        <v>3869</v>
      </c>
      <c r="B342" s="1" t="s">
        <v>925</v>
      </c>
      <c r="C342" s="1" t="s">
        <v>3314</v>
      </c>
      <c r="D342" s="1">
        <v>447163.47</v>
      </c>
      <c r="E342" s="1">
        <v>22928.7</v>
      </c>
      <c r="F342" s="41">
        <v>44624</v>
      </c>
      <c r="G342" s="41">
        <v>44989</v>
      </c>
      <c r="H342" s="1" t="s">
        <v>3803</v>
      </c>
      <c r="I342" s="1" t="s">
        <v>3316</v>
      </c>
      <c r="J342" t="str">
        <f>IF(ISNA(_xlfn.XLOOKUP(B342,customer_master!$A$2:$A$1649, customer_master!$A$2:$A$1649)), "Invalid", "Ok")</f>
        <v>Ok</v>
      </c>
      <c r="K342" t="str">
        <f>IF(ISNA(_xlfn.XLOOKUP(H342,agent_info!$A$2:$A$301, agent_info!$A$2:$A$301)), "Invalid", "Ok")</f>
        <v>Ok</v>
      </c>
    </row>
    <row r="343" spans="1:11" x14ac:dyDescent="0.3">
      <c r="A343" s="1" t="s">
        <v>3870</v>
      </c>
      <c r="B343" s="1" t="s">
        <v>1596</v>
      </c>
      <c r="C343" s="1" t="s">
        <v>3314</v>
      </c>
      <c r="D343" s="1">
        <v>501478.42</v>
      </c>
      <c r="E343" s="1">
        <v>23832.85</v>
      </c>
      <c r="F343" s="41">
        <v>44437</v>
      </c>
      <c r="G343" s="41">
        <v>44802</v>
      </c>
      <c r="H343" s="1" t="s">
        <v>3570</v>
      </c>
      <c r="I343" s="1" t="s">
        <v>3320</v>
      </c>
      <c r="J343" t="str">
        <f>IF(ISNA(_xlfn.XLOOKUP(B343,customer_master!$A$2:$A$1649, customer_master!$A$2:$A$1649)), "Invalid", "Ok")</f>
        <v>Ok</v>
      </c>
      <c r="K343" t="str">
        <f>IF(ISNA(_xlfn.XLOOKUP(H343,agent_info!$A$2:$A$301, agent_info!$A$2:$A$301)), "Invalid", "Ok")</f>
        <v>Ok</v>
      </c>
    </row>
    <row r="344" spans="1:11" x14ac:dyDescent="0.3">
      <c r="A344" s="1" t="s">
        <v>3871</v>
      </c>
      <c r="B344" s="1" t="s">
        <v>951</v>
      </c>
      <c r="C344" s="1" t="s">
        <v>3326</v>
      </c>
      <c r="D344" s="1">
        <v>452979.22</v>
      </c>
      <c r="E344" s="1">
        <v>22926.87</v>
      </c>
      <c r="F344" s="41">
        <v>44758</v>
      </c>
      <c r="G344" s="41">
        <v>45123</v>
      </c>
      <c r="H344" s="1" t="s">
        <v>3872</v>
      </c>
      <c r="I344" s="1" t="s">
        <v>3324</v>
      </c>
      <c r="J344" t="str">
        <f>IF(ISNA(_xlfn.XLOOKUP(B344,customer_master!$A$2:$A$1649, customer_master!$A$2:$A$1649)), "Invalid", "Ok")</f>
        <v>Ok</v>
      </c>
      <c r="K344" t="str">
        <f>IF(ISNA(_xlfn.XLOOKUP(H344,agent_info!$A$2:$A$301, agent_info!$A$2:$A$301)), "Invalid", "Ok")</f>
        <v>Ok</v>
      </c>
    </row>
    <row r="345" spans="1:11" x14ac:dyDescent="0.3">
      <c r="A345" s="1" t="s">
        <v>3873</v>
      </c>
      <c r="B345" s="1" t="s">
        <v>1362</v>
      </c>
      <c r="C345" s="1" t="s">
        <v>3318</v>
      </c>
      <c r="D345" s="1">
        <v>414716.17</v>
      </c>
      <c r="E345" s="1">
        <v>19514.830000000002</v>
      </c>
      <c r="F345" s="41">
        <v>45449</v>
      </c>
      <c r="G345" s="41">
        <v>45814</v>
      </c>
      <c r="H345" s="1" t="s">
        <v>3347</v>
      </c>
      <c r="I345" s="1" t="s">
        <v>3324</v>
      </c>
      <c r="J345" t="str">
        <f>IF(ISNA(_xlfn.XLOOKUP(B345,customer_master!$A$2:$A$1649, customer_master!$A$2:$A$1649)), "Invalid", "Ok")</f>
        <v>Ok</v>
      </c>
      <c r="K345" t="str">
        <f>IF(ISNA(_xlfn.XLOOKUP(H345,agent_info!$A$2:$A$301, agent_info!$A$2:$A$301)), "Invalid", "Ok")</f>
        <v>Ok</v>
      </c>
    </row>
    <row r="346" spans="1:11" x14ac:dyDescent="0.3">
      <c r="A346" s="1" t="s">
        <v>3874</v>
      </c>
      <c r="B346" s="1" t="s">
        <v>1827</v>
      </c>
      <c r="C346" s="1" t="s">
        <v>3334</v>
      </c>
      <c r="D346" s="1">
        <v>451546.27</v>
      </c>
      <c r="E346" s="1">
        <v>24462.17</v>
      </c>
      <c r="F346" s="41">
        <v>44289</v>
      </c>
      <c r="G346" s="41">
        <v>44654</v>
      </c>
      <c r="H346" s="1" t="s">
        <v>3511</v>
      </c>
      <c r="I346" s="1" t="s">
        <v>3324</v>
      </c>
      <c r="J346" t="str">
        <f>IF(ISNA(_xlfn.XLOOKUP(B346,customer_master!$A$2:$A$1649, customer_master!$A$2:$A$1649)), "Invalid", "Ok")</f>
        <v>Ok</v>
      </c>
      <c r="K346" t="str">
        <f>IF(ISNA(_xlfn.XLOOKUP(H346,agent_info!$A$2:$A$301, agent_info!$A$2:$A$301)), "Invalid", "Ok")</f>
        <v>Ok</v>
      </c>
    </row>
    <row r="347" spans="1:11" x14ac:dyDescent="0.3">
      <c r="A347" s="1" t="s">
        <v>3875</v>
      </c>
      <c r="B347" s="1" t="s">
        <v>2150</v>
      </c>
      <c r="C347" s="1" t="s">
        <v>3326</v>
      </c>
      <c r="D347" s="1">
        <v>646468.12</v>
      </c>
      <c r="E347" s="1">
        <v>32385.26</v>
      </c>
      <c r="F347" s="41">
        <v>45129</v>
      </c>
      <c r="G347" s="41">
        <v>45495</v>
      </c>
      <c r="H347" s="1" t="s">
        <v>3838</v>
      </c>
      <c r="I347" s="1" t="s">
        <v>3316</v>
      </c>
      <c r="J347" t="str">
        <f>IF(ISNA(_xlfn.XLOOKUP(B347,customer_master!$A$2:$A$1649, customer_master!$A$2:$A$1649)), "Invalid", "Ok")</f>
        <v>Ok</v>
      </c>
      <c r="K347" t="str">
        <f>IF(ISNA(_xlfn.XLOOKUP(H347,agent_info!$A$2:$A$301, agent_info!$A$2:$A$301)), "Invalid", "Ok")</f>
        <v>Ok</v>
      </c>
    </row>
    <row r="348" spans="1:11" x14ac:dyDescent="0.3">
      <c r="A348" s="1" t="s">
        <v>3876</v>
      </c>
      <c r="B348" s="1" t="s">
        <v>3126</v>
      </c>
      <c r="C348" s="1" t="s">
        <v>3334</v>
      </c>
      <c r="D348" s="1">
        <v>654723.74</v>
      </c>
      <c r="E348" s="1">
        <v>30993.58</v>
      </c>
      <c r="F348" s="41">
        <v>45848</v>
      </c>
      <c r="G348" s="41">
        <v>46213</v>
      </c>
      <c r="H348" s="1" t="s">
        <v>3836</v>
      </c>
      <c r="I348" s="1" t="s">
        <v>3320</v>
      </c>
      <c r="J348" t="str">
        <f>IF(ISNA(_xlfn.XLOOKUP(B348,customer_master!$A$2:$A$1649, customer_master!$A$2:$A$1649)), "Invalid", "Ok")</f>
        <v>Ok</v>
      </c>
      <c r="K348" t="str">
        <f>IF(ISNA(_xlfn.XLOOKUP(H348,agent_info!$A$2:$A$301, agent_info!$A$2:$A$301)), "Invalid", "Ok")</f>
        <v>Ok</v>
      </c>
    </row>
    <row r="349" spans="1:11" x14ac:dyDescent="0.3">
      <c r="A349" s="1" t="s">
        <v>3877</v>
      </c>
      <c r="B349" s="1" t="s">
        <v>1125</v>
      </c>
      <c r="C349" s="1" t="s">
        <v>3318</v>
      </c>
      <c r="D349" s="1">
        <v>489923.68</v>
      </c>
      <c r="E349" s="1">
        <v>25180.28</v>
      </c>
      <c r="F349" s="41">
        <v>45375</v>
      </c>
      <c r="G349" s="41">
        <v>45740</v>
      </c>
      <c r="H349" s="1" t="s">
        <v>3353</v>
      </c>
      <c r="I349" s="1" t="s">
        <v>3316</v>
      </c>
      <c r="J349" t="str">
        <f>IF(ISNA(_xlfn.XLOOKUP(B349,customer_master!$A$2:$A$1649, customer_master!$A$2:$A$1649)), "Invalid", "Ok")</f>
        <v>Ok</v>
      </c>
      <c r="K349" t="str">
        <f>IF(ISNA(_xlfn.XLOOKUP(H349,agent_info!$A$2:$A$301, agent_info!$A$2:$A$301)), "Invalid", "Ok")</f>
        <v>Ok</v>
      </c>
    </row>
    <row r="350" spans="1:11" x14ac:dyDescent="0.3">
      <c r="A350" s="1" t="s">
        <v>3878</v>
      </c>
      <c r="B350" s="1" t="s">
        <v>1952</v>
      </c>
      <c r="C350" s="1" t="s">
        <v>3334</v>
      </c>
      <c r="D350" s="1">
        <v>486411.87</v>
      </c>
      <c r="E350" s="1">
        <v>22327.86</v>
      </c>
      <c r="F350" s="41">
        <v>45449</v>
      </c>
      <c r="G350" s="41">
        <v>45814</v>
      </c>
      <c r="H350" s="1" t="s">
        <v>3470</v>
      </c>
      <c r="I350" s="1" t="s">
        <v>3324</v>
      </c>
      <c r="J350" t="str">
        <f>IF(ISNA(_xlfn.XLOOKUP(B350,customer_master!$A$2:$A$1649, customer_master!$A$2:$A$1649)), "Invalid", "Ok")</f>
        <v>Ok</v>
      </c>
      <c r="K350" t="str">
        <f>IF(ISNA(_xlfn.XLOOKUP(H350,agent_info!$A$2:$A$301, agent_info!$A$2:$A$301)), "Invalid", "Ok")</f>
        <v>Ok</v>
      </c>
    </row>
    <row r="351" spans="1:11" x14ac:dyDescent="0.3">
      <c r="A351" s="1" t="s">
        <v>3879</v>
      </c>
      <c r="B351" s="1" t="s">
        <v>2995</v>
      </c>
      <c r="C351" s="1" t="s">
        <v>3326</v>
      </c>
      <c r="D351" s="1">
        <v>378069.72</v>
      </c>
      <c r="E351" s="1">
        <v>18654.03</v>
      </c>
      <c r="F351" s="41">
        <v>44809</v>
      </c>
      <c r="G351" s="41">
        <v>45174</v>
      </c>
      <c r="H351" s="1" t="s">
        <v>3880</v>
      </c>
      <c r="I351" s="1" t="s">
        <v>3316</v>
      </c>
      <c r="J351" t="str">
        <f>IF(ISNA(_xlfn.XLOOKUP(B351,customer_master!$A$2:$A$1649, customer_master!$A$2:$A$1649)), "Invalid", "Ok")</f>
        <v>Ok</v>
      </c>
      <c r="K351" t="str">
        <f>IF(ISNA(_xlfn.XLOOKUP(H351,agent_info!$A$2:$A$301, agent_info!$A$2:$A$301)), "Invalid", "Ok")</f>
        <v>Ok</v>
      </c>
    </row>
    <row r="352" spans="1:11" x14ac:dyDescent="0.3">
      <c r="A352" s="1" t="s">
        <v>3881</v>
      </c>
      <c r="B352" s="1" t="s">
        <v>978</v>
      </c>
      <c r="C352" s="1" t="s">
        <v>3318</v>
      </c>
      <c r="D352" s="1">
        <v>509886.44</v>
      </c>
      <c r="E352" s="1">
        <v>27360.33</v>
      </c>
      <c r="F352" s="41">
        <v>44625</v>
      </c>
      <c r="G352" s="41">
        <v>44990</v>
      </c>
      <c r="H352" s="1" t="s">
        <v>3882</v>
      </c>
      <c r="I352" s="1" t="s">
        <v>3316</v>
      </c>
      <c r="J352" t="str">
        <f>IF(ISNA(_xlfn.XLOOKUP(B352,customer_master!$A$2:$A$1649, customer_master!$A$2:$A$1649)), "Invalid", "Ok")</f>
        <v>Ok</v>
      </c>
      <c r="K352" t="str">
        <f>IF(ISNA(_xlfn.XLOOKUP(H352,agent_info!$A$2:$A$301, agent_info!$A$2:$A$301)), "Invalid", "Ok")</f>
        <v>Ok</v>
      </c>
    </row>
    <row r="353" spans="1:11" x14ac:dyDescent="0.3">
      <c r="A353" s="1" t="s">
        <v>3883</v>
      </c>
      <c r="B353" s="1" t="s">
        <v>2875</v>
      </c>
      <c r="C353" s="1" t="s">
        <v>3326</v>
      </c>
      <c r="D353" s="1">
        <v>489324.33</v>
      </c>
      <c r="E353" s="1">
        <v>25776.91</v>
      </c>
      <c r="F353" s="41">
        <v>44313</v>
      </c>
      <c r="G353" s="41">
        <v>44678</v>
      </c>
      <c r="H353" s="1" t="s">
        <v>3361</v>
      </c>
      <c r="I353" s="1" t="s">
        <v>3324</v>
      </c>
      <c r="J353" t="str">
        <f>IF(ISNA(_xlfn.XLOOKUP(B353,customer_master!$A$2:$A$1649, customer_master!$A$2:$A$1649)), "Invalid", "Ok")</f>
        <v>Ok</v>
      </c>
      <c r="K353" t="str">
        <f>IF(ISNA(_xlfn.XLOOKUP(H353,agent_info!$A$2:$A$301, agent_info!$A$2:$A$301)), "Invalid", "Ok")</f>
        <v>Ok</v>
      </c>
    </row>
    <row r="354" spans="1:11" x14ac:dyDescent="0.3">
      <c r="A354" s="1" t="s">
        <v>3884</v>
      </c>
      <c r="B354" s="1" t="s">
        <v>3178</v>
      </c>
      <c r="C354" s="1" t="s">
        <v>3326</v>
      </c>
      <c r="D354" s="1">
        <v>666463.57999999996</v>
      </c>
      <c r="E354" s="1">
        <v>34679.03</v>
      </c>
      <c r="F354" s="41">
        <v>44599</v>
      </c>
      <c r="G354" s="41">
        <v>44964</v>
      </c>
      <c r="H354" s="1" t="s">
        <v>3885</v>
      </c>
      <c r="I354" s="1" t="s">
        <v>3316</v>
      </c>
      <c r="J354" t="str">
        <f>IF(ISNA(_xlfn.XLOOKUP(B354,customer_master!$A$2:$A$1649, customer_master!$A$2:$A$1649)), "Invalid", "Ok")</f>
        <v>Ok</v>
      </c>
      <c r="K354" t="str">
        <f>IF(ISNA(_xlfn.XLOOKUP(H354,agent_info!$A$2:$A$301, agent_info!$A$2:$A$301)), "Invalid", "Ok")</f>
        <v>Ok</v>
      </c>
    </row>
    <row r="355" spans="1:11" x14ac:dyDescent="0.3">
      <c r="A355" s="1" t="s">
        <v>3886</v>
      </c>
      <c r="B355" s="1" t="s">
        <v>2817</v>
      </c>
      <c r="C355" s="1" t="s">
        <v>3318</v>
      </c>
      <c r="D355" s="1">
        <v>658897.74</v>
      </c>
      <c r="E355" s="1">
        <v>32751.19</v>
      </c>
      <c r="F355" s="41">
        <v>44824</v>
      </c>
      <c r="G355" s="41">
        <v>45189</v>
      </c>
      <c r="H355" s="1" t="s">
        <v>3598</v>
      </c>
      <c r="I355" s="1" t="s">
        <v>3324</v>
      </c>
      <c r="J355" t="str">
        <f>IF(ISNA(_xlfn.XLOOKUP(B355,customer_master!$A$2:$A$1649, customer_master!$A$2:$A$1649)), "Invalid", "Ok")</f>
        <v>Ok</v>
      </c>
      <c r="K355" t="str">
        <f>IF(ISNA(_xlfn.XLOOKUP(H355,agent_info!$A$2:$A$301, agent_info!$A$2:$A$301)), "Invalid", "Ok")</f>
        <v>Ok</v>
      </c>
    </row>
    <row r="356" spans="1:11" x14ac:dyDescent="0.3">
      <c r="A356" s="1" t="s">
        <v>3887</v>
      </c>
      <c r="B356" s="1" t="s">
        <v>1905</v>
      </c>
      <c r="C356" s="1" t="s">
        <v>3326</v>
      </c>
      <c r="D356" s="1">
        <v>517703.82</v>
      </c>
      <c r="E356" s="1">
        <v>25610.18</v>
      </c>
      <c r="F356" s="41">
        <v>44196</v>
      </c>
      <c r="G356" s="41">
        <v>44561</v>
      </c>
      <c r="H356" s="1" t="s">
        <v>3417</v>
      </c>
      <c r="I356" s="1" t="s">
        <v>3324</v>
      </c>
      <c r="J356" t="str">
        <f>IF(ISNA(_xlfn.XLOOKUP(B356,customer_master!$A$2:$A$1649, customer_master!$A$2:$A$1649)), "Invalid", "Ok")</f>
        <v>Ok</v>
      </c>
      <c r="K356" t="str">
        <f>IF(ISNA(_xlfn.XLOOKUP(H356,agent_info!$A$2:$A$301, agent_info!$A$2:$A$301)), "Invalid", "Ok")</f>
        <v>Ok</v>
      </c>
    </row>
    <row r="357" spans="1:11" x14ac:dyDescent="0.3">
      <c r="A357" s="1" t="s">
        <v>3888</v>
      </c>
      <c r="B357" s="1" t="s">
        <v>2416</v>
      </c>
      <c r="C357" s="1" t="s">
        <v>3314</v>
      </c>
      <c r="D357" s="1">
        <v>436920.05</v>
      </c>
      <c r="E357" s="1">
        <v>19710.82</v>
      </c>
      <c r="F357" s="41">
        <v>44808</v>
      </c>
      <c r="G357" s="41">
        <v>45173</v>
      </c>
      <c r="H357" s="1" t="s">
        <v>3389</v>
      </c>
      <c r="I357" s="1" t="s">
        <v>3324</v>
      </c>
      <c r="J357" t="str">
        <f>IF(ISNA(_xlfn.XLOOKUP(B357,customer_master!$A$2:$A$1649, customer_master!$A$2:$A$1649)), "Invalid", "Ok")</f>
        <v>Ok</v>
      </c>
      <c r="K357" t="str">
        <f>IF(ISNA(_xlfn.XLOOKUP(H357,agent_info!$A$2:$A$301, agent_info!$A$2:$A$301)), "Invalid", "Ok")</f>
        <v>Ok</v>
      </c>
    </row>
    <row r="358" spans="1:11" x14ac:dyDescent="0.3">
      <c r="A358" s="1" t="s">
        <v>3889</v>
      </c>
      <c r="B358" s="1" t="s">
        <v>1610</v>
      </c>
      <c r="C358" s="1" t="s">
        <v>3314</v>
      </c>
      <c r="D358" s="1">
        <v>637622.23</v>
      </c>
      <c r="E358" s="1">
        <v>32518.98</v>
      </c>
      <c r="F358" s="41">
        <v>45817</v>
      </c>
      <c r="G358" s="41">
        <v>46182</v>
      </c>
      <c r="H358" s="1" t="s">
        <v>3511</v>
      </c>
      <c r="I358" s="1" t="s">
        <v>3324</v>
      </c>
      <c r="J358" t="str">
        <f>IF(ISNA(_xlfn.XLOOKUP(B358,customer_master!$A$2:$A$1649, customer_master!$A$2:$A$1649)), "Invalid", "Ok")</f>
        <v>Ok</v>
      </c>
      <c r="K358" t="str">
        <f>IF(ISNA(_xlfn.XLOOKUP(H358,agent_info!$A$2:$A$301, agent_info!$A$2:$A$301)), "Invalid", "Ok")</f>
        <v>Ok</v>
      </c>
    </row>
    <row r="359" spans="1:11" x14ac:dyDescent="0.3">
      <c r="A359" s="1" t="s">
        <v>3890</v>
      </c>
      <c r="B359" s="1" t="s">
        <v>1996</v>
      </c>
      <c r="C359" s="1" t="s">
        <v>3314</v>
      </c>
      <c r="D359" s="1">
        <v>745364.74</v>
      </c>
      <c r="E359" s="1">
        <v>37842.230000000003</v>
      </c>
      <c r="F359" s="41">
        <v>46145</v>
      </c>
      <c r="G359" s="41">
        <v>46510</v>
      </c>
      <c r="H359" s="1" t="s">
        <v>3387</v>
      </c>
      <c r="I359" s="1" t="s">
        <v>3316</v>
      </c>
      <c r="J359" t="str">
        <f>IF(ISNA(_xlfn.XLOOKUP(B359,customer_master!$A$2:$A$1649, customer_master!$A$2:$A$1649)), "Invalid", "Ok")</f>
        <v>Ok</v>
      </c>
      <c r="K359" t="str">
        <f>IF(ISNA(_xlfn.XLOOKUP(H359,agent_info!$A$2:$A$301, agent_info!$A$2:$A$301)), "Invalid", "Ok")</f>
        <v>Ok</v>
      </c>
    </row>
    <row r="360" spans="1:11" x14ac:dyDescent="0.3">
      <c r="A360" s="1" t="s">
        <v>3891</v>
      </c>
      <c r="B360" s="1" t="s">
        <v>3230</v>
      </c>
      <c r="C360" s="1" t="s">
        <v>3326</v>
      </c>
      <c r="D360" s="1">
        <v>377315.7</v>
      </c>
      <c r="E360" s="1">
        <v>16999.13</v>
      </c>
      <c r="F360" s="41">
        <v>45777</v>
      </c>
      <c r="G360" s="41">
        <v>46142</v>
      </c>
      <c r="H360" s="1" t="s">
        <v>3813</v>
      </c>
      <c r="I360" s="1" t="s">
        <v>3324</v>
      </c>
      <c r="J360" t="str">
        <f>IF(ISNA(_xlfn.XLOOKUP(B360,customer_master!$A$2:$A$1649, customer_master!$A$2:$A$1649)), "Invalid", "Ok")</f>
        <v>Ok</v>
      </c>
      <c r="K360" t="str">
        <f>IF(ISNA(_xlfn.XLOOKUP(H360,agent_info!$A$2:$A$301, agent_info!$A$2:$A$301)), "Invalid", "Ok")</f>
        <v>Ok</v>
      </c>
    </row>
    <row r="361" spans="1:11" x14ac:dyDescent="0.3">
      <c r="A361" s="1" t="s">
        <v>3892</v>
      </c>
      <c r="B361" s="1" t="s">
        <v>863</v>
      </c>
      <c r="C361" s="1" t="s">
        <v>3318</v>
      </c>
      <c r="D361" s="1">
        <v>698773.74</v>
      </c>
      <c r="E361" s="1">
        <v>32402.44</v>
      </c>
      <c r="F361" s="41">
        <v>45435</v>
      </c>
      <c r="G361" s="41">
        <v>45800</v>
      </c>
      <c r="H361" s="1" t="s">
        <v>3459</v>
      </c>
      <c r="I361" s="1" t="s">
        <v>3316</v>
      </c>
      <c r="J361" t="str">
        <f>IF(ISNA(_xlfn.XLOOKUP(B361,customer_master!$A$2:$A$1649, customer_master!$A$2:$A$1649)), "Invalid", "Ok")</f>
        <v>Ok</v>
      </c>
      <c r="K361" t="str">
        <f>IF(ISNA(_xlfn.XLOOKUP(H361,agent_info!$A$2:$A$301, agent_info!$A$2:$A$301)), "Invalid", "Ok")</f>
        <v>Ok</v>
      </c>
    </row>
    <row r="362" spans="1:11" x14ac:dyDescent="0.3">
      <c r="A362" s="1" t="s">
        <v>3893</v>
      </c>
      <c r="B362" s="1" t="s">
        <v>2629</v>
      </c>
      <c r="C362" s="1" t="s">
        <v>3314</v>
      </c>
      <c r="D362" s="1">
        <v>454344.1</v>
      </c>
      <c r="E362" s="1">
        <v>20501.990000000002</v>
      </c>
      <c r="F362" s="41">
        <v>45751</v>
      </c>
      <c r="G362" s="41">
        <v>46116</v>
      </c>
      <c r="H362" s="1" t="s">
        <v>3894</v>
      </c>
      <c r="I362" s="1" t="s">
        <v>3316</v>
      </c>
      <c r="J362" t="str">
        <f>IF(ISNA(_xlfn.XLOOKUP(B362,customer_master!$A$2:$A$1649, customer_master!$A$2:$A$1649)), "Invalid", "Ok")</f>
        <v>Ok</v>
      </c>
      <c r="K362" t="str">
        <f>IF(ISNA(_xlfn.XLOOKUP(H362,agent_info!$A$2:$A$301, agent_info!$A$2:$A$301)), "Invalid", "Ok")</f>
        <v>Ok</v>
      </c>
    </row>
    <row r="363" spans="1:11" x14ac:dyDescent="0.3">
      <c r="A363" s="1" t="s">
        <v>3895</v>
      </c>
      <c r="B363" s="1" t="s">
        <v>1701</v>
      </c>
      <c r="C363" s="1" t="s">
        <v>3318</v>
      </c>
      <c r="D363" s="1">
        <v>643084.18999999994</v>
      </c>
      <c r="E363" s="1">
        <v>30566.94</v>
      </c>
      <c r="F363" s="41">
        <v>45447</v>
      </c>
      <c r="G363" s="41">
        <v>45812</v>
      </c>
      <c r="H363" s="1" t="s">
        <v>3393</v>
      </c>
      <c r="I363" s="1" t="s">
        <v>3320</v>
      </c>
      <c r="J363" t="str">
        <f>IF(ISNA(_xlfn.XLOOKUP(B363,customer_master!$A$2:$A$1649, customer_master!$A$2:$A$1649)), "Invalid", "Ok")</f>
        <v>Ok</v>
      </c>
      <c r="K363" t="str">
        <f>IF(ISNA(_xlfn.XLOOKUP(H363,agent_info!$A$2:$A$301, agent_info!$A$2:$A$301)), "Invalid", "Ok")</f>
        <v>Ok</v>
      </c>
    </row>
    <row r="364" spans="1:11" x14ac:dyDescent="0.3">
      <c r="A364" s="1" t="s">
        <v>3896</v>
      </c>
      <c r="B364" s="1" t="s">
        <v>628</v>
      </c>
      <c r="C364" s="1" t="s">
        <v>3334</v>
      </c>
      <c r="D364" s="1">
        <v>455784.57</v>
      </c>
      <c r="E364" s="1">
        <v>20527.87</v>
      </c>
      <c r="F364" s="41">
        <v>45346</v>
      </c>
      <c r="G364" s="41">
        <v>45712</v>
      </c>
      <c r="H364" s="1" t="s">
        <v>3897</v>
      </c>
      <c r="I364" s="1" t="s">
        <v>3316</v>
      </c>
      <c r="J364" t="str">
        <f>IF(ISNA(_xlfn.XLOOKUP(B364,customer_master!$A$2:$A$1649, customer_master!$A$2:$A$1649)), "Invalid", "Ok")</f>
        <v>Ok</v>
      </c>
      <c r="K364" t="str">
        <f>IF(ISNA(_xlfn.XLOOKUP(H364,agent_info!$A$2:$A$301, agent_info!$A$2:$A$301)), "Invalid", "Ok")</f>
        <v>Ok</v>
      </c>
    </row>
    <row r="365" spans="1:11" x14ac:dyDescent="0.3">
      <c r="A365" s="1" t="s">
        <v>3898</v>
      </c>
      <c r="B365" s="1" t="s">
        <v>2160</v>
      </c>
      <c r="C365" s="1" t="s">
        <v>3314</v>
      </c>
      <c r="D365" s="1">
        <v>616005.22</v>
      </c>
      <c r="E365" s="1">
        <v>30291.25</v>
      </c>
      <c r="F365" s="41">
        <v>44264</v>
      </c>
      <c r="G365" s="41">
        <v>44629</v>
      </c>
      <c r="H365" s="1" t="s">
        <v>3385</v>
      </c>
      <c r="I365" s="1" t="s">
        <v>3316</v>
      </c>
      <c r="J365" t="str">
        <f>IF(ISNA(_xlfn.XLOOKUP(B365,customer_master!$A$2:$A$1649, customer_master!$A$2:$A$1649)), "Invalid", "Ok")</f>
        <v>Ok</v>
      </c>
      <c r="K365" t="str">
        <f>IF(ISNA(_xlfn.XLOOKUP(H365,agent_info!$A$2:$A$301, agent_info!$A$2:$A$301)), "Invalid", "Ok")</f>
        <v>Ok</v>
      </c>
    </row>
    <row r="366" spans="1:11" x14ac:dyDescent="0.3">
      <c r="A366" s="1" t="s">
        <v>3899</v>
      </c>
      <c r="B366" s="1" t="s">
        <v>2629</v>
      </c>
      <c r="C366" s="1" t="s">
        <v>3334</v>
      </c>
      <c r="D366" s="1">
        <v>476485.46</v>
      </c>
      <c r="E366" s="1">
        <v>23711.79</v>
      </c>
      <c r="F366" s="41">
        <v>44210</v>
      </c>
      <c r="G366" s="41">
        <v>44575</v>
      </c>
      <c r="H366" s="1" t="s">
        <v>3522</v>
      </c>
      <c r="I366" s="1" t="s">
        <v>3324</v>
      </c>
      <c r="J366" t="str">
        <f>IF(ISNA(_xlfn.XLOOKUP(B366,customer_master!$A$2:$A$1649, customer_master!$A$2:$A$1649)), "Invalid", "Ok")</f>
        <v>Ok</v>
      </c>
      <c r="K366" t="str">
        <f>IF(ISNA(_xlfn.XLOOKUP(H366,agent_info!$A$2:$A$301, agent_info!$A$2:$A$301)), "Invalid", "Ok")</f>
        <v>Ok</v>
      </c>
    </row>
    <row r="367" spans="1:11" x14ac:dyDescent="0.3">
      <c r="A367" s="1" t="s">
        <v>3900</v>
      </c>
      <c r="B367" s="1" t="s">
        <v>1901</v>
      </c>
      <c r="C367" s="1" t="s">
        <v>3314</v>
      </c>
      <c r="D367" s="1">
        <v>593553.75</v>
      </c>
      <c r="E367" s="1">
        <v>29304.23</v>
      </c>
      <c r="F367" s="41">
        <v>44150</v>
      </c>
      <c r="G367" s="41">
        <v>44515</v>
      </c>
      <c r="H367" s="1" t="s">
        <v>3545</v>
      </c>
      <c r="I367" s="1" t="s">
        <v>3324</v>
      </c>
      <c r="J367" t="str">
        <f>IF(ISNA(_xlfn.XLOOKUP(B367,customer_master!$A$2:$A$1649, customer_master!$A$2:$A$1649)), "Invalid", "Ok")</f>
        <v>Ok</v>
      </c>
      <c r="K367" t="str">
        <f>IF(ISNA(_xlfn.XLOOKUP(H367,agent_info!$A$2:$A$301, agent_info!$A$2:$A$301)), "Invalid", "Ok")</f>
        <v>Ok</v>
      </c>
    </row>
    <row r="368" spans="1:11" x14ac:dyDescent="0.3">
      <c r="A368" s="1" t="s">
        <v>3901</v>
      </c>
      <c r="B368" s="1" t="s">
        <v>2776</v>
      </c>
      <c r="C368" s="1" t="s">
        <v>3326</v>
      </c>
      <c r="D368" s="1">
        <v>560055.25</v>
      </c>
      <c r="E368" s="1">
        <v>26319.18</v>
      </c>
      <c r="F368" s="41">
        <v>44763</v>
      </c>
      <c r="G368" s="41">
        <v>45128</v>
      </c>
      <c r="H368" s="1" t="s">
        <v>3809</v>
      </c>
      <c r="I368" s="1" t="s">
        <v>3316</v>
      </c>
      <c r="J368" t="str">
        <f>IF(ISNA(_xlfn.XLOOKUP(B368,customer_master!$A$2:$A$1649, customer_master!$A$2:$A$1649)), "Invalid", "Ok")</f>
        <v>Ok</v>
      </c>
      <c r="K368" t="str">
        <f>IF(ISNA(_xlfn.XLOOKUP(H368,agent_info!$A$2:$A$301, agent_info!$A$2:$A$301)), "Invalid", "Ok")</f>
        <v>Ok</v>
      </c>
    </row>
    <row r="369" spans="1:11" x14ac:dyDescent="0.3">
      <c r="A369" s="1" t="s">
        <v>3902</v>
      </c>
      <c r="B369" s="1" t="s">
        <v>1239</v>
      </c>
      <c r="C369" s="1" t="s">
        <v>3331</v>
      </c>
      <c r="D369" s="1">
        <v>617465.5</v>
      </c>
      <c r="E369" s="1">
        <v>31018.75</v>
      </c>
      <c r="F369" s="41">
        <v>45935</v>
      </c>
      <c r="G369" s="41">
        <v>46300</v>
      </c>
      <c r="H369" s="1" t="s">
        <v>3509</v>
      </c>
      <c r="I369" s="1" t="s">
        <v>3324</v>
      </c>
      <c r="J369" t="str">
        <f>IF(ISNA(_xlfn.XLOOKUP(B369,customer_master!$A$2:$A$1649, customer_master!$A$2:$A$1649)), "Invalid", "Ok")</f>
        <v>Ok</v>
      </c>
      <c r="K369" t="str">
        <f>IF(ISNA(_xlfn.XLOOKUP(H369,agent_info!$A$2:$A$301, agent_info!$A$2:$A$301)), "Invalid", "Ok")</f>
        <v>Ok</v>
      </c>
    </row>
    <row r="370" spans="1:11" x14ac:dyDescent="0.3">
      <c r="A370" s="1" t="s">
        <v>3903</v>
      </c>
      <c r="B370" s="1" t="s">
        <v>3035</v>
      </c>
      <c r="C370" s="1" t="s">
        <v>3326</v>
      </c>
      <c r="D370" s="1">
        <v>588979.61</v>
      </c>
      <c r="E370" s="1">
        <v>31298.93</v>
      </c>
      <c r="F370" s="41">
        <v>44219</v>
      </c>
      <c r="G370" s="41">
        <v>44584</v>
      </c>
      <c r="H370" s="1" t="s">
        <v>3672</v>
      </c>
      <c r="I370" s="1" t="s">
        <v>3324</v>
      </c>
      <c r="J370" t="str">
        <f>IF(ISNA(_xlfn.XLOOKUP(B370,customer_master!$A$2:$A$1649, customer_master!$A$2:$A$1649)), "Invalid", "Ok")</f>
        <v>Ok</v>
      </c>
      <c r="K370" t="str">
        <f>IF(ISNA(_xlfn.XLOOKUP(H370,agent_info!$A$2:$A$301, agent_info!$A$2:$A$301)), "Invalid", "Ok")</f>
        <v>Ok</v>
      </c>
    </row>
    <row r="371" spans="1:11" x14ac:dyDescent="0.3">
      <c r="A371" s="1" t="s">
        <v>3904</v>
      </c>
      <c r="B371" s="1" t="s">
        <v>2168</v>
      </c>
      <c r="C371" s="1" t="s">
        <v>3314</v>
      </c>
      <c r="D371" s="1">
        <v>411576.39</v>
      </c>
      <c r="E371" s="1">
        <v>19719.509999999998</v>
      </c>
      <c r="F371" s="41">
        <v>44356</v>
      </c>
      <c r="G371" s="41">
        <v>44721</v>
      </c>
      <c r="H371" s="1" t="s">
        <v>3905</v>
      </c>
      <c r="I371" s="1" t="s">
        <v>3316</v>
      </c>
      <c r="J371" t="str">
        <f>IF(ISNA(_xlfn.XLOOKUP(B371,customer_master!$A$2:$A$1649, customer_master!$A$2:$A$1649)), "Invalid", "Ok")</f>
        <v>Ok</v>
      </c>
      <c r="K371" t="str">
        <f>IF(ISNA(_xlfn.XLOOKUP(H371,agent_info!$A$2:$A$301, agent_info!$A$2:$A$301)), "Invalid", "Ok")</f>
        <v>Ok</v>
      </c>
    </row>
    <row r="372" spans="1:11" x14ac:dyDescent="0.3">
      <c r="A372" s="1" t="s">
        <v>3906</v>
      </c>
      <c r="B372" s="1" t="s">
        <v>2661</v>
      </c>
      <c r="C372" s="1" t="s">
        <v>3334</v>
      </c>
      <c r="D372" s="1">
        <v>655804.15</v>
      </c>
      <c r="E372" s="1">
        <v>31561.07</v>
      </c>
      <c r="F372" s="41">
        <v>46091</v>
      </c>
      <c r="G372" s="41">
        <v>46456</v>
      </c>
      <c r="H372" s="1" t="s">
        <v>3427</v>
      </c>
      <c r="I372" s="1" t="s">
        <v>3324</v>
      </c>
      <c r="J372" t="str">
        <f>IF(ISNA(_xlfn.XLOOKUP(B372,customer_master!$A$2:$A$1649, customer_master!$A$2:$A$1649)), "Invalid", "Ok")</f>
        <v>Ok</v>
      </c>
      <c r="K372" t="str">
        <f>IF(ISNA(_xlfn.XLOOKUP(H372,agent_info!$A$2:$A$301, agent_info!$A$2:$A$301)), "Invalid", "Ok")</f>
        <v>Ok</v>
      </c>
    </row>
    <row r="373" spans="1:11" x14ac:dyDescent="0.3">
      <c r="A373" s="1" t="s">
        <v>3907</v>
      </c>
      <c r="B373" s="1" t="s">
        <v>923</v>
      </c>
      <c r="C373" s="1" t="s">
        <v>3326</v>
      </c>
      <c r="D373" s="1">
        <v>404109.2</v>
      </c>
      <c r="E373" s="1">
        <v>20378.52</v>
      </c>
      <c r="F373" s="41">
        <v>45045</v>
      </c>
      <c r="G373" s="41">
        <v>45411</v>
      </c>
      <c r="H373" s="1" t="s">
        <v>3836</v>
      </c>
      <c r="I373" s="1" t="s">
        <v>3316</v>
      </c>
      <c r="J373" t="str">
        <f>IF(ISNA(_xlfn.XLOOKUP(B373,customer_master!$A$2:$A$1649, customer_master!$A$2:$A$1649)), "Invalid", "Ok")</f>
        <v>Ok</v>
      </c>
      <c r="K373" t="str">
        <f>IF(ISNA(_xlfn.XLOOKUP(H373,agent_info!$A$2:$A$301, agent_info!$A$2:$A$301)), "Invalid", "Ok")</f>
        <v>Ok</v>
      </c>
    </row>
    <row r="374" spans="1:11" x14ac:dyDescent="0.3">
      <c r="A374" s="1" t="s">
        <v>3908</v>
      </c>
      <c r="B374" s="1" t="s">
        <v>1497</v>
      </c>
      <c r="C374" s="1" t="s">
        <v>3314</v>
      </c>
      <c r="D374" s="1">
        <v>645657.49</v>
      </c>
      <c r="E374" s="1">
        <v>30563.84</v>
      </c>
      <c r="F374" s="41">
        <v>44737</v>
      </c>
      <c r="G374" s="41">
        <v>45102</v>
      </c>
      <c r="H374" s="1" t="s">
        <v>3451</v>
      </c>
      <c r="I374" s="1" t="s">
        <v>3324</v>
      </c>
      <c r="J374" t="str">
        <f>IF(ISNA(_xlfn.XLOOKUP(B374,customer_master!$A$2:$A$1649, customer_master!$A$2:$A$1649)), "Invalid", "Ok")</f>
        <v>Ok</v>
      </c>
      <c r="K374" t="str">
        <f>IF(ISNA(_xlfn.XLOOKUP(H374,agent_info!$A$2:$A$301, agent_info!$A$2:$A$301)), "Invalid", "Ok")</f>
        <v>Ok</v>
      </c>
    </row>
    <row r="375" spans="1:11" x14ac:dyDescent="0.3">
      <c r="A375" s="1" t="s">
        <v>3909</v>
      </c>
      <c r="B375" s="1" t="s">
        <v>3023</v>
      </c>
      <c r="C375" s="1" t="s">
        <v>3314</v>
      </c>
      <c r="D375" s="1">
        <v>432754.48</v>
      </c>
      <c r="E375" s="1">
        <v>20935.740000000002</v>
      </c>
      <c r="F375" s="41">
        <v>45449</v>
      </c>
      <c r="G375" s="41">
        <v>45814</v>
      </c>
      <c r="H375" s="1" t="s">
        <v>3620</v>
      </c>
      <c r="I375" s="1" t="s">
        <v>3316</v>
      </c>
      <c r="J375" t="str">
        <f>IF(ISNA(_xlfn.XLOOKUP(B375,customer_master!$A$2:$A$1649, customer_master!$A$2:$A$1649)), "Invalid", "Ok")</f>
        <v>Ok</v>
      </c>
      <c r="K375" t="str">
        <f>IF(ISNA(_xlfn.XLOOKUP(H375,agent_info!$A$2:$A$301, agent_info!$A$2:$A$301)), "Invalid", "Ok")</f>
        <v>Ok</v>
      </c>
    </row>
    <row r="376" spans="1:11" x14ac:dyDescent="0.3">
      <c r="A376" s="1" t="s">
        <v>3910</v>
      </c>
      <c r="B376" s="1" t="s">
        <v>202</v>
      </c>
      <c r="C376" s="1" t="s">
        <v>3314</v>
      </c>
      <c r="D376" s="1">
        <v>569574.66</v>
      </c>
      <c r="E376" s="1">
        <v>28207.83</v>
      </c>
      <c r="F376" s="41">
        <v>44221</v>
      </c>
      <c r="G376" s="41">
        <v>44586</v>
      </c>
      <c r="H376" s="1" t="s">
        <v>3437</v>
      </c>
      <c r="I376" s="1" t="s">
        <v>3320</v>
      </c>
      <c r="J376" t="str">
        <f>IF(ISNA(_xlfn.XLOOKUP(B376,customer_master!$A$2:$A$1649, customer_master!$A$2:$A$1649)), "Invalid", "Ok")</f>
        <v>Ok</v>
      </c>
      <c r="K376" t="str">
        <f>IF(ISNA(_xlfn.XLOOKUP(H376,agent_info!$A$2:$A$301, agent_info!$A$2:$A$301)), "Invalid", "Ok")</f>
        <v>Ok</v>
      </c>
    </row>
    <row r="377" spans="1:11" x14ac:dyDescent="0.3">
      <c r="A377" s="1" t="s">
        <v>3911</v>
      </c>
      <c r="B377" s="1" t="s">
        <v>1374</v>
      </c>
      <c r="C377" s="1" t="s">
        <v>3318</v>
      </c>
      <c r="D377" s="1">
        <v>524198.47</v>
      </c>
      <c r="E377" s="1">
        <v>25613.919999999998</v>
      </c>
      <c r="F377" s="41">
        <v>45562</v>
      </c>
      <c r="G377" s="41">
        <v>45927</v>
      </c>
      <c r="H377" s="1" t="s">
        <v>3439</v>
      </c>
      <c r="I377" s="1" t="s">
        <v>3324</v>
      </c>
      <c r="J377" t="str">
        <f>IF(ISNA(_xlfn.XLOOKUP(B377,customer_master!$A$2:$A$1649, customer_master!$A$2:$A$1649)), "Invalid", "Ok")</f>
        <v>Ok</v>
      </c>
      <c r="K377" t="str">
        <f>IF(ISNA(_xlfn.XLOOKUP(H377,agent_info!$A$2:$A$301, agent_info!$A$2:$A$301)), "Invalid", "Ok")</f>
        <v>Ok</v>
      </c>
    </row>
    <row r="378" spans="1:11" x14ac:dyDescent="0.3">
      <c r="A378" s="1" t="s">
        <v>3912</v>
      </c>
      <c r="B378" s="1" t="s">
        <v>2593</v>
      </c>
      <c r="C378" s="1" t="s">
        <v>3326</v>
      </c>
      <c r="D378" s="1">
        <v>688571.22</v>
      </c>
      <c r="E378" s="1">
        <v>36619.82</v>
      </c>
      <c r="F378" s="41">
        <v>45302</v>
      </c>
      <c r="G378" s="41">
        <v>45668</v>
      </c>
      <c r="H378" s="1" t="s">
        <v>3377</v>
      </c>
      <c r="I378" s="1" t="s">
        <v>3324</v>
      </c>
      <c r="J378" t="str">
        <f>IF(ISNA(_xlfn.XLOOKUP(B378,customer_master!$A$2:$A$1649, customer_master!$A$2:$A$1649)), "Invalid", "Ok")</f>
        <v>Ok</v>
      </c>
      <c r="K378" t="str">
        <f>IF(ISNA(_xlfn.XLOOKUP(H378,agent_info!$A$2:$A$301, agent_info!$A$2:$A$301)), "Invalid", "Ok")</f>
        <v>Ok</v>
      </c>
    </row>
    <row r="379" spans="1:11" x14ac:dyDescent="0.3">
      <c r="A379" s="1" t="s">
        <v>3913</v>
      </c>
      <c r="B379" s="1" t="s">
        <v>2478</v>
      </c>
      <c r="C379" s="1" t="s">
        <v>3334</v>
      </c>
      <c r="D379" s="1">
        <v>627861.53</v>
      </c>
      <c r="E379" s="1">
        <v>33584.269999999997</v>
      </c>
      <c r="F379" s="41">
        <v>44723</v>
      </c>
      <c r="G379" s="41">
        <v>45088</v>
      </c>
      <c r="H379" s="1" t="s">
        <v>3914</v>
      </c>
      <c r="I379" s="1" t="s">
        <v>3316</v>
      </c>
      <c r="J379" t="str">
        <f>IF(ISNA(_xlfn.XLOOKUP(B379,customer_master!$A$2:$A$1649, customer_master!$A$2:$A$1649)), "Invalid", "Ok")</f>
        <v>Ok</v>
      </c>
      <c r="K379" t="str">
        <f>IF(ISNA(_xlfn.XLOOKUP(H379,agent_info!$A$2:$A$301, agent_info!$A$2:$A$301)), "Invalid", "Ok")</f>
        <v>Ok</v>
      </c>
    </row>
    <row r="380" spans="1:11" x14ac:dyDescent="0.3">
      <c r="A380" s="1" t="s">
        <v>3915</v>
      </c>
      <c r="B380" s="1" t="s">
        <v>2831</v>
      </c>
      <c r="C380" s="1" t="s">
        <v>3326</v>
      </c>
      <c r="D380" s="1">
        <v>380872.07</v>
      </c>
      <c r="E380" s="1">
        <v>18673.689999999999</v>
      </c>
      <c r="F380" s="41">
        <v>44913</v>
      </c>
      <c r="G380" s="41">
        <v>45278</v>
      </c>
      <c r="H380" s="1" t="s">
        <v>3852</v>
      </c>
      <c r="I380" s="1" t="s">
        <v>3324</v>
      </c>
      <c r="J380" t="str">
        <f>IF(ISNA(_xlfn.XLOOKUP(B380,customer_master!$A$2:$A$1649, customer_master!$A$2:$A$1649)), "Invalid", "Ok")</f>
        <v>Ok</v>
      </c>
      <c r="K380" t="str">
        <f>IF(ISNA(_xlfn.XLOOKUP(H380,agent_info!$A$2:$A$301, agent_info!$A$2:$A$301)), "Invalid", "Ok")</f>
        <v>Ok</v>
      </c>
    </row>
    <row r="381" spans="1:11" x14ac:dyDescent="0.3">
      <c r="A381" s="1" t="s">
        <v>3916</v>
      </c>
      <c r="B381" s="1" t="s">
        <v>2462</v>
      </c>
      <c r="C381" s="1" t="s">
        <v>3326</v>
      </c>
      <c r="D381" s="1">
        <v>595310.26</v>
      </c>
      <c r="E381" s="1">
        <v>29454.68</v>
      </c>
      <c r="F381" s="41">
        <v>44287</v>
      </c>
      <c r="G381" s="41">
        <v>44652</v>
      </c>
      <c r="H381" s="1" t="s">
        <v>3917</v>
      </c>
      <c r="I381" s="1" t="s">
        <v>3324</v>
      </c>
      <c r="J381" t="str">
        <f>IF(ISNA(_xlfn.XLOOKUP(B381,customer_master!$A$2:$A$1649, customer_master!$A$2:$A$1649)), "Invalid", "Ok")</f>
        <v>Ok</v>
      </c>
      <c r="K381" t="str">
        <f>IF(ISNA(_xlfn.XLOOKUP(H381,agent_info!$A$2:$A$301, agent_info!$A$2:$A$301)), "Invalid", "Ok")</f>
        <v>Ok</v>
      </c>
    </row>
    <row r="382" spans="1:11" x14ac:dyDescent="0.3">
      <c r="A382" s="1" t="s">
        <v>3918</v>
      </c>
      <c r="B382" s="1" t="s">
        <v>3152</v>
      </c>
      <c r="C382" s="1" t="s">
        <v>3326</v>
      </c>
      <c r="D382" s="1">
        <v>417948.44</v>
      </c>
      <c r="E382" s="1">
        <v>22807</v>
      </c>
      <c r="F382" s="41">
        <v>45725</v>
      </c>
      <c r="G382" s="41">
        <v>46090</v>
      </c>
      <c r="H382" s="1" t="s">
        <v>3427</v>
      </c>
      <c r="I382" s="1" t="s">
        <v>3324</v>
      </c>
      <c r="J382" t="str">
        <f>IF(ISNA(_xlfn.XLOOKUP(B382,customer_master!$A$2:$A$1649, customer_master!$A$2:$A$1649)), "Invalid", "Ok")</f>
        <v>Ok</v>
      </c>
      <c r="K382" t="str">
        <f>IF(ISNA(_xlfn.XLOOKUP(H382,agent_info!$A$2:$A$301, agent_info!$A$2:$A$301)), "Invalid", "Ok")</f>
        <v>Ok</v>
      </c>
    </row>
    <row r="383" spans="1:11" x14ac:dyDescent="0.3">
      <c r="A383" s="1" t="s">
        <v>3919</v>
      </c>
      <c r="B383" s="1" t="s">
        <v>1678</v>
      </c>
      <c r="C383" s="1" t="s">
        <v>3318</v>
      </c>
      <c r="D383" s="1">
        <v>486164.84</v>
      </c>
      <c r="E383" s="1">
        <v>24323.25</v>
      </c>
      <c r="F383" s="41">
        <v>44587</v>
      </c>
      <c r="G383" s="41">
        <v>44952</v>
      </c>
      <c r="H383" s="1" t="s">
        <v>3920</v>
      </c>
      <c r="I383" s="1" t="s">
        <v>3316</v>
      </c>
      <c r="J383" t="str">
        <f>IF(ISNA(_xlfn.XLOOKUP(B383,customer_master!$A$2:$A$1649, customer_master!$A$2:$A$1649)), "Invalid", "Ok")</f>
        <v>Ok</v>
      </c>
      <c r="K383" t="str">
        <f>IF(ISNA(_xlfn.XLOOKUP(H383,agent_info!$A$2:$A$301, agent_info!$A$2:$A$301)), "Invalid", "Ok")</f>
        <v>Ok</v>
      </c>
    </row>
    <row r="384" spans="1:11" x14ac:dyDescent="0.3">
      <c r="A384" s="1" t="s">
        <v>3921</v>
      </c>
      <c r="B384" s="1" t="s">
        <v>2103</v>
      </c>
      <c r="C384" s="1" t="s">
        <v>3331</v>
      </c>
      <c r="D384" s="1">
        <v>525876.02</v>
      </c>
      <c r="E384" s="1">
        <v>28886.54</v>
      </c>
      <c r="F384" s="41">
        <v>45391</v>
      </c>
      <c r="G384" s="41">
        <v>45756</v>
      </c>
      <c r="H384" s="1" t="s">
        <v>3872</v>
      </c>
      <c r="I384" s="1" t="s">
        <v>3316</v>
      </c>
      <c r="J384" t="str">
        <f>IF(ISNA(_xlfn.XLOOKUP(B384,customer_master!$A$2:$A$1649, customer_master!$A$2:$A$1649)), "Invalid", "Ok")</f>
        <v>Ok</v>
      </c>
      <c r="K384" t="str">
        <f>IF(ISNA(_xlfn.XLOOKUP(H384,agent_info!$A$2:$A$301, agent_info!$A$2:$A$301)), "Invalid", "Ok")</f>
        <v>Ok</v>
      </c>
    </row>
    <row r="385" spans="1:11" x14ac:dyDescent="0.3">
      <c r="A385" s="1" t="s">
        <v>3922</v>
      </c>
      <c r="B385" s="1" t="s">
        <v>2817</v>
      </c>
      <c r="C385" s="1" t="s">
        <v>3318</v>
      </c>
      <c r="D385" s="1">
        <v>671413.22</v>
      </c>
      <c r="E385" s="1">
        <v>35335.15</v>
      </c>
      <c r="F385" s="41">
        <v>45523</v>
      </c>
      <c r="G385" s="41">
        <v>45888</v>
      </c>
      <c r="H385" s="1" t="s">
        <v>3817</v>
      </c>
      <c r="I385" s="1" t="s">
        <v>3324</v>
      </c>
      <c r="J385" t="str">
        <f>IF(ISNA(_xlfn.XLOOKUP(B385,customer_master!$A$2:$A$1649, customer_master!$A$2:$A$1649)), "Invalid", "Ok")</f>
        <v>Ok</v>
      </c>
      <c r="K385" t="str">
        <f>IF(ISNA(_xlfn.XLOOKUP(H385,agent_info!$A$2:$A$301, agent_info!$A$2:$A$301)), "Invalid", "Ok")</f>
        <v>Ok</v>
      </c>
    </row>
    <row r="386" spans="1:11" x14ac:dyDescent="0.3">
      <c r="A386" s="1" t="s">
        <v>3923</v>
      </c>
      <c r="B386" s="1" t="s">
        <v>2343</v>
      </c>
      <c r="C386" s="1" t="s">
        <v>3334</v>
      </c>
      <c r="D386" s="1">
        <v>748471.16</v>
      </c>
      <c r="E386" s="1">
        <v>35658.9</v>
      </c>
      <c r="F386" s="41">
        <v>44100</v>
      </c>
      <c r="G386" s="41">
        <v>44465</v>
      </c>
      <c r="H386" s="1" t="s">
        <v>3451</v>
      </c>
      <c r="I386" s="1" t="s">
        <v>3316</v>
      </c>
      <c r="J386" t="str">
        <f>IF(ISNA(_xlfn.XLOOKUP(B386,customer_master!$A$2:$A$1649, customer_master!$A$2:$A$1649)), "Invalid", "Ok")</f>
        <v>Ok</v>
      </c>
      <c r="K386" t="str">
        <f>IF(ISNA(_xlfn.XLOOKUP(H386,agent_info!$A$2:$A$301, agent_info!$A$2:$A$301)), "Invalid", "Ok")</f>
        <v>Ok</v>
      </c>
    </row>
    <row r="387" spans="1:11" x14ac:dyDescent="0.3">
      <c r="A387" s="1" t="s">
        <v>3924</v>
      </c>
      <c r="B387" s="1" t="s">
        <v>367</v>
      </c>
      <c r="C387" s="1" t="s">
        <v>3331</v>
      </c>
      <c r="D387" s="1">
        <v>734133.87</v>
      </c>
      <c r="E387" s="1">
        <v>34717.870000000003</v>
      </c>
      <c r="F387" s="41">
        <v>44918</v>
      </c>
      <c r="G387" s="41">
        <v>45283</v>
      </c>
      <c r="H387" s="1" t="s">
        <v>3443</v>
      </c>
      <c r="I387" s="1" t="s">
        <v>3324</v>
      </c>
      <c r="J387" t="str">
        <f>IF(ISNA(_xlfn.XLOOKUP(B387,customer_master!$A$2:$A$1649, customer_master!$A$2:$A$1649)), "Invalid", "Ok")</f>
        <v>Ok</v>
      </c>
      <c r="K387" t="str">
        <f>IF(ISNA(_xlfn.XLOOKUP(H387,agent_info!$A$2:$A$301, agent_info!$A$2:$A$301)), "Invalid", "Ok")</f>
        <v>Ok</v>
      </c>
    </row>
    <row r="388" spans="1:11" x14ac:dyDescent="0.3">
      <c r="A388" s="1" t="s">
        <v>3925</v>
      </c>
      <c r="B388" s="1" t="s">
        <v>1243</v>
      </c>
      <c r="C388" s="1" t="s">
        <v>3334</v>
      </c>
      <c r="D388" s="1">
        <v>450713.2</v>
      </c>
      <c r="E388" s="1">
        <v>20999.02</v>
      </c>
      <c r="F388" s="41">
        <v>45820</v>
      </c>
      <c r="G388" s="41">
        <v>46185</v>
      </c>
      <c r="H388" s="1" t="s">
        <v>3498</v>
      </c>
      <c r="I388" s="1" t="s">
        <v>3316</v>
      </c>
      <c r="J388" t="str">
        <f>IF(ISNA(_xlfn.XLOOKUP(B388,customer_master!$A$2:$A$1649, customer_master!$A$2:$A$1649)), "Invalid", "Ok")</f>
        <v>Ok</v>
      </c>
      <c r="K388" t="str">
        <f>IF(ISNA(_xlfn.XLOOKUP(H388,agent_info!$A$2:$A$301, agent_info!$A$2:$A$301)), "Invalid", "Ok")</f>
        <v>Ok</v>
      </c>
    </row>
    <row r="389" spans="1:11" x14ac:dyDescent="0.3">
      <c r="A389" s="1" t="s">
        <v>3926</v>
      </c>
      <c r="B389" s="1" t="s">
        <v>1849</v>
      </c>
      <c r="C389" s="1" t="s">
        <v>3318</v>
      </c>
      <c r="D389" s="1">
        <v>400836.29</v>
      </c>
      <c r="E389" s="1">
        <v>21268.959999999999</v>
      </c>
      <c r="F389" s="41">
        <v>46005</v>
      </c>
      <c r="G389" s="41">
        <v>46370</v>
      </c>
      <c r="H389" s="1" t="s">
        <v>3553</v>
      </c>
      <c r="I389" s="1" t="s">
        <v>3316</v>
      </c>
      <c r="J389" t="str">
        <f>IF(ISNA(_xlfn.XLOOKUP(B389,customer_master!$A$2:$A$1649, customer_master!$A$2:$A$1649)), "Invalid", "Ok")</f>
        <v>Ok</v>
      </c>
      <c r="K389" t="str">
        <f>IF(ISNA(_xlfn.XLOOKUP(H389,agent_info!$A$2:$A$301, agent_info!$A$2:$A$301)), "Invalid", "Ok")</f>
        <v>Ok</v>
      </c>
    </row>
    <row r="390" spans="1:11" x14ac:dyDescent="0.3">
      <c r="A390" s="1" t="s">
        <v>3927</v>
      </c>
      <c r="B390" s="1" t="s">
        <v>2516</v>
      </c>
      <c r="C390" s="1" t="s">
        <v>3314</v>
      </c>
      <c r="D390" s="1">
        <v>703985.21</v>
      </c>
      <c r="E390" s="1">
        <v>33839.599999999999</v>
      </c>
      <c r="F390" s="41">
        <v>45434</v>
      </c>
      <c r="G390" s="41">
        <v>45799</v>
      </c>
      <c r="H390" s="1" t="s">
        <v>3647</v>
      </c>
      <c r="I390" s="1" t="s">
        <v>3324</v>
      </c>
      <c r="J390" t="str">
        <f>IF(ISNA(_xlfn.XLOOKUP(B390,customer_master!$A$2:$A$1649, customer_master!$A$2:$A$1649)), "Invalid", "Ok")</f>
        <v>Ok</v>
      </c>
      <c r="K390" t="str">
        <f>IF(ISNA(_xlfn.XLOOKUP(H390,agent_info!$A$2:$A$301, agent_info!$A$2:$A$301)), "Invalid", "Ok")</f>
        <v>Ok</v>
      </c>
    </row>
    <row r="391" spans="1:11" x14ac:dyDescent="0.3">
      <c r="A391" s="1" t="s">
        <v>3928</v>
      </c>
      <c r="B391" s="1" t="s">
        <v>1819</v>
      </c>
      <c r="C391" s="1" t="s">
        <v>3326</v>
      </c>
      <c r="D391" s="1">
        <v>450876.39</v>
      </c>
      <c r="E391" s="1">
        <v>23336.43</v>
      </c>
      <c r="F391" s="41">
        <v>44821</v>
      </c>
      <c r="G391" s="41">
        <v>45186</v>
      </c>
      <c r="H391" s="1" t="s">
        <v>3363</v>
      </c>
      <c r="I391" s="1" t="s">
        <v>3324</v>
      </c>
      <c r="J391" t="str">
        <f>IF(ISNA(_xlfn.XLOOKUP(B391,customer_master!$A$2:$A$1649, customer_master!$A$2:$A$1649)), "Invalid", "Ok")</f>
        <v>Ok</v>
      </c>
      <c r="K391" t="str">
        <f>IF(ISNA(_xlfn.XLOOKUP(H391,agent_info!$A$2:$A$301, agent_info!$A$2:$A$301)), "Invalid", "Ok")</f>
        <v>Ok</v>
      </c>
    </row>
    <row r="392" spans="1:11" x14ac:dyDescent="0.3">
      <c r="A392" s="1" t="s">
        <v>3929</v>
      </c>
      <c r="B392" s="1" t="s">
        <v>2587</v>
      </c>
      <c r="C392" s="1" t="s">
        <v>3314</v>
      </c>
      <c r="D392" s="1">
        <v>609388.05000000005</v>
      </c>
      <c r="E392" s="1">
        <v>30713.99</v>
      </c>
      <c r="F392" s="41">
        <v>46132</v>
      </c>
      <c r="G392" s="41">
        <v>46497</v>
      </c>
      <c r="H392" s="1" t="s">
        <v>3518</v>
      </c>
      <c r="I392" s="1" t="s">
        <v>3316</v>
      </c>
      <c r="J392" t="str">
        <f>IF(ISNA(_xlfn.XLOOKUP(B392,customer_master!$A$2:$A$1649, customer_master!$A$2:$A$1649)), "Invalid", "Ok")</f>
        <v>Ok</v>
      </c>
      <c r="K392" t="str">
        <f>IF(ISNA(_xlfn.XLOOKUP(H392,agent_info!$A$2:$A$301, agent_info!$A$2:$A$301)), "Invalid", "Ok")</f>
        <v>Ok</v>
      </c>
    </row>
    <row r="393" spans="1:11" x14ac:dyDescent="0.3">
      <c r="A393" s="1" t="s">
        <v>3930</v>
      </c>
      <c r="B393" s="1" t="s">
        <v>2776</v>
      </c>
      <c r="C393" s="1" t="s">
        <v>3334</v>
      </c>
      <c r="D393" s="1">
        <v>761771.57</v>
      </c>
      <c r="E393" s="1">
        <v>40571.93</v>
      </c>
      <c r="F393" s="41">
        <v>45793</v>
      </c>
      <c r="G393" s="41">
        <v>46158</v>
      </c>
      <c r="H393" s="1" t="s">
        <v>3931</v>
      </c>
      <c r="I393" s="1" t="s">
        <v>3316</v>
      </c>
      <c r="J393" t="str">
        <f>IF(ISNA(_xlfn.XLOOKUP(B393,customer_master!$A$2:$A$1649, customer_master!$A$2:$A$1649)), "Invalid", "Ok")</f>
        <v>Ok</v>
      </c>
      <c r="K393" t="str">
        <f>IF(ISNA(_xlfn.XLOOKUP(H393,agent_info!$A$2:$A$301, agent_info!$A$2:$A$301)), "Invalid", "Ok")</f>
        <v>Ok</v>
      </c>
    </row>
    <row r="394" spans="1:11" x14ac:dyDescent="0.3">
      <c r="A394" s="1" t="s">
        <v>3932</v>
      </c>
      <c r="B394" s="1" t="s">
        <v>901</v>
      </c>
      <c r="C394" s="1" t="s">
        <v>3331</v>
      </c>
      <c r="D394" s="1">
        <v>452620</v>
      </c>
      <c r="E394" s="1">
        <v>23766.25</v>
      </c>
      <c r="F394" s="41">
        <v>45072</v>
      </c>
      <c r="G394" s="41">
        <v>45438</v>
      </c>
      <c r="H394" s="1" t="s">
        <v>3406</v>
      </c>
      <c r="I394" s="1" t="s">
        <v>3316</v>
      </c>
      <c r="J394" t="str">
        <f>IF(ISNA(_xlfn.XLOOKUP(B394,customer_master!$A$2:$A$1649, customer_master!$A$2:$A$1649)), "Invalid", "Ok")</f>
        <v>Ok</v>
      </c>
      <c r="K394" t="str">
        <f>IF(ISNA(_xlfn.XLOOKUP(H394,agent_info!$A$2:$A$301, agent_info!$A$2:$A$301)), "Invalid", "Ok")</f>
        <v>Ok</v>
      </c>
    </row>
    <row r="395" spans="1:11" x14ac:dyDescent="0.3">
      <c r="A395" s="1" t="s">
        <v>3933</v>
      </c>
      <c r="B395" s="1" t="s">
        <v>2073</v>
      </c>
      <c r="C395" s="1" t="s">
        <v>3334</v>
      </c>
      <c r="D395" s="1">
        <v>529319.52</v>
      </c>
      <c r="E395" s="1">
        <v>24156.81</v>
      </c>
      <c r="F395" s="41">
        <v>44796</v>
      </c>
      <c r="G395" s="41">
        <v>45161</v>
      </c>
      <c r="H395" s="1" t="s">
        <v>3479</v>
      </c>
      <c r="I395" s="1" t="s">
        <v>3316</v>
      </c>
      <c r="J395" t="str">
        <f>IF(ISNA(_xlfn.XLOOKUP(B395,customer_master!$A$2:$A$1649, customer_master!$A$2:$A$1649)), "Invalid", "Ok")</f>
        <v>Ok</v>
      </c>
      <c r="K395" t="str">
        <f>IF(ISNA(_xlfn.XLOOKUP(H395,agent_info!$A$2:$A$301, agent_info!$A$2:$A$301)), "Invalid", "Ok")</f>
        <v>Ok</v>
      </c>
    </row>
    <row r="396" spans="1:11" x14ac:dyDescent="0.3">
      <c r="A396" s="1" t="s">
        <v>3934</v>
      </c>
      <c r="B396" s="1" t="s">
        <v>1869</v>
      </c>
      <c r="C396" s="1" t="s">
        <v>3326</v>
      </c>
      <c r="D396" s="1">
        <v>653659.63</v>
      </c>
      <c r="E396" s="1">
        <v>31626.85</v>
      </c>
      <c r="F396" s="41">
        <v>44498</v>
      </c>
      <c r="G396" s="41">
        <v>44863</v>
      </c>
      <c r="H396" s="1" t="s">
        <v>3559</v>
      </c>
      <c r="I396" s="1" t="s">
        <v>3316</v>
      </c>
      <c r="J396" t="str">
        <f>IF(ISNA(_xlfn.XLOOKUP(B396,customer_master!$A$2:$A$1649, customer_master!$A$2:$A$1649)), "Invalid", "Ok")</f>
        <v>Ok</v>
      </c>
      <c r="K396" t="str">
        <f>IF(ISNA(_xlfn.XLOOKUP(H396,agent_info!$A$2:$A$301, agent_info!$A$2:$A$301)), "Invalid", "Ok")</f>
        <v>Ok</v>
      </c>
    </row>
    <row r="397" spans="1:11" x14ac:dyDescent="0.3">
      <c r="A397" s="1" t="s">
        <v>3935</v>
      </c>
      <c r="B397" s="1" t="s">
        <v>803</v>
      </c>
      <c r="C397" s="1" t="s">
        <v>3318</v>
      </c>
      <c r="D397" s="1">
        <v>623692.65</v>
      </c>
      <c r="E397" s="1">
        <v>31309.99</v>
      </c>
      <c r="F397" s="41">
        <v>44302</v>
      </c>
      <c r="G397" s="41">
        <v>44667</v>
      </c>
      <c r="H397" s="1" t="s">
        <v>3772</v>
      </c>
      <c r="I397" s="1" t="s">
        <v>3324</v>
      </c>
      <c r="J397" t="str">
        <f>IF(ISNA(_xlfn.XLOOKUP(B397,customer_master!$A$2:$A$1649, customer_master!$A$2:$A$1649)), "Invalid", "Ok")</f>
        <v>Ok</v>
      </c>
      <c r="K397" t="str">
        <f>IF(ISNA(_xlfn.XLOOKUP(H397,agent_info!$A$2:$A$301, agent_info!$A$2:$A$301)), "Invalid", "Ok")</f>
        <v>Ok</v>
      </c>
    </row>
    <row r="398" spans="1:11" x14ac:dyDescent="0.3">
      <c r="A398" s="1" t="s">
        <v>3936</v>
      </c>
      <c r="B398" s="1" t="s">
        <v>1648</v>
      </c>
      <c r="C398" s="1" t="s">
        <v>3334</v>
      </c>
      <c r="D398" s="1">
        <v>745957.91</v>
      </c>
      <c r="E398" s="1">
        <v>39562.910000000003</v>
      </c>
      <c r="F398" s="41">
        <v>45381</v>
      </c>
      <c r="G398" s="41">
        <v>45746</v>
      </c>
      <c r="H398" s="1" t="s">
        <v>3371</v>
      </c>
      <c r="I398" s="1" t="s">
        <v>3316</v>
      </c>
      <c r="J398" t="str">
        <f>IF(ISNA(_xlfn.XLOOKUP(B398,customer_master!$A$2:$A$1649, customer_master!$A$2:$A$1649)), "Invalid", "Ok")</f>
        <v>Ok</v>
      </c>
      <c r="K398" t="str">
        <f>IF(ISNA(_xlfn.XLOOKUP(H398,agent_info!$A$2:$A$301, agent_info!$A$2:$A$301)), "Invalid", "Ok")</f>
        <v>Ok</v>
      </c>
    </row>
    <row r="399" spans="1:11" x14ac:dyDescent="0.3">
      <c r="A399" s="1" t="s">
        <v>3937</v>
      </c>
      <c r="B399" s="1" t="s">
        <v>1833</v>
      </c>
      <c r="C399" s="1" t="s">
        <v>3318</v>
      </c>
      <c r="D399" s="1">
        <v>616789.9</v>
      </c>
      <c r="E399" s="1">
        <v>32159.599999999999</v>
      </c>
      <c r="F399" s="41">
        <v>44225</v>
      </c>
      <c r="G399" s="41">
        <v>44590</v>
      </c>
      <c r="H399" s="1" t="s">
        <v>3660</v>
      </c>
      <c r="I399" s="1" t="s">
        <v>3316</v>
      </c>
      <c r="J399" t="str">
        <f>IF(ISNA(_xlfn.XLOOKUP(B399,customer_master!$A$2:$A$1649, customer_master!$A$2:$A$1649)), "Invalid", "Ok")</f>
        <v>Ok</v>
      </c>
      <c r="K399" t="str">
        <f>IF(ISNA(_xlfn.XLOOKUP(H399,agent_info!$A$2:$A$301, agent_info!$A$2:$A$301)), "Invalid", "Ok")</f>
        <v>Ok</v>
      </c>
    </row>
    <row r="400" spans="1:11" x14ac:dyDescent="0.3">
      <c r="A400" s="1" t="s">
        <v>3938</v>
      </c>
      <c r="B400" s="1" t="s">
        <v>2714</v>
      </c>
      <c r="C400" s="1" t="s">
        <v>3334</v>
      </c>
      <c r="D400" s="1">
        <v>501874.44</v>
      </c>
      <c r="E400" s="1">
        <v>25341.67</v>
      </c>
      <c r="F400" s="41">
        <v>45807</v>
      </c>
      <c r="G400" s="41">
        <v>46172</v>
      </c>
      <c r="H400" s="1" t="s">
        <v>3939</v>
      </c>
      <c r="I400" s="1" t="s">
        <v>3324</v>
      </c>
      <c r="J400" t="str">
        <f>IF(ISNA(_xlfn.XLOOKUP(B400,customer_master!$A$2:$A$1649, customer_master!$A$2:$A$1649)), "Invalid", "Ok")</f>
        <v>Ok</v>
      </c>
      <c r="K400" t="str">
        <f>IF(ISNA(_xlfn.XLOOKUP(H400,agent_info!$A$2:$A$301, agent_info!$A$2:$A$301)), "Invalid", "Ok")</f>
        <v>Ok</v>
      </c>
    </row>
    <row r="401" spans="1:11" x14ac:dyDescent="0.3">
      <c r="A401" s="1" t="s">
        <v>3940</v>
      </c>
      <c r="B401" s="1" t="s">
        <v>1549</v>
      </c>
      <c r="C401" s="1" t="s">
        <v>3314</v>
      </c>
      <c r="D401" s="1">
        <v>694966.81</v>
      </c>
      <c r="E401" s="1">
        <v>36891.449999999997</v>
      </c>
      <c r="F401" s="41">
        <v>44501</v>
      </c>
      <c r="G401" s="41">
        <v>44866</v>
      </c>
      <c r="H401" s="1" t="s">
        <v>3487</v>
      </c>
      <c r="I401" s="1" t="s">
        <v>3324</v>
      </c>
      <c r="J401" t="str">
        <f>IF(ISNA(_xlfn.XLOOKUP(B401,customer_master!$A$2:$A$1649, customer_master!$A$2:$A$1649)), "Invalid", "Ok")</f>
        <v>Ok</v>
      </c>
      <c r="K401" t="str">
        <f>IF(ISNA(_xlfn.XLOOKUP(H401,agent_info!$A$2:$A$301, agent_info!$A$2:$A$301)), "Invalid", "Ok")</f>
        <v>Ok</v>
      </c>
    </row>
    <row r="402" spans="1:11" x14ac:dyDescent="0.3">
      <c r="A402" s="1" t="s">
        <v>3941</v>
      </c>
      <c r="B402" s="1" t="s">
        <v>308</v>
      </c>
      <c r="C402" s="1" t="s">
        <v>3331</v>
      </c>
      <c r="D402" s="1">
        <v>671159.12</v>
      </c>
      <c r="E402" s="1">
        <v>33121.22</v>
      </c>
      <c r="F402" s="41">
        <v>45333</v>
      </c>
      <c r="G402" s="41">
        <v>45699</v>
      </c>
      <c r="H402" s="1" t="s">
        <v>3515</v>
      </c>
      <c r="I402" s="1" t="s">
        <v>3324</v>
      </c>
      <c r="J402" t="str">
        <f>IF(ISNA(_xlfn.XLOOKUP(B402,customer_master!$A$2:$A$1649, customer_master!$A$2:$A$1649)), "Invalid", "Ok")</f>
        <v>Ok</v>
      </c>
      <c r="K402" t="str">
        <f>IF(ISNA(_xlfn.XLOOKUP(H402,agent_info!$A$2:$A$301, agent_info!$A$2:$A$301)), "Invalid", "Ok")</f>
        <v>Ok</v>
      </c>
    </row>
    <row r="403" spans="1:11" x14ac:dyDescent="0.3">
      <c r="A403" s="1" t="s">
        <v>3942</v>
      </c>
      <c r="B403" s="1" t="s">
        <v>1638</v>
      </c>
      <c r="C403" s="1" t="s">
        <v>3314</v>
      </c>
      <c r="D403" s="1">
        <v>744443.29</v>
      </c>
      <c r="E403" s="1">
        <v>33914.300000000003</v>
      </c>
      <c r="F403" s="41">
        <v>45474</v>
      </c>
      <c r="G403" s="41">
        <v>45839</v>
      </c>
      <c r="H403" s="1" t="s">
        <v>3943</v>
      </c>
      <c r="I403" s="1" t="s">
        <v>3324</v>
      </c>
      <c r="J403" t="str">
        <f>IF(ISNA(_xlfn.XLOOKUP(B403,customer_master!$A$2:$A$1649, customer_master!$A$2:$A$1649)), "Invalid", "Ok")</f>
        <v>Ok</v>
      </c>
      <c r="K403" t="str">
        <f>IF(ISNA(_xlfn.XLOOKUP(H403,agent_info!$A$2:$A$301, agent_info!$A$2:$A$301)), "Invalid", "Ok")</f>
        <v>Ok</v>
      </c>
    </row>
    <row r="404" spans="1:11" x14ac:dyDescent="0.3">
      <c r="A404" s="1" t="s">
        <v>3944</v>
      </c>
      <c r="B404" s="1" t="s">
        <v>2778</v>
      </c>
      <c r="C404" s="1" t="s">
        <v>3331</v>
      </c>
      <c r="D404" s="1">
        <v>563157.68000000005</v>
      </c>
      <c r="E404" s="1">
        <v>30244.58</v>
      </c>
      <c r="F404" s="41">
        <v>44638</v>
      </c>
      <c r="G404" s="41">
        <v>45003</v>
      </c>
      <c r="H404" s="1" t="s">
        <v>3415</v>
      </c>
      <c r="I404" s="1" t="s">
        <v>3320</v>
      </c>
      <c r="J404" t="str">
        <f>IF(ISNA(_xlfn.XLOOKUP(B404,customer_master!$A$2:$A$1649, customer_master!$A$2:$A$1649)), "Invalid", "Ok")</f>
        <v>Ok</v>
      </c>
      <c r="K404" t="str">
        <f>IF(ISNA(_xlfn.XLOOKUP(H404,agent_info!$A$2:$A$301, agent_info!$A$2:$A$301)), "Invalid", "Ok")</f>
        <v>Ok</v>
      </c>
    </row>
    <row r="405" spans="1:11" x14ac:dyDescent="0.3">
      <c r="A405" s="1" t="s">
        <v>3945</v>
      </c>
      <c r="B405" s="1" t="s">
        <v>1909</v>
      </c>
      <c r="C405" s="1" t="s">
        <v>3331</v>
      </c>
      <c r="D405" s="1">
        <v>573333.18999999994</v>
      </c>
      <c r="E405" s="1">
        <v>28819.13</v>
      </c>
      <c r="F405" s="41">
        <v>44999</v>
      </c>
      <c r="G405" s="41">
        <v>45365</v>
      </c>
      <c r="H405" s="1" t="s">
        <v>3819</v>
      </c>
      <c r="I405" s="1" t="s">
        <v>3316</v>
      </c>
      <c r="J405" t="str">
        <f>IF(ISNA(_xlfn.XLOOKUP(B405,customer_master!$A$2:$A$1649, customer_master!$A$2:$A$1649)), "Invalid", "Ok")</f>
        <v>Ok</v>
      </c>
      <c r="K405" t="str">
        <f>IF(ISNA(_xlfn.XLOOKUP(H405,agent_info!$A$2:$A$301, agent_info!$A$2:$A$301)), "Invalid", "Ok")</f>
        <v>Ok</v>
      </c>
    </row>
    <row r="406" spans="1:11" x14ac:dyDescent="0.3">
      <c r="A406" s="1" t="s">
        <v>3946</v>
      </c>
      <c r="B406" s="1" t="s">
        <v>1079</v>
      </c>
      <c r="C406" s="1" t="s">
        <v>3326</v>
      </c>
      <c r="D406" s="1">
        <v>463338.09</v>
      </c>
      <c r="E406" s="1">
        <v>24595.85</v>
      </c>
      <c r="F406" s="41">
        <v>45665</v>
      </c>
      <c r="G406" s="41">
        <v>46030</v>
      </c>
      <c r="H406" s="1" t="s">
        <v>3947</v>
      </c>
      <c r="I406" s="1" t="s">
        <v>3316</v>
      </c>
      <c r="J406" t="str">
        <f>IF(ISNA(_xlfn.XLOOKUP(B406,customer_master!$A$2:$A$1649, customer_master!$A$2:$A$1649)), "Invalid", "Ok")</f>
        <v>Ok</v>
      </c>
      <c r="K406" t="str">
        <f>IF(ISNA(_xlfn.XLOOKUP(H406,agent_info!$A$2:$A$301, agent_info!$A$2:$A$301)), "Invalid", "Ok")</f>
        <v>Ok</v>
      </c>
    </row>
    <row r="407" spans="1:11" x14ac:dyDescent="0.3">
      <c r="A407" s="1" t="s">
        <v>3948</v>
      </c>
      <c r="B407" s="1" t="s">
        <v>3067</v>
      </c>
      <c r="C407" s="1" t="s">
        <v>3318</v>
      </c>
      <c r="D407" s="1">
        <v>479590.65</v>
      </c>
      <c r="E407" s="1">
        <v>23461.97</v>
      </c>
      <c r="F407" s="41">
        <v>45051</v>
      </c>
      <c r="G407" s="41">
        <v>45417</v>
      </c>
      <c r="H407" s="1" t="s">
        <v>3949</v>
      </c>
      <c r="I407" s="1" t="s">
        <v>3316</v>
      </c>
      <c r="J407" t="str">
        <f>IF(ISNA(_xlfn.XLOOKUP(B407,customer_master!$A$2:$A$1649, customer_master!$A$2:$A$1649)), "Invalid", "Ok")</f>
        <v>Ok</v>
      </c>
      <c r="K407" t="str">
        <f>IF(ISNA(_xlfn.XLOOKUP(H407,agent_info!$A$2:$A$301, agent_info!$A$2:$A$301)), "Invalid", "Ok")</f>
        <v>Ok</v>
      </c>
    </row>
    <row r="408" spans="1:11" x14ac:dyDescent="0.3">
      <c r="A408" s="1" t="s">
        <v>3950</v>
      </c>
      <c r="B408" s="1" t="s">
        <v>554</v>
      </c>
      <c r="C408" s="1" t="s">
        <v>3314</v>
      </c>
      <c r="D408" s="1">
        <v>768663.21</v>
      </c>
      <c r="E408" s="1">
        <v>39113.83</v>
      </c>
      <c r="F408" s="41">
        <v>44609</v>
      </c>
      <c r="G408" s="41">
        <v>44974</v>
      </c>
      <c r="H408" s="1" t="s">
        <v>3455</v>
      </c>
      <c r="I408" s="1" t="s">
        <v>3324</v>
      </c>
      <c r="J408" t="str">
        <f>IF(ISNA(_xlfn.XLOOKUP(B408,customer_master!$A$2:$A$1649, customer_master!$A$2:$A$1649)), "Invalid", "Ok")</f>
        <v>Ok</v>
      </c>
      <c r="K408" t="str">
        <f>IF(ISNA(_xlfn.XLOOKUP(H408,agent_info!$A$2:$A$301, agent_info!$A$2:$A$301)), "Invalid", "Ok")</f>
        <v>Ok</v>
      </c>
    </row>
    <row r="409" spans="1:11" x14ac:dyDescent="0.3">
      <c r="A409" s="1" t="s">
        <v>3951</v>
      </c>
      <c r="B409" s="1" t="s">
        <v>1107</v>
      </c>
      <c r="C409" s="1" t="s">
        <v>3326</v>
      </c>
      <c r="D409" s="1">
        <v>692039.43</v>
      </c>
      <c r="E409" s="1">
        <v>33433.07</v>
      </c>
      <c r="F409" s="41">
        <v>45824</v>
      </c>
      <c r="G409" s="41">
        <v>46189</v>
      </c>
      <c r="H409" s="1" t="s">
        <v>3943</v>
      </c>
      <c r="I409" s="1" t="s">
        <v>3324</v>
      </c>
      <c r="J409" t="str">
        <f>IF(ISNA(_xlfn.XLOOKUP(B409,customer_master!$A$2:$A$1649, customer_master!$A$2:$A$1649)), "Invalid", "Ok")</f>
        <v>Ok</v>
      </c>
      <c r="K409" t="str">
        <f>IF(ISNA(_xlfn.XLOOKUP(H409,agent_info!$A$2:$A$301, agent_info!$A$2:$A$301)), "Invalid", "Ok")</f>
        <v>Ok</v>
      </c>
    </row>
    <row r="410" spans="1:11" x14ac:dyDescent="0.3">
      <c r="A410" s="1" t="s">
        <v>3952</v>
      </c>
      <c r="B410" s="1" t="s">
        <v>1459</v>
      </c>
      <c r="C410" s="1" t="s">
        <v>3318</v>
      </c>
      <c r="D410" s="1">
        <v>578206.36</v>
      </c>
      <c r="E410" s="1">
        <v>28387.47</v>
      </c>
      <c r="F410" s="41">
        <v>44209</v>
      </c>
      <c r="G410" s="41">
        <v>44574</v>
      </c>
      <c r="H410" s="1" t="s">
        <v>3453</v>
      </c>
      <c r="I410" s="1" t="s">
        <v>3324</v>
      </c>
      <c r="J410" t="str">
        <f>IF(ISNA(_xlfn.XLOOKUP(B410,customer_master!$A$2:$A$1649, customer_master!$A$2:$A$1649)), "Invalid", "Ok")</f>
        <v>Ok</v>
      </c>
      <c r="K410" t="str">
        <f>IF(ISNA(_xlfn.XLOOKUP(H410,agent_info!$A$2:$A$301, agent_info!$A$2:$A$301)), "Invalid", "Ok")</f>
        <v>Ok</v>
      </c>
    </row>
    <row r="411" spans="1:11" x14ac:dyDescent="0.3">
      <c r="A411" s="1" t="s">
        <v>3953</v>
      </c>
      <c r="B411" s="1" t="s">
        <v>2460</v>
      </c>
      <c r="C411" s="1" t="s">
        <v>3326</v>
      </c>
      <c r="D411" s="1">
        <v>684279.95</v>
      </c>
      <c r="E411" s="1">
        <v>31801.21</v>
      </c>
      <c r="F411" s="41">
        <v>44760</v>
      </c>
      <c r="G411" s="41">
        <v>45125</v>
      </c>
      <c r="H411" s="1" t="s">
        <v>3607</v>
      </c>
      <c r="I411" s="1" t="s">
        <v>3324</v>
      </c>
      <c r="J411" t="str">
        <f>IF(ISNA(_xlfn.XLOOKUP(B411,customer_master!$A$2:$A$1649, customer_master!$A$2:$A$1649)), "Invalid", "Ok")</f>
        <v>Ok</v>
      </c>
      <c r="K411" t="str">
        <f>IF(ISNA(_xlfn.XLOOKUP(H411,agent_info!$A$2:$A$301, agent_info!$A$2:$A$301)), "Invalid", "Ok")</f>
        <v>Ok</v>
      </c>
    </row>
    <row r="412" spans="1:11" x14ac:dyDescent="0.3">
      <c r="A412" s="1" t="s">
        <v>3954</v>
      </c>
      <c r="B412" s="1" t="s">
        <v>2770</v>
      </c>
      <c r="C412" s="1" t="s">
        <v>3331</v>
      </c>
      <c r="D412" s="1">
        <v>517373.3</v>
      </c>
      <c r="E412" s="1">
        <v>27118.66</v>
      </c>
      <c r="F412" s="41">
        <v>45032</v>
      </c>
      <c r="G412" s="41">
        <v>45398</v>
      </c>
      <c r="H412" s="1" t="s">
        <v>3643</v>
      </c>
      <c r="I412" s="1" t="s">
        <v>3324</v>
      </c>
      <c r="J412" t="str">
        <f>IF(ISNA(_xlfn.XLOOKUP(B412,customer_master!$A$2:$A$1649, customer_master!$A$2:$A$1649)), "Invalid", "Ok")</f>
        <v>Ok</v>
      </c>
      <c r="K412" t="str">
        <f>IF(ISNA(_xlfn.XLOOKUP(H412,agent_info!$A$2:$A$301, agent_info!$A$2:$A$301)), "Invalid", "Ok")</f>
        <v>Ok</v>
      </c>
    </row>
    <row r="413" spans="1:11" x14ac:dyDescent="0.3">
      <c r="A413" s="1" t="s">
        <v>3955</v>
      </c>
      <c r="B413" s="1" t="s">
        <v>230</v>
      </c>
      <c r="C413" s="1" t="s">
        <v>3314</v>
      </c>
      <c r="D413" s="1">
        <v>712247.81</v>
      </c>
      <c r="E413" s="1">
        <v>34047.47</v>
      </c>
      <c r="F413" s="41">
        <v>46180</v>
      </c>
      <c r="G413" s="41">
        <v>46545</v>
      </c>
      <c r="H413" s="1" t="s">
        <v>3494</v>
      </c>
      <c r="I413" s="1" t="s">
        <v>3320</v>
      </c>
      <c r="J413" t="str">
        <f>IF(ISNA(_xlfn.XLOOKUP(B413,customer_master!$A$2:$A$1649, customer_master!$A$2:$A$1649)), "Invalid", "Ok")</f>
        <v>Ok</v>
      </c>
      <c r="K413" t="str">
        <f>IF(ISNA(_xlfn.XLOOKUP(H413,agent_info!$A$2:$A$301, agent_info!$A$2:$A$301)), "Invalid", "Ok")</f>
        <v>Ok</v>
      </c>
    </row>
    <row r="414" spans="1:11" x14ac:dyDescent="0.3">
      <c r="A414" s="1" t="s">
        <v>3956</v>
      </c>
      <c r="B414" s="1" t="s">
        <v>2627</v>
      </c>
      <c r="C414" s="1" t="s">
        <v>3326</v>
      </c>
      <c r="D414" s="1">
        <v>572203.86</v>
      </c>
      <c r="E414" s="1">
        <v>27475.69</v>
      </c>
      <c r="F414" s="41">
        <v>45730</v>
      </c>
      <c r="G414" s="41">
        <v>46095</v>
      </c>
      <c r="H414" s="1" t="s">
        <v>3758</v>
      </c>
      <c r="I414" s="1" t="s">
        <v>3324</v>
      </c>
      <c r="J414" t="str">
        <f>IF(ISNA(_xlfn.XLOOKUP(B414,customer_master!$A$2:$A$1649, customer_master!$A$2:$A$1649)), "Invalid", "Ok")</f>
        <v>Ok</v>
      </c>
      <c r="K414" t="str">
        <f>IF(ISNA(_xlfn.XLOOKUP(H414,agent_info!$A$2:$A$301, agent_info!$A$2:$A$301)), "Invalid", "Ok")</f>
        <v>Ok</v>
      </c>
    </row>
    <row r="415" spans="1:11" x14ac:dyDescent="0.3">
      <c r="A415" s="1" t="s">
        <v>3957</v>
      </c>
      <c r="B415" s="1" t="s">
        <v>2414</v>
      </c>
      <c r="C415" s="1" t="s">
        <v>3314</v>
      </c>
      <c r="D415" s="1">
        <v>661070.44999999995</v>
      </c>
      <c r="E415" s="1">
        <v>32089.61</v>
      </c>
      <c r="F415" s="41">
        <v>44759</v>
      </c>
      <c r="G415" s="41">
        <v>45124</v>
      </c>
      <c r="H415" s="1" t="s">
        <v>3415</v>
      </c>
      <c r="I415" s="1" t="s">
        <v>3324</v>
      </c>
      <c r="J415" t="str">
        <f>IF(ISNA(_xlfn.XLOOKUP(B415,customer_master!$A$2:$A$1649, customer_master!$A$2:$A$1649)), "Invalid", "Ok")</f>
        <v>Ok</v>
      </c>
      <c r="K415" t="str">
        <f>IF(ISNA(_xlfn.XLOOKUP(H415,agent_info!$A$2:$A$301, agent_info!$A$2:$A$301)), "Invalid", "Ok")</f>
        <v>Ok</v>
      </c>
    </row>
    <row r="416" spans="1:11" x14ac:dyDescent="0.3">
      <c r="A416" s="1" t="s">
        <v>3958</v>
      </c>
      <c r="B416" s="1" t="s">
        <v>2973</v>
      </c>
      <c r="C416" s="1" t="s">
        <v>3334</v>
      </c>
      <c r="D416" s="1">
        <v>661508.13</v>
      </c>
      <c r="E416" s="1">
        <v>32626.42</v>
      </c>
      <c r="F416" s="41">
        <v>46017</v>
      </c>
      <c r="G416" s="41">
        <v>46382</v>
      </c>
      <c r="H416" s="1" t="s">
        <v>3917</v>
      </c>
      <c r="I416" s="1" t="s">
        <v>3316</v>
      </c>
      <c r="J416" t="str">
        <f>IF(ISNA(_xlfn.XLOOKUP(B416,customer_master!$A$2:$A$1649, customer_master!$A$2:$A$1649)), "Invalid", "Ok")</f>
        <v>Ok</v>
      </c>
      <c r="K416" t="str">
        <f>IF(ISNA(_xlfn.XLOOKUP(H416,agent_info!$A$2:$A$301, agent_info!$A$2:$A$301)), "Invalid", "Ok")</f>
        <v>Ok</v>
      </c>
    </row>
    <row r="417" spans="1:11" x14ac:dyDescent="0.3">
      <c r="A417" s="1" t="s">
        <v>3959</v>
      </c>
      <c r="B417" s="1" t="s">
        <v>2991</v>
      </c>
      <c r="C417" s="1" t="s">
        <v>3314</v>
      </c>
      <c r="D417" s="1">
        <v>629794.03</v>
      </c>
      <c r="E417" s="1">
        <v>31969.38</v>
      </c>
      <c r="F417" s="41">
        <v>45776</v>
      </c>
      <c r="G417" s="41">
        <v>46141</v>
      </c>
      <c r="H417" s="1" t="s">
        <v>3337</v>
      </c>
      <c r="I417" s="1" t="s">
        <v>3324</v>
      </c>
      <c r="J417" t="str">
        <f>IF(ISNA(_xlfn.XLOOKUP(B417,customer_master!$A$2:$A$1649, customer_master!$A$2:$A$1649)), "Invalid", "Ok")</f>
        <v>Ok</v>
      </c>
      <c r="K417" t="str">
        <f>IF(ISNA(_xlfn.XLOOKUP(H417,agent_info!$A$2:$A$301, agent_info!$A$2:$A$301)), "Invalid", "Ok")</f>
        <v>Ok</v>
      </c>
    </row>
    <row r="418" spans="1:11" x14ac:dyDescent="0.3">
      <c r="A418" s="1" t="s">
        <v>3960</v>
      </c>
      <c r="B418" s="1" t="s">
        <v>2587</v>
      </c>
      <c r="C418" s="1" t="s">
        <v>3326</v>
      </c>
      <c r="D418" s="1">
        <v>648314.80000000005</v>
      </c>
      <c r="E418" s="1">
        <v>33600.9</v>
      </c>
      <c r="F418" s="41">
        <v>44400</v>
      </c>
      <c r="G418" s="41">
        <v>44765</v>
      </c>
      <c r="H418" s="1" t="s">
        <v>3570</v>
      </c>
      <c r="I418" s="1" t="s">
        <v>3324</v>
      </c>
      <c r="J418" t="str">
        <f>IF(ISNA(_xlfn.XLOOKUP(B418,customer_master!$A$2:$A$1649, customer_master!$A$2:$A$1649)), "Invalid", "Ok")</f>
        <v>Ok</v>
      </c>
      <c r="K418" t="str">
        <f>IF(ISNA(_xlfn.XLOOKUP(H418,agent_info!$A$2:$A$301, agent_info!$A$2:$A$301)), "Invalid", "Ok")</f>
        <v>Ok</v>
      </c>
    </row>
    <row r="419" spans="1:11" x14ac:dyDescent="0.3">
      <c r="A419" s="1" t="s">
        <v>3961</v>
      </c>
      <c r="B419" s="1" t="s">
        <v>676</v>
      </c>
      <c r="C419" s="1" t="s">
        <v>3326</v>
      </c>
      <c r="D419" s="1">
        <v>487204.64</v>
      </c>
      <c r="E419" s="1">
        <v>25216.2</v>
      </c>
      <c r="F419" s="41">
        <v>44753</v>
      </c>
      <c r="G419" s="41">
        <v>45118</v>
      </c>
      <c r="H419" s="1" t="s">
        <v>3625</v>
      </c>
      <c r="I419" s="1" t="s">
        <v>3324</v>
      </c>
      <c r="J419" t="str">
        <f>IF(ISNA(_xlfn.XLOOKUP(B419,customer_master!$A$2:$A$1649, customer_master!$A$2:$A$1649)), "Invalid", "Ok")</f>
        <v>Ok</v>
      </c>
      <c r="K419" t="str">
        <f>IF(ISNA(_xlfn.XLOOKUP(H419,agent_info!$A$2:$A$301, agent_info!$A$2:$A$301)), "Invalid", "Ok")</f>
        <v>Ok</v>
      </c>
    </row>
    <row r="420" spans="1:11" x14ac:dyDescent="0.3">
      <c r="A420" s="1" t="s">
        <v>3962</v>
      </c>
      <c r="B420" s="1" t="s">
        <v>1063</v>
      </c>
      <c r="C420" s="1" t="s">
        <v>3331</v>
      </c>
      <c r="D420" s="1">
        <v>705465.58</v>
      </c>
      <c r="E420" s="1">
        <v>34734.870000000003</v>
      </c>
      <c r="F420" s="41">
        <v>44828</v>
      </c>
      <c r="G420" s="41">
        <v>45193</v>
      </c>
      <c r="H420" s="1" t="s">
        <v>3543</v>
      </c>
      <c r="I420" s="1" t="s">
        <v>3320</v>
      </c>
      <c r="J420" t="str">
        <f>IF(ISNA(_xlfn.XLOOKUP(B420,customer_master!$A$2:$A$1649, customer_master!$A$2:$A$1649)), "Invalid", "Ok")</f>
        <v>Ok</v>
      </c>
      <c r="K420" t="str">
        <f>IF(ISNA(_xlfn.XLOOKUP(H420,agent_info!$A$2:$A$301, agent_info!$A$2:$A$301)), "Invalid", "Ok")</f>
        <v>Ok</v>
      </c>
    </row>
    <row r="421" spans="1:11" x14ac:dyDescent="0.3">
      <c r="A421" s="1" t="s">
        <v>3963</v>
      </c>
      <c r="B421" s="1" t="s">
        <v>3112</v>
      </c>
      <c r="C421" s="1" t="s">
        <v>3331</v>
      </c>
      <c r="D421" s="1">
        <v>451472.89</v>
      </c>
      <c r="E421" s="1">
        <v>22491.89</v>
      </c>
      <c r="F421" s="41">
        <v>44885</v>
      </c>
      <c r="G421" s="41">
        <v>45250</v>
      </c>
      <c r="H421" s="1" t="s">
        <v>3897</v>
      </c>
      <c r="I421" s="1" t="s">
        <v>3324</v>
      </c>
      <c r="J421" t="str">
        <f>IF(ISNA(_xlfn.XLOOKUP(B421,customer_master!$A$2:$A$1649, customer_master!$A$2:$A$1649)), "Invalid", "Ok")</f>
        <v>Ok</v>
      </c>
      <c r="K421" t="str">
        <f>IF(ISNA(_xlfn.XLOOKUP(H421,agent_info!$A$2:$A$301, agent_info!$A$2:$A$301)), "Invalid", "Ok")</f>
        <v>Ok</v>
      </c>
    </row>
    <row r="422" spans="1:11" x14ac:dyDescent="0.3">
      <c r="A422" s="1" t="s">
        <v>3964</v>
      </c>
      <c r="B422" s="1" t="s">
        <v>2000</v>
      </c>
      <c r="C422" s="1" t="s">
        <v>3326</v>
      </c>
      <c r="D422" s="1">
        <v>419985.8</v>
      </c>
      <c r="E422" s="1">
        <v>19488.689999999999</v>
      </c>
      <c r="F422" s="41">
        <v>44094</v>
      </c>
      <c r="G422" s="41">
        <v>44459</v>
      </c>
      <c r="H422" s="1" t="s">
        <v>3729</v>
      </c>
      <c r="I422" s="1" t="s">
        <v>3324</v>
      </c>
      <c r="J422" t="str">
        <f>IF(ISNA(_xlfn.XLOOKUP(B422,customer_master!$A$2:$A$1649, customer_master!$A$2:$A$1649)), "Invalid", "Ok")</f>
        <v>Ok</v>
      </c>
      <c r="K422" t="str">
        <f>IF(ISNA(_xlfn.XLOOKUP(H422,agent_info!$A$2:$A$301, agent_info!$A$2:$A$301)), "Invalid", "Ok")</f>
        <v>Ok</v>
      </c>
    </row>
    <row r="423" spans="1:11" x14ac:dyDescent="0.3">
      <c r="A423" s="1" t="s">
        <v>3965</v>
      </c>
      <c r="B423" s="1" t="s">
        <v>1805</v>
      </c>
      <c r="C423" s="1" t="s">
        <v>3326</v>
      </c>
      <c r="D423" s="1">
        <v>601070.13</v>
      </c>
      <c r="E423" s="1">
        <v>30182.77</v>
      </c>
      <c r="F423" s="41">
        <v>45362</v>
      </c>
      <c r="G423" s="41">
        <v>45727</v>
      </c>
      <c r="H423" s="1" t="s">
        <v>3966</v>
      </c>
      <c r="I423" s="1" t="s">
        <v>3324</v>
      </c>
      <c r="J423" t="str">
        <f>IF(ISNA(_xlfn.XLOOKUP(B423,customer_master!$A$2:$A$1649, customer_master!$A$2:$A$1649)), "Invalid", "Ok")</f>
        <v>Ok</v>
      </c>
      <c r="K423" t="str">
        <f>IF(ISNA(_xlfn.XLOOKUP(H423,agent_info!$A$2:$A$301, agent_info!$A$2:$A$301)), "Invalid", "Ok")</f>
        <v>Ok</v>
      </c>
    </row>
    <row r="424" spans="1:11" x14ac:dyDescent="0.3">
      <c r="A424" s="1" t="s">
        <v>3967</v>
      </c>
      <c r="B424" s="1" t="s">
        <v>3043</v>
      </c>
      <c r="C424" s="1" t="s">
        <v>3334</v>
      </c>
      <c r="D424" s="1">
        <v>673800.01</v>
      </c>
      <c r="E424" s="1">
        <v>36230.61</v>
      </c>
      <c r="F424" s="41">
        <v>45563</v>
      </c>
      <c r="G424" s="41">
        <v>45928</v>
      </c>
      <c r="H424" s="1" t="s">
        <v>3698</v>
      </c>
      <c r="I424" s="1" t="s">
        <v>3320</v>
      </c>
      <c r="J424" t="str">
        <f>IF(ISNA(_xlfn.XLOOKUP(B424,customer_master!$A$2:$A$1649, customer_master!$A$2:$A$1649)), "Invalid", "Ok")</f>
        <v>Ok</v>
      </c>
      <c r="K424" t="str">
        <f>IF(ISNA(_xlfn.XLOOKUP(H424,agent_info!$A$2:$A$301, agent_info!$A$2:$A$301)), "Invalid", "Ok")</f>
        <v>Ok</v>
      </c>
    </row>
    <row r="425" spans="1:11" x14ac:dyDescent="0.3">
      <c r="A425" s="1" t="s">
        <v>3968</v>
      </c>
      <c r="B425" s="1" t="s">
        <v>2907</v>
      </c>
      <c r="C425" s="1" t="s">
        <v>3326</v>
      </c>
      <c r="D425" s="1">
        <v>665805.38</v>
      </c>
      <c r="E425" s="1">
        <v>33026.94</v>
      </c>
      <c r="F425" s="41">
        <v>44202</v>
      </c>
      <c r="G425" s="41">
        <v>44567</v>
      </c>
      <c r="H425" s="1" t="s">
        <v>3729</v>
      </c>
      <c r="I425" s="1" t="s">
        <v>3320</v>
      </c>
      <c r="J425" t="str">
        <f>IF(ISNA(_xlfn.XLOOKUP(B425,customer_master!$A$2:$A$1649, customer_master!$A$2:$A$1649)), "Invalid", "Ok")</f>
        <v>Ok</v>
      </c>
      <c r="K425" t="str">
        <f>IF(ISNA(_xlfn.XLOOKUP(H425,agent_info!$A$2:$A$301, agent_info!$A$2:$A$301)), "Invalid", "Ok")</f>
        <v>Ok</v>
      </c>
    </row>
    <row r="426" spans="1:11" x14ac:dyDescent="0.3">
      <c r="A426" s="1" t="s">
        <v>3969</v>
      </c>
      <c r="B426" s="1" t="s">
        <v>2436</v>
      </c>
      <c r="C426" s="1" t="s">
        <v>3331</v>
      </c>
      <c r="D426" s="1">
        <v>486291.53</v>
      </c>
      <c r="E426" s="1">
        <v>26444.6</v>
      </c>
      <c r="F426" s="41">
        <v>45188</v>
      </c>
      <c r="G426" s="41">
        <v>45554</v>
      </c>
      <c r="H426" s="1" t="s">
        <v>3931</v>
      </c>
      <c r="I426" s="1" t="s">
        <v>3320</v>
      </c>
      <c r="J426" t="str">
        <f>IF(ISNA(_xlfn.XLOOKUP(B426,customer_master!$A$2:$A$1649, customer_master!$A$2:$A$1649)), "Invalid", "Ok")</f>
        <v>Ok</v>
      </c>
      <c r="K426" t="str">
        <f>IF(ISNA(_xlfn.XLOOKUP(H426,agent_info!$A$2:$A$301, agent_info!$A$2:$A$301)), "Invalid", "Ok")</f>
        <v>Ok</v>
      </c>
    </row>
    <row r="427" spans="1:11" x14ac:dyDescent="0.3">
      <c r="A427" s="1" t="s">
        <v>3970</v>
      </c>
      <c r="B427" s="1" t="s">
        <v>2937</v>
      </c>
      <c r="C427" s="1" t="s">
        <v>3331</v>
      </c>
      <c r="D427" s="1">
        <v>402890.5</v>
      </c>
      <c r="E427" s="1">
        <v>18757.71</v>
      </c>
      <c r="F427" s="41">
        <v>45907</v>
      </c>
      <c r="G427" s="41">
        <v>46272</v>
      </c>
      <c r="H427" s="1" t="s">
        <v>3459</v>
      </c>
      <c r="I427" s="1" t="s">
        <v>3324</v>
      </c>
      <c r="J427" t="str">
        <f>IF(ISNA(_xlfn.XLOOKUP(B427,customer_master!$A$2:$A$1649, customer_master!$A$2:$A$1649)), "Invalid", "Ok")</f>
        <v>Ok</v>
      </c>
      <c r="K427" t="str">
        <f>IF(ISNA(_xlfn.XLOOKUP(H427,agent_info!$A$2:$A$301, agent_info!$A$2:$A$301)), "Invalid", "Ok")</f>
        <v>Ok</v>
      </c>
    </row>
    <row r="428" spans="1:11" x14ac:dyDescent="0.3">
      <c r="A428" s="1" t="s">
        <v>3971</v>
      </c>
      <c r="B428" s="1" t="s">
        <v>405</v>
      </c>
      <c r="C428" s="1" t="s">
        <v>3331</v>
      </c>
      <c r="D428" s="1">
        <v>575100.46</v>
      </c>
      <c r="E428" s="1">
        <v>30117.49</v>
      </c>
      <c r="F428" s="41">
        <v>45959</v>
      </c>
      <c r="G428" s="41">
        <v>46324</v>
      </c>
      <c r="H428" s="1" t="s">
        <v>3349</v>
      </c>
      <c r="I428" s="1" t="s">
        <v>3324</v>
      </c>
      <c r="J428" t="str">
        <f>IF(ISNA(_xlfn.XLOOKUP(B428,customer_master!$A$2:$A$1649, customer_master!$A$2:$A$1649)), "Invalid", "Ok")</f>
        <v>Ok</v>
      </c>
      <c r="K428" t="str">
        <f>IF(ISNA(_xlfn.XLOOKUP(H428,agent_info!$A$2:$A$301, agent_info!$A$2:$A$301)), "Invalid", "Ok")</f>
        <v>Ok</v>
      </c>
    </row>
    <row r="429" spans="1:11" x14ac:dyDescent="0.3">
      <c r="A429" s="1" t="s">
        <v>3972</v>
      </c>
      <c r="B429" s="1" t="s">
        <v>2525</v>
      </c>
      <c r="C429" s="1" t="s">
        <v>3318</v>
      </c>
      <c r="D429" s="1">
        <v>708878.7</v>
      </c>
      <c r="E429" s="1">
        <v>36918.32</v>
      </c>
      <c r="F429" s="41">
        <v>45002</v>
      </c>
      <c r="G429" s="41">
        <v>45368</v>
      </c>
      <c r="H429" s="1" t="s">
        <v>3470</v>
      </c>
      <c r="I429" s="1" t="s">
        <v>3316</v>
      </c>
      <c r="J429" t="str">
        <f>IF(ISNA(_xlfn.XLOOKUP(B429,customer_master!$A$2:$A$1649, customer_master!$A$2:$A$1649)), "Invalid", "Ok")</f>
        <v>Ok</v>
      </c>
      <c r="K429" t="str">
        <f>IF(ISNA(_xlfn.XLOOKUP(H429,agent_info!$A$2:$A$301, agent_info!$A$2:$A$301)), "Invalid", "Ok")</f>
        <v>Ok</v>
      </c>
    </row>
    <row r="430" spans="1:11" x14ac:dyDescent="0.3">
      <c r="A430" s="1" t="s">
        <v>3973</v>
      </c>
      <c r="B430" s="1" t="s">
        <v>3204</v>
      </c>
      <c r="C430" s="1" t="s">
        <v>3331</v>
      </c>
      <c r="D430" s="1">
        <v>752114.22</v>
      </c>
      <c r="E430" s="1">
        <v>38971.019999999997</v>
      </c>
      <c r="F430" s="41">
        <v>44505</v>
      </c>
      <c r="G430" s="41">
        <v>44870</v>
      </c>
      <c r="H430" s="1" t="s">
        <v>3974</v>
      </c>
      <c r="I430" s="1" t="s">
        <v>3316</v>
      </c>
      <c r="J430" t="str">
        <f>IF(ISNA(_xlfn.XLOOKUP(B430,customer_master!$A$2:$A$1649, customer_master!$A$2:$A$1649)), "Invalid", "Ok")</f>
        <v>Ok</v>
      </c>
      <c r="K430" t="str">
        <f>IF(ISNA(_xlfn.XLOOKUP(H430,agent_info!$A$2:$A$301, agent_info!$A$2:$A$301)), "Invalid", "Ok")</f>
        <v>Ok</v>
      </c>
    </row>
    <row r="431" spans="1:11" x14ac:dyDescent="0.3">
      <c r="A431" s="1" t="s">
        <v>3975</v>
      </c>
      <c r="B431" s="1" t="s">
        <v>196</v>
      </c>
      <c r="C431" s="1" t="s">
        <v>3318</v>
      </c>
      <c r="D431" s="1">
        <v>702258.34</v>
      </c>
      <c r="E431" s="1">
        <v>36256.6</v>
      </c>
      <c r="F431" s="41">
        <v>44516</v>
      </c>
      <c r="G431" s="41">
        <v>44881</v>
      </c>
      <c r="H431" s="1" t="s">
        <v>3976</v>
      </c>
      <c r="I431" s="1" t="s">
        <v>3316</v>
      </c>
      <c r="J431" t="str">
        <f>IF(ISNA(_xlfn.XLOOKUP(B431,customer_master!$A$2:$A$1649, customer_master!$A$2:$A$1649)), "Invalid", "Ok")</f>
        <v>Ok</v>
      </c>
      <c r="K431" t="str">
        <f>IF(ISNA(_xlfn.XLOOKUP(H431,agent_info!$A$2:$A$301, agent_info!$A$2:$A$301)), "Invalid", "Ok")</f>
        <v>Ok</v>
      </c>
    </row>
    <row r="432" spans="1:11" x14ac:dyDescent="0.3">
      <c r="A432" s="1" t="s">
        <v>3977</v>
      </c>
      <c r="B432" s="1" t="s">
        <v>787</v>
      </c>
      <c r="C432" s="1" t="s">
        <v>3331</v>
      </c>
      <c r="D432" s="1">
        <v>568418.39</v>
      </c>
      <c r="E432" s="1">
        <v>25705.63</v>
      </c>
      <c r="F432" s="41">
        <v>46068</v>
      </c>
      <c r="G432" s="41">
        <v>46433</v>
      </c>
      <c r="H432" s="1" t="s">
        <v>3351</v>
      </c>
      <c r="I432" s="1" t="s">
        <v>3324</v>
      </c>
      <c r="J432" t="str">
        <f>IF(ISNA(_xlfn.XLOOKUP(B432,customer_master!$A$2:$A$1649, customer_master!$A$2:$A$1649)), "Invalid", "Ok")</f>
        <v>Ok</v>
      </c>
      <c r="K432" t="str">
        <f>IF(ISNA(_xlfn.XLOOKUP(H432,agent_info!$A$2:$A$301, agent_info!$A$2:$A$301)), "Invalid", "Ok")</f>
        <v>Ok</v>
      </c>
    </row>
    <row r="433" spans="1:11" x14ac:dyDescent="0.3">
      <c r="A433" s="1" t="s">
        <v>3978</v>
      </c>
      <c r="B433" s="1" t="s">
        <v>2633</v>
      </c>
      <c r="C433" s="1" t="s">
        <v>3318</v>
      </c>
      <c r="D433" s="1">
        <v>704358.49</v>
      </c>
      <c r="E433" s="1">
        <v>36923.33</v>
      </c>
      <c r="F433" s="41">
        <v>45798</v>
      </c>
      <c r="G433" s="41">
        <v>46163</v>
      </c>
      <c r="H433" s="1" t="s">
        <v>3643</v>
      </c>
      <c r="I433" s="1" t="s">
        <v>3324</v>
      </c>
      <c r="J433" t="str">
        <f>IF(ISNA(_xlfn.XLOOKUP(B433,customer_master!$A$2:$A$1649, customer_master!$A$2:$A$1649)), "Invalid", "Ok")</f>
        <v>Ok</v>
      </c>
      <c r="K433" t="str">
        <f>IF(ISNA(_xlfn.XLOOKUP(H433,agent_info!$A$2:$A$301, agent_info!$A$2:$A$301)), "Invalid", "Ok")</f>
        <v>Ok</v>
      </c>
    </row>
    <row r="434" spans="1:11" x14ac:dyDescent="0.3">
      <c r="A434" s="1" t="s">
        <v>3979</v>
      </c>
      <c r="B434" s="1" t="s">
        <v>1745</v>
      </c>
      <c r="C434" s="1" t="s">
        <v>3331</v>
      </c>
      <c r="D434" s="1">
        <v>463129.91</v>
      </c>
      <c r="E434" s="1">
        <v>23155.03</v>
      </c>
      <c r="F434" s="41">
        <v>44825</v>
      </c>
      <c r="G434" s="41">
        <v>45190</v>
      </c>
      <c r="H434" s="1" t="s">
        <v>3385</v>
      </c>
      <c r="I434" s="1" t="s">
        <v>3324</v>
      </c>
      <c r="J434" t="str">
        <f>IF(ISNA(_xlfn.XLOOKUP(B434,customer_master!$A$2:$A$1649, customer_master!$A$2:$A$1649)), "Invalid", "Ok")</f>
        <v>Ok</v>
      </c>
      <c r="K434" t="str">
        <f>IF(ISNA(_xlfn.XLOOKUP(H434,agent_info!$A$2:$A$301, agent_info!$A$2:$A$301)), "Invalid", "Ok")</f>
        <v>Ok</v>
      </c>
    </row>
    <row r="435" spans="1:11" x14ac:dyDescent="0.3">
      <c r="A435" s="1" t="s">
        <v>3980</v>
      </c>
      <c r="B435" s="1" t="s">
        <v>322</v>
      </c>
      <c r="C435" s="1" t="s">
        <v>3331</v>
      </c>
      <c r="D435" s="1">
        <v>732926.22</v>
      </c>
      <c r="E435" s="1">
        <v>36823.58</v>
      </c>
      <c r="F435" s="41">
        <v>45540</v>
      </c>
      <c r="G435" s="41">
        <v>45905</v>
      </c>
      <c r="H435" s="1" t="s">
        <v>3455</v>
      </c>
      <c r="I435" s="1" t="s">
        <v>3316</v>
      </c>
      <c r="J435" t="str">
        <f>IF(ISNA(_xlfn.XLOOKUP(B435,customer_master!$A$2:$A$1649, customer_master!$A$2:$A$1649)), "Invalid", "Ok")</f>
        <v>Ok</v>
      </c>
      <c r="K435" t="str">
        <f>IF(ISNA(_xlfn.XLOOKUP(H435,agent_info!$A$2:$A$301, agent_info!$A$2:$A$301)), "Invalid", "Ok")</f>
        <v>Ok</v>
      </c>
    </row>
    <row r="436" spans="1:11" x14ac:dyDescent="0.3">
      <c r="A436" s="1" t="s">
        <v>3981</v>
      </c>
      <c r="B436" s="1" t="s">
        <v>911</v>
      </c>
      <c r="C436" s="1" t="s">
        <v>3331</v>
      </c>
      <c r="D436" s="1">
        <v>597751.73</v>
      </c>
      <c r="E436" s="1">
        <v>27202.92</v>
      </c>
      <c r="F436" s="41">
        <v>45599</v>
      </c>
      <c r="G436" s="41">
        <v>45964</v>
      </c>
      <c r="H436" s="1" t="s">
        <v>3939</v>
      </c>
      <c r="I436" s="1" t="s">
        <v>3316</v>
      </c>
      <c r="J436" t="str">
        <f>IF(ISNA(_xlfn.XLOOKUP(B436,customer_master!$A$2:$A$1649, customer_master!$A$2:$A$1649)), "Invalid", "Ok")</f>
        <v>Ok</v>
      </c>
      <c r="K436" t="str">
        <f>IF(ISNA(_xlfn.XLOOKUP(H436,agent_info!$A$2:$A$301, agent_info!$A$2:$A$301)), "Invalid", "Ok")</f>
        <v>Ok</v>
      </c>
    </row>
    <row r="437" spans="1:11" x14ac:dyDescent="0.3">
      <c r="A437" s="1" t="s">
        <v>3982</v>
      </c>
      <c r="B437" s="1" t="s">
        <v>1093</v>
      </c>
      <c r="C437" s="1" t="s">
        <v>3314</v>
      </c>
      <c r="D437" s="1">
        <v>534904.98</v>
      </c>
      <c r="E437" s="1">
        <v>25078.38</v>
      </c>
      <c r="F437" s="41">
        <v>46229</v>
      </c>
      <c r="G437" s="41">
        <v>46594</v>
      </c>
      <c r="H437" s="1" t="s">
        <v>3453</v>
      </c>
      <c r="I437" s="1" t="s">
        <v>3324</v>
      </c>
      <c r="J437" t="str">
        <f>IF(ISNA(_xlfn.XLOOKUP(B437,customer_master!$A$2:$A$1649, customer_master!$A$2:$A$1649)), "Invalid", "Ok")</f>
        <v>Ok</v>
      </c>
      <c r="K437" t="str">
        <f>IF(ISNA(_xlfn.XLOOKUP(H437,agent_info!$A$2:$A$301, agent_info!$A$2:$A$301)), "Invalid", "Ok")</f>
        <v>Ok</v>
      </c>
    </row>
    <row r="438" spans="1:11" x14ac:dyDescent="0.3">
      <c r="A438" s="1" t="s">
        <v>3983</v>
      </c>
      <c r="B438" s="1" t="s">
        <v>1087</v>
      </c>
      <c r="C438" s="1" t="s">
        <v>3334</v>
      </c>
      <c r="D438" s="1">
        <v>608931.86</v>
      </c>
      <c r="E438" s="1">
        <v>32949.35</v>
      </c>
      <c r="F438" s="41">
        <v>45391</v>
      </c>
      <c r="G438" s="41">
        <v>45756</v>
      </c>
      <c r="H438" s="1" t="s">
        <v>3984</v>
      </c>
      <c r="I438" s="1" t="s">
        <v>3324</v>
      </c>
      <c r="J438" t="str">
        <f>IF(ISNA(_xlfn.XLOOKUP(B438,customer_master!$A$2:$A$1649, customer_master!$A$2:$A$1649)), "Invalid", "Ok")</f>
        <v>Ok</v>
      </c>
      <c r="K438" t="str">
        <f>IF(ISNA(_xlfn.XLOOKUP(H438,agent_info!$A$2:$A$301, agent_info!$A$2:$A$301)), "Invalid", "Ok")</f>
        <v>Ok</v>
      </c>
    </row>
    <row r="439" spans="1:11" x14ac:dyDescent="0.3">
      <c r="A439" s="1" t="s">
        <v>3985</v>
      </c>
      <c r="B439" s="1" t="s">
        <v>2920</v>
      </c>
      <c r="C439" s="1" t="s">
        <v>3314</v>
      </c>
      <c r="D439" s="1">
        <v>686843.16</v>
      </c>
      <c r="E439" s="1">
        <v>33075.129999999997</v>
      </c>
      <c r="F439" s="41">
        <v>44802</v>
      </c>
      <c r="G439" s="41">
        <v>45167</v>
      </c>
      <c r="H439" s="1" t="s">
        <v>3665</v>
      </c>
      <c r="I439" s="1" t="s">
        <v>3320</v>
      </c>
      <c r="J439" t="str">
        <f>IF(ISNA(_xlfn.XLOOKUP(B439,customer_master!$A$2:$A$1649, customer_master!$A$2:$A$1649)), "Invalid", "Ok")</f>
        <v>Ok</v>
      </c>
      <c r="K439" t="str">
        <f>IF(ISNA(_xlfn.XLOOKUP(H439,agent_info!$A$2:$A$301, agent_info!$A$2:$A$301)), "Invalid", "Ok")</f>
        <v>Ok</v>
      </c>
    </row>
    <row r="440" spans="1:11" x14ac:dyDescent="0.3">
      <c r="A440" s="1" t="s">
        <v>3986</v>
      </c>
      <c r="B440" s="1" t="s">
        <v>2210</v>
      </c>
      <c r="C440" s="1" t="s">
        <v>3326</v>
      </c>
      <c r="D440" s="1">
        <v>434042.53</v>
      </c>
      <c r="E440" s="1">
        <v>21241.52</v>
      </c>
      <c r="F440" s="41">
        <v>45344</v>
      </c>
      <c r="G440" s="41">
        <v>45710</v>
      </c>
      <c r="H440" s="1" t="s">
        <v>3987</v>
      </c>
      <c r="I440" s="1" t="s">
        <v>3316</v>
      </c>
      <c r="J440" t="str">
        <f>IF(ISNA(_xlfn.XLOOKUP(B440,customer_master!$A$2:$A$1649, customer_master!$A$2:$A$1649)), "Invalid", "Ok")</f>
        <v>Ok</v>
      </c>
      <c r="K440" t="str">
        <f>IF(ISNA(_xlfn.XLOOKUP(H440,agent_info!$A$2:$A$301, agent_info!$A$2:$A$301)), "Invalid", "Ok")</f>
        <v>Ok</v>
      </c>
    </row>
    <row r="441" spans="1:11" x14ac:dyDescent="0.3">
      <c r="A441" s="1" t="s">
        <v>3988</v>
      </c>
      <c r="B441" s="1" t="s">
        <v>2450</v>
      </c>
      <c r="C441" s="1" t="s">
        <v>3318</v>
      </c>
      <c r="D441" s="1">
        <v>416510.57</v>
      </c>
      <c r="E441" s="1">
        <v>19531.03</v>
      </c>
      <c r="F441" s="41">
        <v>46188</v>
      </c>
      <c r="G441" s="41">
        <v>46553</v>
      </c>
      <c r="H441" s="1" t="s">
        <v>3989</v>
      </c>
      <c r="I441" s="1" t="s">
        <v>3316</v>
      </c>
      <c r="J441" t="str">
        <f>IF(ISNA(_xlfn.XLOOKUP(B441,customer_master!$A$2:$A$1649, customer_master!$A$2:$A$1649)), "Invalid", "Ok")</f>
        <v>Ok</v>
      </c>
      <c r="K441" t="str">
        <f>IF(ISNA(_xlfn.XLOOKUP(H441,agent_info!$A$2:$A$301, agent_info!$A$2:$A$301)), "Invalid", "Ok")</f>
        <v>Ok</v>
      </c>
    </row>
    <row r="442" spans="1:11" x14ac:dyDescent="0.3">
      <c r="A442" s="1" t="s">
        <v>3990</v>
      </c>
      <c r="B442" s="1" t="s">
        <v>81</v>
      </c>
      <c r="C442" s="1" t="s">
        <v>3318</v>
      </c>
      <c r="D442" s="1">
        <v>655119.4</v>
      </c>
      <c r="E442" s="1">
        <v>33621.980000000003</v>
      </c>
      <c r="F442" s="41">
        <v>45427</v>
      </c>
      <c r="G442" s="41">
        <v>45792</v>
      </c>
      <c r="H442" s="1" t="s">
        <v>3548</v>
      </c>
      <c r="I442" s="1" t="s">
        <v>3316</v>
      </c>
      <c r="J442" t="str">
        <f>IF(ISNA(_xlfn.XLOOKUP(B442,customer_master!$A$2:$A$1649, customer_master!$A$2:$A$1649)), "Invalid", "Ok")</f>
        <v>Ok</v>
      </c>
      <c r="K442" t="str">
        <f>IF(ISNA(_xlfn.XLOOKUP(H442,agent_info!$A$2:$A$301, agent_info!$A$2:$A$301)), "Invalid", "Ok")</f>
        <v>Ok</v>
      </c>
    </row>
    <row r="443" spans="1:11" x14ac:dyDescent="0.3">
      <c r="A443" s="1" t="s">
        <v>3991</v>
      </c>
      <c r="B443" s="1" t="s">
        <v>1441</v>
      </c>
      <c r="C443" s="1" t="s">
        <v>3314</v>
      </c>
      <c r="D443" s="1">
        <v>751700.55</v>
      </c>
      <c r="E443" s="1">
        <v>39394.379999999997</v>
      </c>
      <c r="F443" s="41">
        <v>44994</v>
      </c>
      <c r="G443" s="41">
        <v>45360</v>
      </c>
      <c r="H443" s="1" t="s">
        <v>3796</v>
      </c>
      <c r="I443" s="1" t="s">
        <v>3316</v>
      </c>
      <c r="J443" t="str">
        <f>IF(ISNA(_xlfn.XLOOKUP(B443,customer_master!$A$2:$A$1649, customer_master!$A$2:$A$1649)), "Invalid", "Ok")</f>
        <v>Ok</v>
      </c>
      <c r="K443" t="str">
        <f>IF(ISNA(_xlfn.XLOOKUP(H443,agent_info!$A$2:$A$301, agent_info!$A$2:$A$301)), "Invalid", "Ok")</f>
        <v>Ok</v>
      </c>
    </row>
    <row r="444" spans="1:11" x14ac:dyDescent="0.3">
      <c r="A444" s="1" t="s">
        <v>3992</v>
      </c>
      <c r="B444" s="1" t="s">
        <v>1075</v>
      </c>
      <c r="C444" s="1" t="s">
        <v>3326</v>
      </c>
      <c r="D444" s="1">
        <v>572942.32999999996</v>
      </c>
      <c r="E444" s="1">
        <v>31060.7</v>
      </c>
      <c r="F444" s="41">
        <v>44432</v>
      </c>
      <c r="G444" s="41">
        <v>44797</v>
      </c>
      <c r="H444" s="1" t="s">
        <v>3413</v>
      </c>
      <c r="I444" s="1" t="s">
        <v>3324</v>
      </c>
      <c r="J444" t="str">
        <f>IF(ISNA(_xlfn.XLOOKUP(B444,customer_master!$A$2:$A$1649, customer_master!$A$2:$A$1649)), "Invalid", "Ok")</f>
        <v>Ok</v>
      </c>
      <c r="K444" t="str">
        <f>IF(ISNA(_xlfn.XLOOKUP(H444,agent_info!$A$2:$A$301, agent_info!$A$2:$A$301)), "Invalid", "Ok")</f>
        <v>Ok</v>
      </c>
    </row>
    <row r="445" spans="1:11" x14ac:dyDescent="0.3">
      <c r="A445" s="1" t="s">
        <v>3993</v>
      </c>
      <c r="B445" s="1" t="s">
        <v>2831</v>
      </c>
      <c r="C445" s="1" t="s">
        <v>3334</v>
      </c>
      <c r="D445" s="1">
        <v>439894.63</v>
      </c>
      <c r="E445" s="1">
        <v>22267.75</v>
      </c>
      <c r="F445" s="41">
        <v>45072</v>
      </c>
      <c r="G445" s="41">
        <v>45438</v>
      </c>
      <c r="H445" s="1" t="s">
        <v>3678</v>
      </c>
      <c r="I445" s="1" t="s">
        <v>3316</v>
      </c>
      <c r="J445" t="str">
        <f>IF(ISNA(_xlfn.XLOOKUP(B445,customer_master!$A$2:$A$1649, customer_master!$A$2:$A$1649)), "Invalid", "Ok")</f>
        <v>Ok</v>
      </c>
      <c r="K445" t="str">
        <f>IF(ISNA(_xlfn.XLOOKUP(H445,agent_info!$A$2:$A$301, agent_info!$A$2:$A$301)), "Invalid", "Ok")</f>
        <v>Ok</v>
      </c>
    </row>
    <row r="446" spans="1:11" x14ac:dyDescent="0.3">
      <c r="A446" s="1" t="s">
        <v>3994</v>
      </c>
      <c r="B446" s="1" t="s">
        <v>3164</v>
      </c>
      <c r="C446" s="1" t="s">
        <v>3318</v>
      </c>
      <c r="D446" s="1">
        <v>621199.67000000004</v>
      </c>
      <c r="E446" s="1">
        <v>29666.2</v>
      </c>
      <c r="F446" s="41">
        <v>45806</v>
      </c>
      <c r="G446" s="41">
        <v>46171</v>
      </c>
      <c r="H446" s="1" t="s">
        <v>3764</v>
      </c>
      <c r="I446" s="1" t="s">
        <v>3320</v>
      </c>
      <c r="J446" t="str">
        <f>IF(ISNA(_xlfn.XLOOKUP(B446,customer_master!$A$2:$A$1649, customer_master!$A$2:$A$1649)), "Invalid", "Ok")</f>
        <v>Ok</v>
      </c>
      <c r="K446" t="str">
        <f>IF(ISNA(_xlfn.XLOOKUP(H446,agent_info!$A$2:$A$301, agent_info!$A$2:$A$301)), "Invalid", "Ok")</f>
        <v>Ok</v>
      </c>
    </row>
    <row r="447" spans="1:11" x14ac:dyDescent="0.3">
      <c r="A447" s="1" t="s">
        <v>3995</v>
      </c>
      <c r="B447" s="1" t="s">
        <v>1429</v>
      </c>
      <c r="C447" s="1" t="s">
        <v>3314</v>
      </c>
      <c r="D447" s="1">
        <v>429903.35999999999</v>
      </c>
      <c r="E447" s="1">
        <v>19650.72</v>
      </c>
      <c r="F447" s="41">
        <v>44169</v>
      </c>
      <c r="G447" s="41">
        <v>44534</v>
      </c>
      <c r="H447" s="1" t="s">
        <v>3377</v>
      </c>
      <c r="I447" s="1" t="s">
        <v>3324</v>
      </c>
      <c r="J447" t="str">
        <f>IF(ISNA(_xlfn.XLOOKUP(B447,customer_master!$A$2:$A$1649, customer_master!$A$2:$A$1649)), "Invalid", "Ok")</f>
        <v>Ok</v>
      </c>
      <c r="K447" t="str">
        <f>IF(ISNA(_xlfn.XLOOKUP(H447,agent_info!$A$2:$A$301, agent_info!$A$2:$A$301)), "Invalid", "Ok")</f>
        <v>Ok</v>
      </c>
    </row>
    <row r="448" spans="1:11" x14ac:dyDescent="0.3">
      <c r="A448" s="1" t="s">
        <v>3996</v>
      </c>
      <c r="B448" s="1" t="s">
        <v>3226</v>
      </c>
      <c r="C448" s="1" t="s">
        <v>3318</v>
      </c>
      <c r="D448" s="1">
        <v>492732.36</v>
      </c>
      <c r="E448" s="1">
        <v>23484.16</v>
      </c>
      <c r="F448" s="41">
        <v>44557</v>
      </c>
      <c r="G448" s="41">
        <v>44922</v>
      </c>
      <c r="H448" s="1" t="s">
        <v>3595</v>
      </c>
      <c r="I448" s="1" t="s">
        <v>3316</v>
      </c>
      <c r="J448" t="str">
        <f>IF(ISNA(_xlfn.XLOOKUP(B448,customer_master!$A$2:$A$1649, customer_master!$A$2:$A$1649)), "Invalid", "Ok")</f>
        <v>Ok</v>
      </c>
      <c r="K448" t="str">
        <f>IF(ISNA(_xlfn.XLOOKUP(H448,agent_info!$A$2:$A$301, agent_info!$A$2:$A$301)), "Invalid", "Ok")</f>
        <v>Ok</v>
      </c>
    </row>
    <row r="449" spans="1:11" x14ac:dyDescent="0.3">
      <c r="A449" s="1" t="s">
        <v>3997</v>
      </c>
      <c r="B449" s="1" t="s">
        <v>83</v>
      </c>
      <c r="C449" s="1" t="s">
        <v>3331</v>
      </c>
      <c r="D449" s="1">
        <v>393554.52</v>
      </c>
      <c r="E449" s="1">
        <v>20143.560000000001</v>
      </c>
      <c r="F449" s="41">
        <v>44085</v>
      </c>
      <c r="G449" s="41">
        <v>44450</v>
      </c>
      <c r="H449" s="1" t="s">
        <v>3998</v>
      </c>
      <c r="I449" s="1" t="s">
        <v>3324</v>
      </c>
      <c r="J449" t="str">
        <f>IF(ISNA(_xlfn.XLOOKUP(B449,customer_master!$A$2:$A$1649, customer_master!$A$2:$A$1649)), "Invalid", "Ok")</f>
        <v>Ok</v>
      </c>
      <c r="K449" t="str">
        <f>IF(ISNA(_xlfn.XLOOKUP(H449,agent_info!$A$2:$A$301, agent_info!$A$2:$A$301)), "Invalid", "Ok")</f>
        <v>Ok</v>
      </c>
    </row>
    <row r="450" spans="1:11" x14ac:dyDescent="0.3">
      <c r="A450" s="1" t="s">
        <v>3999</v>
      </c>
      <c r="B450" s="1" t="s">
        <v>1103</v>
      </c>
      <c r="C450" s="1" t="s">
        <v>3326</v>
      </c>
      <c r="D450" s="1">
        <v>520625.57</v>
      </c>
      <c r="E450" s="1">
        <v>28499.58</v>
      </c>
      <c r="F450" s="41">
        <v>44565</v>
      </c>
      <c r="G450" s="41">
        <v>44930</v>
      </c>
      <c r="H450" s="1" t="s">
        <v>3355</v>
      </c>
      <c r="I450" s="1" t="s">
        <v>3324</v>
      </c>
      <c r="J450" t="str">
        <f>IF(ISNA(_xlfn.XLOOKUP(B450,customer_master!$A$2:$A$1649, customer_master!$A$2:$A$1649)), "Invalid", "Ok")</f>
        <v>Ok</v>
      </c>
      <c r="K450" t="str">
        <f>IF(ISNA(_xlfn.XLOOKUP(H450,agent_info!$A$2:$A$301, agent_info!$A$2:$A$301)), "Invalid", "Ok")</f>
        <v>Ok</v>
      </c>
    </row>
    <row r="451" spans="1:11" x14ac:dyDescent="0.3">
      <c r="A451" s="1" t="s">
        <v>4000</v>
      </c>
      <c r="B451" s="1" t="s">
        <v>2577</v>
      </c>
      <c r="C451" s="1" t="s">
        <v>3314</v>
      </c>
      <c r="D451" s="1">
        <v>508721.36</v>
      </c>
      <c r="E451" s="1">
        <v>23295.360000000001</v>
      </c>
      <c r="F451" s="41">
        <v>44581</v>
      </c>
      <c r="G451" s="41">
        <v>44946</v>
      </c>
      <c r="H451" s="1" t="s">
        <v>4001</v>
      </c>
      <c r="I451" s="1" t="s">
        <v>3316</v>
      </c>
      <c r="J451" t="str">
        <f>IF(ISNA(_xlfn.XLOOKUP(B451,customer_master!$A$2:$A$1649, customer_master!$A$2:$A$1649)), "Invalid", "Ok")</f>
        <v>Ok</v>
      </c>
      <c r="K451" t="str">
        <f>IF(ISNA(_xlfn.XLOOKUP(H451,agent_info!$A$2:$A$301, agent_info!$A$2:$A$301)), "Invalid", "Ok")</f>
        <v>Ok</v>
      </c>
    </row>
    <row r="452" spans="1:11" x14ac:dyDescent="0.3">
      <c r="A452" s="1" t="s">
        <v>4002</v>
      </c>
      <c r="B452" s="1" t="s">
        <v>1219</v>
      </c>
      <c r="C452" s="1" t="s">
        <v>3331</v>
      </c>
      <c r="D452" s="1">
        <v>418704.6</v>
      </c>
      <c r="E452" s="1">
        <v>20467.82</v>
      </c>
      <c r="F452" s="41">
        <v>45444</v>
      </c>
      <c r="G452" s="41">
        <v>45809</v>
      </c>
      <c r="H452" s="1" t="s">
        <v>3385</v>
      </c>
      <c r="I452" s="1" t="s">
        <v>3324</v>
      </c>
      <c r="J452" t="str">
        <f>IF(ISNA(_xlfn.XLOOKUP(B452,customer_master!$A$2:$A$1649, customer_master!$A$2:$A$1649)), "Invalid", "Ok")</f>
        <v>Ok</v>
      </c>
      <c r="K452" t="str">
        <f>IF(ISNA(_xlfn.XLOOKUP(H452,agent_info!$A$2:$A$301, agent_info!$A$2:$A$301)), "Invalid", "Ok")</f>
        <v>Ok</v>
      </c>
    </row>
    <row r="453" spans="1:11" x14ac:dyDescent="0.3">
      <c r="A453" s="1" t="s">
        <v>4003</v>
      </c>
      <c r="B453" s="1" t="s">
        <v>3067</v>
      </c>
      <c r="C453" s="1" t="s">
        <v>3326</v>
      </c>
      <c r="D453" s="1">
        <v>458159.56</v>
      </c>
      <c r="E453" s="1">
        <v>23674.18</v>
      </c>
      <c r="F453" s="41">
        <v>44600</v>
      </c>
      <c r="G453" s="41">
        <v>44965</v>
      </c>
      <c r="H453" s="1" t="s">
        <v>4004</v>
      </c>
      <c r="I453" s="1" t="s">
        <v>3324</v>
      </c>
      <c r="J453" t="str">
        <f>IF(ISNA(_xlfn.XLOOKUP(B453,customer_master!$A$2:$A$1649, customer_master!$A$2:$A$1649)), "Invalid", "Ok")</f>
        <v>Ok</v>
      </c>
      <c r="K453" t="str">
        <f>IF(ISNA(_xlfn.XLOOKUP(H453,agent_info!$A$2:$A$301, agent_info!$A$2:$A$301)), "Invalid", "Ok")</f>
        <v>Ok</v>
      </c>
    </row>
    <row r="454" spans="1:11" x14ac:dyDescent="0.3">
      <c r="A454" s="1" t="s">
        <v>4005</v>
      </c>
      <c r="B454" s="1" t="s">
        <v>773</v>
      </c>
      <c r="C454" s="1" t="s">
        <v>3331</v>
      </c>
      <c r="D454" s="1">
        <v>628548</v>
      </c>
      <c r="E454" s="1">
        <v>31896.11</v>
      </c>
      <c r="F454" s="41">
        <v>45687</v>
      </c>
      <c r="G454" s="41">
        <v>46052</v>
      </c>
      <c r="H454" s="1" t="s">
        <v>3371</v>
      </c>
      <c r="I454" s="1" t="s">
        <v>3316</v>
      </c>
      <c r="J454" t="str">
        <f>IF(ISNA(_xlfn.XLOOKUP(B454,customer_master!$A$2:$A$1649, customer_master!$A$2:$A$1649)), "Invalid", "Ok")</f>
        <v>Ok</v>
      </c>
      <c r="K454" t="str">
        <f>IF(ISNA(_xlfn.XLOOKUP(H454,agent_info!$A$2:$A$301, agent_info!$A$2:$A$301)), "Invalid", "Ok")</f>
        <v>Ok</v>
      </c>
    </row>
    <row r="455" spans="1:11" x14ac:dyDescent="0.3">
      <c r="A455" s="1" t="s">
        <v>4006</v>
      </c>
      <c r="B455" s="1" t="s">
        <v>2639</v>
      </c>
      <c r="C455" s="1" t="s">
        <v>3326</v>
      </c>
      <c r="D455" s="1">
        <v>451178.54</v>
      </c>
      <c r="E455" s="1">
        <v>23243.33</v>
      </c>
      <c r="F455" s="41">
        <v>46165</v>
      </c>
      <c r="G455" s="41">
        <v>46530</v>
      </c>
      <c r="H455" s="1" t="s">
        <v>4007</v>
      </c>
      <c r="I455" s="1" t="s">
        <v>3316</v>
      </c>
      <c r="J455" t="str">
        <f>IF(ISNA(_xlfn.XLOOKUP(B455,customer_master!$A$2:$A$1649, customer_master!$A$2:$A$1649)), "Invalid", "Ok")</f>
        <v>Ok</v>
      </c>
      <c r="K455" t="str">
        <f>IF(ISNA(_xlfn.XLOOKUP(H455,agent_info!$A$2:$A$301, agent_info!$A$2:$A$301)), "Invalid", "Ok")</f>
        <v>Ok</v>
      </c>
    </row>
    <row r="456" spans="1:11" x14ac:dyDescent="0.3">
      <c r="A456" s="1" t="s">
        <v>4008</v>
      </c>
      <c r="B456" s="1" t="s">
        <v>717</v>
      </c>
      <c r="C456" s="1" t="s">
        <v>3318</v>
      </c>
      <c r="D456" s="1">
        <v>432081.26</v>
      </c>
      <c r="E456" s="1">
        <v>21445.09</v>
      </c>
      <c r="F456" s="41">
        <v>44803</v>
      </c>
      <c r="G456" s="41">
        <v>45168</v>
      </c>
      <c r="H456" s="1" t="s">
        <v>3629</v>
      </c>
      <c r="I456" s="1" t="s">
        <v>3324</v>
      </c>
      <c r="J456" t="str">
        <f>IF(ISNA(_xlfn.XLOOKUP(B456,customer_master!$A$2:$A$1649, customer_master!$A$2:$A$1649)), "Invalid", "Ok")</f>
        <v>Ok</v>
      </c>
      <c r="K456" t="str">
        <f>IF(ISNA(_xlfn.XLOOKUP(H456,agent_info!$A$2:$A$301, agent_info!$A$2:$A$301)), "Invalid", "Ok")</f>
        <v>Ok</v>
      </c>
    </row>
    <row r="457" spans="1:11" x14ac:dyDescent="0.3">
      <c r="A457" s="1" t="s">
        <v>4009</v>
      </c>
      <c r="B457" s="1" t="s">
        <v>701</v>
      </c>
      <c r="C457" s="1" t="s">
        <v>3331</v>
      </c>
      <c r="D457" s="1">
        <v>589340.23</v>
      </c>
      <c r="E457" s="1">
        <v>28094.07</v>
      </c>
      <c r="F457" s="41">
        <v>45699</v>
      </c>
      <c r="G457" s="41">
        <v>46064</v>
      </c>
      <c r="H457" s="1" t="s">
        <v>3335</v>
      </c>
      <c r="I457" s="1" t="s">
        <v>3320</v>
      </c>
      <c r="J457" t="str">
        <f>IF(ISNA(_xlfn.XLOOKUP(B457,customer_master!$A$2:$A$1649, customer_master!$A$2:$A$1649)), "Invalid", "Ok")</f>
        <v>Ok</v>
      </c>
      <c r="K457" t="str">
        <f>IF(ISNA(_xlfn.XLOOKUP(H457,agent_info!$A$2:$A$301, agent_info!$A$2:$A$301)), "Invalid", "Ok")</f>
        <v>Ok</v>
      </c>
    </row>
    <row r="458" spans="1:11" x14ac:dyDescent="0.3">
      <c r="A458" s="1" t="s">
        <v>4010</v>
      </c>
      <c r="B458" s="1" t="s">
        <v>1493</v>
      </c>
      <c r="C458" s="1" t="s">
        <v>3314</v>
      </c>
      <c r="D458" s="1">
        <v>674992.5</v>
      </c>
      <c r="E458" s="1">
        <v>33633.199999999997</v>
      </c>
      <c r="F458" s="41">
        <v>44527</v>
      </c>
      <c r="G458" s="41">
        <v>44892</v>
      </c>
      <c r="H458" s="1" t="s">
        <v>3601</v>
      </c>
      <c r="I458" s="1" t="s">
        <v>3324</v>
      </c>
      <c r="J458" t="str">
        <f>IF(ISNA(_xlfn.XLOOKUP(B458,customer_master!$A$2:$A$1649, customer_master!$A$2:$A$1649)), "Invalid", "Ok")</f>
        <v>Ok</v>
      </c>
      <c r="K458" t="str">
        <f>IF(ISNA(_xlfn.XLOOKUP(H458,agent_info!$A$2:$A$301, agent_info!$A$2:$A$301)), "Invalid", "Ok")</f>
        <v>Ok</v>
      </c>
    </row>
    <row r="459" spans="1:11" x14ac:dyDescent="0.3">
      <c r="A459" s="1" t="s">
        <v>4011</v>
      </c>
      <c r="B459" s="1" t="s">
        <v>3142</v>
      </c>
      <c r="C459" s="1" t="s">
        <v>3326</v>
      </c>
      <c r="D459" s="1">
        <v>640549.47</v>
      </c>
      <c r="E459" s="1">
        <v>31268.65</v>
      </c>
      <c r="F459" s="41">
        <v>44480</v>
      </c>
      <c r="G459" s="41">
        <v>44845</v>
      </c>
      <c r="H459" s="1" t="s">
        <v>4012</v>
      </c>
      <c r="I459" s="1" t="s">
        <v>3316</v>
      </c>
      <c r="J459" t="str">
        <f>IF(ISNA(_xlfn.XLOOKUP(B459,customer_master!$A$2:$A$1649, customer_master!$A$2:$A$1649)), "Invalid", "Ok")</f>
        <v>Ok</v>
      </c>
      <c r="K459" t="str">
        <f>IF(ISNA(_xlfn.XLOOKUP(H459,agent_info!$A$2:$A$301, agent_info!$A$2:$A$301)), "Invalid", "Ok")</f>
        <v>Ok</v>
      </c>
    </row>
    <row r="460" spans="1:11" x14ac:dyDescent="0.3">
      <c r="A460" s="1" t="s">
        <v>4013</v>
      </c>
      <c r="B460" s="1" t="s">
        <v>1956</v>
      </c>
      <c r="C460" s="1" t="s">
        <v>3334</v>
      </c>
      <c r="D460" s="1">
        <v>566757.39</v>
      </c>
      <c r="E460" s="1">
        <v>29524.080000000002</v>
      </c>
      <c r="F460" s="41">
        <v>46246</v>
      </c>
      <c r="G460" s="41">
        <v>46611</v>
      </c>
      <c r="H460" s="1" t="s">
        <v>4014</v>
      </c>
      <c r="I460" s="1" t="s">
        <v>3324</v>
      </c>
      <c r="J460" t="str">
        <f>IF(ISNA(_xlfn.XLOOKUP(B460,customer_master!$A$2:$A$1649, customer_master!$A$2:$A$1649)), "Invalid", "Ok")</f>
        <v>Ok</v>
      </c>
      <c r="K460" t="str">
        <f>IF(ISNA(_xlfn.XLOOKUP(H460,agent_info!$A$2:$A$301, agent_info!$A$2:$A$301)), "Invalid", "Ok")</f>
        <v>Ok</v>
      </c>
    </row>
    <row r="461" spans="1:11" x14ac:dyDescent="0.3">
      <c r="A461" s="1" t="s">
        <v>4015</v>
      </c>
      <c r="B461" s="1" t="s">
        <v>2139</v>
      </c>
      <c r="C461" s="1" t="s">
        <v>3331</v>
      </c>
      <c r="D461" s="1">
        <v>652774.13</v>
      </c>
      <c r="E461" s="1">
        <v>30495.16</v>
      </c>
      <c r="F461" s="41">
        <v>44872</v>
      </c>
      <c r="G461" s="41">
        <v>45237</v>
      </c>
      <c r="H461" s="1" t="s">
        <v>3751</v>
      </c>
      <c r="I461" s="1" t="s">
        <v>3316</v>
      </c>
      <c r="J461" t="str">
        <f>IF(ISNA(_xlfn.XLOOKUP(B461,customer_master!$A$2:$A$1649, customer_master!$A$2:$A$1649)), "Invalid", "Ok")</f>
        <v>Ok</v>
      </c>
      <c r="K461" t="str">
        <f>IF(ISNA(_xlfn.XLOOKUP(H461,agent_info!$A$2:$A$301, agent_info!$A$2:$A$301)), "Invalid", "Ok")</f>
        <v>Ok</v>
      </c>
    </row>
    <row r="462" spans="1:11" x14ac:dyDescent="0.3">
      <c r="A462" s="1" t="s">
        <v>4016</v>
      </c>
      <c r="B462" s="1" t="s">
        <v>65</v>
      </c>
      <c r="C462" s="1" t="s">
        <v>3334</v>
      </c>
      <c r="D462" s="1">
        <v>705831.18</v>
      </c>
      <c r="E462" s="1">
        <v>35264.370000000003</v>
      </c>
      <c r="F462" s="41">
        <v>44238</v>
      </c>
      <c r="G462" s="41">
        <v>44603</v>
      </c>
      <c r="H462" s="1" t="s">
        <v>4012</v>
      </c>
      <c r="I462" s="1" t="s">
        <v>3316</v>
      </c>
      <c r="J462" t="str">
        <f>IF(ISNA(_xlfn.XLOOKUP(B462,customer_master!$A$2:$A$1649, customer_master!$A$2:$A$1649)), "Invalid", "Ok")</f>
        <v>Ok</v>
      </c>
      <c r="K462" t="str">
        <f>IF(ISNA(_xlfn.XLOOKUP(H462,agent_info!$A$2:$A$301, agent_info!$A$2:$A$301)), "Invalid", "Ok")</f>
        <v>Ok</v>
      </c>
    </row>
    <row r="463" spans="1:11" x14ac:dyDescent="0.3">
      <c r="A463" s="1" t="s">
        <v>4017</v>
      </c>
      <c r="B463" s="1" t="s">
        <v>226</v>
      </c>
      <c r="C463" s="1" t="s">
        <v>3331</v>
      </c>
      <c r="D463" s="1">
        <v>638207.24</v>
      </c>
      <c r="E463" s="1">
        <v>34840.129999999997</v>
      </c>
      <c r="F463" s="41">
        <v>44142</v>
      </c>
      <c r="G463" s="41">
        <v>44507</v>
      </c>
      <c r="H463" s="1" t="s">
        <v>3589</v>
      </c>
      <c r="I463" s="1" t="s">
        <v>3324</v>
      </c>
      <c r="J463" t="str">
        <f>IF(ISNA(_xlfn.XLOOKUP(B463,customer_master!$A$2:$A$1649, customer_master!$A$2:$A$1649)), "Invalid", "Ok")</f>
        <v>Ok</v>
      </c>
      <c r="K463" t="str">
        <f>IF(ISNA(_xlfn.XLOOKUP(H463,agent_info!$A$2:$A$301, agent_info!$A$2:$A$301)), "Invalid", "Ok")</f>
        <v>Ok</v>
      </c>
    </row>
    <row r="464" spans="1:11" x14ac:dyDescent="0.3">
      <c r="A464" s="1" t="s">
        <v>4018</v>
      </c>
      <c r="B464" s="1" t="s">
        <v>254</v>
      </c>
      <c r="C464" s="1" t="s">
        <v>3326</v>
      </c>
      <c r="D464" s="1">
        <v>534544.99</v>
      </c>
      <c r="E464" s="1">
        <v>26897.200000000001</v>
      </c>
      <c r="F464" s="41">
        <v>44329</v>
      </c>
      <c r="G464" s="41">
        <v>44694</v>
      </c>
      <c r="H464" s="1" t="s">
        <v>3431</v>
      </c>
      <c r="I464" s="1" t="s">
        <v>3316</v>
      </c>
      <c r="J464" t="str">
        <f>IF(ISNA(_xlfn.XLOOKUP(B464,customer_master!$A$2:$A$1649, customer_master!$A$2:$A$1649)), "Invalid", "Ok")</f>
        <v>Ok</v>
      </c>
      <c r="K464" t="str">
        <f>IF(ISNA(_xlfn.XLOOKUP(H464,agent_info!$A$2:$A$301, agent_info!$A$2:$A$301)), "Invalid", "Ok")</f>
        <v>Ok</v>
      </c>
    </row>
    <row r="465" spans="1:11" x14ac:dyDescent="0.3">
      <c r="A465" s="1" t="s">
        <v>4019</v>
      </c>
      <c r="B465" s="1" t="s">
        <v>2724</v>
      </c>
      <c r="C465" s="1" t="s">
        <v>3326</v>
      </c>
      <c r="D465" s="1">
        <v>370978.78</v>
      </c>
      <c r="E465" s="1">
        <v>17574.04</v>
      </c>
      <c r="F465" s="41">
        <v>44713</v>
      </c>
      <c r="G465" s="41">
        <v>45078</v>
      </c>
      <c r="H465" s="1" t="s">
        <v>3543</v>
      </c>
      <c r="I465" s="1" t="s">
        <v>3324</v>
      </c>
      <c r="J465" t="str">
        <f>IF(ISNA(_xlfn.XLOOKUP(B465,customer_master!$A$2:$A$1649, customer_master!$A$2:$A$1649)), "Invalid", "Ok")</f>
        <v>Ok</v>
      </c>
      <c r="K465" t="str">
        <f>IF(ISNA(_xlfn.XLOOKUP(H465,agent_info!$A$2:$A$301, agent_info!$A$2:$A$301)), "Invalid", "Ok")</f>
        <v>Ok</v>
      </c>
    </row>
    <row r="466" spans="1:11" x14ac:dyDescent="0.3">
      <c r="A466" s="1" t="s">
        <v>4020</v>
      </c>
      <c r="B466" s="1" t="s">
        <v>825</v>
      </c>
      <c r="C466" s="1" t="s">
        <v>3318</v>
      </c>
      <c r="D466" s="1">
        <v>487632.99</v>
      </c>
      <c r="E466" s="1">
        <v>26507</v>
      </c>
      <c r="F466" s="41">
        <v>44503</v>
      </c>
      <c r="G466" s="41">
        <v>44868</v>
      </c>
      <c r="H466" s="1" t="s">
        <v>3894</v>
      </c>
      <c r="I466" s="1" t="s">
        <v>3324</v>
      </c>
      <c r="J466" t="str">
        <f>IF(ISNA(_xlfn.XLOOKUP(B466,customer_master!$A$2:$A$1649, customer_master!$A$2:$A$1649)), "Invalid", "Ok")</f>
        <v>Ok</v>
      </c>
      <c r="K466" t="str">
        <f>IF(ISNA(_xlfn.XLOOKUP(H466,agent_info!$A$2:$A$301, agent_info!$A$2:$A$301)), "Invalid", "Ok")</f>
        <v>Ok</v>
      </c>
    </row>
    <row r="467" spans="1:11" x14ac:dyDescent="0.3">
      <c r="A467" s="1" t="s">
        <v>4021</v>
      </c>
      <c r="B467" s="1" t="s">
        <v>1117</v>
      </c>
      <c r="C467" s="1" t="s">
        <v>3331</v>
      </c>
      <c r="D467" s="1">
        <v>503509.48</v>
      </c>
      <c r="E467" s="1">
        <v>23887.279999999999</v>
      </c>
      <c r="F467" s="41">
        <v>45360</v>
      </c>
      <c r="G467" s="41">
        <v>45725</v>
      </c>
      <c r="H467" s="1" t="s">
        <v>3830</v>
      </c>
      <c r="I467" s="1" t="s">
        <v>3324</v>
      </c>
      <c r="J467" t="str">
        <f>IF(ISNA(_xlfn.XLOOKUP(B467,customer_master!$A$2:$A$1649, customer_master!$A$2:$A$1649)), "Invalid", "Ok")</f>
        <v>Ok</v>
      </c>
      <c r="K467" t="str">
        <f>IF(ISNA(_xlfn.XLOOKUP(H467,agent_info!$A$2:$A$301, agent_info!$A$2:$A$301)), "Invalid", "Ok")</f>
        <v>Ok</v>
      </c>
    </row>
    <row r="468" spans="1:11" x14ac:dyDescent="0.3">
      <c r="A468" s="1" t="s">
        <v>4022</v>
      </c>
      <c r="B468" s="1" t="s">
        <v>2046</v>
      </c>
      <c r="C468" s="1" t="s">
        <v>3334</v>
      </c>
      <c r="D468" s="1">
        <v>537079.32999999996</v>
      </c>
      <c r="E468" s="1">
        <v>28203</v>
      </c>
      <c r="F468" s="41">
        <v>45755</v>
      </c>
      <c r="G468" s="41">
        <v>46120</v>
      </c>
      <c r="H468" s="1" t="s">
        <v>3760</v>
      </c>
      <c r="I468" s="1" t="s">
        <v>3324</v>
      </c>
      <c r="J468" t="str">
        <f>IF(ISNA(_xlfn.XLOOKUP(B468,customer_master!$A$2:$A$1649, customer_master!$A$2:$A$1649)), "Invalid", "Ok")</f>
        <v>Ok</v>
      </c>
      <c r="K468" t="str">
        <f>IF(ISNA(_xlfn.XLOOKUP(H468,agent_info!$A$2:$A$301, agent_info!$A$2:$A$301)), "Invalid", "Ok")</f>
        <v>Ok</v>
      </c>
    </row>
    <row r="469" spans="1:11" x14ac:dyDescent="0.3">
      <c r="A469" s="1" t="s">
        <v>4023</v>
      </c>
      <c r="B469" s="1" t="s">
        <v>1948</v>
      </c>
      <c r="C469" s="1" t="s">
        <v>3314</v>
      </c>
      <c r="D469" s="1">
        <v>751093.69</v>
      </c>
      <c r="E469" s="1">
        <v>34621.9</v>
      </c>
      <c r="F469" s="41">
        <v>44173</v>
      </c>
      <c r="G469" s="41">
        <v>44538</v>
      </c>
      <c r="H469" s="1" t="s">
        <v>3872</v>
      </c>
      <c r="I469" s="1" t="s">
        <v>3316</v>
      </c>
      <c r="J469" t="str">
        <f>IF(ISNA(_xlfn.XLOOKUP(B469,customer_master!$A$2:$A$1649, customer_master!$A$2:$A$1649)), "Invalid", "Ok")</f>
        <v>Ok</v>
      </c>
      <c r="K469" t="str">
        <f>IF(ISNA(_xlfn.XLOOKUP(H469,agent_info!$A$2:$A$301, agent_info!$A$2:$A$301)), "Invalid", "Ok")</f>
        <v>Ok</v>
      </c>
    </row>
    <row r="470" spans="1:11" x14ac:dyDescent="0.3">
      <c r="A470" s="1" t="s">
        <v>4024</v>
      </c>
      <c r="B470" s="1" t="s">
        <v>1394</v>
      </c>
      <c r="C470" s="1" t="s">
        <v>3314</v>
      </c>
      <c r="D470" s="1">
        <v>465417.01</v>
      </c>
      <c r="E470" s="1">
        <v>24909.54</v>
      </c>
      <c r="F470" s="41">
        <v>44142</v>
      </c>
      <c r="G470" s="41">
        <v>44507</v>
      </c>
      <c r="H470" s="1" t="s">
        <v>4025</v>
      </c>
      <c r="I470" s="1" t="s">
        <v>3316</v>
      </c>
      <c r="J470" t="str">
        <f>IF(ISNA(_xlfn.XLOOKUP(B470,customer_master!$A$2:$A$1649, customer_master!$A$2:$A$1649)), "Invalid", "Ok")</f>
        <v>Ok</v>
      </c>
      <c r="K470" t="str">
        <f>IF(ISNA(_xlfn.XLOOKUP(H470,agent_info!$A$2:$A$301, agent_info!$A$2:$A$301)), "Invalid", "Ok")</f>
        <v>Ok</v>
      </c>
    </row>
    <row r="471" spans="1:11" x14ac:dyDescent="0.3">
      <c r="A471" s="1" t="s">
        <v>4026</v>
      </c>
      <c r="B471" s="1" t="s">
        <v>48</v>
      </c>
      <c r="C471" s="1" t="s">
        <v>3326</v>
      </c>
      <c r="D471" s="1">
        <v>539544.22</v>
      </c>
      <c r="E471" s="1">
        <v>25253.77</v>
      </c>
      <c r="F471" s="41">
        <v>44510</v>
      </c>
      <c r="G471" s="41">
        <v>44875</v>
      </c>
      <c r="H471" s="1" t="s">
        <v>4027</v>
      </c>
      <c r="I471" s="1" t="s">
        <v>3324</v>
      </c>
      <c r="J471" t="str">
        <f>IF(ISNA(_xlfn.XLOOKUP(B471,customer_master!$A$2:$A$1649, customer_master!$A$2:$A$1649)), "Invalid", "Ok")</f>
        <v>Ok</v>
      </c>
      <c r="K471" t="str">
        <f>IF(ISNA(_xlfn.XLOOKUP(H471,agent_info!$A$2:$A$301, agent_info!$A$2:$A$301)), "Invalid", "Ok")</f>
        <v>Ok</v>
      </c>
    </row>
    <row r="472" spans="1:11" x14ac:dyDescent="0.3">
      <c r="A472" s="1" t="s">
        <v>4028</v>
      </c>
      <c r="B472" s="1" t="s">
        <v>1511</v>
      </c>
      <c r="C472" s="1" t="s">
        <v>3334</v>
      </c>
      <c r="D472" s="1">
        <v>766618.97</v>
      </c>
      <c r="E472" s="1">
        <v>37519.71</v>
      </c>
      <c r="F472" s="41">
        <v>44458</v>
      </c>
      <c r="G472" s="41">
        <v>44823</v>
      </c>
      <c r="H472" s="1" t="s">
        <v>3431</v>
      </c>
      <c r="I472" s="1" t="s">
        <v>3320</v>
      </c>
      <c r="J472" t="str">
        <f>IF(ISNA(_xlfn.XLOOKUP(B472,customer_master!$A$2:$A$1649, customer_master!$A$2:$A$1649)), "Invalid", "Ok")</f>
        <v>Ok</v>
      </c>
      <c r="K472" t="str">
        <f>IF(ISNA(_xlfn.XLOOKUP(H472,agent_info!$A$2:$A$301, agent_info!$A$2:$A$301)), "Invalid", "Ok")</f>
        <v>Ok</v>
      </c>
    </row>
    <row r="473" spans="1:11" x14ac:dyDescent="0.3">
      <c r="A473" s="1" t="s">
        <v>4029</v>
      </c>
      <c r="B473" s="1" t="s">
        <v>2462</v>
      </c>
      <c r="C473" s="1" t="s">
        <v>3318</v>
      </c>
      <c r="D473" s="1">
        <v>611904.34</v>
      </c>
      <c r="E473" s="1">
        <v>33444.370000000003</v>
      </c>
      <c r="F473" s="41">
        <v>46017</v>
      </c>
      <c r="G473" s="41">
        <v>46382</v>
      </c>
      <c r="H473" s="1" t="s">
        <v>3838</v>
      </c>
      <c r="I473" s="1" t="s">
        <v>3316</v>
      </c>
      <c r="J473" t="str">
        <f>IF(ISNA(_xlfn.XLOOKUP(B473,customer_master!$A$2:$A$1649, customer_master!$A$2:$A$1649)), "Invalid", "Ok")</f>
        <v>Ok</v>
      </c>
      <c r="K473" t="str">
        <f>IF(ISNA(_xlfn.XLOOKUP(H473,agent_info!$A$2:$A$301, agent_info!$A$2:$A$301)), "Invalid", "Ok")</f>
        <v>Ok</v>
      </c>
    </row>
    <row r="474" spans="1:11" x14ac:dyDescent="0.3">
      <c r="A474" s="1" t="s">
        <v>4030</v>
      </c>
      <c r="B474" s="1" t="s">
        <v>821</v>
      </c>
      <c r="C474" s="1" t="s">
        <v>3318</v>
      </c>
      <c r="D474" s="1">
        <v>456968.25</v>
      </c>
      <c r="E474" s="1">
        <v>23211.22</v>
      </c>
      <c r="F474" s="41">
        <v>45652</v>
      </c>
      <c r="G474" s="41">
        <v>46017</v>
      </c>
      <c r="H474" s="1" t="s">
        <v>4031</v>
      </c>
      <c r="I474" s="1" t="s">
        <v>3324</v>
      </c>
      <c r="J474" t="str">
        <f>IF(ISNA(_xlfn.XLOOKUP(B474,customer_master!$A$2:$A$1649, customer_master!$A$2:$A$1649)), "Invalid", "Ok")</f>
        <v>Ok</v>
      </c>
      <c r="K474" t="str">
        <f>IF(ISNA(_xlfn.XLOOKUP(H474,agent_info!$A$2:$A$301, agent_info!$A$2:$A$301)), "Invalid", "Ok")</f>
        <v>Ok</v>
      </c>
    </row>
    <row r="475" spans="1:11" x14ac:dyDescent="0.3">
      <c r="A475" s="1" t="s">
        <v>4032</v>
      </c>
      <c r="B475" s="1" t="s">
        <v>2368</v>
      </c>
      <c r="C475" s="1" t="s">
        <v>3334</v>
      </c>
      <c r="D475" s="1">
        <v>754673.51</v>
      </c>
      <c r="E475" s="1">
        <v>35952.620000000003</v>
      </c>
      <c r="F475" s="41">
        <v>44821</v>
      </c>
      <c r="G475" s="41">
        <v>45186</v>
      </c>
      <c r="H475" s="1" t="s">
        <v>4033</v>
      </c>
      <c r="I475" s="1" t="s">
        <v>3320</v>
      </c>
      <c r="J475" t="str">
        <f>IF(ISNA(_xlfn.XLOOKUP(B475,customer_master!$A$2:$A$1649, customer_master!$A$2:$A$1649)), "Invalid", "Ok")</f>
        <v>Ok</v>
      </c>
      <c r="K475" t="str">
        <f>IF(ISNA(_xlfn.XLOOKUP(H475,agent_info!$A$2:$A$301, agent_info!$A$2:$A$301)), "Invalid", "Ok")</f>
        <v>Ok</v>
      </c>
    </row>
    <row r="476" spans="1:11" x14ac:dyDescent="0.3">
      <c r="A476" s="1" t="s">
        <v>4034</v>
      </c>
      <c r="B476" s="1" t="s">
        <v>87</v>
      </c>
      <c r="C476" s="1" t="s">
        <v>3318</v>
      </c>
      <c r="D476" s="1">
        <v>505118.63</v>
      </c>
      <c r="E476" s="1">
        <v>22733.51</v>
      </c>
      <c r="F476" s="41">
        <v>45292</v>
      </c>
      <c r="G476" s="41">
        <v>45658</v>
      </c>
      <c r="H476" s="1" t="s">
        <v>3947</v>
      </c>
      <c r="I476" s="1" t="s">
        <v>3324</v>
      </c>
      <c r="J476" t="str">
        <f>IF(ISNA(_xlfn.XLOOKUP(B476,customer_master!$A$2:$A$1649, customer_master!$A$2:$A$1649)), "Invalid", "Ok")</f>
        <v>Ok</v>
      </c>
      <c r="K476" t="str">
        <f>IF(ISNA(_xlfn.XLOOKUP(H476,agent_info!$A$2:$A$301, agent_info!$A$2:$A$301)), "Invalid", "Ok")</f>
        <v>Ok</v>
      </c>
    </row>
    <row r="477" spans="1:11" x14ac:dyDescent="0.3">
      <c r="A477" s="1" t="s">
        <v>4035</v>
      </c>
      <c r="B477" s="1" t="s">
        <v>3017</v>
      </c>
      <c r="C477" s="1" t="s">
        <v>3314</v>
      </c>
      <c r="D477" s="1">
        <v>403430.22</v>
      </c>
      <c r="E477" s="1">
        <v>18181.75</v>
      </c>
      <c r="F477" s="41">
        <v>44468</v>
      </c>
      <c r="G477" s="41">
        <v>44833</v>
      </c>
      <c r="H477" s="1" t="s">
        <v>3453</v>
      </c>
      <c r="I477" s="1" t="s">
        <v>3316</v>
      </c>
      <c r="J477" t="str">
        <f>IF(ISNA(_xlfn.XLOOKUP(B477,customer_master!$A$2:$A$1649, customer_master!$A$2:$A$1649)), "Invalid", "Ok")</f>
        <v>Ok</v>
      </c>
      <c r="K477" t="str">
        <f>IF(ISNA(_xlfn.XLOOKUP(H477,agent_info!$A$2:$A$301, agent_info!$A$2:$A$301)), "Invalid", "Ok")</f>
        <v>Ok</v>
      </c>
    </row>
    <row r="478" spans="1:11" x14ac:dyDescent="0.3">
      <c r="A478" s="1" t="s">
        <v>4036</v>
      </c>
      <c r="B478" s="1" t="s">
        <v>3158</v>
      </c>
      <c r="C478" s="1" t="s">
        <v>3334</v>
      </c>
      <c r="D478" s="1">
        <v>551074.28</v>
      </c>
      <c r="E478" s="1">
        <v>26311.52</v>
      </c>
      <c r="F478" s="41">
        <v>44124</v>
      </c>
      <c r="G478" s="41">
        <v>44489</v>
      </c>
      <c r="H478" s="1" t="s">
        <v>3494</v>
      </c>
      <c r="I478" s="1" t="s">
        <v>3324</v>
      </c>
      <c r="J478" t="str">
        <f>IF(ISNA(_xlfn.XLOOKUP(B478,customer_master!$A$2:$A$1649, customer_master!$A$2:$A$1649)), "Invalid", "Ok")</f>
        <v>Ok</v>
      </c>
      <c r="K478" t="str">
        <f>IF(ISNA(_xlfn.XLOOKUP(H478,agent_info!$A$2:$A$301, agent_info!$A$2:$A$301)), "Invalid", "Ok")</f>
        <v>Ok</v>
      </c>
    </row>
    <row r="479" spans="1:11" x14ac:dyDescent="0.3">
      <c r="A479" s="1" t="s">
        <v>4037</v>
      </c>
      <c r="B479" s="1" t="s">
        <v>36</v>
      </c>
      <c r="C479" s="1" t="s">
        <v>3334</v>
      </c>
      <c r="D479" s="1">
        <v>477652.44</v>
      </c>
      <c r="E479" s="1">
        <v>24010.89</v>
      </c>
      <c r="F479" s="41">
        <v>45924</v>
      </c>
      <c r="G479" s="41">
        <v>46289</v>
      </c>
      <c r="H479" s="1" t="s">
        <v>3738</v>
      </c>
      <c r="I479" s="1" t="s">
        <v>3316</v>
      </c>
      <c r="J479" t="str">
        <f>IF(ISNA(_xlfn.XLOOKUP(B479,customer_master!$A$2:$A$1649, customer_master!$A$2:$A$1649)), "Invalid", "Ok")</f>
        <v>Ok</v>
      </c>
      <c r="K479" t="str">
        <f>IF(ISNA(_xlfn.XLOOKUP(H479,agent_info!$A$2:$A$301, agent_info!$A$2:$A$301)), "Invalid", "Ok")</f>
        <v>Ok</v>
      </c>
    </row>
    <row r="480" spans="1:11" x14ac:dyDescent="0.3">
      <c r="A480" s="1" t="s">
        <v>4038</v>
      </c>
      <c r="B480" s="1" t="s">
        <v>1539</v>
      </c>
      <c r="C480" s="1" t="s">
        <v>3331</v>
      </c>
      <c r="D480" s="1">
        <v>693896.53</v>
      </c>
      <c r="E480" s="1">
        <v>34589.99</v>
      </c>
      <c r="F480" s="41">
        <v>46073</v>
      </c>
      <c r="G480" s="41">
        <v>46438</v>
      </c>
      <c r="H480" s="1" t="s">
        <v>3678</v>
      </c>
      <c r="I480" s="1" t="s">
        <v>3316</v>
      </c>
      <c r="J480" t="str">
        <f>IF(ISNA(_xlfn.XLOOKUP(B480,customer_master!$A$2:$A$1649, customer_master!$A$2:$A$1649)), "Invalid", "Ok")</f>
        <v>Ok</v>
      </c>
      <c r="K480" t="str">
        <f>IF(ISNA(_xlfn.XLOOKUP(H480,agent_info!$A$2:$A$301, agent_info!$A$2:$A$301)), "Invalid", "Ok")</f>
        <v>Ok</v>
      </c>
    </row>
    <row r="481" spans="1:11" x14ac:dyDescent="0.3">
      <c r="A481" s="1" t="s">
        <v>4039</v>
      </c>
      <c r="B481" s="1" t="s">
        <v>1402</v>
      </c>
      <c r="C481" s="1" t="s">
        <v>3318</v>
      </c>
      <c r="D481" s="1">
        <v>461143.31</v>
      </c>
      <c r="E481" s="1">
        <v>25002.639999999999</v>
      </c>
      <c r="F481" s="41">
        <v>44123</v>
      </c>
      <c r="G481" s="41">
        <v>44488</v>
      </c>
      <c r="H481" s="1" t="s">
        <v>4040</v>
      </c>
      <c r="I481" s="1" t="s">
        <v>3324</v>
      </c>
      <c r="J481" t="str">
        <f>IF(ISNA(_xlfn.XLOOKUP(B481,customer_master!$A$2:$A$1649, customer_master!$A$2:$A$1649)), "Invalid", "Ok")</f>
        <v>Ok</v>
      </c>
      <c r="K481" t="str">
        <f>IF(ISNA(_xlfn.XLOOKUP(H481,agent_info!$A$2:$A$301, agent_info!$A$2:$A$301)), "Invalid", "Ok")</f>
        <v>Ok</v>
      </c>
    </row>
    <row r="482" spans="1:11" x14ac:dyDescent="0.3">
      <c r="A482" s="1" t="s">
        <v>4041</v>
      </c>
      <c r="B482" s="1" t="s">
        <v>2796</v>
      </c>
      <c r="C482" s="1" t="s">
        <v>3331</v>
      </c>
      <c r="D482" s="1">
        <v>694274.31</v>
      </c>
      <c r="E482" s="1">
        <v>36547.25</v>
      </c>
      <c r="F482" s="41">
        <v>45561</v>
      </c>
      <c r="G482" s="41">
        <v>45926</v>
      </c>
      <c r="H482" s="1" t="s">
        <v>3562</v>
      </c>
      <c r="I482" s="1" t="s">
        <v>3320</v>
      </c>
      <c r="J482" t="str">
        <f>IF(ISNA(_xlfn.XLOOKUP(B482,customer_master!$A$2:$A$1649, customer_master!$A$2:$A$1649)), "Invalid", "Ok")</f>
        <v>Ok</v>
      </c>
      <c r="K482" t="str">
        <f>IF(ISNA(_xlfn.XLOOKUP(H482,agent_info!$A$2:$A$301, agent_info!$A$2:$A$301)), "Invalid", "Ok")</f>
        <v>Ok</v>
      </c>
    </row>
    <row r="483" spans="1:11" x14ac:dyDescent="0.3">
      <c r="A483" s="1" t="s">
        <v>4042</v>
      </c>
      <c r="B483" s="1" t="s">
        <v>1813</v>
      </c>
      <c r="C483" s="1" t="s">
        <v>3331</v>
      </c>
      <c r="D483" s="1">
        <v>395299.24</v>
      </c>
      <c r="E483" s="1">
        <v>21443.94</v>
      </c>
      <c r="F483" s="41">
        <v>44907</v>
      </c>
      <c r="G483" s="41">
        <v>45272</v>
      </c>
      <c r="H483" s="1" t="s">
        <v>3745</v>
      </c>
      <c r="I483" s="1" t="s">
        <v>3316</v>
      </c>
      <c r="J483" t="str">
        <f>IF(ISNA(_xlfn.XLOOKUP(B483,customer_master!$A$2:$A$1649, customer_master!$A$2:$A$1649)), "Invalid", "Ok")</f>
        <v>Ok</v>
      </c>
      <c r="K483" t="str">
        <f>IF(ISNA(_xlfn.XLOOKUP(H483,agent_info!$A$2:$A$301, agent_info!$A$2:$A$301)), "Invalid", "Ok")</f>
        <v>Ok</v>
      </c>
    </row>
    <row r="484" spans="1:11" x14ac:dyDescent="0.3">
      <c r="A484" s="1" t="s">
        <v>4043</v>
      </c>
      <c r="B484" s="1" t="s">
        <v>2054</v>
      </c>
      <c r="C484" s="1" t="s">
        <v>3331</v>
      </c>
      <c r="D484" s="1">
        <v>735973.52</v>
      </c>
      <c r="E484" s="1">
        <v>36885.360000000001</v>
      </c>
      <c r="F484" s="41">
        <v>45803</v>
      </c>
      <c r="G484" s="41">
        <v>46168</v>
      </c>
      <c r="H484" s="1" t="s">
        <v>3734</v>
      </c>
      <c r="I484" s="1" t="s">
        <v>3324</v>
      </c>
      <c r="J484" t="str">
        <f>IF(ISNA(_xlfn.XLOOKUP(B484,customer_master!$A$2:$A$1649, customer_master!$A$2:$A$1649)), "Invalid", "Ok")</f>
        <v>Ok</v>
      </c>
      <c r="K484" t="str">
        <f>IF(ISNA(_xlfn.XLOOKUP(H484,agent_info!$A$2:$A$301, agent_info!$A$2:$A$301)), "Invalid", "Ok")</f>
        <v>Ok</v>
      </c>
    </row>
    <row r="485" spans="1:11" x14ac:dyDescent="0.3">
      <c r="A485" s="1" t="s">
        <v>4044</v>
      </c>
      <c r="B485" s="1" t="s">
        <v>719</v>
      </c>
      <c r="C485" s="1" t="s">
        <v>3331</v>
      </c>
      <c r="D485" s="1">
        <v>397596.83</v>
      </c>
      <c r="E485" s="1">
        <v>19667.79</v>
      </c>
      <c r="F485" s="41">
        <v>44320</v>
      </c>
      <c r="G485" s="41">
        <v>44685</v>
      </c>
      <c r="H485" s="1" t="s">
        <v>4045</v>
      </c>
      <c r="I485" s="1" t="s">
        <v>3320</v>
      </c>
      <c r="J485" t="str">
        <f>IF(ISNA(_xlfn.XLOOKUP(B485,customer_master!$A$2:$A$1649, customer_master!$A$2:$A$1649)), "Invalid", "Ok")</f>
        <v>Ok</v>
      </c>
      <c r="K485" t="str">
        <f>IF(ISNA(_xlfn.XLOOKUP(H485,agent_info!$A$2:$A$301, agent_info!$A$2:$A$301)), "Invalid", "Ok")</f>
        <v>Ok</v>
      </c>
    </row>
    <row r="486" spans="1:11" x14ac:dyDescent="0.3">
      <c r="A486" s="1" t="s">
        <v>4046</v>
      </c>
      <c r="B486" s="1" t="s">
        <v>292</v>
      </c>
      <c r="C486" s="1" t="s">
        <v>3331</v>
      </c>
      <c r="D486" s="1">
        <v>739552.95</v>
      </c>
      <c r="E486" s="1">
        <v>37466.410000000003</v>
      </c>
      <c r="F486" s="41">
        <v>46128</v>
      </c>
      <c r="G486" s="41">
        <v>46493</v>
      </c>
      <c r="H486" s="1" t="s">
        <v>3698</v>
      </c>
      <c r="I486" s="1" t="s">
        <v>3316</v>
      </c>
      <c r="J486" t="str">
        <f>IF(ISNA(_xlfn.XLOOKUP(B486,customer_master!$A$2:$A$1649, customer_master!$A$2:$A$1649)), "Invalid", "Ok")</f>
        <v>Ok</v>
      </c>
      <c r="K486" t="str">
        <f>IF(ISNA(_xlfn.XLOOKUP(H486,agent_info!$A$2:$A$301, agent_info!$A$2:$A$301)), "Invalid", "Ok")</f>
        <v>Ok</v>
      </c>
    </row>
    <row r="487" spans="1:11" x14ac:dyDescent="0.3">
      <c r="A487" s="1" t="s">
        <v>4047</v>
      </c>
      <c r="B487" s="1" t="s">
        <v>2314</v>
      </c>
      <c r="C487" s="1" t="s">
        <v>3318</v>
      </c>
      <c r="D487" s="1">
        <v>405855.3</v>
      </c>
      <c r="E487" s="1">
        <v>19773.86</v>
      </c>
      <c r="F487" s="41">
        <v>44745</v>
      </c>
      <c r="G487" s="41">
        <v>45110</v>
      </c>
      <c r="H487" s="1" t="s">
        <v>3343</v>
      </c>
      <c r="I487" s="1" t="s">
        <v>3324</v>
      </c>
      <c r="J487" t="str">
        <f>IF(ISNA(_xlfn.XLOOKUP(B487,customer_master!$A$2:$A$1649, customer_master!$A$2:$A$1649)), "Invalid", "Ok")</f>
        <v>Ok</v>
      </c>
      <c r="K487" t="str">
        <f>IF(ISNA(_xlfn.XLOOKUP(H487,agent_info!$A$2:$A$301, agent_info!$A$2:$A$301)), "Invalid", "Ok")</f>
        <v>Ok</v>
      </c>
    </row>
    <row r="488" spans="1:11" x14ac:dyDescent="0.3">
      <c r="A488" s="1" t="s">
        <v>4048</v>
      </c>
      <c r="B488" s="1" t="s">
        <v>2091</v>
      </c>
      <c r="C488" s="1" t="s">
        <v>3318</v>
      </c>
      <c r="D488" s="1">
        <v>707836.6</v>
      </c>
      <c r="E488" s="1">
        <v>33344.85</v>
      </c>
      <c r="F488" s="41">
        <v>44603</v>
      </c>
      <c r="G488" s="41">
        <v>44968</v>
      </c>
      <c r="H488" s="1" t="s">
        <v>3509</v>
      </c>
      <c r="I488" s="1" t="s">
        <v>3324</v>
      </c>
      <c r="J488" t="str">
        <f>IF(ISNA(_xlfn.XLOOKUP(B488,customer_master!$A$2:$A$1649, customer_master!$A$2:$A$1649)), "Invalid", "Ok")</f>
        <v>Ok</v>
      </c>
      <c r="K488" t="str">
        <f>IF(ISNA(_xlfn.XLOOKUP(H488,agent_info!$A$2:$A$301, agent_info!$A$2:$A$301)), "Invalid", "Ok")</f>
        <v>Ok</v>
      </c>
    </row>
    <row r="489" spans="1:11" x14ac:dyDescent="0.3">
      <c r="A489" s="1" t="s">
        <v>4049</v>
      </c>
      <c r="B489" s="1" t="s">
        <v>2760</v>
      </c>
      <c r="C489" s="1" t="s">
        <v>3334</v>
      </c>
      <c r="D489" s="1">
        <v>705062.83</v>
      </c>
      <c r="E489" s="1">
        <v>37626.81</v>
      </c>
      <c r="F489" s="41">
        <v>45851</v>
      </c>
      <c r="G489" s="41">
        <v>46216</v>
      </c>
      <c r="H489" s="1" t="s">
        <v>3507</v>
      </c>
      <c r="I489" s="1" t="s">
        <v>3324</v>
      </c>
      <c r="J489" t="str">
        <f>IF(ISNA(_xlfn.XLOOKUP(B489,customer_master!$A$2:$A$1649, customer_master!$A$2:$A$1649)), "Invalid", "Ok")</f>
        <v>Ok</v>
      </c>
      <c r="K489" t="str">
        <f>IF(ISNA(_xlfn.XLOOKUP(H489,agent_info!$A$2:$A$301, agent_info!$A$2:$A$301)), "Invalid", "Ok")</f>
        <v>Ok</v>
      </c>
    </row>
    <row r="490" spans="1:11" x14ac:dyDescent="0.3">
      <c r="A490" s="1" t="s">
        <v>4050</v>
      </c>
      <c r="B490" s="1" t="s">
        <v>2806</v>
      </c>
      <c r="C490" s="1" t="s">
        <v>3318</v>
      </c>
      <c r="D490" s="1">
        <v>602692.21</v>
      </c>
      <c r="E490" s="1">
        <v>31222.66</v>
      </c>
      <c r="F490" s="41">
        <v>45525</v>
      </c>
      <c r="G490" s="41">
        <v>45890</v>
      </c>
      <c r="H490" s="1" t="s">
        <v>4045</v>
      </c>
      <c r="I490" s="1" t="s">
        <v>3324</v>
      </c>
      <c r="J490" t="str">
        <f>IF(ISNA(_xlfn.XLOOKUP(B490,customer_master!$A$2:$A$1649, customer_master!$A$2:$A$1649)), "Invalid", "Ok")</f>
        <v>Ok</v>
      </c>
      <c r="K490" t="str">
        <f>IF(ISNA(_xlfn.XLOOKUP(H490,agent_info!$A$2:$A$301, agent_info!$A$2:$A$301)), "Invalid", "Ok")</f>
        <v>Ok</v>
      </c>
    </row>
    <row r="491" spans="1:11" x14ac:dyDescent="0.3">
      <c r="A491" s="1" t="s">
        <v>4051</v>
      </c>
      <c r="B491" s="1" t="s">
        <v>2127</v>
      </c>
      <c r="C491" s="1" t="s">
        <v>3331</v>
      </c>
      <c r="D491" s="1">
        <v>395228.69</v>
      </c>
      <c r="E491" s="1">
        <v>19072.39</v>
      </c>
      <c r="F491" s="41">
        <v>46140</v>
      </c>
      <c r="G491" s="41">
        <v>46505</v>
      </c>
      <c r="H491" s="1" t="s">
        <v>4052</v>
      </c>
      <c r="I491" s="1" t="s">
        <v>3324</v>
      </c>
      <c r="J491" t="str">
        <f>IF(ISNA(_xlfn.XLOOKUP(B491,customer_master!$A$2:$A$1649, customer_master!$A$2:$A$1649)), "Invalid", "Ok")</f>
        <v>Ok</v>
      </c>
      <c r="K491" t="str">
        <f>IF(ISNA(_xlfn.XLOOKUP(H491,agent_info!$A$2:$A$301, agent_info!$A$2:$A$301)), "Invalid", "Ok")</f>
        <v>Ok</v>
      </c>
    </row>
    <row r="492" spans="1:11" x14ac:dyDescent="0.3">
      <c r="A492" s="1" t="s">
        <v>4053</v>
      </c>
      <c r="B492" s="1" t="s">
        <v>1805</v>
      </c>
      <c r="C492" s="1" t="s">
        <v>3331</v>
      </c>
      <c r="D492" s="1">
        <v>618465.98</v>
      </c>
      <c r="E492" s="1">
        <v>30591.07</v>
      </c>
      <c r="F492" s="41">
        <v>46218</v>
      </c>
      <c r="G492" s="41">
        <v>46583</v>
      </c>
      <c r="H492" s="1" t="s">
        <v>3404</v>
      </c>
      <c r="I492" s="1" t="s">
        <v>3316</v>
      </c>
      <c r="J492" t="str">
        <f>IF(ISNA(_xlfn.XLOOKUP(B492,customer_master!$A$2:$A$1649, customer_master!$A$2:$A$1649)), "Invalid", "Ok")</f>
        <v>Ok</v>
      </c>
      <c r="K492" t="str">
        <f>IF(ISNA(_xlfn.XLOOKUP(H492,agent_info!$A$2:$A$301, agent_info!$A$2:$A$301)), "Invalid", "Ok")</f>
        <v>Ok</v>
      </c>
    </row>
    <row r="493" spans="1:11" x14ac:dyDescent="0.3">
      <c r="A493" s="1" t="s">
        <v>4054</v>
      </c>
      <c r="B493" s="1" t="s">
        <v>3035</v>
      </c>
      <c r="C493" s="1" t="s">
        <v>3331</v>
      </c>
      <c r="D493" s="1">
        <v>617208.41</v>
      </c>
      <c r="E493" s="1">
        <v>29165.86</v>
      </c>
      <c r="F493" s="41">
        <v>46263</v>
      </c>
      <c r="G493" s="41">
        <v>46628</v>
      </c>
      <c r="H493" s="1" t="s">
        <v>4055</v>
      </c>
      <c r="I493" s="1" t="s">
        <v>3324</v>
      </c>
      <c r="J493" t="str">
        <f>IF(ISNA(_xlfn.XLOOKUP(B493,customer_master!$A$2:$A$1649, customer_master!$A$2:$A$1649)), "Invalid", "Ok")</f>
        <v>Ok</v>
      </c>
      <c r="K493" t="str">
        <f>IF(ISNA(_xlfn.XLOOKUP(H493,agent_info!$A$2:$A$301, agent_info!$A$2:$A$301)), "Invalid", "Ok")</f>
        <v>Ok</v>
      </c>
    </row>
    <row r="494" spans="1:11" x14ac:dyDescent="0.3">
      <c r="A494" s="1" t="s">
        <v>4056</v>
      </c>
      <c r="B494" s="1" t="s">
        <v>2653</v>
      </c>
      <c r="C494" s="1" t="s">
        <v>3334</v>
      </c>
      <c r="D494" s="1">
        <v>599521.03</v>
      </c>
      <c r="E494" s="1">
        <v>30352.78</v>
      </c>
      <c r="F494" s="41">
        <v>46009</v>
      </c>
      <c r="G494" s="41">
        <v>46374</v>
      </c>
      <c r="H494" s="1" t="s">
        <v>3641</v>
      </c>
      <c r="I494" s="1" t="s">
        <v>3316</v>
      </c>
      <c r="J494" t="str">
        <f>IF(ISNA(_xlfn.XLOOKUP(B494,customer_master!$A$2:$A$1649, customer_master!$A$2:$A$1649)), "Invalid", "Ok")</f>
        <v>Ok</v>
      </c>
      <c r="K494" t="str">
        <f>IF(ISNA(_xlfn.XLOOKUP(H494,agent_info!$A$2:$A$301, agent_info!$A$2:$A$301)), "Invalid", "Ok")</f>
        <v>Ok</v>
      </c>
    </row>
    <row r="495" spans="1:11" x14ac:dyDescent="0.3">
      <c r="A495" s="1" t="s">
        <v>4057</v>
      </c>
      <c r="B495" s="1" t="s">
        <v>2937</v>
      </c>
      <c r="C495" s="1" t="s">
        <v>3331</v>
      </c>
      <c r="D495" s="1">
        <v>622427.01</v>
      </c>
      <c r="E495" s="1">
        <v>30239.73</v>
      </c>
      <c r="F495" s="41">
        <v>46002</v>
      </c>
      <c r="G495" s="41">
        <v>46367</v>
      </c>
      <c r="H495" s="1" t="s">
        <v>4058</v>
      </c>
      <c r="I495" s="1" t="s">
        <v>3324</v>
      </c>
      <c r="J495" t="str">
        <f>IF(ISNA(_xlfn.XLOOKUP(B495,customer_master!$A$2:$A$1649, customer_master!$A$2:$A$1649)), "Invalid", "Ok")</f>
        <v>Ok</v>
      </c>
      <c r="K495" t="str">
        <f>IF(ISNA(_xlfn.XLOOKUP(H495,agent_info!$A$2:$A$301, agent_info!$A$2:$A$301)), "Invalid", "Ok")</f>
        <v>Ok</v>
      </c>
    </row>
    <row r="496" spans="1:11" x14ac:dyDescent="0.3">
      <c r="A496" s="1" t="s">
        <v>4059</v>
      </c>
      <c r="B496" s="1" t="s">
        <v>3295</v>
      </c>
      <c r="C496" s="1" t="s">
        <v>3318</v>
      </c>
      <c r="D496" s="1">
        <v>743944.6</v>
      </c>
      <c r="E496" s="1">
        <v>39991.300000000003</v>
      </c>
      <c r="F496" s="41">
        <v>44220</v>
      </c>
      <c r="G496" s="41">
        <v>44585</v>
      </c>
      <c r="H496" s="1" t="s">
        <v>3515</v>
      </c>
      <c r="I496" s="1" t="s">
        <v>3324</v>
      </c>
      <c r="J496" t="str">
        <f>IF(ISNA(_xlfn.XLOOKUP(B496,customer_master!$A$2:$A$1649, customer_master!$A$2:$A$1649)), "Invalid", "Ok")</f>
        <v>Ok</v>
      </c>
      <c r="K496" t="str">
        <f>IF(ISNA(_xlfn.XLOOKUP(H496,agent_info!$A$2:$A$301, agent_info!$A$2:$A$301)), "Invalid", "Ok")</f>
        <v>Ok</v>
      </c>
    </row>
    <row r="497" spans="1:11" x14ac:dyDescent="0.3">
      <c r="A497" s="1" t="s">
        <v>4060</v>
      </c>
      <c r="B497" s="1" t="s">
        <v>1372</v>
      </c>
      <c r="C497" s="1" t="s">
        <v>3334</v>
      </c>
      <c r="D497" s="1">
        <v>768270.29</v>
      </c>
      <c r="E497" s="1">
        <v>38631.42</v>
      </c>
      <c r="F497" s="41">
        <v>44393</v>
      </c>
      <c r="G497" s="41">
        <v>44758</v>
      </c>
      <c r="H497" s="1" t="s">
        <v>3976</v>
      </c>
      <c r="I497" s="1" t="s">
        <v>3316</v>
      </c>
      <c r="J497" t="str">
        <f>IF(ISNA(_xlfn.XLOOKUP(B497,customer_master!$A$2:$A$1649, customer_master!$A$2:$A$1649)), "Invalid", "Ok")</f>
        <v>Ok</v>
      </c>
      <c r="K497" t="str">
        <f>IF(ISNA(_xlfn.XLOOKUP(H497,agent_info!$A$2:$A$301, agent_info!$A$2:$A$301)), "Invalid", "Ok")</f>
        <v>Ok</v>
      </c>
    </row>
    <row r="498" spans="1:11" x14ac:dyDescent="0.3">
      <c r="A498" s="1" t="s">
        <v>4061</v>
      </c>
      <c r="B498" s="1" t="s">
        <v>2398</v>
      </c>
      <c r="C498" s="1" t="s">
        <v>3326</v>
      </c>
      <c r="D498" s="1">
        <v>532173.53</v>
      </c>
      <c r="E498" s="1">
        <v>26138.93</v>
      </c>
      <c r="F498" s="41">
        <v>46102</v>
      </c>
      <c r="G498" s="41">
        <v>46467</v>
      </c>
      <c r="H498" s="1" t="s">
        <v>3603</v>
      </c>
      <c r="I498" s="1" t="s">
        <v>3324</v>
      </c>
      <c r="J498" t="str">
        <f>IF(ISNA(_xlfn.XLOOKUP(B498,customer_master!$A$2:$A$1649, customer_master!$A$2:$A$1649)), "Invalid", "Ok")</f>
        <v>Ok</v>
      </c>
      <c r="K498" t="str">
        <f>IF(ISNA(_xlfn.XLOOKUP(H498,agent_info!$A$2:$A$301, agent_info!$A$2:$A$301)), "Invalid", "Ok")</f>
        <v>Ok</v>
      </c>
    </row>
    <row r="499" spans="1:11" x14ac:dyDescent="0.3">
      <c r="A499" s="1" t="s">
        <v>4062</v>
      </c>
      <c r="B499" s="1" t="s">
        <v>2300</v>
      </c>
      <c r="C499" s="1" t="s">
        <v>3334</v>
      </c>
      <c r="D499" s="1">
        <v>420343.24</v>
      </c>
      <c r="E499" s="1">
        <v>22066.42</v>
      </c>
      <c r="F499" s="41">
        <v>45819</v>
      </c>
      <c r="G499" s="41">
        <v>46184</v>
      </c>
      <c r="H499" s="1" t="s">
        <v>3425</v>
      </c>
      <c r="I499" s="1" t="s">
        <v>3324</v>
      </c>
      <c r="J499" t="str">
        <f>IF(ISNA(_xlfn.XLOOKUP(B499,customer_master!$A$2:$A$1649, customer_master!$A$2:$A$1649)), "Invalid", "Ok")</f>
        <v>Ok</v>
      </c>
      <c r="K499" t="str">
        <f>IF(ISNA(_xlfn.XLOOKUP(H499,agent_info!$A$2:$A$301, agent_info!$A$2:$A$301)), "Invalid", "Ok")</f>
        <v>Ok</v>
      </c>
    </row>
    <row r="500" spans="1:11" x14ac:dyDescent="0.3">
      <c r="A500" s="1" t="s">
        <v>4063</v>
      </c>
      <c r="B500" s="1" t="s">
        <v>618</v>
      </c>
      <c r="C500" s="1" t="s">
        <v>3331</v>
      </c>
      <c r="D500" s="1">
        <v>432609.19</v>
      </c>
      <c r="E500" s="1">
        <v>23382.959999999999</v>
      </c>
      <c r="F500" s="41">
        <v>44497</v>
      </c>
      <c r="G500" s="41">
        <v>44862</v>
      </c>
      <c r="H500" s="1" t="s">
        <v>3712</v>
      </c>
      <c r="I500" s="1" t="s">
        <v>3316</v>
      </c>
      <c r="J500" t="str">
        <f>IF(ISNA(_xlfn.XLOOKUP(B500,customer_master!$A$2:$A$1649, customer_master!$A$2:$A$1649)), "Invalid", "Ok")</f>
        <v>Ok</v>
      </c>
      <c r="K500" t="str">
        <f>IF(ISNA(_xlfn.XLOOKUP(H500,agent_info!$A$2:$A$301, agent_info!$A$2:$A$301)), "Invalid", "Ok")</f>
        <v>Ok</v>
      </c>
    </row>
    <row r="501" spans="1:11" x14ac:dyDescent="0.3">
      <c r="A501" s="1" t="s">
        <v>4064</v>
      </c>
      <c r="B501" s="1" t="s">
        <v>2141</v>
      </c>
      <c r="C501" s="1" t="s">
        <v>3334</v>
      </c>
      <c r="D501" s="1">
        <v>662335.09</v>
      </c>
      <c r="E501" s="1">
        <v>35219.129999999997</v>
      </c>
      <c r="F501" s="41">
        <v>44906</v>
      </c>
      <c r="G501" s="41">
        <v>45271</v>
      </c>
      <c r="H501" s="1" t="s">
        <v>3885</v>
      </c>
      <c r="I501" s="1" t="s">
        <v>3324</v>
      </c>
      <c r="J501" t="str">
        <f>IF(ISNA(_xlfn.XLOOKUP(B501,customer_master!$A$2:$A$1649, customer_master!$A$2:$A$1649)), "Invalid", "Ok")</f>
        <v>Ok</v>
      </c>
      <c r="K501" t="str">
        <f>IF(ISNA(_xlfn.XLOOKUP(H501,agent_info!$A$2:$A$301, agent_info!$A$2:$A$301)), "Invalid", "Ok")</f>
        <v>Ok</v>
      </c>
    </row>
    <row r="502" spans="1:11" x14ac:dyDescent="0.3">
      <c r="A502" s="1" t="s">
        <v>4065</v>
      </c>
      <c r="B502" s="1" t="s">
        <v>1441</v>
      </c>
      <c r="C502" s="1" t="s">
        <v>3326</v>
      </c>
      <c r="D502" s="1">
        <v>693687.26</v>
      </c>
      <c r="E502" s="1">
        <v>34649.1</v>
      </c>
      <c r="F502" s="41">
        <v>44897</v>
      </c>
      <c r="G502" s="41">
        <v>45262</v>
      </c>
      <c r="H502" s="1" t="s">
        <v>3527</v>
      </c>
      <c r="I502" s="1" t="s">
        <v>3324</v>
      </c>
      <c r="J502" t="str">
        <f>IF(ISNA(_xlfn.XLOOKUP(B502,customer_master!$A$2:$A$1649, customer_master!$A$2:$A$1649)), "Invalid", "Ok")</f>
        <v>Ok</v>
      </c>
      <c r="K502" t="str">
        <f>IF(ISNA(_xlfn.XLOOKUP(H502,agent_info!$A$2:$A$301, agent_info!$A$2:$A$301)), "Invalid", "Ok")</f>
        <v>Ok</v>
      </c>
    </row>
    <row r="503" spans="1:11" x14ac:dyDescent="0.3">
      <c r="A503" s="1" t="s">
        <v>4066</v>
      </c>
      <c r="B503" s="1" t="s">
        <v>1511</v>
      </c>
      <c r="C503" s="1" t="s">
        <v>3334</v>
      </c>
      <c r="D503" s="1">
        <v>552881.26</v>
      </c>
      <c r="E503" s="1">
        <v>26850.37</v>
      </c>
      <c r="F503" s="41">
        <v>45391</v>
      </c>
      <c r="G503" s="41">
        <v>45756</v>
      </c>
      <c r="H503" s="1" t="s">
        <v>4067</v>
      </c>
      <c r="I503" s="1" t="s">
        <v>3320</v>
      </c>
      <c r="J503" t="str">
        <f>IF(ISNA(_xlfn.XLOOKUP(B503,customer_master!$A$2:$A$1649, customer_master!$A$2:$A$1649)), "Invalid", "Ok")</f>
        <v>Ok</v>
      </c>
      <c r="K503" t="str">
        <f>IF(ISNA(_xlfn.XLOOKUP(H503,agent_info!$A$2:$A$301, agent_info!$A$2:$A$301)), "Invalid", "Ok")</f>
        <v>Ok</v>
      </c>
    </row>
    <row r="504" spans="1:11" x14ac:dyDescent="0.3">
      <c r="A504" s="1" t="s">
        <v>4068</v>
      </c>
      <c r="B504" s="1" t="s">
        <v>638</v>
      </c>
      <c r="C504" s="1" t="s">
        <v>3314</v>
      </c>
      <c r="D504" s="1">
        <v>422744.92</v>
      </c>
      <c r="E504" s="1">
        <v>21822.639999999999</v>
      </c>
      <c r="F504" s="41">
        <v>46218</v>
      </c>
      <c r="G504" s="41">
        <v>46583</v>
      </c>
      <c r="H504" s="1" t="s">
        <v>3838</v>
      </c>
      <c r="I504" s="1" t="s">
        <v>3324</v>
      </c>
      <c r="J504" t="str">
        <f>IF(ISNA(_xlfn.XLOOKUP(B504,customer_master!$A$2:$A$1649, customer_master!$A$2:$A$1649)), "Invalid", "Ok")</f>
        <v>Ok</v>
      </c>
      <c r="K504" t="str">
        <f>IF(ISNA(_xlfn.XLOOKUP(H504,agent_info!$A$2:$A$301, agent_info!$A$2:$A$301)), "Invalid", "Ok")</f>
        <v>Ok</v>
      </c>
    </row>
    <row r="505" spans="1:11" x14ac:dyDescent="0.3">
      <c r="A505" s="1" t="s">
        <v>4069</v>
      </c>
      <c r="B505" s="1" t="s">
        <v>2482</v>
      </c>
      <c r="C505" s="1" t="s">
        <v>3326</v>
      </c>
      <c r="D505" s="1">
        <v>473565.59</v>
      </c>
      <c r="E505" s="1">
        <v>25178.86</v>
      </c>
      <c r="F505" s="41">
        <v>44613</v>
      </c>
      <c r="G505" s="41">
        <v>44978</v>
      </c>
      <c r="H505" s="1" t="s">
        <v>4012</v>
      </c>
      <c r="I505" s="1" t="s">
        <v>3316</v>
      </c>
      <c r="J505" t="str">
        <f>IF(ISNA(_xlfn.XLOOKUP(B505,customer_master!$A$2:$A$1649, customer_master!$A$2:$A$1649)), "Invalid", "Ok")</f>
        <v>Ok</v>
      </c>
      <c r="K505" t="str">
        <f>IF(ISNA(_xlfn.XLOOKUP(H505,agent_info!$A$2:$A$301, agent_info!$A$2:$A$301)), "Invalid", "Ok")</f>
        <v>Ok</v>
      </c>
    </row>
    <row r="506" spans="1:11" x14ac:dyDescent="0.3">
      <c r="A506" s="1" t="s">
        <v>4070</v>
      </c>
      <c r="B506" s="1" t="s">
        <v>2329</v>
      </c>
      <c r="C506" s="1" t="s">
        <v>3326</v>
      </c>
      <c r="D506" s="1">
        <v>484753.6</v>
      </c>
      <c r="E506" s="1">
        <v>26557.9</v>
      </c>
      <c r="F506" s="41">
        <v>44178</v>
      </c>
      <c r="G506" s="41">
        <v>44543</v>
      </c>
      <c r="H506" s="1" t="s">
        <v>3327</v>
      </c>
      <c r="I506" s="1" t="s">
        <v>3316</v>
      </c>
      <c r="J506" t="str">
        <f>IF(ISNA(_xlfn.XLOOKUP(B506,customer_master!$A$2:$A$1649, customer_master!$A$2:$A$1649)), "Invalid", "Ok")</f>
        <v>Ok</v>
      </c>
      <c r="K506" t="str">
        <f>IF(ISNA(_xlfn.XLOOKUP(H506,agent_info!$A$2:$A$301, agent_info!$A$2:$A$301)), "Invalid", "Ok")</f>
        <v>Ok</v>
      </c>
    </row>
    <row r="507" spans="1:11" x14ac:dyDescent="0.3">
      <c r="A507" s="1" t="s">
        <v>4071</v>
      </c>
      <c r="B507" s="1" t="s">
        <v>1785</v>
      </c>
      <c r="C507" s="1" t="s">
        <v>3318</v>
      </c>
      <c r="D507" s="1">
        <v>754713.04</v>
      </c>
      <c r="E507" s="1">
        <v>37413.019999999997</v>
      </c>
      <c r="F507" s="41">
        <v>45427</v>
      </c>
      <c r="G507" s="41">
        <v>45792</v>
      </c>
      <c r="H507" s="1" t="s">
        <v>3373</v>
      </c>
      <c r="I507" s="1" t="s">
        <v>3324</v>
      </c>
      <c r="J507" t="str">
        <f>IF(ISNA(_xlfn.XLOOKUP(B507,customer_master!$A$2:$A$1649, customer_master!$A$2:$A$1649)), "Invalid", "Ok")</f>
        <v>Ok</v>
      </c>
      <c r="K507" t="str">
        <f>IF(ISNA(_xlfn.XLOOKUP(H507,agent_info!$A$2:$A$301, agent_info!$A$2:$A$301)), "Invalid", "Ok")</f>
        <v>Ok</v>
      </c>
    </row>
    <row r="508" spans="1:11" x14ac:dyDescent="0.3">
      <c r="A508" s="1" t="s">
        <v>4072</v>
      </c>
      <c r="B508" s="1" t="s">
        <v>556</v>
      </c>
      <c r="C508" s="1" t="s">
        <v>3334</v>
      </c>
      <c r="D508" s="1">
        <v>649334.59</v>
      </c>
      <c r="E508" s="1">
        <v>33559.17</v>
      </c>
      <c r="F508" s="41">
        <v>44491</v>
      </c>
      <c r="G508" s="41">
        <v>44856</v>
      </c>
      <c r="H508" s="1" t="s">
        <v>3494</v>
      </c>
      <c r="I508" s="1" t="s">
        <v>3324</v>
      </c>
      <c r="J508" t="str">
        <f>IF(ISNA(_xlfn.XLOOKUP(B508,customer_master!$A$2:$A$1649, customer_master!$A$2:$A$1649)), "Invalid", "Ok")</f>
        <v>Ok</v>
      </c>
      <c r="K508" t="str">
        <f>IF(ISNA(_xlfn.XLOOKUP(H508,agent_info!$A$2:$A$301, agent_info!$A$2:$A$301)), "Invalid", "Ok")</f>
        <v>Ok</v>
      </c>
    </row>
    <row r="509" spans="1:11" x14ac:dyDescent="0.3">
      <c r="A509" s="1" t="s">
        <v>4073</v>
      </c>
      <c r="B509" s="1" t="s">
        <v>1869</v>
      </c>
      <c r="C509" s="1" t="s">
        <v>3314</v>
      </c>
      <c r="D509" s="1">
        <v>430378.44</v>
      </c>
      <c r="E509" s="1">
        <v>20628.48</v>
      </c>
      <c r="F509" s="41">
        <v>45250</v>
      </c>
      <c r="G509" s="41">
        <v>45616</v>
      </c>
      <c r="H509" s="1" t="s">
        <v>4074</v>
      </c>
      <c r="I509" s="1" t="s">
        <v>3324</v>
      </c>
      <c r="J509" t="str">
        <f>IF(ISNA(_xlfn.XLOOKUP(B509,customer_master!$A$2:$A$1649, customer_master!$A$2:$A$1649)), "Invalid", "Ok")</f>
        <v>Ok</v>
      </c>
      <c r="K509" t="str">
        <f>IF(ISNA(_xlfn.XLOOKUP(H509,agent_info!$A$2:$A$301, agent_info!$A$2:$A$301)), "Invalid", "Ok")</f>
        <v>Ok</v>
      </c>
    </row>
    <row r="510" spans="1:11" x14ac:dyDescent="0.3">
      <c r="A510" s="1" t="s">
        <v>4075</v>
      </c>
      <c r="B510" s="1" t="s">
        <v>361</v>
      </c>
      <c r="C510" s="1" t="s">
        <v>3334</v>
      </c>
      <c r="D510" s="1">
        <v>514774.54</v>
      </c>
      <c r="E510" s="1">
        <v>23615.09</v>
      </c>
      <c r="F510" s="41">
        <v>45807</v>
      </c>
      <c r="G510" s="41">
        <v>46172</v>
      </c>
      <c r="H510" s="1" t="s">
        <v>4076</v>
      </c>
      <c r="I510" s="1" t="s">
        <v>3324</v>
      </c>
      <c r="J510" t="str">
        <f>IF(ISNA(_xlfn.XLOOKUP(B510,customer_master!$A$2:$A$1649, customer_master!$A$2:$A$1649)), "Invalid", "Ok")</f>
        <v>Ok</v>
      </c>
      <c r="K510" t="str">
        <f>IF(ISNA(_xlfn.XLOOKUP(H510,agent_info!$A$2:$A$301, agent_info!$A$2:$A$301)), "Invalid", "Ok")</f>
        <v>Ok</v>
      </c>
    </row>
    <row r="511" spans="1:11" x14ac:dyDescent="0.3">
      <c r="A511" s="1" t="s">
        <v>4077</v>
      </c>
      <c r="B511" s="1" t="s">
        <v>1147</v>
      </c>
      <c r="C511" s="1" t="s">
        <v>3318</v>
      </c>
      <c r="D511" s="1">
        <v>396355.19</v>
      </c>
      <c r="E511" s="1">
        <v>18838.990000000002</v>
      </c>
      <c r="F511" s="41">
        <v>44795</v>
      </c>
      <c r="G511" s="41">
        <v>45160</v>
      </c>
      <c r="H511" s="1" t="s">
        <v>3767</v>
      </c>
      <c r="I511" s="1" t="s">
        <v>3324</v>
      </c>
      <c r="J511" t="str">
        <f>IF(ISNA(_xlfn.XLOOKUP(B511,customer_master!$A$2:$A$1649, customer_master!$A$2:$A$1649)), "Invalid", "Ok")</f>
        <v>Ok</v>
      </c>
      <c r="K511" t="str">
        <f>IF(ISNA(_xlfn.XLOOKUP(H511,agent_info!$A$2:$A$301, agent_info!$A$2:$A$301)), "Invalid", "Ok")</f>
        <v>Ok</v>
      </c>
    </row>
    <row r="512" spans="1:11" x14ac:dyDescent="0.3">
      <c r="A512" s="1" t="s">
        <v>4078</v>
      </c>
      <c r="B512" s="1" t="s">
        <v>1265</v>
      </c>
      <c r="C512" s="1" t="s">
        <v>3334</v>
      </c>
      <c r="D512" s="1">
        <v>636428.30000000005</v>
      </c>
      <c r="E512" s="1">
        <v>28731.49</v>
      </c>
      <c r="F512" s="41">
        <v>44193</v>
      </c>
      <c r="G512" s="41">
        <v>44558</v>
      </c>
      <c r="H512" s="1" t="s">
        <v>3772</v>
      </c>
      <c r="I512" s="1" t="s">
        <v>3316</v>
      </c>
      <c r="J512" t="str">
        <f>IF(ISNA(_xlfn.XLOOKUP(B512,customer_master!$A$2:$A$1649, customer_master!$A$2:$A$1649)), "Invalid", "Ok")</f>
        <v>Ok</v>
      </c>
      <c r="K512" t="str">
        <f>IF(ISNA(_xlfn.XLOOKUP(H512,agent_info!$A$2:$A$301, agent_info!$A$2:$A$301)), "Invalid", "Ok")</f>
        <v>Ok</v>
      </c>
    </row>
    <row r="513" spans="1:11" x14ac:dyDescent="0.3">
      <c r="A513" s="1" t="s">
        <v>4079</v>
      </c>
      <c r="B513" s="1" t="s">
        <v>2939</v>
      </c>
      <c r="C513" s="1" t="s">
        <v>3334</v>
      </c>
      <c r="D513" s="1">
        <v>644004.62</v>
      </c>
      <c r="E513" s="1">
        <v>32260.95</v>
      </c>
      <c r="F513" s="41">
        <v>45820</v>
      </c>
      <c r="G513" s="41">
        <v>46185</v>
      </c>
      <c r="H513" s="1" t="s">
        <v>3515</v>
      </c>
      <c r="I513" s="1" t="s">
        <v>3324</v>
      </c>
      <c r="J513" t="str">
        <f>IF(ISNA(_xlfn.XLOOKUP(B513,customer_master!$A$2:$A$1649, customer_master!$A$2:$A$1649)), "Invalid", "Ok")</f>
        <v>Ok</v>
      </c>
      <c r="K513" t="str">
        <f>IF(ISNA(_xlfn.XLOOKUP(H513,agent_info!$A$2:$A$301, agent_info!$A$2:$A$301)), "Invalid", "Ok")</f>
        <v>Ok</v>
      </c>
    </row>
    <row r="514" spans="1:11" x14ac:dyDescent="0.3">
      <c r="A514" s="1" t="s">
        <v>4080</v>
      </c>
      <c r="B514" s="1" t="s">
        <v>1408</v>
      </c>
      <c r="C514" s="1" t="s">
        <v>3334</v>
      </c>
      <c r="D514" s="1">
        <v>407136.25</v>
      </c>
      <c r="E514" s="1">
        <v>19840.39</v>
      </c>
      <c r="F514" s="41">
        <v>45990</v>
      </c>
      <c r="G514" s="41">
        <v>46355</v>
      </c>
      <c r="H514" s="1" t="s">
        <v>3502</v>
      </c>
      <c r="I514" s="1" t="s">
        <v>3324</v>
      </c>
      <c r="J514" t="str">
        <f>IF(ISNA(_xlfn.XLOOKUP(B514,customer_master!$A$2:$A$1649, customer_master!$A$2:$A$1649)), "Invalid", "Ok")</f>
        <v>Ok</v>
      </c>
      <c r="K514" t="str">
        <f>IF(ISNA(_xlfn.XLOOKUP(H514,agent_info!$A$2:$A$301, agent_info!$A$2:$A$301)), "Invalid", "Ok")</f>
        <v>Ok</v>
      </c>
    </row>
    <row r="515" spans="1:11" x14ac:dyDescent="0.3">
      <c r="A515" s="1" t="s">
        <v>4081</v>
      </c>
      <c r="B515" s="1" t="s">
        <v>2002</v>
      </c>
      <c r="C515" s="1" t="s">
        <v>3334</v>
      </c>
      <c r="D515" s="1">
        <v>514175.18</v>
      </c>
      <c r="E515" s="1">
        <v>26625.4</v>
      </c>
      <c r="F515" s="41">
        <v>45943</v>
      </c>
      <c r="G515" s="41">
        <v>46308</v>
      </c>
      <c r="H515" s="1" t="s">
        <v>3543</v>
      </c>
      <c r="I515" s="1" t="s">
        <v>3324</v>
      </c>
      <c r="J515" t="str">
        <f>IF(ISNA(_xlfn.XLOOKUP(B515,customer_master!$A$2:$A$1649, customer_master!$A$2:$A$1649)), "Invalid", "Ok")</f>
        <v>Ok</v>
      </c>
      <c r="K515" t="str">
        <f>IF(ISNA(_xlfn.XLOOKUP(H515,agent_info!$A$2:$A$301, agent_info!$A$2:$A$301)), "Invalid", "Ok")</f>
        <v>Ok</v>
      </c>
    </row>
    <row r="516" spans="1:11" x14ac:dyDescent="0.3">
      <c r="A516" s="1" t="s">
        <v>4082</v>
      </c>
      <c r="B516" s="1" t="s">
        <v>2907</v>
      </c>
      <c r="C516" s="1" t="s">
        <v>3331</v>
      </c>
      <c r="D516" s="1">
        <v>725932.84</v>
      </c>
      <c r="E516" s="1">
        <v>37133.74</v>
      </c>
      <c r="F516" s="41">
        <v>46199</v>
      </c>
      <c r="G516" s="41">
        <v>46564</v>
      </c>
      <c r="H516" s="1" t="s">
        <v>4027</v>
      </c>
      <c r="I516" s="1" t="s">
        <v>3320</v>
      </c>
      <c r="J516" t="str">
        <f>IF(ISNA(_xlfn.XLOOKUP(B516,customer_master!$A$2:$A$1649, customer_master!$A$2:$A$1649)), "Invalid", "Ok")</f>
        <v>Ok</v>
      </c>
      <c r="K516" t="str">
        <f>IF(ISNA(_xlfn.XLOOKUP(H516,agent_info!$A$2:$A$301, agent_info!$A$2:$A$301)), "Invalid", "Ok")</f>
        <v>Ok</v>
      </c>
    </row>
    <row r="517" spans="1:11" x14ac:dyDescent="0.3">
      <c r="A517" s="1" t="s">
        <v>4083</v>
      </c>
      <c r="B517" s="1" t="s">
        <v>1437</v>
      </c>
      <c r="C517" s="1" t="s">
        <v>3331</v>
      </c>
      <c r="D517" s="1">
        <v>696930.32</v>
      </c>
      <c r="E517" s="1">
        <v>32531.78</v>
      </c>
      <c r="F517" s="41">
        <v>46018</v>
      </c>
      <c r="G517" s="41">
        <v>46383</v>
      </c>
      <c r="H517" s="1" t="s">
        <v>3568</v>
      </c>
      <c r="I517" s="1" t="s">
        <v>3324</v>
      </c>
      <c r="J517" t="str">
        <f>IF(ISNA(_xlfn.XLOOKUP(B517,customer_master!$A$2:$A$1649, customer_master!$A$2:$A$1649)), "Invalid", "Ok")</f>
        <v>Ok</v>
      </c>
      <c r="K517" t="str">
        <f>IF(ISNA(_xlfn.XLOOKUP(H517,agent_info!$A$2:$A$301, agent_info!$A$2:$A$301)), "Invalid", "Ok")</f>
        <v>Ok</v>
      </c>
    </row>
    <row r="518" spans="1:11" x14ac:dyDescent="0.3">
      <c r="A518" s="1" t="s">
        <v>4084</v>
      </c>
      <c r="B518" s="1" t="s">
        <v>2939</v>
      </c>
      <c r="C518" s="1" t="s">
        <v>3326</v>
      </c>
      <c r="D518" s="1">
        <v>550974.4</v>
      </c>
      <c r="E518" s="1">
        <v>28506.43</v>
      </c>
      <c r="F518" s="41">
        <v>44535</v>
      </c>
      <c r="G518" s="41">
        <v>44900</v>
      </c>
      <c r="H518" s="1" t="s">
        <v>3760</v>
      </c>
      <c r="I518" s="1" t="s">
        <v>3324</v>
      </c>
      <c r="J518" t="str">
        <f>IF(ISNA(_xlfn.XLOOKUP(B518,customer_master!$A$2:$A$1649, customer_master!$A$2:$A$1649)), "Invalid", "Ok")</f>
        <v>Ok</v>
      </c>
      <c r="K518" t="str">
        <f>IF(ISNA(_xlfn.XLOOKUP(H518,agent_info!$A$2:$A$301, agent_info!$A$2:$A$301)), "Invalid", "Ok")</f>
        <v>Ok</v>
      </c>
    </row>
    <row r="519" spans="1:11" x14ac:dyDescent="0.3">
      <c r="A519" s="1" t="s">
        <v>4085</v>
      </c>
      <c r="B519" s="1" t="s">
        <v>483</v>
      </c>
      <c r="C519" s="1" t="s">
        <v>3318</v>
      </c>
      <c r="D519" s="1">
        <v>561187.63</v>
      </c>
      <c r="E519" s="1">
        <v>26305.11</v>
      </c>
      <c r="F519" s="41">
        <v>44255</v>
      </c>
      <c r="G519" s="41">
        <v>44620</v>
      </c>
      <c r="H519" s="1" t="s">
        <v>3581</v>
      </c>
      <c r="I519" s="1" t="s">
        <v>3324</v>
      </c>
      <c r="J519" t="str">
        <f>IF(ISNA(_xlfn.XLOOKUP(B519,customer_master!$A$2:$A$1649, customer_master!$A$2:$A$1649)), "Invalid", "Ok")</f>
        <v>Ok</v>
      </c>
      <c r="K519" t="str">
        <f>IF(ISNA(_xlfn.XLOOKUP(H519,agent_info!$A$2:$A$301, agent_info!$A$2:$A$301)), "Invalid", "Ok")</f>
        <v>Ok</v>
      </c>
    </row>
    <row r="520" spans="1:11" x14ac:dyDescent="0.3">
      <c r="A520" s="1" t="s">
        <v>4086</v>
      </c>
      <c r="B520" s="1" t="s">
        <v>1237</v>
      </c>
      <c r="C520" s="1" t="s">
        <v>3334</v>
      </c>
      <c r="D520" s="1">
        <v>767247.99</v>
      </c>
      <c r="E520" s="1">
        <v>34571.83</v>
      </c>
      <c r="F520" s="41">
        <v>45108</v>
      </c>
      <c r="G520" s="41">
        <v>45474</v>
      </c>
      <c r="H520" s="1" t="s">
        <v>4087</v>
      </c>
      <c r="I520" s="1" t="s">
        <v>3324</v>
      </c>
      <c r="J520" t="str">
        <f>IF(ISNA(_xlfn.XLOOKUP(B520,customer_master!$A$2:$A$1649, customer_master!$A$2:$A$1649)), "Invalid", "Ok")</f>
        <v>Ok</v>
      </c>
      <c r="K520" t="str">
        <f>IF(ISNA(_xlfn.XLOOKUP(H520,agent_info!$A$2:$A$301, agent_info!$A$2:$A$301)), "Invalid", "Ok")</f>
        <v>Ok</v>
      </c>
    </row>
    <row r="521" spans="1:11" x14ac:dyDescent="0.3">
      <c r="A521" s="1" t="s">
        <v>4088</v>
      </c>
      <c r="B521" s="1" t="s">
        <v>344</v>
      </c>
      <c r="C521" s="1" t="s">
        <v>3314</v>
      </c>
      <c r="D521" s="1">
        <v>663045.29</v>
      </c>
      <c r="E521" s="1">
        <v>36269.85</v>
      </c>
      <c r="F521" s="41">
        <v>45531</v>
      </c>
      <c r="G521" s="41">
        <v>45896</v>
      </c>
      <c r="H521" s="1" t="s">
        <v>3492</v>
      </c>
      <c r="I521" s="1" t="s">
        <v>3324</v>
      </c>
      <c r="J521" t="str">
        <f>IF(ISNA(_xlfn.XLOOKUP(B521,customer_master!$A$2:$A$1649, customer_master!$A$2:$A$1649)), "Invalid", "Ok")</f>
        <v>Ok</v>
      </c>
      <c r="K521" t="str">
        <f>IF(ISNA(_xlfn.XLOOKUP(H521,agent_info!$A$2:$A$301, agent_info!$A$2:$A$301)), "Invalid", "Ok")</f>
        <v>Ok</v>
      </c>
    </row>
    <row r="522" spans="1:11" x14ac:dyDescent="0.3">
      <c r="A522" s="1" t="s">
        <v>4089</v>
      </c>
      <c r="B522" s="1" t="s">
        <v>1885</v>
      </c>
      <c r="C522" s="1" t="s">
        <v>3326</v>
      </c>
      <c r="D522" s="1">
        <v>683422.32</v>
      </c>
      <c r="E522" s="1">
        <v>30938.43</v>
      </c>
      <c r="F522" s="41">
        <v>44219</v>
      </c>
      <c r="G522" s="41">
        <v>44584</v>
      </c>
      <c r="H522" s="1" t="s">
        <v>3745</v>
      </c>
      <c r="I522" s="1" t="s">
        <v>3324</v>
      </c>
      <c r="J522" t="str">
        <f>IF(ISNA(_xlfn.XLOOKUP(B522,customer_master!$A$2:$A$1649, customer_master!$A$2:$A$1649)), "Invalid", "Ok")</f>
        <v>Ok</v>
      </c>
      <c r="K522" t="str">
        <f>IF(ISNA(_xlfn.XLOOKUP(H522,agent_info!$A$2:$A$301, agent_info!$A$2:$A$301)), "Invalid", "Ok")</f>
        <v>Ok</v>
      </c>
    </row>
    <row r="523" spans="1:11" x14ac:dyDescent="0.3">
      <c r="A523" s="1" t="s">
        <v>4090</v>
      </c>
      <c r="B523" s="1" t="s">
        <v>3174</v>
      </c>
      <c r="C523" s="1" t="s">
        <v>3318</v>
      </c>
      <c r="D523" s="1">
        <v>405059.21</v>
      </c>
      <c r="E523" s="1">
        <v>19611.95</v>
      </c>
      <c r="F523" s="41">
        <v>45191</v>
      </c>
      <c r="G523" s="41">
        <v>45557</v>
      </c>
      <c r="H523" s="1" t="s">
        <v>3809</v>
      </c>
      <c r="I523" s="1" t="s">
        <v>3324</v>
      </c>
      <c r="J523" t="str">
        <f>IF(ISNA(_xlfn.XLOOKUP(B523,customer_master!$A$2:$A$1649, customer_master!$A$2:$A$1649)), "Invalid", "Ok")</f>
        <v>Ok</v>
      </c>
      <c r="K523" t="str">
        <f>IF(ISNA(_xlfn.XLOOKUP(H523,agent_info!$A$2:$A$301, agent_info!$A$2:$A$301)), "Invalid", "Ok")</f>
        <v>Ok</v>
      </c>
    </row>
    <row r="524" spans="1:11" x14ac:dyDescent="0.3">
      <c r="A524" s="1" t="s">
        <v>4091</v>
      </c>
      <c r="B524" s="1" t="s">
        <v>2190</v>
      </c>
      <c r="C524" s="1" t="s">
        <v>3334</v>
      </c>
      <c r="D524" s="1">
        <v>466678.2</v>
      </c>
      <c r="E524" s="1">
        <v>23975.64</v>
      </c>
      <c r="F524" s="41">
        <v>45723</v>
      </c>
      <c r="G524" s="41">
        <v>46088</v>
      </c>
      <c r="H524" s="1" t="s">
        <v>3852</v>
      </c>
      <c r="I524" s="1" t="s">
        <v>3324</v>
      </c>
      <c r="J524" t="str">
        <f>IF(ISNA(_xlfn.XLOOKUP(B524,customer_master!$A$2:$A$1649, customer_master!$A$2:$A$1649)), "Invalid", "Ok")</f>
        <v>Ok</v>
      </c>
      <c r="K524" t="str">
        <f>IF(ISNA(_xlfn.XLOOKUP(H524,agent_info!$A$2:$A$301, agent_info!$A$2:$A$301)), "Invalid", "Ok")</f>
        <v>Ok</v>
      </c>
    </row>
    <row r="525" spans="1:11" x14ac:dyDescent="0.3">
      <c r="A525" s="1" t="s">
        <v>4092</v>
      </c>
      <c r="B525" s="1" t="s">
        <v>2107</v>
      </c>
      <c r="C525" s="1" t="s">
        <v>3334</v>
      </c>
      <c r="D525" s="1">
        <v>396977.75</v>
      </c>
      <c r="E525" s="1">
        <v>19334.3</v>
      </c>
      <c r="F525" s="41">
        <v>45490</v>
      </c>
      <c r="G525" s="41">
        <v>45855</v>
      </c>
      <c r="H525" s="1" t="s">
        <v>4093</v>
      </c>
      <c r="I525" s="1" t="s">
        <v>3324</v>
      </c>
      <c r="J525" t="str">
        <f>IF(ISNA(_xlfn.XLOOKUP(B525,customer_master!$A$2:$A$1649, customer_master!$A$2:$A$1649)), "Invalid", "Ok")</f>
        <v>Ok</v>
      </c>
      <c r="K525" t="str">
        <f>IF(ISNA(_xlfn.XLOOKUP(H525,agent_info!$A$2:$A$301, agent_info!$A$2:$A$301)), "Invalid", "Ok")</f>
        <v>Ok</v>
      </c>
    </row>
    <row r="526" spans="1:11" x14ac:dyDescent="0.3">
      <c r="A526" s="1" t="s">
        <v>4094</v>
      </c>
      <c r="B526" s="1" t="s">
        <v>941</v>
      </c>
      <c r="C526" s="1" t="s">
        <v>3314</v>
      </c>
      <c r="D526" s="1">
        <v>719148.28</v>
      </c>
      <c r="E526" s="1">
        <v>35103.129999999997</v>
      </c>
      <c r="F526" s="41">
        <v>45193</v>
      </c>
      <c r="G526" s="41">
        <v>45559</v>
      </c>
      <c r="H526" s="1" t="s">
        <v>4095</v>
      </c>
      <c r="I526" s="1" t="s">
        <v>3324</v>
      </c>
      <c r="J526" t="str">
        <f>IF(ISNA(_xlfn.XLOOKUP(B526,customer_master!$A$2:$A$1649, customer_master!$A$2:$A$1649)), "Invalid", "Ok")</f>
        <v>Ok</v>
      </c>
      <c r="K526" t="str">
        <f>IF(ISNA(_xlfn.XLOOKUP(H526,agent_info!$A$2:$A$301, agent_info!$A$2:$A$301)), "Invalid", "Ok")</f>
        <v>Ok</v>
      </c>
    </row>
    <row r="527" spans="1:11" x14ac:dyDescent="0.3">
      <c r="A527" s="1" t="s">
        <v>4096</v>
      </c>
      <c r="B527" s="1" t="s">
        <v>3094</v>
      </c>
      <c r="C527" s="1" t="s">
        <v>3318</v>
      </c>
      <c r="D527" s="1">
        <v>640419.48</v>
      </c>
      <c r="E527" s="1">
        <v>33447.360000000001</v>
      </c>
      <c r="F527" s="41">
        <v>45169</v>
      </c>
      <c r="G527" s="41">
        <v>45535</v>
      </c>
      <c r="H527" s="1" t="s">
        <v>3470</v>
      </c>
      <c r="I527" s="1" t="s">
        <v>3316</v>
      </c>
      <c r="J527" t="str">
        <f>IF(ISNA(_xlfn.XLOOKUP(B527,customer_master!$A$2:$A$1649, customer_master!$A$2:$A$1649)), "Invalid", "Ok")</f>
        <v>Ok</v>
      </c>
      <c r="K527" t="str">
        <f>IF(ISNA(_xlfn.XLOOKUP(H527,agent_info!$A$2:$A$301, agent_info!$A$2:$A$301)), "Invalid", "Ok")</f>
        <v>Ok</v>
      </c>
    </row>
    <row r="528" spans="1:11" x14ac:dyDescent="0.3">
      <c r="A528" s="1" t="s">
        <v>4097</v>
      </c>
      <c r="B528" s="1" t="s">
        <v>1582</v>
      </c>
      <c r="C528" s="1" t="s">
        <v>3334</v>
      </c>
      <c r="D528" s="1">
        <v>453395.89</v>
      </c>
      <c r="E528" s="1">
        <v>23132.959999999999</v>
      </c>
      <c r="F528" s="41">
        <v>45094</v>
      </c>
      <c r="G528" s="41">
        <v>45460</v>
      </c>
      <c r="H528" s="1" t="s">
        <v>3672</v>
      </c>
      <c r="I528" s="1" t="s">
        <v>3324</v>
      </c>
      <c r="J528" t="str">
        <f>IF(ISNA(_xlfn.XLOOKUP(B528,customer_master!$A$2:$A$1649, customer_master!$A$2:$A$1649)), "Invalid", "Ok")</f>
        <v>Ok</v>
      </c>
      <c r="K528" t="str">
        <f>IF(ISNA(_xlfn.XLOOKUP(H528,agent_info!$A$2:$A$301, agent_info!$A$2:$A$301)), "Invalid", "Ok")</f>
        <v>Ok</v>
      </c>
    </row>
    <row r="529" spans="1:11" x14ac:dyDescent="0.3">
      <c r="A529" s="1" t="s">
        <v>4098</v>
      </c>
      <c r="B529" s="1" t="s">
        <v>907</v>
      </c>
      <c r="C529" s="1" t="s">
        <v>3314</v>
      </c>
      <c r="D529" s="1">
        <v>760063.38</v>
      </c>
      <c r="E529" s="1">
        <v>38142.85</v>
      </c>
      <c r="F529" s="41">
        <v>44782</v>
      </c>
      <c r="G529" s="41">
        <v>45147</v>
      </c>
      <c r="H529" s="1" t="s">
        <v>3462</v>
      </c>
      <c r="I529" s="1" t="s">
        <v>3324</v>
      </c>
      <c r="J529" t="str">
        <f>IF(ISNA(_xlfn.XLOOKUP(B529,customer_master!$A$2:$A$1649, customer_master!$A$2:$A$1649)), "Invalid", "Ok")</f>
        <v>Ok</v>
      </c>
      <c r="K529" t="str">
        <f>IF(ISNA(_xlfn.XLOOKUP(H529,agent_info!$A$2:$A$301, agent_info!$A$2:$A$301)), "Invalid", "Ok")</f>
        <v>Ok</v>
      </c>
    </row>
    <row r="530" spans="1:11" x14ac:dyDescent="0.3">
      <c r="A530" s="1" t="s">
        <v>4099</v>
      </c>
      <c r="B530" s="1" t="s">
        <v>3273</v>
      </c>
      <c r="C530" s="1" t="s">
        <v>3331</v>
      </c>
      <c r="D530" s="1">
        <v>746136.64</v>
      </c>
      <c r="E530" s="1">
        <v>40189.279999999999</v>
      </c>
      <c r="F530" s="41">
        <v>44896</v>
      </c>
      <c r="G530" s="41">
        <v>45261</v>
      </c>
      <c r="H530" s="1" t="s">
        <v>3749</v>
      </c>
      <c r="I530" s="1" t="s">
        <v>3320</v>
      </c>
      <c r="J530" t="str">
        <f>IF(ISNA(_xlfn.XLOOKUP(B530,customer_master!$A$2:$A$1649, customer_master!$A$2:$A$1649)), "Invalid", "Ok")</f>
        <v>Ok</v>
      </c>
      <c r="K530" t="str">
        <f>IF(ISNA(_xlfn.XLOOKUP(H530,agent_info!$A$2:$A$301, agent_info!$A$2:$A$301)), "Invalid", "Ok")</f>
        <v>Ok</v>
      </c>
    </row>
    <row r="531" spans="1:11" x14ac:dyDescent="0.3">
      <c r="A531" s="1" t="s">
        <v>4100</v>
      </c>
      <c r="B531" s="1" t="s">
        <v>1429</v>
      </c>
      <c r="C531" s="1" t="s">
        <v>3326</v>
      </c>
      <c r="D531" s="1">
        <v>428609.23</v>
      </c>
      <c r="E531" s="1">
        <v>19750.8</v>
      </c>
      <c r="F531" s="41">
        <v>45599</v>
      </c>
      <c r="G531" s="41">
        <v>45964</v>
      </c>
      <c r="H531" s="1" t="s">
        <v>3472</v>
      </c>
      <c r="I531" s="1" t="s">
        <v>3316</v>
      </c>
      <c r="J531" t="str">
        <f>IF(ISNA(_xlfn.XLOOKUP(B531,customer_master!$A$2:$A$1649, customer_master!$A$2:$A$1649)), "Invalid", "Ok")</f>
        <v>Ok</v>
      </c>
      <c r="K531" t="str">
        <f>IF(ISNA(_xlfn.XLOOKUP(H531,agent_info!$A$2:$A$301, agent_info!$A$2:$A$301)), "Invalid", "Ok")</f>
        <v>Ok</v>
      </c>
    </row>
    <row r="532" spans="1:11" x14ac:dyDescent="0.3">
      <c r="A532" s="1" t="s">
        <v>4101</v>
      </c>
      <c r="B532" s="1" t="s">
        <v>1261</v>
      </c>
      <c r="C532" s="1" t="s">
        <v>3318</v>
      </c>
      <c r="D532" s="1">
        <v>622569.68999999994</v>
      </c>
      <c r="E532" s="1">
        <v>30940.27</v>
      </c>
      <c r="F532" s="41">
        <v>45645</v>
      </c>
      <c r="G532" s="41">
        <v>46010</v>
      </c>
      <c r="H532" s="1" t="s">
        <v>3803</v>
      </c>
      <c r="I532" s="1" t="s">
        <v>3324</v>
      </c>
      <c r="J532" t="str">
        <f>IF(ISNA(_xlfn.XLOOKUP(B532,customer_master!$A$2:$A$1649, customer_master!$A$2:$A$1649)), "Invalid", "Ok")</f>
        <v>Ok</v>
      </c>
      <c r="K532" t="str">
        <f>IF(ISNA(_xlfn.XLOOKUP(H532,agent_info!$A$2:$A$301, agent_info!$A$2:$A$301)), "Invalid", "Ok")</f>
        <v>Ok</v>
      </c>
    </row>
    <row r="533" spans="1:11" x14ac:dyDescent="0.3">
      <c r="A533" s="1" t="s">
        <v>4102</v>
      </c>
      <c r="B533" s="1" t="s">
        <v>148</v>
      </c>
      <c r="C533" s="1" t="s">
        <v>3318</v>
      </c>
      <c r="D533" s="1">
        <v>630542.9</v>
      </c>
      <c r="E533" s="1">
        <v>29881.85</v>
      </c>
      <c r="F533" s="41">
        <v>45161</v>
      </c>
      <c r="G533" s="41">
        <v>45527</v>
      </c>
      <c r="H533" s="1" t="s">
        <v>3406</v>
      </c>
      <c r="I533" s="1" t="s">
        <v>3316</v>
      </c>
      <c r="J533" t="str">
        <f>IF(ISNA(_xlfn.XLOOKUP(B533,customer_master!$A$2:$A$1649, customer_master!$A$2:$A$1649)), "Invalid", "Ok")</f>
        <v>Ok</v>
      </c>
      <c r="K533" t="str">
        <f>IF(ISNA(_xlfn.XLOOKUP(H533,agent_info!$A$2:$A$301, agent_info!$A$2:$A$301)), "Invalid", "Ok")</f>
        <v>Ok</v>
      </c>
    </row>
    <row r="534" spans="1:11" x14ac:dyDescent="0.3">
      <c r="A534" s="1" t="s">
        <v>4103</v>
      </c>
      <c r="B534" s="1" t="s">
        <v>632</v>
      </c>
      <c r="C534" s="1" t="s">
        <v>3318</v>
      </c>
      <c r="D534" s="1">
        <v>379518.33</v>
      </c>
      <c r="E534" s="1">
        <v>17218.02</v>
      </c>
      <c r="F534" s="41">
        <v>44665</v>
      </c>
      <c r="G534" s="41">
        <v>45030</v>
      </c>
      <c r="H534" s="1" t="s">
        <v>3538</v>
      </c>
      <c r="I534" s="1" t="s">
        <v>3320</v>
      </c>
      <c r="J534" t="str">
        <f>IF(ISNA(_xlfn.XLOOKUP(B534,customer_master!$A$2:$A$1649, customer_master!$A$2:$A$1649)), "Invalid", "Ok")</f>
        <v>Ok</v>
      </c>
      <c r="K534" t="str">
        <f>IF(ISNA(_xlfn.XLOOKUP(H534,agent_info!$A$2:$A$301, agent_info!$A$2:$A$301)), "Invalid", "Ok")</f>
        <v>Ok</v>
      </c>
    </row>
    <row r="535" spans="1:11" x14ac:dyDescent="0.3">
      <c r="A535" s="1" t="s">
        <v>4104</v>
      </c>
      <c r="B535" s="1" t="s">
        <v>2682</v>
      </c>
      <c r="C535" s="1" t="s">
        <v>3334</v>
      </c>
      <c r="D535" s="1">
        <v>650180.22</v>
      </c>
      <c r="E535" s="1">
        <v>35623.589999999997</v>
      </c>
      <c r="F535" s="41">
        <v>44955</v>
      </c>
      <c r="G535" s="41">
        <v>45320</v>
      </c>
      <c r="H535" s="1" t="s">
        <v>3872</v>
      </c>
      <c r="I535" s="1" t="s">
        <v>3324</v>
      </c>
      <c r="J535" t="str">
        <f>IF(ISNA(_xlfn.XLOOKUP(B535,customer_master!$A$2:$A$1649, customer_master!$A$2:$A$1649)), "Invalid", "Ok")</f>
        <v>Ok</v>
      </c>
      <c r="K535" t="str">
        <f>IF(ISNA(_xlfn.XLOOKUP(H535,agent_info!$A$2:$A$301, agent_info!$A$2:$A$301)), "Invalid", "Ok")</f>
        <v>Ok</v>
      </c>
    </row>
    <row r="536" spans="1:11" x14ac:dyDescent="0.3">
      <c r="A536" s="1" t="s">
        <v>4105</v>
      </c>
      <c r="B536" s="1" t="s">
        <v>1620</v>
      </c>
      <c r="C536" s="1" t="s">
        <v>3314</v>
      </c>
      <c r="D536" s="1">
        <v>470215.97</v>
      </c>
      <c r="E536" s="1">
        <v>24611.23</v>
      </c>
      <c r="F536" s="41">
        <v>46096</v>
      </c>
      <c r="G536" s="41">
        <v>46461</v>
      </c>
      <c r="H536" s="1" t="s">
        <v>4106</v>
      </c>
      <c r="I536" s="1" t="s">
        <v>3316</v>
      </c>
      <c r="J536" t="str">
        <f>IF(ISNA(_xlfn.XLOOKUP(B536,customer_master!$A$2:$A$1649, customer_master!$A$2:$A$1649)), "Invalid", "Ok")</f>
        <v>Ok</v>
      </c>
      <c r="K536" t="str">
        <f>IF(ISNA(_xlfn.XLOOKUP(H536,agent_info!$A$2:$A$301, agent_info!$A$2:$A$301)), "Invalid", "Ok")</f>
        <v>Ok</v>
      </c>
    </row>
    <row r="537" spans="1:11" x14ac:dyDescent="0.3">
      <c r="A537" s="1" t="s">
        <v>4107</v>
      </c>
      <c r="B537" s="1" t="s">
        <v>3166</v>
      </c>
      <c r="C537" s="1" t="s">
        <v>3314</v>
      </c>
      <c r="D537" s="1">
        <v>732007.72</v>
      </c>
      <c r="E537" s="1">
        <v>34522.839999999997</v>
      </c>
      <c r="F537" s="41">
        <v>45357</v>
      </c>
      <c r="G537" s="41">
        <v>45722</v>
      </c>
      <c r="H537" s="1" t="s">
        <v>4087</v>
      </c>
      <c r="I537" s="1" t="s">
        <v>3320</v>
      </c>
      <c r="J537" t="str">
        <f>IF(ISNA(_xlfn.XLOOKUP(B537,customer_master!$A$2:$A$1649, customer_master!$A$2:$A$1649)), "Invalid", "Ok")</f>
        <v>Ok</v>
      </c>
      <c r="K537" t="str">
        <f>IF(ISNA(_xlfn.XLOOKUP(H537,agent_info!$A$2:$A$301, agent_info!$A$2:$A$301)), "Invalid", "Ok")</f>
        <v>Ok</v>
      </c>
    </row>
    <row r="538" spans="1:11" x14ac:dyDescent="0.3">
      <c r="A538" s="1" t="s">
        <v>4108</v>
      </c>
      <c r="B538" s="1" t="s">
        <v>316</v>
      </c>
      <c r="C538" s="1" t="s">
        <v>3326</v>
      </c>
      <c r="D538" s="1">
        <v>643477.5</v>
      </c>
      <c r="E538" s="1">
        <v>31546.06</v>
      </c>
      <c r="F538" s="41">
        <v>44157</v>
      </c>
      <c r="G538" s="41">
        <v>44522</v>
      </c>
      <c r="H538" s="1" t="s">
        <v>3385</v>
      </c>
      <c r="I538" s="1" t="s">
        <v>3324</v>
      </c>
      <c r="J538" t="str">
        <f>IF(ISNA(_xlfn.XLOOKUP(B538,customer_master!$A$2:$A$1649, customer_master!$A$2:$A$1649)), "Invalid", "Ok")</f>
        <v>Ok</v>
      </c>
      <c r="K538" t="str">
        <f>IF(ISNA(_xlfn.XLOOKUP(H538,agent_info!$A$2:$A$301, agent_info!$A$2:$A$301)), "Invalid", "Ok")</f>
        <v>Ok</v>
      </c>
    </row>
    <row r="539" spans="1:11" x14ac:dyDescent="0.3">
      <c r="A539" s="1" t="s">
        <v>4109</v>
      </c>
      <c r="B539" s="1" t="s">
        <v>2071</v>
      </c>
      <c r="C539" s="1" t="s">
        <v>3314</v>
      </c>
      <c r="D539" s="1">
        <v>733538.03</v>
      </c>
      <c r="E539" s="1">
        <v>34667.19</v>
      </c>
      <c r="F539" s="41">
        <v>44558</v>
      </c>
      <c r="G539" s="41">
        <v>44923</v>
      </c>
      <c r="H539" s="1" t="s">
        <v>3404</v>
      </c>
      <c r="I539" s="1" t="s">
        <v>3316</v>
      </c>
      <c r="J539" t="str">
        <f>IF(ISNA(_xlfn.XLOOKUP(B539,customer_master!$A$2:$A$1649, customer_master!$A$2:$A$1649)), "Invalid", "Ok")</f>
        <v>Ok</v>
      </c>
      <c r="K539" t="str">
        <f>IF(ISNA(_xlfn.XLOOKUP(H539,agent_info!$A$2:$A$301, agent_info!$A$2:$A$301)), "Invalid", "Ok")</f>
        <v>Ok</v>
      </c>
    </row>
    <row r="540" spans="1:11" x14ac:dyDescent="0.3">
      <c r="A540" s="1" t="s">
        <v>4110</v>
      </c>
      <c r="B540" s="1" t="s">
        <v>2414</v>
      </c>
      <c r="C540" s="1" t="s">
        <v>3314</v>
      </c>
      <c r="D540" s="1">
        <v>676658.28</v>
      </c>
      <c r="E540" s="1">
        <v>35083.75</v>
      </c>
      <c r="F540" s="41">
        <v>44521</v>
      </c>
      <c r="G540" s="41">
        <v>44886</v>
      </c>
      <c r="H540" s="1" t="s">
        <v>4095</v>
      </c>
      <c r="I540" s="1" t="s">
        <v>3324</v>
      </c>
      <c r="J540" t="str">
        <f>IF(ISNA(_xlfn.XLOOKUP(B540,customer_master!$A$2:$A$1649, customer_master!$A$2:$A$1649)), "Invalid", "Ok")</f>
        <v>Ok</v>
      </c>
      <c r="K540" t="str">
        <f>IF(ISNA(_xlfn.XLOOKUP(H540,agent_info!$A$2:$A$301, agent_info!$A$2:$A$301)), "Invalid", "Ok")</f>
        <v>Ok</v>
      </c>
    </row>
    <row r="541" spans="1:11" x14ac:dyDescent="0.3">
      <c r="A541" s="1" t="s">
        <v>4111</v>
      </c>
      <c r="B541" s="1" t="s">
        <v>2093</v>
      </c>
      <c r="C541" s="1" t="s">
        <v>3334</v>
      </c>
      <c r="D541" s="1">
        <v>448488.59</v>
      </c>
      <c r="E541" s="1">
        <v>21753.7</v>
      </c>
      <c r="F541" s="41">
        <v>45969</v>
      </c>
      <c r="G541" s="41">
        <v>46334</v>
      </c>
      <c r="H541" s="1" t="s">
        <v>3643</v>
      </c>
      <c r="I541" s="1" t="s">
        <v>3316</v>
      </c>
      <c r="J541" t="str">
        <f>IF(ISNA(_xlfn.XLOOKUP(B541,customer_master!$A$2:$A$1649, customer_master!$A$2:$A$1649)), "Invalid", "Ok")</f>
        <v>Ok</v>
      </c>
      <c r="K541" t="str">
        <f>IF(ISNA(_xlfn.XLOOKUP(H541,agent_info!$A$2:$A$301, agent_info!$A$2:$A$301)), "Invalid", "Ok")</f>
        <v>Ok</v>
      </c>
    </row>
    <row r="542" spans="1:11" x14ac:dyDescent="0.3">
      <c r="A542" s="1" t="s">
        <v>4112</v>
      </c>
      <c r="B542" s="1" t="s">
        <v>1775</v>
      </c>
      <c r="C542" s="1" t="s">
        <v>3318</v>
      </c>
      <c r="D542" s="1">
        <v>514289.53</v>
      </c>
      <c r="E542" s="1">
        <v>27873.79</v>
      </c>
      <c r="F542" s="41">
        <v>44944</v>
      </c>
      <c r="G542" s="41">
        <v>45309</v>
      </c>
      <c r="H542" s="1" t="s">
        <v>4040</v>
      </c>
      <c r="I542" s="1" t="s">
        <v>3324</v>
      </c>
      <c r="J542" t="str">
        <f>IF(ISNA(_xlfn.XLOOKUP(B542,customer_master!$A$2:$A$1649, customer_master!$A$2:$A$1649)), "Invalid", "Ok")</f>
        <v>Ok</v>
      </c>
      <c r="K542" t="str">
        <f>IF(ISNA(_xlfn.XLOOKUP(H542,agent_info!$A$2:$A$301, agent_info!$A$2:$A$301)), "Invalid", "Ok")</f>
        <v>Ok</v>
      </c>
    </row>
    <row r="543" spans="1:11" x14ac:dyDescent="0.3">
      <c r="A543" s="1" t="s">
        <v>4113</v>
      </c>
      <c r="B543" s="1" t="s">
        <v>1931</v>
      </c>
      <c r="C543" s="1" t="s">
        <v>3326</v>
      </c>
      <c r="D543" s="1">
        <v>598126.02</v>
      </c>
      <c r="E543" s="1">
        <v>28157.11</v>
      </c>
      <c r="F543" s="41">
        <v>44747</v>
      </c>
      <c r="G543" s="41">
        <v>45112</v>
      </c>
      <c r="H543" s="1" t="s">
        <v>3457</v>
      </c>
      <c r="I543" s="1" t="s">
        <v>3320</v>
      </c>
      <c r="J543" t="str">
        <f>IF(ISNA(_xlfn.XLOOKUP(B543,customer_master!$A$2:$A$1649, customer_master!$A$2:$A$1649)), "Invalid", "Ok")</f>
        <v>Ok</v>
      </c>
      <c r="K543" t="str">
        <f>IF(ISNA(_xlfn.XLOOKUP(H543,agent_info!$A$2:$A$301, agent_info!$A$2:$A$301)), "Invalid", "Ok")</f>
        <v>Ok</v>
      </c>
    </row>
    <row r="544" spans="1:11" x14ac:dyDescent="0.3">
      <c r="A544" s="1" t="s">
        <v>4114</v>
      </c>
      <c r="B544" s="1" t="s">
        <v>2304</v>
      </c>
      <c r="C544" s="1" t="s">
        <v>3334</v>
      </c>
      <c r="D544" s="1">
        <v>509480.14</v>
      </c>
      <c r="E544" s="1">
        <v>24708.9</v>
      </c>
      <c r="F544" s="41">
        <v>46025</v>
      </c>
      <c r="G544" s="41">
        <v>46390</v>
      </c>
      <c r="H544" s="1" t="s">
        <v>4095</v>
      </c>
      <c r="I544" s="1" t="s">
        <v>3324</v>
      </c>
      <c r="J544" t="str">
        <f>IF(ISNA(_xlfn.XLOOKUP(B544,customer_master!$A$2:$A$1649, customer_master!$A$2:$A$1649)), "Invalid", "Ok")</f>
        <v>Ok</v>
      </c>
      <c r="K544" t="str">
        <f>IF(ISNA(_xlfn.XLOOKUP(H544,agent_info!$A$2:$A$301, agent_info!$A$2:$A$301)), "Invalid", "Ok")</f>
        <v>Ok</v>
      </c>
    </row>
    <row r="545" spans="1:11" x14ac:dyDescent="0.3">
      <c r="A545" s="1" t="s">
        <v>4115</v>
      </c>
      <c r="B545" s="1" t="s">
        <v>2867</v>
      </c>
      <c r="C545" s="1" t="s">
        <v>3334</v>
      </c>
      <c r="D545" s="1">
        <v>658362.68000000005</v>
      </c>
      <c r="E545" s="1">
        <v>35761.040000000001</v>
      </c>
      <c r="F545" s="41">
        <v>45329</v>
      </c>
      <c r="G545" s="41">
        <v>45695</v>
      </c>
      <c r="H545" s="1" t="s">
        <v>4116</v>
      </c>
      <c r="I545" s="1" t="s">
        <v>3324</v>
      </c>
      <c r="J545" t="str">
        <f>IF(ISNA(_xlfn.XLOOKUP(B545,customer_master!$A$2:$A$1649, customer_master!$A$2:$A$1649)), "Invalid", "Ok")</f>
        <v>Ok</v>
      </c>
      <c r="K545" t="str">
        <f>IF(ISNA(_xlfn.XLOOKUP(H545,agent_info!$A$2:$A$301, agent_info!$A$2:$A$301)), "Invalid", "Ok")</f>
        <v>Ok</v>
      </c>
    </row>
    <row r="546" spans="1:11" x14ac:dyDescent="0.3">
      <c r="A546" s="1" t="s">
        <v>4117</v>
      </c>
      <c r="B546" s="1" t="s">
        <v>1141</v>
      </c>
      <c r="C546" s="1" t="s">
        <v>3314</v>
      </c>
      <c r="D546" s="1">
        <v>514421.11</v>
      </c>
      <c r="E546" s="1">
        <v>27699.93</v>
      </c>
      <c r="F546" s="41">
        <v>46127</v>
      </c>
      <c r="G546" s="41">
        <v>46492</v>
      </c>
      <c r="H546" s="1" t="s">
        <v>4001</v>
      </c>
      <c r="I546" s="1" t="s">
        <v>3324</v>
      </c>
      <c r="J546" t="str">
        <f>IF(ISNA(_xlfn.XLOOKUP(B546,customer_master!$A$2:$A$1649, customer_master!$A$2:$A$1649)), "Invalid", "Ok")</f>
        <v>Ok</v>
      </c>
      <c r="K546" t="str">
        <f>IF(ISNA(_xlfn.XLOOKUP(H546,agent_info!$A$2:$A$301, agent_info!$A$2:$A$301)), "Invalid", "Ok")</f>
        <v>Ok</v>
      </c>
    </row>
    <row r="547" spans="1:11" x14ac:dyDescent="0.3">
      <c r="A547" s="1" t="s">
        <v>4118</v>
      </c>
      <c r="B547" s="1" t="s">
        <v>1545</v>
      </c>
      <c r="C547" s="1" t="s">
        <v>3326</v>
      </c>
      <c r="D547" s="1">
        <v>412205.31</v>
      </c>
      <c r="E547" s="1">
        <v>19757.7</v>
      </c>
      <c r="F547" s="41">
        <v>44897</v>
      </c>
      <c r="G547" s="41">
        <v>45262</v>
      </c>
      <c r="H547" s="1" t="s">
        <v>3420</v>
      </c>
      <c r="I547" s="1" t="s">
        <v>3324</v>
      </c>
      <c r="J547" t="str">
        <f>IF(ISNA(_xlfn.XLOOKUP(B547,customer_master!$A$2:$A$1649, customer_master!$A$2:$A$1649)), "Invalid", "Ok")</f>
        <v>Ok</v>
      </c>
      <c r="K547" t="str">
        <f>IF(ISNA(_xlfn.XLOOKUP(H547,agent_info!$A$2:$A$301, agent_info!$A$2:$A$301)), "Invalid", "Ok")</f>
        <v>Ok</v>
      </c>
    </row>
    <row r="548" spans="1:11" x14ac:dyDescent="0.3">
      <c r="A548" s="1" t="s">
        <v>4119</v>
      </c>
      <c r="B548" s="1" t="s">
        <v>2139</v>
      </c>
      <c r="C548" s="1" t="s">
        <v>3334</v>
      </c>
      <c r="D548" s="1">
        <v>584493.06999999995</v>
      </c>
      <c r="E548" s="1">
        <v>29125.69</v>
      </c>
      <c r="F548" s="41">
        <v>45283</v>
      </c>
      <c r="G548" s="41">
        <v>45649</v>
      </c>
      <c r="H548" s="1" t="s">
        <v>3747</v>
      </c>
      <c r="I548" s="1" t="s">
        <v>3324</v>
      </c>
      <c r="J548" t="str">
        <f>IF(ISNA(_xlfn.XLOOKUP(B548,customer_master!$A$2:$A$1649, customer_master!$A$2:$A$1649)), "Invalid", "Ok")</f>
        <v>Ok</v>
      </c>
      <c r="K548" t="str">
        <f>IF(ISNA(_xlfn.XLOOKUP(H548,agent_info!$A$2:$A$301, agent_info!$A$2:$A$301)), "Invalid", "Ok")</f>
        <v>Ok</v>
      </c>
    </row>
    <row r="549" spans="1:11" x14ac:dyDescent="0.3">
      <c r="A549" s="1" t="s">
        <v>4120</v>
      </c>
      <c r="B549" s="1" t="s">
        <v>1063</v>
      </c>
      <c r="C549" s="1" t="s">
        <v>3318</v>
      </c>
      <c r="D549" s="1">
        <v>637394.09</v>
      </c>
      <c r="E549" s="1">
        <v>34315.42</v>
      </c>
      <c r="F549" s="41">
        <v>44371</v>
      </c>
      <c r="G549" s="41">
        <v>44736</v>
      </c>
      <c r="H549" s="1" t="s">
        <v>3413</v>
      </c>
      <c r="I549" s="1" t="s">
        <v>3316</v>
      </c>
      <c r="J549" t="str">
        <f>IF(ISNA(_xlfn.XLOOKUP(B549,customer_master!$A$2:$A$1649, customer_master!$A$2:$A$1649)), "Invalid", "Ok")</f>
        <v>Ok</v>
      </c>
      <c r="K549" t="str">
        <f>IF(ISNA(_xlfn.XLOOKUP(H549,agent_info!$A$2:$A$301, agent_info!$A$2:$A$301)), "Invalid", "Ok")</f>
        <v>Ok</v>
      </c>
    </row>
    <row r="550" spans="1:11" x14ac:dyDescent="0.3">
      <c r="A550" s="1" t="s">
        <v>4121</v>
      </c>
      <c r="B550" s="1" t="s">
        <v>634</v>
      </c>
      <c r="C550" s="1" t="s">
        <v>3314</v>
      </c>
      <c r="D550" s="1">
        <v>584120.34</v>
      </c>
      <c r="E550" s="1">
        <v>30202.73</v>
      </c>
      <c r="F550" s="41">
        <v>44261</v>
      </c>
      <c r="G550" s="41">
        <v>44626</v>
      </c>
      <c r="H550" s="1" t="s">
        <v>4122</v>
      </c>
      <c r="I550" s="1" t="s">
        <v>3324</v>
      </c>
      <c r="J550" t="str">
        <f>IF(ISNA(_xlfn.XLOOKUP(B550,customer_master!$A$2:$A$1649, customer_master!$A$2:$A$1649)), "Invalid", "Ok")</f>
        <v>Ok</v>
      </c>
      <c r="K550" t="str">
        <f>IF(ISNA(_xlfn.XLOOKUP(H550,agent_info!$A$2:$A$301, agent_info!$A$2:$A$301)), "Invalid", "Ok")</f>
        <v>Ok</v>
      </c>
    </row>
    <row r="551" spans="1:11" x14ac:dyDescent="0.3">
      <c r="A551" s="1" t="s">
        <v>4123</v>
      </c>
      <c r="B551" s="1" t="s">
        <v>3204</v>
      </c>
      <c r="C551" s="1" t="s">
        <v>3314</v>
      </c>
      <c r="D551" s="1">
        <v>632118.91</v>
      </c>
      <c r="E551" s="1">
        <v>32473.72</v>
      </c>
      <c r="F551" s="41">
        <v>45051</v>
      </c>
      <c r="G551" s="41">
        <v>45417</v>
      </c>
      <c r="H551" s="1" t="s">
        <v>3660</v>
      </c>
      <c r="I551" s="1" t="s">
        <v>3324</v>
      </c>
      <c r="J551" t="str">
        <f>IF(ISNA(_xlfn.XLOOKUP(B551,customer_master!$A$2:$A$1649, customer_master!$A$2:$A$1649)), "Invalid", "Ok")</f>
        <v>Ok</v>
      </c>
      <c r="K551" t="str">
        <f>IF(ISNA(_xlfn.XLOOKUP(H551,agent_info!$A$2:$A$301, agent_info!$A$2:$A$301)), "Invalid", "Ok")</f>
        <v>Ok</v>
      </c>
    </row>
    <row r="552" spans="1:11" x14ac:dyDescent="0.3">
      <c r="A552" s="1" t="s">
        <v>4124</v>
      </c>
      <c r="B552" s="1" t="s">
        <v>693</v>
      </c>
      <c r="C552" s="1" t="s">
        <v>3314</v>
      </c>
      <c r="D552" s="1">
        <v>553649.64</v>
      </c>
      <c r="E552" s="1">
        <v>28571.41</v>
      </c>
      <c r="F552" s="41">
        <v>44847</v>
      </c>
      <c r="G552" s="41">
        <v>45212</v>
      </c>
      <c r="H552" s="1" t="s">
        <v>3836</v>
      </c>
      <c r="I552" s="1" t="s">
        <v>3324</v>
      </c>
      <c r="J552" t="str">
        <f>IF(ISNA(_xlfn.XLOOKUP(B552,customer_master!$A$2:$A$1649, customer_master!$A$2:$A$1649)), "Invalid", "Ok")</f>
        <v>Ok</v>
      </c>
      <c r="K552" t="str">
        <f>IF(ISNA(_xlfn.XLOOKUP(H552,agent_info!$A$2:$A$301, agent_info!$A$2:$A$301)), "Invalid", "Ok")</f>
        <v>Ok</v>
      </c>
    </row>
    <row r="553" spans="1:11" x14ac:dyDescent="0.3">
      <c r="A553" s="1" t="s">
        <v>4125</v>
      </c>
      <c r="B553" s="1" t="s">
        <v>815</v>
      </c>
      <c r="C553" s="1" t="s">
        <v>3334</v>
      </c>
      <c r="D553" s="1">
        <v>684657.56</v>
      </c>
      <c r="E553" s="1">
        <v>37115.160000000003</v>
      </c>
      <c r="F553" s="41">
        <v>45357</v>
      </c>
      <c r="G553" s="41">
        <v>45722</v>
      </c>
      <c r="H553" s="1" t="s">
        <v>3620</v>
      </c>
      <c r="I553" s="1" t="s">
        <v>3316</v>
      </c>
      <c r="J553" t="str">
        <f>IF(ISNA(_xlfn.XLOOKUP(B553,customer_master!$A$2:$A$1649, customer_master!$A$2:$A$1649)), "Invalid", "Ok")</f>
        <v>Ok</v>
      </c>
      <c r="K553" t="str">
        <f>IF(ISNA(_xlfn.XLOOKUP(H553,agent_info!$A$2:$A$301, agent_info!$A$2:$A$301)), "Invalid", "Ok")</f>
        <v>Ok</v>
      </c>
    </row>
    <row r="554" spans="1:11" x14ac:dyDescent="0.3">
      <c r="A554" s="1" t="s">
        <v>4126</v>
      </c>
      <c r="B554" s="1" t="s">
        <v>2081</v>
      </c>
      <c r="C554" s="1" t="s">
        <v>3334</v>
      </c>
      <c r="D554" s="1">
        <v>635237.06999999995</v>
      </c>
      <c r="E554" s="1">
        <v>31870.95</v>
      </c>
      <c r="F554" s="41">
        <v>45096</v>
      </c>
      <c r="G554" s="41">
        <v>45462</v>
      </c>
      <c r="H554" s="1" t="s">
        <v>4052</v>
      </c>
      <c r="I554" s="1" t="s">
        <v>3324</v>
      </c>
      <c r="J554" t="str">
        <f>IF(ISNA(_xlfn.XLOOKUP(B554,customer_master!$A$2:$A$1649, customer_master!$A$2:$A$1649)), "Invalid", "Ok")</f>
        <v>Ok</v>
      </c>
      <c r="K554" t="str">
        <f>IF(ISNA(_xlfn.XLOOKUP(H554,agent_info!$A$2:$A$301, agent_info!$A$2:$A$301)), "Invalid", "Ok")</f>
        <v>Ok</v>
      </c>
    </row>
    <row r="555" spans="1:11" x14ac:dyDescent="0.3">
      <c r="A555" s="1" t="s">
        <v>4127</v>
      </c>
      <c r="B555" s="1" t="s">
        <v>292</v>
      </c>
      <c r="C555" s="1" t="s">
        <v>3318</v>
      </c>
      <c r="D555" s="1">
        <v>595201.31000000006</v>
      </c>
      <c r="E555" s="1">
        <v>27866.02</v>
      </c>
      <c r="F555" s="41">
        <v>45438</v>
      </c>
      <c r="G555" s="41">
        <v>45803</v>
      </c>
      <c r="H555" s="1" t="s">
        <v>4025</v>
      </c>
      <c r="I555" s="1" t="s">
        <v>3324</v>
      </c>
      <c r="J555" t="str">
        <f>IF(ISNA(_xlfn.XLOOKUP(B555,customer_master!$A$2:$A$1649, customer_master!$A$2:$A$1649)), "Invalid", "Ok")</f>
        <v>Ok</v>
      </c>
      <c r="K555" t="str">
        <f>IF(ISNA(_xlfn.XLOOKUP(H555,agent_info!$A$2:$A$301, agent_info!$A$2:$A$301)), "Invalid", "Ok")</f>
        <v>Ok</v>
      </c>
    </row>
    <row r="556" spans="1:11" x14ac:dyDescent="0.3">
      <c r="A556" s="1" t="s">
        <v>4128</v>
      </c>
      <c r="B556" s="1" t="s">
        <v>146</v>
      </c>
      <c r="C556" s="1" t="s">
        <v>3334</v>
      </c>
      <c r="D556" s="1">
        <v>552618.11</v>
      </c>
      <c r="E556" s="1">
        <v>27480.17</v>
      </c>
      <c r="F556" s="41">
        <v>45011</v>
      </c>
      <c r="G556" s="41">
        <v>45377</v>
      </c>
      <c r="H556" s="1" t="s">
        <v>3738</v>
      </c>
      <c r="I556" s="1" t="s">
        <v>3324</v>
      </c>
      <c r="J556" t="str">
        <f>IF(ISNA(_xlfn.XLOOKUP(B556,customer_master!$A$2:$A$1649, customer_master!$A$2:$A$1649)), "Invalid", "Ok")</f>
        <v>Ok</v>
      </c>
      <c r="K556" t="str">
        <f>IF(ISNA(_xlfn.XLOOKUP(H556,agent_info!$A$2:$A$301, agent_info!$A$2:$A$301)), "Invalid", "Ok")</f>
        <v>Ok</v>
      </c>
    </row>
    <row r="557" spans="1:11" x14ac:dyDescent="0.3">
      <c r="A557" s="1" t="s">
        <v>4129</v>
      </c>
      <c r="B557" s="1" t="s">
        <v>244</v>
      </c>
      <c r="C557" s="1" t="s">
        <v>3326</v>
      </c>
      <c r="D557" s="1">
        <v>537504.64</v>
      </c>
      <c r="E557" s="1">
        <v>28105.52</v>
      </c>
      <c r="F557" s="41">
        <v>45101</v>
      </c>
      <c r="G557" s="41">
        <v>45467</v>
      </c>
      <c r="H557" s="1" t="s">
        <v>4087</v>
      </c>
      <c r="I557" s="1" t="s">
        <v>3324</v>
      </c>
      <c r="J557" t="str">
        <f>IF(ISNA(_xlfn.XLOOKUP(B557,customer_master!$A$2:$A$1649, customer_master!$A$2:$A$1649)), "Invalid", "Ok")</f>
        <v>Ok</v>
      </c>
      <c r="K557" t="str">
        <f>IF(ISNA(_xlfn.XLOOKUP(H557,agent_info!$A$2:$A$301, agent_info!$A$2:$A$301)), "Invalid", "Ok")</f>
        <v>Ok</v>
      </c>
    </row>
    <row r="558" spans="1:11" x14ac:dyDescent="0.3">
      <c r="A558" s="1" t="s">
        <v>4130</v>
      </c>
      <c r="B558" s="1" t="s">
        <v>445</v>
      </c>
      <c r="C558" s="1" t="s">
        <v>3314</v>
      </c>
      <c r="D558" s="1">
        <v>404638.74</v>
      </c>
      <c r="E558" s="1">
        <v>20200.11</v>
      </c>
      <c r="F558" s="41">
        <v>44973</v>
      </c>
      <c r="G558" s="41">
        <v>45338</v>
      </c>
      <c r="H558" s="1" t="s">
        <v>3694</v>
      </c>
      <c r="I558" s="1" t="s">
        <v>3316</v>
      </c>
      <c r="J558" t="str">
        <f>IF(ISNA(_xlfn.XLOOKUP(B558,customer_master!$A$2:$A$1649, customer_master!$A$2:$A$1649)), "Invalid", "Ok")</f>
        <v>Ok</v>
      </c>
      <c r="K558" t="str">
        <f>IF(ISNA(_xlfn.XLOOKUP(H558,agent_info!$A$2:$A$301, agent_info!$A$2:$A$301)), "Invalid", "Ok")</f>
        <v>Ok</v>
      </c>
    </row>
    <row r="559" spans="1:11" x14ac:dyDescent="0.3">
      <c r="A559" s="1" t="s">
        <v>4131</v>
      </c>
      <c r="B559" s="1" t="s">
        <v>1443</v>
      </c>
      <c r="C559" s="1" t="s">
        <v>3326</v>
      </c>
      <c r="D559" s="1">
        <v>583351.89</v>
      </c>
      <c r="E559" s="1">
        <v>28078.26</v>
      </c>
      <c r="F559" s="41">
        <v>45840</v>
      </c>
      <c r="G559" s="41">
        <v>46205</v>
      </c>
      <c r="H559" s="1" t="s">
        <v>4132</v>
      </c>
      <c r="I559" s="1" t="s">
        <v>3324</v>
      </c>
      <c r="J559" t="str">
        <f>IF(ISNA(_xlfn.XLOOKUP(B559,customer_master!$A$2:$A$1649, customer_master!$A$2:$A$1649)), "Invalid", "Ok")</f>
        <v>Ok</v>
      </c>
      <c r="K559" t="str">
        <f>IF(ISNA(_xlfn.XLOOKUP(H559,agent_info!$A$2:$A$301, agent_info!$A$2:$A$301)), "Invalid", "Ok")</f>
        <v>Ok</v>
      </c>
    </row>
    <row r="560" spans="1:11" x14ac:dyDescent="0.3">
      <c r="A560" s="1" t="s">
        <v>4133</v>
      </c>
      <c r="B560" s="1" t="s">
        <v>2748</v>
      </c>
      <c r="C560" s="1" t="s">
        <v>3326</v>
      </c>
      <c r="D560" s="1">
        <v>421544.11</v>
      </c>
      <c r="E560" s="1">
        <v>21778.36</v>
      </c>
      <c r="F560" s="41">
        <v>44771</v>
      </c>
      <c r="G560" s="41">
        <v>45136</v>
      </c>
      <c r="H560" s="1" t="s">
        <v>3400</v>
      </c>
      <c r="I560" s="1" t="s">
        <v>3320</v>
      </c>
      <c r="J560" t="str">
        <f>IF(ISNA(_xlfn.XLOOKUP(B560,customer_master!$A$2:$A$1649, customer_master!$A$2:$A$1649)), "Invalid", "Ok")</f>
        <v>Ok</v>
      </c>
      <c r="K560" t="str">
        <f>IF(ISNA(_xlfn.XLOOKUP(H560,agent_info!$A$2:$A$301, agent_info!$A$2:$A$301)), "Invalid", "Ok")</f>
        <v>Ok</v>
      </c>
    </row>
    <row r="561" spans="1:11" x14ac:dyDescent="0.3">
      <c r="A561" s="1" t="s">
        <v>4134</v>
      </c>
      <c r="B561" s="1" t="s">
        <v>1161</v>
      </c>
      <c r="C561" s="1" t="s">
        <v>3314</v>
      </c>
      <c r="D561" s="1">
        <v>716157.35</v>
      </c>
      <c r="E561" s="1">
        <v>35451.43</v>
      </c>
      <c r="F561" s="41">
        <v>44915</v>
      </c>
      <c r="G561" s="41">
        <v>45280</v>
      </c>
      <c r="H561" s="1" t="s">
        <v>3437</v>
      </c>
      <c r="I561" s="1" t="s">
        <v>3324</v>
      </c>
      <c r="J561" t="str">
        <f>IF(ISNA(_xlfn.XLOOKUP(B561,customer_master!$A$2:$A$1649, customer_master!$A$2:$A$1649)), "Invalid", "Ok")</f>
        <v>Ok</v>
      </c>
      <c r="K561" t="str">
        <f>IF(ISNA(_xlfn.XLOOKUP(H561,agent_info!$A$2:$A$301, agent_info!$A$2:$A$301)), "Invalid", "Ok")</f>
        <v>Ok</v>
      </c>
    </row>
    <row r="562" spans="1:11" x14ac:dyDescent="0.3">
      <c r="A562" s="1" t="s">
        <v>4135</v>
      </c>
      <c r="B562" s="1" t="s">
        <v>1441</v>
      </c>
      <c r="C562" s="1" t="s">
        <v>3331</v>
      </c>
      <c r="D562" s="1">
        <v>691409.15</v>
      </c>
      <c r="E562" s="1">
        <v>37770.44</v>
      </c>
      <c r="F562" s="41">
        <v>44470</v>
      </c>
      <c r="G562" s="41">
        <v>44835</v>
      </c>
      <c r="H562" s="1" t="s">
        <v>3504</v>
      </c>
      <c r="I562" s="1" t="s">
        <v>3324</v>
      </c>
      <c r="J562" t="str">
        <f>IF(ISNA(_xlfn.XLOOKUP(B562,customer_master!$A$2:$A$1649, customer_master!$A$2:$A$1649)), "Invalid", "Ok")</f>
        <v>Ok</v>
      </c>
      <c r="K562" t="str">
        <f>IF(ISNA(_xlfn.XLOOKUP(H562,agent_info!$A$2:$A$301, agent_info!$A$2:$A$301)), "Invalid", "Ok")</f>
        <v>Ok</v>
      </c>
    </row>
    <row r="563" spans="1:11" x14ac:dyDescent="0.3">
      <c r="A563" s="1" t="s">
        <v>4136</v>
      </c>
      <c r="B563" s="1" t="s">
        <v>2006</v>
      </c>
      <c r="C563" s="1" t="s">
        <v>3331</v>
      </c>
      <c r="D563" s="1">
        <v>582914.71</v>
      </c>
      <c r="E563" s="1">
        <v>28283.84</v>
      </c>
      <c r="F563" s="41">
        <v>44589</v>
      </c>
      <c r="G563" s="41">
        <v>44954</v>
      </c>
      <c r="H563" s="1" t="s">
        <v>3598</v>
      </c>
      <c r="I563" s="1" t="s">
        <v>3316</v>
      </c>
      <c r="J563" t="str">
        <f>IF(ISNA(_xlfn.XLOOKUP(B563,customer_master!$A$2:$A$1649, customer_master!$A$2:$A$1649)), "Invalid", "Ok")</f>
        <v>Ok</v>
      </c>
      <c r="K563" t="str">
        <f>IF(ISNA(_xlfn.XLOOKUP(H563,agent_info!$A$2:$A$301, agent_info!$A$2:$A$301)), "Invalid", "Ok")</f>
        <v>Ok</v>
      </c>
    </row>
    <row r="564" spans="1:11" x14ac:dyDescent="0.3">
      <c r="A564" s="1" t="s">
        <v>4137</v>
      </c>
      <c r="B564" s="1" t="s">
        <v>1019</v>
      </c>
      <c r="C564" s="1" t="s">
        <v>3326</v>
      </c>
      <c r="D564" s="1">
        <v>646495.87</v>
      </c>
      <c r="E564" s="1">
        <v>33730.839999999997</v>
      </c>
      <c r="F564" s="41">
        <v>45491</v>
      </c>
      <c r="G564" s="41">
        <v>45856</v>
      </c>
      <c r="H564" s="1" t="s">
        <v>3660</v>
      </c>
      <c r="I564" s="1" t="s">
        <v>3316</v>
      </c>
      <c r="J564" t="str">
        <f>IF(ISNA(_xlfn.XLOOKUP(B564,customer_master!$A$2:$A$1649, customer_master!$A$2:$A$1649)), "Invalid", "Ok")</f>
        <v>Ok</v>
      </c>
      <c r="K564" t="str">
        <f>IF(ISNA(_xlfn.XLOOKUP(H564,agent_info!$A$2:$A$301, agent_info!$A$2:$A$301)), "Invalid", "Ok")</f>
        <v>Ok</v>
      </c>
    </row>
    <row r="565" spans="1:11" x14ac:dyDescent="0.3">
      <c r="A565" s="1" t="s">
        <v>4138</v>
      </c>
      <c r="B565" s="1" t="s">
        <v>1453</v>
      </c>
      <c r="C565" s="1" t="s">
        <v>3334</v>
      </c>
      <c r="D565" s="1">
        <v>643259.25</v>
      </c>
      <c r="E565" s="1">
        <v>32517.22</v>
      </c>
      <c r="F565" s="41">
        <v>44864</v>
      </c>
      <c r="G565" s="41">
        <v>45229</v>
      </c>
      <c r="H565" s="1" t="s">
        <v>3843</v>
      </c>
      <c r="I565" s="1" t="s">
        <v>3324</v>
      </c>
      <c r="J565" t="str">
        <f>IF(ISNA(_xlfn.XLOOKUP(B565,customer_master!$A$2:$A$1649, customer_master!$A$2:$A$1649)), "Invalid", "Ok")</f>
        <v>Ok</v>
      </c>
      <c r="K565" t="str">
        <f>IF(ISNA(_xlfn.XLOOKUP(H565,agent_info!$A$2:$A$301, agent_info!$A$2:$A$301)), "Invalid", "Ok")</f>
        <v>Ok</v>
      </c>
    </row>
    <row r="566" spans="1:11" x14ac:dyDescent="0.3">
      <c r="A566" s="1" t="s">
        <v>4139</v>
      </c>
      <c r="B566" s="1" t="s">
        <v>1317</v>
      </c>
      <c r="C566" s="1" t="s">
        <v>3334</v>
      </c>
      <c r="D566" s="1">
        <v>439385.12</v>
      </c>
      <c r="E566" s="1">
        <v>20113.14</v>
      </c>
      <c r="F566" s="41">
        <v>44257</v>
      </c>
      <c r="G566" s="41">
        <v>44622</v>
      </c>
      <c r="H566" s="1" t="s">
        <v>3429</v>
      </c>
      <c r="I566" s="1" t="s">
        <v>3324</v>
      </c>
      <c r="J566" t="str">
        <f>IF(ISNA(_xlfn.XLOOKUP(B566,customer_master!$A$2:$A$1649, customer_master!$A$2:$A$1649)), "Invalid", "Ok")</f>
        <v>Ok</v>
      </c>
      <c r="K566" t="str">
        <f>IF(ISNA(_xlfn.XLOOKUP(H566,agent_info!$A$2:$A$301, agent_info!$A$2:$A$301)), "Invalid", "Ok")</f>
        <v>Ok</v>
      </c>
    </row>
    <row r="567" spans="1:11" x14ac:dyDescent="0.3">
      <c r="A567" s="1" t="s">
        <v>4140</v>
      </c>
      <c r="B567" s="1" t="s">
        <v>1161</v>
      </c>
      <c r="C567" s="1" t="s">
        <v>3331</v>
      </c>
      <c r="D567" s="1">
        <v>664104.81000000006</v>
      </c>
      <c r="E567" s="1">
        <v>33004.400000000001</v>
      </c>
      <c r="F567" s="41">
        <v>45923</v>
      </c>
      <c r="G567" s="41">
        <v>46288</v>
      </c>
      <c r="H567" s="1" t="s">
        <v>3400</v>
      </c>
      <c r="I567" s="1" t="s">
        <v>3316</v>
      </c>
      <c r="J567" t="str">
        <f>IF(ISNA(_xlfn.XLOOKUP(B567,customer_master!$A$2:$A$1649, customer_master!$A$2:$A$1649)), "Invalid", "Ok")</f>
        <v>Ok</v>
      </c>
      <c r="K567" t="str">
        <f>IF(ISNA(_xlfn.XLOOKUP(H567,agent_info!$A$2:$A$301, agent_info!$A$2:$A$301)), "Invalid", "Ok")</f>
        <v>Ok</v>
      </c>
    </row>
    <row r="568" spans="1:11" x14ac:dyDescent="0.3">
      <c r="A568" s="1" t="s">
        <v>4141</v>
      </c>
      <c r="B568" s="1" t="s">
        <v>1321</v>
      </c>
      <c r="C568" s="1" t="s">
        <v>3318</v>
      </c>
      <c r="D568" s="1">
        <v>754414.84</v>
      </c>
      <c r="E568" s="1">
        <v>34168.68</v>
      </c>
      <c r="F568" s="41">
        <v>45201</v>
      </c>
      <c r="G568" s="41">
        <v>45567</v>
      </c>
      <c r="H568" s="1" t="s">
        <v>3490</v>
      </c>
      <c r="I568" s="1" t="s">
        <v>3324</v>
      </c>
      <c r="J568" t="str">
        <f>IF(ISNA(_xlfn.XLOOKUP(B568,customer_master!$A$2:$A$1649, customer_master!$A$2:$A$1649)), "Invalid", "Ok")</f>
        <v>Ok</v>
      </c>
      <c r="K568" t="str">
        <f>IF(ISNA(_xlfn.XLOOKUP(H568,agent_info!$A$2:$A$301, agent_info!$A$2:$A$301)), "Invalid", "Ok")</f>
        <v>Ok</v>
      </c>
    </row>
    <row r="569" spans="1:11" x14ac:dyDescent="0.3">
      <c r="A569" s="1" t="s">
        <v>4142</v>
      </c>
      <c r="B569" s="1" t="s">
        <v>69</v>
      </c>
      <c r="C569" s="1" t="s">
        <v>3334</v>
      </c>
      <c r="D569" s="1">
        <v>400776.26</v>
      </c>
      <c r="E569" s="1">
        <v>21200.39</v>
      </c>
      <c r="F569" s="41">
        <v>45487</v>
      </c>
      <c r="G569" s="41">
        <v>45852</v>
      </c>
      <c r="H569" s="1" t="s">
        <v>3439</v>
      </c>
      <c r="I569" s="1" t="s">
        <v>3324</v>
      </c>
      <c r="J569" t="str">
        <f>IF(ISNA(_xlfn.XLOOKUP(B569,customer_master!$A$2:$A$1649, customer_master!$A$2:$A$1649)), "Invalid", "Ok")</f>
        <v>Ok</v>
      </c>
      <c r="K569" t="str">
        <f>IF(ISNA(_xlfn.XLOOKUP(H569,agent_info!$A$2:$A$301, agent_info!$A$2:$A$301)), "Invalid", "Ok")</f>
        <v>Ok</v>
      </c>
    </row>
    <row r="570" spans="1:11" x14ac:dyDescent="0.3">
      <c r="A570" s="1" t="s">
        <v>4143</v>
      </c>
      <c r="B570" s="1" t="s">
        <v>2947</v>
      </c>
      <c r="C570" s="1" t="s">
        <v>3331</v>
      </c>
      <c r="D570" s="1">
        <v>474936.76</v>
      </c>
      <c r="E570" s="1">
        <v>24860.71</v>
      </c>
      <c r="F570" s="41">
        <v>45799</v>
      </c>
      <c r="G570" s="41">
        <v>46164</v>
      </c>
      <c r="H570" s="1" t="s">
        <v>3691</v>
      </c>
      <c r="I570" s="1" t="s">
        <v>3324</v>
      </c>
      <c r="J570" t="str">
        <f>IF(ISNA(_xlfn.XLOOKUP(B570,customer_master!$A$2:$A$1649, customer_master!$A$2:$A$1649)), "Invalid", "Ok")</f>
        <v>Ok</v>
      </c>
      <c r="K570" t="str">
        <f>IF(ISNA(_xlfn.XLOOKUP(H570,agent_info!$A$2:$A$301, agent_info!$A$2:$A$301)), "Invalid", "Ok")</f>
        <v>Ok</v>
      </c>
    </row>
    <row r="571" spans="1:11" x14ac:dyDescent="0.3">
      <c r="A571" s="1" t="s">
        <v>4144</v>
      </c>
      <c r="B571" s="1" t="s">
        <v>3238</v>
      </c>
      <c r="C571" s="1" t="s">
        <v>3331</v>
      </c>
      <c r="D571" s="1">
        <v>609538.1</v>
      </c>
      <c r="E571" s="1">
        <v>27737.1</v>
      </c>
      <c r="F571" s="41">
        <v>46108</v>
      </c>
      <c r="G571" s="41">
        <v>46473</v>
      </c>
      <c r="H571" s="1" t="s">
        <v>3570</v>
      </c>
      <c r="I571" s="1" t="s">
        <v>3316</v>
      </c>
      <c r="J571" t="str">
        <f>IF(ISNA(_xlfn.XLOOKUP(B571,customer_master!$A$2:$A$1649, customer_master!$A$2:$A$1649)), "Invalid", "Ok")</f>
        <v>Ok</v>
      </c>
      <c r="K571" t="str">
        <f>IF(ISNA(_xlfn.XLOOKUP(H571,agent_info!$A$2:$A$301, agent_info!$A$2:$A$301)), "Invalid", "Ok")</f>
        <v>Ok</v>
      </c>
    </row>
    <row r="572" spans="1:11" x14ac:dyDescent="0.3">
      <c r="A572" s="1" t="s">
        <v>4145</v>
      </c>
      <c r="B572" s="1" t="s">
        <v>2865</v>
      </c>
      <c r="C572" s="1" t="s">
        <v>3331</v>
      </c>
      <c r="D572" s="1">
        <v>539896.68000000005</v>
      </c>
      <c r="E572" s="1">
        <v>26993.19</v>
      </c>
      <c r="F572" s="41">
        <v>44292</v>
      </c>
      <c r="G572" s="41">
        <v>44657</v>
      </c>
      <c r="H572" s="1" t="s">
        <v>4146</v>
      </c>
      <c r="I572" s="1" t="s">
        <v>3324</v>
      </c>
      <c r="J572" t="str">
        <f>IF(ISNA(_xlfn.XLOOKUP(B572,customer_master!$A$2:$A$1649, customer_master!$A$2:$A$1649)), "Invalid", "Ok")</f>
        <v>Ok</v>
      </c>
      <c r="K572" t="str">
        <f>IF(ISNA(_xlfn.XLOOKUP(H572,agent_info!$A$2:$A$301, agent_info!$A$2:$A$301)), "Invalid", "Ok")</f>
        <v>Ok</v>
      </c>
    </row>
    <row r="573" spans="1:11" x14ac:dyDescent="0.3">
      <c r="A573" s="1" t="s">
        <v>4147</v>
      </c>
      <c r="B573" s="1" t="s">
        <v>48</v>
      </c>
      <c r="C573" s="1" t="s">
        <v>3326</v>
      </c>
      <c r="D573" s="1">
        <v>573144.67000000004</v>
      </c>
      <c r="E573" s="1">
        <v>31302.52</v>
      </c>
      <c r="F573" s="41">
        <v>44233</v>
      </c>
      <c r="G573" s="41">
        <v>44598</v>
      </c>
      <c r="H573" s="1" t="s">
        <v>3487</v>
      </c>
      <c r="I573" s="1" t="s">
        <v>3324</v>
      </c>
      <c r="J573" t="str">
        <f>IF(ISNA(_xlfn.XLOOKUP(B573,customer_master!$A$2:$A$1649, customer_master!$A$2:$A$1649)), "Invalid", "Ok")</f>
        <v>Ok</v>
      </c>
      <c r="K573" t="str">
        <f>IF(ISNA(_xlfn.XLOOKUP(H573,agent_info!$A$2:$A$301, agent_info!$A$2:$A$301)), "Invalid", "Ok")</f>
        <v>Ok</v>
      </c>
    </row>
    <row r="574" spans="1:11" x14ac:dyDescent="0.3">
      <c r="A574" s="1" t="s">
        <v>4148</v>
      </c>
      <c r="B574" s="1" t="s">
        <v>2500</v>
      </c>
      <c r="C574" s="1" t="s">
        <v>3331</v>
      </c>
      <c r="D574" s="1">
        <v>605213.25</v>
      </c>
      <c r="E574" s="1">
        <v>28957.27</v>
      </c>
      <c r="F574" s="41">
        <v>44160</v>
      </c>
      <c r="G574" s="41">
        <v>44525</v>
      </c>
      <c r="H574" s="1" t="s">
        <v>3353</v>
      </c>
      <c r="I574" s="1" t="s">
        <v>3324</v>
      </c>
      <c r="J574" t="str">
        <f>IF(ISNA(_xlfn.XLOOKUP(B574,customer_master!$A$2:$A$1649, customer_master!$A$2:$A$1649)), "Invalid", "Ok")</f>
        <v>Ok</v>
      </c>
      <c r="K574" t="str">
        <f>IF(ISNA(_xlfn.XLOOKUP(H574,agent_info!$A$2:$A$301, agent_info!$A$2:$A$301)), "Invalid", "Ok")</f>
        <v>Ok</v>
      </c>
    </row>
    <row r="575" spans="1:11" x14ac:dyDescent="0.3">
      <c r="A575" s="1" t="s">
        <v>4149</v>
      </c>
      <c r="B575" s="1" t="s">
        <v>1915</v>
      </c>
      <c r="C575" s="1" t="s">
        <v>3334</v>
      </c>
      <c r="D575" s="1">
        <v>688375.95</v>
      </c>
      <c r="E575" s="1">
        <v>37201.919999999998</v>
      </c>
      <c r="F575" s="41">
        <v>44516</v>
      </c>
      <c r="G575" s="41">
        <v>44881</v>
      </c>
      <c r="H575" s="1" t="s">
        <v>4040</v>
      </c>
      <c r="I575" s="1" t="s">
        <v>3324</v>
      </c>
      <c r="J575" t="str">
        <f>IF(ISNA(_xlfn.XLOOKUP(B575,customer_master!$A$2:$A$1649, customer_master!$A$2:$A$1649)), "Invalid", "Ok")</f>
        <v>Ok</v>
      </c>
      <c r="K575" t="str">
        <f>IF(ISNA(_xlfn.XLOOKUP(H575,agent_info!$A$2:$A$301, agent_info!$A$2:$A$301)), "Invalid", "Ok")</f>
        <v>Ok</v>
      </c>
    </row>
    <row r="576" spans="1:11" x14ac:dyDescent="0.3">
      <c r="A576" s="1" t="s">
        <v>4150</v>
      </c>
      <c r="B576" s="1" t="s">
        <v>344</v>
      </c>
      <c r="C576" s="1" t="s">
        <v>3334</v>
      </c>
      <c r="D576" s="1">
        <v>412297.62</v>
      </c>
      <c r="E576" s="1">
        <v>19176.34</v>
      </c>
      <c r="F576" s="41">
        <v>44508</v>
      </c>
      <c r="G576" s="41">
        <v>44873</v>
      </c>
      <c r="H576" s="1" t="s">
        <v>3949</v>
      </c>
      <c r="I576" s="1" t="s">
        <v>3324</v>
      </c>
      <c r="J576" t="str">
        <f>IF(ISNA(_xlfn.XLOOKUP(B576,customer_master!$A$2:$A$1649, customer_master!$A$2:$A$1649)), "Invalid", "Ok")</f>
        <v>Ok</v>
      </c>
      <c r="K576" t="str">
        <f>IF(ISNA(_xlfn.XLOOKUP(H576,agent_info!$A$2:$A$301, agent_info!$A$2:$A$301)), "Invalid", "Ok")</f>
        <v>Ok</v>
      </c>
    </row>
    <row r="577" spans="1:11" x14ac:dyDescent="0.3">
      <c r="A577" s="1" t="s">
        <v>4151</v>
      </c>
      <c r="B577" s="1" t="s">
        <v>3100</v>
      </c>
      <c r="C577" s="1" t="s">
        <v>3314</v>
      </c>
      <c r="D577" s="1">
        <v>554637.18999999994</v>
      </c>
      <c r="E577" s="1">
        <v>24995.29</v>
      </c>
      <c r="F577" s="41">
        <v>44798</v>
      </c>
      <c r="G577" s="41">
        <v>45163</v>
      </c>
      <c r="H577" s="1" t="s">
        <v>3404</v>
      </c>
      <c r="I577" s="1" t="s">
        <v>3324</v>
      </c>
      <c r="J577" t="str">
        <f>IF(ISNA(_xlfn.XLOOKUP(B577,customer_master!$A$2:$A$1649, customer_master!$A$2:$A$1649)), "Invalid", "Ok")</f>
        <v>Ok</v>
      </c>
      <c r="K577" t="str">
        <f>IF(ISNA(_xlfn.XLOOKUP(H577,agent_info!$A$2:$A$301, agent_info!$A$2:$A$301)), "Invalid", "Ok")</f>
        <v>Ok</v>
      </c>
    </row>
    <row r="578" spans="1:11" x14ac:dyDescent="0.3">
      <c r="A578" s="1" t="s">
        <v>4152</v>
      </c>
      <c r="B578" s="1" t="s">
        <v>2583</v>
      </c>
      <c r="C578" s="1" t="s">
        <v>3318</v>
      </c>
      <c r="D578" s="1">
        <v>703100.33</v>
      </c>
      <c r="E578" s="1">
        <v>35369.61</v>
      </c>
      <c r="F578" s="41">
        <v>44740</v>
      </c>
      <c r="G578" s="41">
        <v>45105</v>
      </c>
      <c r="H578" s="1" t="s">
        <v>3383</v>
      </c>
      <c r="I578" s="1" t="s">
        <v>3324</v>
      </c>
      <c r="J578" t="str">
        <f>IF(ISNA(_xlfn.XLOOKUP(B578,customer_master!$A$2:$A$1649, customer_master!$A$2:$A$1649)), "Invalid", "Ok")</f>
        <v>Ok</v>
      </c>
      <c r="K578" t="str">
        <f>IF(ISNA(_xlfn.XLOOKUP(H578,agent_info!$A$2:$A$301, agent_info!$A$2:$A$301)), "Invalid", "Ok")</f>
        <v>Ok</v>
      </c>
    </row>
    <row r="579" spans="1:11" x14ac:dyDescent="0.3">
      <c r="A579" s="1" t="s">
        <v>4153</v>
      </c>
      <c r="B579" s="1" t="s">
        <v>517</v>
      </c>
      <c r="C579" s="1" t="s">
        <v>3331</v>
      </c>
      <c r="D579" s="1">
        <v>519893.67</v>
      </c>
      <c r="E579" s="1">
        <v>24639.03</v>
      </c>
      <c r="F579" s="41">
        <v>45864</v>
      </c>
      <c r="G579" s="41">
        <v>46229</v>
      </c>
      <c r="H579" s="1" t="s">
        <v>3443</v>
      </c>
      <c r="I579" s="1" t="s">
        <v>3324</v>
      </c>
      <c r="J579" t="str">
        <f>IF(ISNA(_xlfn.XLOOKUP(B579,customer_master!$A$2:$A$1649, customer_master!$A$2:$A$1649)), "Invalid", "Ok")</f>
        <v>Ok</v>
      </c>
      <c r="K579" t="str">
        <f>IF(ISNA(_xlfn.XLOOKUP(H579,agent_info!$A$2:$A$301, agent_info!$A$2:$A$301)), "Invalid", "Ok")</f>
        <v>Ok</v>
      </c>
    </row>
    <row r="580" spans="1:11" x14ac:dyDescent="0.3">
      <c r="A580" s="1" t="s">
        <v>4154</v>
      </c>
      <c r="B580" s="1" t="s">
        <v>3196</v>
      </c>
      <c r="C580" s="1" t="s">
        <v>3334</v>
      </c>
      <c r="D580" s="1">
        <v>578958.68999999994</v>
      </c>
      <c r="E580" s="1">
        <v>31143.49</v>
      </c>
      <c r="F580" s="41">
        <v>45575</v>
      </c>
      <c r="G580" s="41">
        <v>45940</v>
      </c>
      <c r="H580" s="1" t="s">
        <v>3801</v>
      </c>
      <c r="I580" s="1" t="s">
        <v>3324</v>
      </c>
      <c r="J580" t="str">
        <f>IF(ISNA(_xlfn.XLOOKUP(B580,customer_master!$A$2:$A$1649, customer_master!$A$2:$A$1649)), "Invalid", "Ok")</f>
        <v>Ok</v>
      </c>
      <c r="K580" t="str">
        <f>IF(ISNA(_xlfn.XLOOKUP(H580,agent_info!$A$2:$A$301, agent_info!$A$2:$A$301)), "Invalid", "Ok")</f>
        <v>Ok</v>
      </c>
    </row>
    <row r="581" spans="1:11" x14ac:dyDescent="0.3">
      <c r="A581" s="1" t="s">
        <v>4155</v>
      </c>
      <c r="B581" s="1" t="s">
        <v>453</v>
      </c>
      <c r="C581" s="1" t="s">
        <v>3314</v>
      </c>
      <c r="D581" s="1">
        <v>393307.77</v>
      </c>
      <c r="E581" s="1">
        <v>20349.439999999999</v>
      </c>
      <c r="F581" s="41">
        <v>44678</v>
      </c>
      <c r="G581" s="41">
        <v>45043</v>
      </c>
      <c r="H581" s="1" t="s">
        <v>3576</v>
      </c>
      <c r="I581" s="1" t="s">
        <v>3316</v>
      </c>
      <c r="J581" t="str">
        <f>IF(ISNA(_xlfn.XLOOKUP(B581,customer_master!$A$2:$A$1649, customer_master!$A$2:$A$1649)), "Invalid", "Ok")</f>
        <v>Ok</v>
      </c>
      <c r="K581" t="str">
        <f>IF(ISNA(_xlfn.XLOOKUP(H581,agent_info!$A$2:$A$301, agent_info!$A$2:$A$301)), "Invalid", "Ok")</f>
        <v>Ok</v>
      </c>
    </row>
    <row r="582" spans="1:11" x14ac:dyDescent="0.3">
      <c r="A582" s="1" t="s">
        <v>4156</v>
      </c>
      <c r="B582" s="1" t="s">
        <v>1527</v>
      </c>
      <c r="C582" s="1" t="s">
        <v>3334</v>
      </c>
      <c r="D582" s="1">
        <v>471306.95</v>
      </c>
      <c r="E582" s="1">
        <v>24446.17</v>
      </c>
      <c r="F582" s="41">
        <v>45623</v>
      </c>
      <c r="G582" s="41">
        <v>45988</v>
      </c>
      <c r="H582" s="1" t="s">
        <v>3603</v>
      </c>
      <c r="I582" s="1" t="s">
        <v>3324</v>
      </c>
      <c r="J582" t="str">
        <f>IF(ISNA(_xlfn.XLOOKUP(B582,customer_master!$A$2:$A$1649, customer_master!$A$2:$A$1649)), "Invalid", "Ok")</f>
        <v>Ok</v>
      </c>
      <c r="K582" t="str">
        <f>IF(ISNA(_xlfn.XLOOKUP(H582,agent_info!$A$2:$A$301, agent_info!$A$2:$A$301)), "Invalid", "Ok")</f>
        <v>Ok</v>
      </c>
    </row>
    <row r="583" spans="1:11" x14ac:dyDescent="0.3">
      <c r="A583" s="1" t="s">
        <v>4157</v>
      </c>
      <c r="B583" s="1" t="s">
        <v>562</v>
      </c>
      <c r="C583" s="1" t="s">
        <v>3326</v>
      </c>
      <c r="D583" s="1">
        <v>512279.29</v>
      </c>
      <c r="E583" s="1">
        <v>26501.64</v>
      </c>
      <c r="F583" s="41">
        <v>46264</v>
      </c>
      <c r="G583" s="41">
        <v>46629</v>
      </c>
      <c r="H583" s="1" t="s">
        <v>3363</v>
      </c>
      <c r="I583" s="1" t="s">
        <v>3316</v>
      </c>
      <c r="J583" t="str">
        <f>IF(ISNA(_xlfn.XLOOKUP(B583,customer_master!$A$2:$A$1649, customer_master!$A$2:$A$1649)), "Invalid", "Ok")</f>
        <v>Ok</v>
      </c>
      <c r="K583" t="str">
        <f>IF(ISNA(_xlfn.XLOOKUP(H583,agent_info!$A$2:$A$301, agent_info!$A$2:$A$301)), "Invalid", "Ok")</f>
        <v>Ok</v>
      </c>
    </row>
    <row r="584" spans="1:11" x14ac:dyDescent="0.3">
      <c r="A584" s="1" t="s">
        <v>4158</v>
      </c>
      <c r="B584" s="1" t="s">
        <v>530</v>
      </c>
      <c r="C584" s="1" t="s">
        <v>3334</v>
      </c>
      <c r="D584" s="1">
        <v>538602.73</v>
      </c>
      <c r="E584" s="1">
        <v>27894.01</v>
      </c>
      <c r="F584" s="41">
        <v>46265</v>
      </c>
      <c r="G584" s="41">
        <v>46630</v>
      </c>
      <c r="H584" s="1" t="s">
        <v>3351</v>
      </c>
      <c r="I584" s="1" t="s">
        <v>3324</v>
      </c>
      <c r="J584" t="str">
        <f>IF(ISNA(_xlfn.XLOOKUP(B584,customer_master!$A$2:$A$1649, customer_master!$A$2:$A$1649)), "Invalid", "Ok")</f>
        <v>Ok</v>
      </c>
      <c r="K584" t="str">
        <f>IF(ISNA(_xlfn.XLOOKUP(H584,agent_info!$A$2:$A$301, agent_info!$A$2:$A$301)), "Invalid", "Ok")</f>
        <v>Ok</v>
      </c>
    </row>
    <row r="585" spans="1:11" x14ac:dyDescent="0.3">
      <c r="A585" s="1" t="s">
        <v>4159</v>
      </c>
      <c r="B585" s="1" t="s">
        <v>3210</v>
      </c>
      <c r="C585" s="1" t="s">
        <v>3326</v>
      </c>
      <c r="D585" s="1">
        <v>600129.21</v>
      </c>
      <c r="E585" s="1">
        <v>31489.47</v>
      </c>
      <c r="F585" s="41">
        <v>45726</v>
      </c>
      <c r="G585" s="41">
        <v>46091</v>
      </c>
      <c r="H585" s="1" t="s">
        <v>3532</v>
      </c>
      <c r="I585" s="1" t="s">
        <v>3324</v>
      </c>
      <c r="J585" t="str">
        <f>IF(ISNA(_xlfn.XLOOKUP(B585,customer_master!$A$2:$A$1649, customer_master!$A$2:$A$1649)), "Invalid", "Ok")</f>
        <v>Ok</v>
      </c>
      <c r="K585" t="str">
        <f>IF(ISNA(_xlfn.XLOOKUP(H585,agent_info!$A$2:$A$301, agent_info!$A$2:$A$301)), "Invalid", "Ok")</f>
        <v>Ok</v>
      </c>
    </row>
    <row r="586" spans="1:11" x14ac:dyDescent="0.3">
      <c r="A586" s="1" t="s">
        <v>4160</v>
      </c>
      <c r="B586" s="1" t="s">
        <v>1911</v>
      </c>
      <c r="C586" s="1" t="s">
        <v>3318</v>
      </c>
      <c r="D586" s="1">
        <v>609290.63</v>
      </c>
      <c r="E586" s="1">
        <v>31499.64</v>
      </c>
      <c r="F586" s="41">
        <v>45698</v>
      </c>
      <c r="G586" s="41">
        <v>46063</v>
      </c>
      <c r="H586" s="1" t="s">
        <v>3643</v>
      </c>
      <c r="I586" s="1" t="s">
        <v>3324</v>
      </c>
      <c r="J586" t="str">
        <f>IF(ISNA(_xlfn.XLOOKUP(B586,customer_master!$A$2:$A$1649, customer_master!$A$2:$A$1649)), "Invalid", "Ok")</f>
        <v>Ok</v>
      </c>
      <c r="K586" t="str">
        <f>IF(ISNA(_xlfn.XLOOKUP(H586,agent_info!$A$2:$A$301, agent_info!$A$2:$A$301)), "Invalid", "Ok")</f>
        <v>Ok</v>
      </c>
    </row>
    <row r="587" spans="1:11" x14ac:dyDescent="0.3">
      <c r="A587" s="1" t="s">
        <v>4161</v>
      </c>
      <c r="B587" s="1" t="s">
        <v>887</v>
      </c>
      <c r="C587" s="1" t="s">
        <v>3326</v>
      </c>
      <c r="D587" s="1">
        <v>658098.88</v>
      </c>
      <c r="E587" s="1">
        <v>35104.81</v>
      </c>
      <c r="F587" s="41">
        <v>46076</v>
      </c>
      <c r="G587" s="41">
        <v>46441</v>
      </c>
      <c r="H587" s="1" t="s">
        <v>4132</v>
      </c>
      <c r="I587" s="1" t="s">
        <v>3324</v>
      </c>
      <c r="J587" t="str">
        <f>IF(ISNA(_xlfn.XLOOKUP(B587,customer_master!$A$2:$A$1649, customer_master!$A$2:$A$1649)), "Invalid", "Ok")</f>
        <v>Ok</v>
      </c>
      <c r="K587" t="str">
        <f>IF(ISNA(_xlfn.XLOOKUP(H587,agent_info!$A$2:$A$301, agent_info!$A$2:$A$301)), "Invalid", "Ok")</f>
        <v>Ok</v>
      </c>
    </row>
    <row r="588" spans="1:11" x14ac:dyDescent="0.3">
      <c r="A588" s="1" t="s">
        <v>4162</v>
      </c>
      <c r="B588" s="1" t="s">
        <v>2583</v>
      </c>
      <c r="C588" s="1" t="s">
        <v>3334</v>
      </c>
      <c r="D588" s="1">
        <v>714086.72</v>
      </c>
      <c r="E588" s="1">
        <v>36119.379999999997</v>
      </c>
      <c r="F588" s="41">
        <v>44095</v>
      </c>
      <c r="G588" s="41">
        <v>44460</v>
      </c>
      <c r="H588" s="1" t="s">
        <v>3872</v>
      </c>
      <c r="I588" s="1" t="s">
        <v>3324</v>
      </c>
      <c r="J588" t="str">
        <f>IF(ISNA(_xlfn.XLOOKUP(B588,customer_master!$A$2:$A$1649, customer_master!$A$2:$A$1649)), "Invalid", "Ok")</f>
        <v>Ok</v>
      </c>
      <c r="K588" t="str">
        <f>IF(ISNA(_xlfn.XLOOKUP(H588,agent_info!$A$2:$A$301, agent_info!$A$2:$A$301)), "Invalid", "Ok")</f>
        <v>Ok</v>
      </c>
    </row>
    <row r="589" spans="1:11" x14ac:dyDescent="0.3">
      <c r="A589" s="1" t="s">
        <v>4163</v>
      </c>
      <c r="B589" s="1" t="s">
        <v>2909</v>
      </c>
      <c r="C589" s="1" t="s">
        <v>3331</v>
      </c>
      <c r="D589" s="1">
        <v>473525.37</v>
      </c>
      <c r="E589" s="1">
        <v>22969.24</v>
      </c>
      <c r="F589" s="41">
        <v>44733</v>
      </c>
      <c r="G589" s="41">
        <v>45098</v>
      </c>
      <c r="H589" s="1" t="s">
        <v>3589</v>
      </c>
      <c r="I589" s="1" t="s">
        <v>3324</v>
      </c>
      <c r="J589" t="str">
        <f>IF(ISNA(_xlfn.XLOOKUP(B589,customer_master!$A$2:$A$1649, customer_master!$A$2:$A$1649)), "Invalid", "Ok")</f>
        <v>Ok</v>
      </c>
      <c r="K589" t="str">
        <f>IF(ISNA(_xlfn.XLOOKUP(H589,agent_info!$A$2:$A$301, agent_info!$A$2:$A$301)), "Invalid", "Ok")</f>
        <v>Ok</v>
      </c>
    </row>
    <row r="590" spans="1:11" x14ac:dyDescent="0.3">
      <c r="A590" s="1" t="s">
        <v>4164</v>
      </c>
      <c r="B590" s="1" t="s">
        <v>3053</v>
      </c>
      <c r="C590" s="1" t="s">
        <v>3326</v>
      </c>
      <c r="D590" s="1">
        <v>356173.56</v>
      </c>
      <c r="E590" s="1">
        <v>17690.599999999999</v>
      </c>
      <c r="F590" s="41">
        <v>45879</v>
      </c>
      <c r="G590" s="41">
        <v>46244</v>
      </c>
      <c r="H590" s="1" t="s">
        <v>3589</v>
      </c>
      <c r="I590" s="1" t="s">
        <v>3316</v>
      </c>
      <c r="J590" t="str">
        <f>IF(ISNA(_xlfn.XLOOKUP(B590,customer_master!$A$2:$A$1649, customer_master!$A$2:$A$1649)), "Invalid", "Ok")</f>
        <v>Ok</v>
      </c>
      <c r="K590" t="str">
        <f>IF(ISNA(_xlfn.XLOOKUP(H590,agent_info!$A$2:$A$301, agent_info!$A$2:$A$301)), "Invalid", "Ok")</f>
        <v>Ok</v>
      </c>
    </row>
    <row r="591" spans="1:11" x14ac:dyDescent="0.3">
      <c r="A591" s="1" t="s">
        <v>4165</v>
      </c>
      <c r="B591" s="1" t="s">
        <v>3102</v>
      </c>
      <c r="C591" s="1" t="s">
        <v>3318</v>
      </c>
      <c r="D591" s="1">
        <v>700989.95</v>
      </c>
      <c r="E591" s="1">
        <v>34630.550000000003</v>
      </c>
      <c r="F591" s="41">
        <v>45793</v>
      </c>
      <c r="G591" s="41">
        <v>46158</v>
      </c>
      <c r="H591" s="1" t="s">
        <v>3530</v>
      </c>
      <c r="I591" s="1" t="s">
        <v>3316</v>
      </c>
      <c r="J591" t="str">
        <f>IF(ISNA(_xlfn.XLOOKUP(B591,customer_master!$A$2:$A$1649, customer_master!$A$2:$A$1649)), "Invalid", "Ok")</f>
        <v>Ok</v>
      </c>
      <c r="K591" t="str">
        <f>IF(ISNA(_xlfn.XLOOKUP(H591,agent_info!$A$2:$A$301, agent_info!$A$2:$A$301)), "Invalid", "Ok")</f>
        <v>Ok</v>
      </c>
    </row>
    <row r="592" spans="1:11" x14ac:dyDescent="0.3">
      <c r="A592" s="1" t="s">
        <v>4166</v>
      </c>
      <c r="B592" s="1" t="s">
        <v>3010</v>
      </c>
      <c r="C592" s="1" t="s">
        <v>3331</v>
      </c>
      <c r="D592" s="1">
        <v>507059.61</v>
      </c>
      <c r="E592" s="1">
        <v>24503.69</v>
      </c>
      <c r="F592" s="41">
        <v>44962</v>
      </c>
      <c r="G592" s="41">
        <v>45327</v>
      </c>
      <c r="H592" s="1" t="s">
        <v>3598</v>
      </c>
      <c r="I592" s="1" t="s">
        <v>3316</v>
      </c>
      <c r="J592" t="str">
        <f>IF(ISNA(_xlfn.XLOOKUP(B592,customer_master!$A$2:$A$1649, customer_master!$A$2:$A$1649)), "Invalid", "Ok")</f>
        <v>Ok</v>
      </c>
      <c r="K592" t="str">
        <f>IF(ISNA(_xlfn.XLOOKUP(H592,agent_info!$A$2:$A$301, agent_info!$A$2:$A$301)), "Invalid", "Ok")</f>
        <v>Ok</v>
      </c>
    </row>
    <row r="593" spans="1:11" x14ac:dyDescent="0.3">
      <c r="A593" s="1" t="s">
        <v>4167</v>
      </c>
      <c r="B593" s="1" t="s">
        <v>2146</v>
      </c>
      <c r="C593" s="1" t="s">
        <v>3318</v>
      </c>
      <c r="D593" s="1">
        <v>509207.47</v>
      </c>
      <c r="E593" s="1">
        <v>25029.93</v>
      </c>
      <c r="F593" s="41">
        <v>44966</v>
      </c>
      <c r="G593" s="41">
        <v>45331</v>
      </c>
      <c r="H593" s="1" t="s">
        <v>4168</v>
      </c>
      <c r="I593" s="1" t="s">
        <v>3324</v>
      </c>
      <c r="J593" t="str">
        <f>IF(ISNA(_xlfn.XLOOKUP(B593,customer_master!$A$2:$A$1649, customer_master!$A$2:$A$1649)), "Invalid", "Ok")</f>
        <v>Ok</v>
      </c>
      <c r="K593" t="str">
        <f>IF(ISNA(_xlfn.XLOOKUP(H593,agent_info!$A$2:$A$301, agent_info!$A$2:$A$301)), "Invalid", "Ok")</f>
        <v>Ok</v>
      </c>
    </row>
    <row r="594" spans="1:11" x14ac:dyDescent="0.3">
      <c r="A594" s="1" t="s">
        <v>4169</v>
      </c>
      <c r="B594" s="1" t="s">
        <v>1165</v>
      </c>
      <c r="C594" s="1" t="s">
        <v>3326</v>
      </c>
      <c r="D594" s="1">
        <v>405438.18</v>
      </c>
      <c r="E594" s="1">
        <v>19805.599999999999</v>
      </c>
      <c r="F594" s="41">
        <v>45348</v>
      </c>
      <c r="G594" s="41">
        <v>45714</v>
      </c>
      <c r="H594" s="1" t="s">
        <v>3694</v>
      </c>
      <c r="I594" s="1" t="s">
        <v>3324</v>
      </c>
      <c r="J594" t="str">
        <f>IF(ISNA(_xlfn.XLOOKUP(B594,customer_master!$A$2:$A$1649, customer_master!$A$2:$A$1649)), "Invalid", "Ok")</f>
        <v>Ok</v>
      </c>
      <c r="K594" t="str">
        <f>IF(ISNA(_xlfn.XLOOKUP(H594,agent_info!$A$2:$A$301, agent_info!$A$2:$A$301)), "Invalid", "Ok")</f>
        <v>Ok</v>
      </c>
    </row>
    <row r="595" spans="1:11" x14ac:dyDescent="0.3">
      <c r="A595" s="1" t="s">
        <v>4170</v>
      </c>
      <c r="B595" s="1" t="s">
        <v>3078</v>
      </c>
      <c r="C595" s="1" t="s">
        <v>3326</v>
      </c>
      <c r="D595" s="1">
        <v>592552.54</v>
      </c>
      <c r="E595" s="1">
        <v>27323.43</v>
      </c>
      <c r="F595" s="41">
        <v>45513</v>
      </c>
      <c r="G595" s="41">
        <v>45878</v>
      </c>
      <c r="H595" s="1" t="s">
        <v>3813</v>
      </c>
      <c r="I595" s="1" t="s">
        <v>3316</v>
      </c>
      <c r="J595" t="str">
        <f>IF(ISNA(_xlfn.XLOOKUP(B595,customer_master!$A$2:$A$1649, customer_master!$A$2:$A$1649)), "Invalid", "Ok")</f>
        <v>Ok</v>
      </c>
      <c r="K595" t="str">
        <f>IF(ISNA(_xlfn.XLOOKUP(H595,agent_info!$A$2:$A$301, agent_info!$A$2:$A$301)), "Invalid", "Ok")</f>
        <v>Ok</v>
      </c>
    </row>
    <row r="596" spans="1:11" x14ac:dyDescent="0.3">
      <c r="A596" s="1" t="s">
        <v>4171</v>
      </c>
      <c r="B596" s="1" t="s">
        <v>441</v>
      </c>
      <c r="C596" s="1" t="s">
        <v>3314</v>
      </c>
      <c r="D596" s="1">
        <v>492841.93</v>
      </c>
      <c r="E596" s="1">
        <v>26271.200000000001</v>
      </c>
      <c r="F596" s="41">
        <v>45111</v>
      </c>
      <c r="G596" s="41">
        <v>45477</v>
      </c>
      <c r="H596" s="1" t="s">
        <v>3500</v>
      </c>
      <c r="I596" s="1" t="s">
        <v>3324</v>
      </c>
      <c r="J596" t="str">
        <f>IF(ISNA(_xlfn.XLOOKUP(B596,customer_master!$A$2:$A$1649, customer_master!$A$2:$A$1649)), "Invalid", "Ok")</f>
        <v>Ok</v>
      </c>
      <c r="K596" t="str">
        <f>IF(ISNA(_xlfn.XLOOKUP(H596,agent_info!$A$2:$A$301, agent_info!$A$2:$A$301)), "Invalid", "Ok")</f>
        <v>Ok</v>
      </c>
    </row>
    <row r="597" spans="1:11" x14ac:dyDescent="0.3">
      <c r="A597" s="1" t="s">
        <v>4172</v>
      </c>
      <c r="B597" s="1" t="s">
        <v>596</v>
      </c>
      <c r="C597" s="1" t="s">
        <v>3331</v>
      </c>
      <c r="D597" s="1">
        <v>448927.49</v>
      </c>
      <c r="E597" s="1">
        <v>23597.72</v>
      </c>
      <c r="F597" s="41">
        <v>45200</v>
      </c>
      <c r="G597" s="41">
        <v>45566</v>
      </c>
      <c r="H597" s="1" t="s">
        <v>4173</v>
      </c>
      <c r="I597" s="1" t="s">
        <v>3324</v>
      </c>
      <c r="J597" t="str">
        <f>IF(ISNA(_xlfn.XLOOKUP(B597,customer_master!$A$2:$A$1649, customer_master!$A$2:$A$1649)), "Invalid", "Ok")</f>
        <v>Ok</v>
      </c>
      <c r="K597" t="str">
        <f>IF(ISNA(_xlfn.XLOOKUP(H597,agent_info!$A$2:$A$301, agent_info!$A$2:$A$301)), "Invalid", "Ok")</f>
        <v>Ok</v>
      </c>
    </row>
    <row r="598" spans="1:11" x14ac:dyDescent="0.3">
      <c r="A598" s="1" t="s">
        <v>4174</v>
      </c>
      <c r="B598" s="1" t="s">
        <v>1457</v>
      </c>
      <c r="C598" s="1" t="s">
        <v>3334</v>
      </c>
      <c r="D598" s="1">
        <v>578805.43999999994</v>
      </c>
      <c r="E598" s="1">
        <v>27999.94</v>
      </c>
      <c r="F598" s="41">
        <v>45745</v>
      </c>
      <c r="G598" s="41">
        <v>46110</v>
      </c>
      <c r="H598" s="1" t="s">
        <v>4175</v>
      </c>
      <c r="I598" s="1" t="s">
        <v>3324</v>
      </c>
      <c r="J598" t="str">
        <f>IF(ISNA(_xlfn.XLOOKUP(B598,customer_master!$A$2:$A$1649, customer_master!$A$2:$A$1649)), "Invalid", "Ok")</f>
        <v>Ok</v>
      </c>
      <c r="K598" t="str">
        <f>IF(ISNA(_xlfn.XLOOKUP(H598,agent_info!$A$2:$A$301, agent_info!$A$2:$A$301)), "Invalid", "Ok")</f>
        <v>Ok</v>
      </c>
    </row>
    <row r="599" spans="1:11" x14ac:dyDescent="0.3">
      <c r="A599" s="1" t="s">
        <v>4176</v>
      </c>
      <c r="B599" s="1" t="s">
        <v>958</v>
      </c>
      <c r="C599" s="1" t="s">
        <v>3314</v>
      </c>
      <c r="D599" s="1">
        <v>673910.12</v>
      </c>
      <c r="E599" s="1">
        <v>36695.300000000003</v>
      </c>
      <c r="F599" s="41">
        <v>44404</v>
      </c>
      <c r="G599" s="41">
        <v>44769</v>
      </c>
      <c r="H599" s="1" t="s">
        <v>3754</v>
      </c>
      <c r="I599" s="1" t="s">
        <v>3320</v>
      </c>
      <c r="J599" t="str">
        <f>IF(ISNA(_xlfn.XLOOKUP(B599,customer_master!$A$2:$A$1649, customer_master!$A$2:$A$1649)), "Invalid", "Ok")</f>
        <v>Ok</v>
      </c>
      <c r="K599" t="str">
        <f>IF(ISNA(_xlfn.XLOOKUP(H599,agent_info!$A$2:$A$301, agent_info!$A$2:$A$301)), "Invalid", "Ok")</f>
        <v>Ok</v>
      </c>
    </row>
    <row r="600" spans="1:11" x14ac:dyDescent="0.3">
      <c r="A600" s="1" t="s">
        <v>4177</v>
      </c>
      <c r="B600" s="1" t="s">
        <v>2071</v>
      </c>
      <c r="C600" s="1" t="s">
        <v>3326</v>
      </c>
      <c r="D600" s="1">
        <v>444359.51</v>
      </c>
      <c r="E600" s="1">
        <v>24214.76</v>
      </c>
      <c r="F600" s="41">
        <v>44948</v>
      </c>
      <c r="G600" s="41">
        <v>45313</v>
      </c>
      <c r="H600" s="1" t="s">
        <v>3792</v>
      </c>
      <c r="I600" s="1" t="s">
        <v>3324</v>
      </c>
      <c r="J600" t="str">
        <f>IF(ISNA(_xlfn.XLOOKUP(B600,customer_master!$A$2:$A$1649, customer_master!$A$2:$A$1649)), "Invalid", "Ok")</f>
        <v>Ok</v>
      </c>
      <c r="K600" t="str">
        <f>IF(ISNA(_xlfn.XLOOKUP(H600,agent_info!$A$2:$A$301, agent_info!$A$2:$A$301)), "Invalid", "Ok")</f>
        <v>Ok</v>
      </c>
    </row>
    <row r="601" spans="1:11" x14ac:dyDescent="0.3">
      <c r="A601" s="1" t="s">
        <v>4178</v>
      </c>
      <c r="B601" s="1" t="s">
        <v>3008</v>
      </c>
      <c r="C601" s="1" t="s">
        <v>3326</v>
      </c>
      <c r="D601" s="1">
        <v>602713.65</v>
      </c>
      <c r="E601" s="1">
        <v>32285.68</v>
      </c>
      <c r="F601" s="41">
        <v>44574</v>
      </c>
      <c r="G601" s="41">
        <v>44939</v>
      </c>
      <c r="H601" s="1" t="s">
        <v>4179</v>
      </c>
      <c r="I601" s="1" t="s">
        <v>3324</v>
      </c>
      <c r="J601" t="str">
        <f>IF(ISNA(_xlfn.XLOOKUP(B601,customer_master!$A$2:$A$1649, customer_master!$A$2:$A$1649)), "Invalid", "Ok")</f>
        <v>Ok</v>
      </c>
      <c r="K601" t="str">
        <f>IF(ISNA(_xlfn.XLOOKUP(H601,agent_info!$A$2:$A$301, agent_info!$A$2:$A$301)), "Invalid", "Ok")</f>
        <v>Ok</v>
      </c>
    </row>
    <row r="602" spans="1:11" x14ac:dyDescent="0.3">
      <c r="A602" s="1" t="s">
        <v>4180</v>
      </c>
      <c r="B602" s="1" t="s">
        <v>1652</v>
      </c>
      <c r="C602" s="1" t="s">
        <v>3314</v>
      </c>
      <c r="D602" s="1">
        <v>562860.42000000004</v>
      </c>
      <c r="E602" s="1">
        <v>25494.05</v>
      </c>
      <c r="F602" s="41">
        <v>45719</v>
      </c>
      <c r="G602" s="41">
        <v>46084</v>
      </c>
      <c r="H602" s="1" t="s">
        <v>3518</v>
      </c>
      <c r="I602" s="1" t="s">
        <v>3320</v>
      </c>
      <c r="J602" t="str">
        <f>IF(ISNA(_xlfn.XLOOKUP(B602,customer_master!$A$2:$A$1649, customer_master!$A$2:$A$1649)), "Invalid", "Ok")</f>
        <v>Ok</v>
      </c>
      <c r="K602" t="str">
        <f>IF(ISNA(_xlfn.XLOOKUP(H602,agent_info!$A$2:$A$301, agent_info!$A$2:$A$301)), "Invalid", "Ok")</f>
        <v>Ok</v>
      </c>
    </row>
    <row r="603" spans="1:11" x14ac:dyDescent="0.3">
      <c r="A603" s="1" t="s">
        <v>4181</v>
      </c>
      <c r="B603" s="1" t="s">
        <v>1853</v>
      </c>
      <c r="C603" s="1" t="s">
        <v>3331</v>
      </c>
      <c r="D603" s="1">
        <v>535539.29</v>
      </c>
      <c r="E603" s="1">
        <v>26087.29</v>
      </c>
      <c r="F603" s="41">
        <v>45116</v>
      </c>
      <c r="G603" s="41">
        <v>45482</v>
      </c>
      <c r="H603" s="1" t="s">
        <v>3843</v>
      </c>
      <c r="I603" s="1" t="s">
        <v>3324</v>
      </c>
      <c r="J603" t="str">
        <f>IF(ISNA(_xlfn.XLOOKUP(B603,customer_master!$A$2:$A$1649, customer_master!$A$2:$A$1649)), "Invalid", "Ok")</f>
        <v>Ok</v>
      </c>
      <c r="K603" t="str">
        <f>IF(ISNA(_xlfn.XLOOKUP(H603,agent_info!$A$2:$A$301, agent_info!$A$2:$A$301)), "Invalid", "Ok")</f>
        <v>Ok</v>
      </c>
    </row>
    <row r="604" spans="1:11" x14ac:dyDescent="0.3">
      <c r="A604" s="1" t="s">
        <v>4182</v>
      </c>
      <c r="B604" s="1" t="s">
        <v>1429</v>
      </c>
      <c r="C604" s="1" t="s">
        <v>3318</v>
      </c>
      <c r="D604" s="1">
        <v>513898.89</v>
      </c>
      <c r="E604" s="1">
        <v>25475.7</v>
      </c>
      <c r="F604" s="41">
        <v>45207</v>
      </c>
      <c r="G604" s="41">
        <v>45573</v>
      </c>
      <c r="H604" s="1" t="s">
        <v>3660</v>
      </c>
      <c r="I604" s="1" t="s">
        <v>3324</v>
      </c>
      <c r="J604" t="str">
        <f>IF(ISNA(_xlfn.XLOOKUP(B604,customer_master!$A$2:$A$1649, customer_master!$A$2:$A$1649)), "Invalid", "Ok")</f>
        <v>Ok</v>
      </c>
      <c r="K604" t="str">
        <f>IF(ISNA(_xlfn.XLOOKUP(H604,agent_info!$A$2:$A$301, agent_info!$A$2:$A$301)), "Invalid", "Ok")</f>
        <v>Ok</v>
      </c>
    </row>
    <row r="605" spans="1:11" x14ac:dyDescent="0.3">
      <c r="A605" s="1" t="s">
        <v>4183</v>
      </c>
      <c r="B605" s="1" t="s">
        <v>2364</v>
      </c>
      <c r="C605" s="1" t="s">
        <v>3334</v>
      </c>
      <c r="D605" s="1">
        <v>441048.67</v>
      </c>
      <c r="E605" s="1">
        <v>23017.08</v>
      </c>
      <c r="F605" s="41">
        <v>45799</v>
      </c>
      <c r="G605" s="41">
        <v>46164</v>
      </c>
      <c r="H605" s="1" t="s">
        <v>3557</v>
      </c>
      <c r="I605" s="1" t="s">
        <v>3320</v>
      </c>
      <c r="J605" t="str">
        <f>IF(ISNA(_xlfn.XLOOKUP(B605,customer_master!$A$2:$A$1649, customer_master!$A$2:$A$1649)), "Invalid", "Ok")</f>
        <v>Ok</v>
      </c>
      <c r="K605" t="str">
        <f>IF(ISNA(_xlfn.XLOOKUP(H605,agent_info!$A$2:$A$301, agent_info!$A$2:$A$301)), "Invalid", "Ok")</f>
        <v>Ok</v>
      </c>
    </row>
    <row r="606" spans="1:11" x14ac:dyDescent="0.3">
      <c r="A606" s="1" t="s">
        <v>4184</v>
      </c>
      <c r="B606" s="1" t="s">
        <v>363</v>
      </c>
      <c r="C606" s="1" t="s">
        <v>3314</v>
      </c>
      <c r="D606" s="1">
        <v>513064</v>
      </c>
      <c r="E606" s="1">
        <v>26344.87</v>
      </c>
      <c r="F606" s="41">
        <v>45737</v>
      </c>
      <c r="G606" s="41">
        <v>46102</v>
      </c>
      <c r="H606" s="1" t="s">
        <v>3647</v>
      </c>
      <c r="I606" s="1" t="s">
        <v>3316</v>
      </c>
      <c r="J606" t="str">
        <f>IF(ISNA(_xlfn.XLOOKUP(B606,customer_master!$A$2:$A$1649, customer_master!$A$2:$A$1649)), "Invalid", "Ok")</f>
        <v>Ok</v>
      </c>
      <c r="K606" t="str">
        <f>IF(ISNA(_xlfn.XLOOKUP(H606,agent_info!$A$2:$A$301, agent_info!$A$2:$A$301)), "Invalid", "Ok")</f>
        <v>Ok</v>
      </c>
    </row>
    <row r="607" spans="1:11" x14ac:dyDescent="0.3">
      <c r="A607" s="1" t="s">
        <v>4185</v>
      </c>
      <c r="B607" s="1" t="s">
        <v>194</v>
      </c>
      <c r="C607" s="1" t="s">
        <v>3331</v>
      </c>
      <c r="D607" s="1">
        <v>716934.46</v>
      </c>
      <c r="E607" s="1">
        <v>37125.58</v>
      </c>
      <c r="F607" s="41">
        <v>45660</v>
      </c>
      <c r="G607" s="41">
        <v>46025</v>
      </c>
      <c r="H607" s="1" t="s">
        <v>3947</v>
      </c>
      <c r="I607" s="1" t="s">
        <v>3324</v>
      </c>
      <c r="J607" t="str">
        <f>IF(ISNA(_xlfn.XLOOKUP(B607,customer_master!$A$2:$A$1649, customer_master!$A$2:$A$1649)), "Invalid", "Ok")</f>
        <v>Ok</v>
      </c>
      <c r="K607" t="str">
        <f>IF(ISNA(_xlfn.XLOOKUP(H607,agent_info!$A$2:$A$301, agent_info!$A$2:$A$301)), "Invalid", "Ok")</f>
        <v>Ok</v>
      </c>
    </row>
    <row r="608" spans="1:11" x14ac:dyDescent="0.3">
      <c r="A608" s="1" t="s">
        <v>4186</v>
      </c>
      <c r="B608" s="1" t="s">
        <v>2152</v>
      </c>
      <c r="C608" s="1" t="s">
        <v>3318</v>
      </c>
      <c r="D608" s="1">
        <v>416619.1</v>
      </c>
      <c r="E608" s="1">
        <v>21944.22</v>
      </c>
      <c r="F608" s="41">
        <v>45088</v>
      </c>
      <c r="G608" s="41">
        <v>45454</v>
      </c>
      <c r="H608" s="1" t="s">
        <v>4187</v>
      </c>
      <c r="I608" s="1" t="s">
        <v>3324</v>
      </c>
      <c r="J608" t="str">
        <f>IF(ISNA(_xlfn.XLOOKUP(B608,customer_master!$A$2:$A$1649, customer_master!$A$2:$A$1649)), "Invalid", "Ok")</f>
        <v>Ok</v>
      </c>
      <c r="K608" t="str">
        <f>IF(ISNA(_xlfn.XLOOKUP(H608,agent_info!$A$2:$A$301, agent_info!$A$2:$A$301)), "Invalid", "Ok")</f>
        <v>Ok</v>
      </c>
    </row>
    <row r="609" spans="1:11" x14ac:dyDescent="0.3">
      <c r="A609" s="1" t="s">
        <v>4188</v>
      </c>
      <c r="B609" s="1" t="s">
        <v>1795</v>
      </c>
      <c r="C609" s="1" t="s">
        <v>3334</v>
      </c>
      <c r="D609" s="1">
        <v>753945.51</v>
      </c>
      <c r="E609" s="1">
        <v>41078.230000000003</v>
      </c>
      <c r="F609" s="41">
        <v>45812</v>
      </c>
      <c r="G609" s="41">
        <v>46177</v>
      </c>
      <c r="H609" s="1" t="s">
        <v>3809</v>
      </c>
      <c r="I609" s="1" t="s">
        <v>3324</v>
      </c>
      <c r="J609" t="str">
        <f>IF(ISNA(_xlfn.XLOOKUP(B609,customer_master!$A$2:$A$1649, customer_master!$A$2:$A$1649)), "Invalid", "Ok")</f>
        <v>Ok</v>
      </c>
      <c r="K609" t="str">
        <f>IF(ISNA(_xlfn.XLOOKUP(H609,agent_info!$A$2:$A$301, agent_info!$A$2:$A$301)), "Invalid", "Ok")</f>
        <v>Ok</v>
      </c>
    </row>
    <row r="610" spans="1:11" x14ac:dyDescent="0.3">
      <c r="A610" s="1" t="s">
        <v>4189</v>
      </c>
      <c r="B610" s="1" t="s">
        <v>1386</v>
      </c>
      <c r="C610" s="1" t="s">
        <v>3334</v>
      </c>
      <c r="D610" s="1">
        <v>426386.16</v>
      </c>
      <c r="E610" s="1">
        <v>21538.93</v>
      </c>
      <c r="F610" s="41">
        <v>44763</v>
      </c>
      <c r="G610" s="41">
        <v>45128</v>
      </c>
      <c r="H610" s="1" t="s">
        <v>3381</v>
      </c>
      <c r="I610" s="1" t="s">
        <v>3324</v>
      </c>
      <c r="J610" t="str">
        <f>IF(ISNA(_xlfn.XLOOKUP(B610,customer_master!$A$2:$A$1649, customer_master!$A$2:$A$1649)), "Invalid", "Ok")</f>
        <v>Ok</v>
      </c>
      <c r="K610" t="str">
        <f>IF(ISNA(_xlfn.XLOOKUP(H610,agent_info!$A$2:$A$301, agent_info!$A$2:$A$301)), "Invalid", "Ok")</f>
        <v>Ok</v>
      </c>
    </row>
    <row r="611" spans="1:11" x14ac:dyDescent="0.3">
      <c r="A611" s="1" t="s">
        <v>4190</v>
      </c>
      <c r="B611" s="1" t="s">
        <v>1129</v>
      </c>
      <c r="C611" s="1" t="s">
        <v>3318</v>
      </c>
      <c r="D611" s="1">
        <v>514847.96</v>
      </c>
      <c r="E611" s="1">
        <v>27822.6</v>
      </c>
      <c r="F611" s="41">
        <v>44488</v>
      </c>
      <c r="G611" s="41">
        <v>44853</v>
      </c>
      <c r="H611" s="1" t="s">
        <v>3987</v>
      </c>
      <c r="I611" s="1" t="s">
        <v>3324</v>
      </c>
      <c r="J611" t="str">
        <f>IF(ISNA(_xlfn.XLOOKUP(B611,customer_master!$A$2:$A$1649, customer_master!$A$2:$A$1649)), "Invalid", "Ok")</f>
        <v>Ok</v>
      </c>
      <c r="K611" t="str">
        <f>IF(ISNA(_xlfn.XLOOKUP(H611,agent_info!$A$2:$A$301, agent_info!$A$2:$A$301)), "Invalid", "Ok")</f>
        <v>Ok</v>
      </c>
    </row>
    <row r="612" spans="1:11" x14ac:dyDescent="0.3">
      <c r="A612" s="1" t="s">
        <v>4191</v>
      </c>
      <c r="B612" s="1" t="s">
        <v>204</v>
      </c>
      <c r="C612" s="1" t="s">
        <v>3331</v>
      </c>
      <c r="D612" s="1">
        <v>612805.81000000006</v>
      </c>
      <c r="E612" s="1">
        <v>32569.52</v>
      </c>
      <c r="F612" s="41">
        <v>45765</v>
      </c>
      <c r="G612" s="41">
        <v>46130</v>
      </c>
      <c r="H612" s="1" t="s">
        <v>3658</v>
      </c>
      <c r="I612" s="1" t="s">
        <v>3316</v>
      </c>
      <c r="J612" t="str">
        <f>IF(ISNA(_xlfn.XLOOKUP(B612,customer_master!$A$2:$A$1649, customer_master!$A$2:$A$1649)), "Invalid", "Ok")</f>
        <v>Ok</v>
      </c>
      <c r="K612" t="str">
        <f>IF(ISNA(_xlfn.XLOOKUP(H612,agent_info!$A$2:$A$301, agent_info!$A$2:$A$301)), "Invalid", "Ok")</f>
        <v>Ok</v>
      </c>
    </row>
    <row r="613" spans="1:11" x14ac:dyDescent="0.3">
      <c r="A613" s="1" t="s">
        <v>4192</v>
      </c>
      <c r="B613" s="1" t="s">
        <v>2276</v>
      </c>
      <c r="C613" s="1" t="s">
        <v>3314</v>
      </c>
      <c r="D613" s="1">
        <v>707568.94</v>
      </c>
      <c r="E613" s="1">
        <v>34231.65</v>
      </c>
      <c r="F613" s="41">
        <v>45606</v>
      </c>
      <c r="G613" s="41">
        <v>45971</v>
      </c>
      <c r="H613" s="1" t="s">
        <v>4033</v>
      </c>
      <c r="I613" s="1" t="s">
        <v>3324</v>
      </c>
      <c r="J613" t="str">
        <f>IF(ISNA(_xlfn.XLOOKUP(B613,customer_master!$A$2:$A$1649, customer_master!$A$2:$A$1649)), "Invalid", "Ok")</f>
        <v>Ok</v>
      </c>
      <c r="K613" t="str">
        <f>IF(ISNA(_xlfn.XLOOKUP(H613,agent_info!$A$2:$A$301, agent_info!$A$2:$A$301)), "Invalid", "Ok")</f>
        <v>Ok</v>
      </c>
    </row>
    <row r="614" spans="1:11" x14ac:dyDescent="0.3">
      <c r="A614" s="1" t="s">
        <v>4193</v>
      </c>
      <c r="B614" s="1" t="s">
        <v>1423</v>
      </c>
      <c r="C614" s="1" t="s">
        <v>3318</v>
      </c>
      <c r="D614" s="1">
        <v>432274.31</v>
      </c>
      <c r="E614" s="1">
        <v>22969.63</v>
      </c>
      <c r="F614" s="41">
        <v>44536</v>
      </c>
      <c r="G614" s="41">
        <v>44901</v>
      </c>
      <c r="H614" s="1" t="s">
        <v>3998</v>
      </c>
      <c r="I614" s="1" t="s">
        <v>3316</v>
      </c>
      <c r="J614" t="str">
        <f>IF(ISNA(_xlfn.XLOOKUP(B614,customer_master!$A$2:$A$1649, customer_master!$A$2:$A$1649)), "Invalid", "Ok")</f>
        <v>Ok</v>
      </c>
      <c r="K614" t="str">
        <f>IF(ISNA(_xlfn.XLOOKUP(H614,agent_info!$A$2:$A$301, agent_info!$A$2:$A$301)), "Invalid", "Ok")</f>
        <v>Ok</v>
      </c>
    </row>
    <row r="615" spans="1:11" x14ac:dyDescent="0.3">
      <c r="A615" s="1" t="s">
        <v>4194</v>
      </c>
      <c r="B615" s="1" t="s">
        <v>1493</v>
      </c>
      <c r="C615" s="1" t="s">
        <v>3334</v>
      </c>
      <c r="D615" s="1">
        <v>439324.36</v>
      </c>
      <c r="E615" s="1">
        <v>20285.12</v>
      </c>
      <c r="F615" s="41">
        <v>45063</v>
      </c>
      <c r="G615" s="41">
        <v>45429</v>
      </c>
      <c r="H615" s="1" t="s">
        <v>3607</v>
      </c>
      <c r="I615" s="1" t="s">
        <v>3316</v>
      </c>
      <c r="J615" t="str">
        <f>IF(ISNA(_xlfn.XLOOKUP(B615,customer_master!$A$2:$A$1649, customer_master!$A$2:$A$1649)), "Invalid", "Ok")</f>
        <v>Ok</v>
      </c>
      <c r="K615" t="str">
        <f>IF(ISNA(_xlfn.XLOOKUP(H615,agent_info!$A$2:$A$301, agent_info!$A$2:$A$301)), "Invalid", "Ok")</f>
        <v>Ok</v>
      </c>
    </row>
    <row r="616" spans="1:11" x14ac:dyDescent="0.3">
      <c r="A616" s="1" t="s">
        <v>4195</v>
      </c>
      <c r="B616" s="1" t="s">
        <v>2969</v>
      </c>
      <c r="C616" s="1" t="s">
        <v>3318</v>
      </c>
      <c r="D616" s="1">
        <v>615526.93000000005</v>
      </c>
      <c r="E616" s="1">
        <v>28675.919999999998</v>
      </c>
      <c r="F616" s="41">
        <v>45301</v>
      </c>
      <c r="G616" s="41">
        <v>45667</v>
      </c>
      <c r="H616" s="1" t="s">
        <v>3801</v>
      </c>
      <c r="I616" s="1" t="s">
        <v>3324</v>
      </c>
      <c r="J616" t="str">
        <f>IF(ISNA(_xlfn.XLOOKUP(B616,customer_master!$A$2:$A$1649, customer_master!$A$2:$A$1649)), "Invalid", "Ok")</f>
        <v>Ok</v>
      </c>
      <c r="K616" t="str">
        <f>IF(ISNA(_xlfn.XLOOKUP(H616,agent_info!$A$2:$A$301, agent_info!$A$2:$A$301)), "Invalid", "Ok")</f>
        <v>Ok</v>
      </c>
    </row>
    <row r="617" spans="1:11" x14ac:dyDescent="0.3">
      <c r="A617" s="1" t="s">
        <v>4196</v>
      </c>
      <c r="B617" s="1" t="s">
        <v>2458</v>
      </c>
      <c r="C617" s="1" t="s">
        <v>3318</v>
      </c>
      <c r="D617" s="1">
        <v>488658.23</v>
      </c>
      <c r="E617" s="1">
        <v>26838.959999999999</v>
      </c>
      <c r="F617" s="41">
        <v>44898</v>
      </c>
      <c r="G617" s="41">
        <v>45263</v>
      </c>
      <c r="H617" s="1" t="s">
        <v>3824</v>
      </c>
      <c r="I617" s="1" t="s">
        <v>3316</v>
      </c>
      <c r="J617" t="str">
        <f>IF(ISNA(_xlfn.XLOOKUP(B617,customer_master!$A$2:$A$1649, customer_master!$A$2:$A$1649)), "Invalid", "Ok")</f>
        <v>Ok</v>
      </c>
      <c r="K617" t="str">
        <f>IF(ISNA(_xlfn.XLOOKUP(H617,agent_info!$A$2:$A$301, agent_info!$A$2:$A$301)), "Invalid", "Ok")</f>
        <v>Ok</v>
      </c>
    </row>
    <row r="618" spans="1:11" x14ac:dyDescent="0.3">
      <c r="A618" s="1" t="s">
        <v>4197</v>
      </c>
      <c r="B618" s="1" t="s">
        <v>777</v>
      </c>
      <c r="C618" s="1" t="s">
        <v>3334</v>
      </c>
      <c r="D618" s="1">
        <v>633133.31000000006</v>
      </c>
      <c r="E618" s="1">
        <v>31205.17</v>
      </c>
      <c r="F618" s="41">
        <v>45342</v>
      </c>
      <c r="G618" s="41">
        <v>45708</v>
      </c>
      <c r="H618" s="1" t="s">
        <v>4198</v>
      </c>
      <c r="I618" s="1" t="s">
        <v>3316</v>
      </c>
      <c r="J618" t="str">
        <f>IF(ISNA(_xlfn.XLOOKUP(B618,customer_master!$A$2:$A$1649, customer_master!$A$2:$A$1649)), "Invalid", "Ok")</f>
        <v>Ok</v>
      </c>
      <c r="K618" t="str">
        <f>IF(ISNA(_xlfn.XLOOKUP(H618,agent_info!$A$2:$A$301, agent_info!$A$2:$A$301)), "Invalid", "Ok")</f>
        <v>Ok</v>
      </c>
    </row>
    <row r="619" spans="1:11" x14ac:dyDescent="0.3">
      <c r="A619" s="1" t="s">
        <v>4199</v>
      </c>
      <c r="B619" s="1" t="s">
        <v>2192</v>
      </c>
      <c r="C619" s="1" t="s">
        <v>3326</v>
      </c>
      <c r="D619" s="1">
        <v>637204.12</v>
      </c>
      <c r="E619" s="1">
        <v>31609.26</v>
      </c>
      <c r="F619" s="41">
        <v>44358</v>
      </c>
      <c r="G619" s="41">
        <v>44723</v>
      </c>
      <c r="H619" s="1" t="s">
        <v>3643</v>
      </c>
      <c r="I619" s="1" t="s">
        <v>3316</v>
      </c>
      <c r="J619" t="str">
        <f>IF(ISNA(_xlfn.XLOOKUP(B619,customer_master!$A$2:$A$1649, customer_master!$A$2:$A$1649)), "Invalid", "Ok")</f>
        <v>Ok</v>
      </c>
      <c r="K619" t="str">
        <f>IF(ISNA(_xlfn.XLOOKUP(H619,agent_info!$A$2:$A$301, agent_info!$A$2:$A$301)), "Invalid", "Ok")</f>
        <v>Ok</v>
      </c>
    </row>
    <row r="620" spans="1:11" x14ac:dyDescent="0.3">
      <c r="A620" s="1" t="s">
        <v>4200</v>
      </c>
      <c r="B620" s="1" t="s">
        <v>473</v>
      </c>
      <c r="C620" s="1" t="s">
        <v>3334</v>
      </c>
      <c r="D620" s="1">
        <v>414595.15</v>
      </c>
      <c r="E620" s="1">
        <v>22599.71</v>
      </c>
      <c r="F620" s="41">
        <v>46144</v>
      </c>
      <c r="G620" s="41">
        <v>46509</v>
      </c>
      <c r="H620" s="1" t="s">
        <v>3451</v>
      </c>
      <c r="I620" s="1" t="s">
        <v>3324</v>
      </c>
      <c r="J620" t="str">
        <f>IF(ISNA(_xlfn.XLOOKUP(B620,customer_master!$A$2:$A$1649, customer_master!$A$2:$A$1649)), "Invalid", "Ok")</f>
        <v>Ok</v>
      </c>
      <c r="K620" t="str">
        <f>IF(ISNA(_xlfn.XLOOKUP(H620,agent_info!$A$2:$A$301, agent_info!$A$2:$A$301)), "Invalid", "Ok")</f>
        <v>Ok</v>
      </c>
    </row>
    <row r="621" spans="1:11" x14ac:dyDescent="0.3">
      <c r="A621" s="1" t="s">
        <v>4201</v>
      </c>
      <c r="B621" s="1" t="s">
        <v>689</v>
      </c>
      <c r="C621" s="1" t="s">
        <v>3326</v>
      </c>
      <c r="D621" s="1">
        <v>645572.93999999994</v>
      </c>
      <c r="E621" s="1">
        <v>31386.720000000001</v>
      </c>
      <c r="F621" s="41">
        <v>44098</v>
      </c>
      <c r="G621" s="41">
        <v>44463</v>
      </c>
      <c r="H621" s="1" t="s">
        <v>4058</v>
      </c>
      <c r="I621" s="1" t="s">
        <v>3324</v>
      </c>
      <c r="J621" t="str">
        <f>IF(ISNA(_xlfn.XLOOKUP(B621,customer_master!$A$2:$A$1649, customer_master!$A$2:$A$1649)), "Invalid", "Ok")</f>
        <v>Ok</v>
      </c>
      <c r="K621" t="str">
        <f>IF(ISNA(_xlfn.XLOOKUP(H621,agent_info!$A$2:$A$301, agent_info!$A$2:$A$301)), "Invalid", "Ok")</f>
        <v>Ok</v>
      </c>
    </row>
    <row r="622" spans="1:11" x14ac:dyDescent="0.3">
      <c r="A622" s="1" t="s">
        <v>4202</v>
      </c>
      <c r="B622" s="1" t="s">
        <v>2390</v>
      </c>
      <c r="C622" s="1" t="s">
        <v>3326</v>
      </c>
      <c r="D622" s="1">
        <v>363154.87</v>
      </c>
      <c r="E622" s="1">
        <v>17202.52</v>
      </c>
      <c r="F622" s="41">
        <v>45853</v>
      </c>
      <c r="G622" s="41">
        <v>46218</v>
      </c>
      <c r="H622" s="1" t="s">
        <v>4175</v>
      </c>
      <c r="I622" s="1" t="s">
        <v>3316</v>
      </c>
      <c r="J622" t="str">
        <f>IF(ISNA(_xlfn.XLOOKUP(B622,customer_master!$A$2:$A$1649, customer_master!$A$2:$A$1649)), "Invalid", "Ok")</f>
        <v>Ok</v>
      </c>
      <c r="K622" t="str">
        <f>IF(ISNA(_xlfn.XLOOKUP(H622,agent_info!$A$2:$A$301, agent_info!$A$2:$A$301)), "Invalid", "Ok")</f>
        <v>Ok</v>
      </c>
    </row>
    <row r="623" spans="1:11" x14ac:dyDescent="0.3">
      <c r="A623" s="1" t="s">
        <v>4203</v>
      </c>
      <c r="B623" s="1" t="s">
        <v>453</v>
      </c>
      <c r="C623" s="1" t="s">
        <v>3314</v>
      </c>
      <c r="D623" s="1">
        <v>731048.08</v>
      </c>
      <c r="E623" s="1">
        <v>33466.080000000002</v>
      </c>
      <c r="F623" s="41">
        <v>45905</v>
      </c>
      <c r="G623" s="41">
        <v>46270</v>
      </c>
      <c r="H623" s="1" t="s">
        <v>3332</v>
      </c>
      <c r="I623" s="1" t="s">
        <v>3320</v>
      </c>
      <c r="J623" t="str">
        <f>IF(ISNA(_xlfn.XLOOKUP(B623,customer_master!$A$2:$A$1649, customer_master!$A$2:$A$1649)), "Invalid", "Ok")</f>
        <v>Ok</v>
      </c>
      <c r="K623" t="str">
        <f>IF(ISNA(_xlfn.XLOOKUP(H623,agent_info!$A$2:$A$301, agent_info!$A$2:$A$301)), "Invalid", "Ok")</f>
        <v>Ok</v>
      </c>
    </row>
    <row r="624" spans="1:11" x14ac:dyDescent="0.3">
      <c r="A624" s="1" t="s">
        <v>4204</v>
      </c>
      <c r="B624" s="1" t="s">
        <v>947</v>
      </c>
      <c r="C624" s="1" t="s">
        <v>3331</v>
      </c>
      <c r="D624" s="1">
        <v>753698.32</v>
      </c>
      <c r="E624" s="1">
        <v>37855.4</v>
      </c>
      <c r="F624" s="41">
        <v>44821</v>
      </c>
      <c r="G624" s="41">
        <v>45186</v>
      </c>
      <c r="H624" s="1" t="s">
        <v>3532</v>
      </c>
      <c r="I624" s="1" t="s">
        <v>3324</v>
      </c>
      <c r="J624" t="str">
        <f>IF(ISNA(_xlfn.XLOOKUP(B624,customer_master!$A$2:$A$1649, customer_master!$A$2:$A$1649)), "Invalid", "Ok")</f>
        <v>Ok</v>
      </c>
      <c r="K624" t="str">
        <f>IF(ISNA(_xlfn.XLOOKUP(H624,agent_info!$A$2:$A$301, agent_info!$A$2:$A$301)), "Invalid", "Ok")</f>
        <v>Ok</v>
      </c>
    </row>
    <row r="625" spans="1:11" x14ac:dyDescent="0.3">
      <c r="A625" s="1" t="s">
        <v>4205</v>
      </c>
      <c r="B625" s="1" t="s">
        <v>2983</v>
      </c>
      <c r="C625" s="1" t="s">
        <v>3326</v>
      </c>
      <c r="D625" s="1">
        <v>583609.31999999995</v>
      </c>
      <c r="E625" s="1">
        <v>27427.82</v>
      </c>
      <c r="F625" s="41">
        <v>44995</v>
      </c>
      <c r="G625" s="41">
        <v>45361</v>
      </c>
      <c r="H625" s="1" t="s">
        <v>3719</v>
      </c>
      <c r="I625" s="1" t="s">
        <v>3324</v>
      </c>
      <c r="J625" t="str">
        <f>IF(ISNA(_xlfn.XLOOKUP(B625,customer_master!$A$2:$A$1649, customer_master!$A$2:$A$1649)), "Invalid", "Ok")</f>
        <v>Ok</v>
      </c>
      <c r="K625" t="str">
        <f>IF(ISNA(_xlfn.XLOOKUP(H625,agent_info!$A$2:$A$301, agent_info!$A$2:$A$301)), "Invalid", "Ok")</f>
        <v>Ok</v>
      </c>
    </row>
    <row r="626" spans="1:11" x14ac:dyDescent="0.3">
      <c r="A626" s="1" t="s">
        <v>4206</v>
      </c>
      <c r="B626" s="1" t="s">
        <v>2462</v>
      </c>
      <c r="C626" s="1" t="s">
        <v>3334</v>
      </c>
      <c r="D626" s="1">
        <v>763938.29</v>
      </c>
      <c r="E626" s="1">
        <v>34872.300000000003</v>
      </c>
      <c r="F626" s="41">
        <v>45580</v>
      </c>
      <c r="G626" s="41">
        <v>45945</v>
      </c>
      <c r="H626" s="1" t="s">
        <v>3885</v>
      </c>
      <c r="I626" s="1" t="s">
        <v>3320</v>
      </c>
      <c r="J626" t="str">
        <f>IF(ISNA(_xlfn.XLOOKUP(B626,customer_master!$A$2:$A$1649, customer_master!$A$2:$A$1649)), "Invalid", "Ok")</f>
        <v>Ok</v>
      </c>
      <c r="K626" t="str">
        <f>IF(ISNA(_xlfn.XLOOKUP(H626,agent_info!$A$2:$A$301, agent_info!$A$2:$A$301)), "Invalid", "Ok")</f>
        <v>Ok</v>
      </c>
    </row>
    <row r="627" spans="1:11" x14ac:dyDescent="0.3">
      <c r="A627" s="1" t="s">
        <v>4207</v>
      </c>
      <c r="B627" s="1" t="s">
        <v>3090</v>
      </c>
      <c r="C627" s="1" t="s">
        <v>3334</v>
      </c>
      <c r="D627" s="1">
        <v>701466.86</v>
      </c>
      <c r="E627" s="1">
        <v>37269.42</v>
      </c>
      <c r="F627" s="41">
        <v>44961</v>
      </c>
      <c r="G627" s="41">
        <v>45326</v>
      </c>
      <c r="H627" s="1" t="s">
        <v>3315</v>
      </c>
      <c r="I627" s="1" t="s">
        <v>3320</v>
      </c>
      <c r="J627" t="str">
        <f>IF(ISNA(_xlfn.XLOOKUP(B627,customer_master!$A$2:$A$1649, customer_master!$A$2:$A$1649)), "Invalid", "Ok")</f>
        <v>Ok</v>
      </c>
      <c r="K627" t="str">
        <f>IF(ISNA(_xlfn.XLOOKUP(H627,agent_info!$A$2:$A$301, agent_info!$A$2:$A$301)), "Invalid", "Ok")</f>
        <v>Ok</v>
      </c>
    </row>
    <row r="628" spans="1:11" x14ac:dyDescent="0.3">
      <c r="A628" s="1" t="s">
        <v>4208</v>
      </c>
      <c r="B628" s="1" t="s">
        <v>2937</v>
      </c>
      <c r="C628" s="1" t="s">
        <v>3314</v>
      </c>
      <c r="D628" s="1">
        <v>402080.72</v>
      </c>
      <c r="E628" s="1">
        <v>19414.86</v>
      </c>
      <c r="F628" s="41">
        <v>45783</v>
      </c>
      <c r="G628" s="41">
        <v>46148</v>
      </c>
      <c r="H628" s="1" t="s">
        <v>3408</v>
      </c>
      <c r="I628" s="1" t="s">
        <v>3324</v>
      </c>
      <c r="J628" t="str">
        <f>IF(ISNA(_xlfn.XLOOKUP(B628,customer_master!$A$2:$A$1649, customer_master!$A$2:$A$1649)), "Invalid", "Ok")</f>
        <v>Ok</v>
      </c>
      <c r="K628" t="str">
        <f>IF(ISNA(_xlfn.XLOOKUP(H628,agent_info!$A$2:$A$301, agent_info!$A$2:$A$301)), "Invalid", "Ok")</f>
        <v>Ok</v>
      </c>
    </row>
    <row r="629" spans="1:11" x14ac:dyDescent="0.3">
      <c r="A629" s="1" t="s">
        <v>4209</v>
      </c>
      <c r="B629" s="1" t="s">
        <v>1059</v>
      </c>
      <c r="C629" s="1" t="s">
        <v>3318</v>
      </c>
      <c r="D629" s="1">
        <v>379440.54</v>
      </c>
      <c r="E629" s="1">
        <v>19273.27</v>
      </c>
      <c r="F629" s="41">
        <v>45255</v>
      </c>
      <c r="G629" s="41">
        <v>45621</v>
      </c>
      <c r="H629" s="1" t="s">
        <v>3536</v>
      </c>
      <c r="I629" s="1" t="s">
        <v>3316</v>
      </c>
      <c r="J629" t="str">
        <f>IF(ISNA(_xlfn.XLOOKUP(B629,customer_master!$A$2:$A$1649, customer_master!$A$2:$A$1649)), "Invalid", "Ok")</f>
        <v>Ok</v>
      </c>
      <c r="K629" t="str">
        <f>IF(ISNA(_xlfn.XLOOKUP(H629,agent_info!$A$2:$A$301, agent_info!$A$2:$A$301)), "Invalid", "Ok")</f>
        <v>Ok</v>
      </c>
    </row>
    <row r="630" spans="1:11" x14ac:dyDescent="0.3">
      <c r="A630" s="1" t="s">
        <v>4210</v>
      </c>
      <c r="B630" s="1" t="s">
        <v>2131</v>
      </c>
      <c r="C630" s="1" t="s">
        <v>3334</v>
      </c>
      <c r="D630" s="1">
        <v>393007.42</v>
      </c>
      <c r="E630" s="1">
        <v>18096.599999999999</v>
      </c>
      <c r="F630" s="41">
        <v>44791</v>
      </c>
      <c r="G630" s="41">
        <v>45156</v>
      </c>
      <c r="H630" s="1" t="s">
        <v>3678</v>
      </c>
      <c r="I630" s="1" t="s">
        <v>3324</v>
      </c>
      <c r="J630" t="str">
        <f>IF(ISNA(_xlfn.XLOOKUP(B630,customer_master!$A$2:$A$1649, customer_master!$A$2:$A$1649)), "Invalid", "Ok")</f>
        <v>Ok</v>
      </c>
      <c r="K630" t="str">
        <f>IF(ISNA(_xlfn.XLOOKUP(H630,agent_info!$A$2:$A$301, agent_info!$A$2:$A$301)), "Invalid", "Ok")</f>
        <v>Ok</v>
      </c>
    </row>
    <row r="631" spans="1:11" x14ac:dyDescent="0.3">
      <c r="A631" s="1" t="s">
        <v>4211</v>
      </c>
      <c r="B631" s="1" t="s">
        <v>1289</v>
      </c>
      <c r="C631" s="1" t="s">
        <v>3331</v>
      </c>
      <c r="D631" s="1">
        <v>553902.51</v>
      </c>
      <c r="E631" s="1">
        <v>27726.05</v>
      </c>
      <c r="F631" s="41">
        <v>44127</v>
      </c>
      <c r="G631" s="41">
        <v>44492</v>
      </c>
      <c r="H631" s="1" t="s">
        <v>3862</v>
      </c>
      <c r="I631" s="1" t="s">
        <v>3324</v>
      </c>
      <c r="J631" t="str">
        <f>IF(ISNA(_xlfn.XLOOKUP(B631,customer_master!$A$2:$A$1649, customer_master!$A$2:$A$1649)), "Invalid", "Ok")</f>
        <v>Ok</v>
      </c>
      <c r="K631" t="str">
        <f>IF(ISNA(_xlfn.XLOOKUP(H631,agent_info!$A$2:$A$301, agent_info!$A$2:$A$301)), "Invalid", "Ok")</f>
        <v>Ok</v>
      </c>
    </row>
    <row r="632" spans="1:11" x14ac:dyDescent="0.3">
      <c r="A632" s="1" t="s">
        <v>4212</v>
      </c>
      <c r="B632" s="1" t="s">
        <v>2327</v>
      </c>
      <c r="C632" s="1" t="s">
        <v>3318</v>
      </c>
      <c r="D632" s="1">
        <v>613638.63</v>
      </c>
      <c r="E632" s="1">
        <v>31490.95</v>
      </c>
      <c r="F632" s="41">
        <v>45798</v>
      </c>
      <c r="G632" s="41">
        <v>46163</v>
      </c>
      <c r="H632" s="1" t="s">
        <v>3385</v>
      </c>
      <c r="I632" s="1" t="s">
        <v>3324</v>
      </c>
      <c r="J632" t="str">
        <f>IF(ISNA(_xlfn.XLOOKUP(B632,customer_master!$A$2:$A$1649, customer_master!$A$2:$A$1649)), "Invalid", "Ok")</f>
        <v>Ok</v>
      </c>
      <c r="K632" t="str">
        <f>IF(ISNA(_xlfn.XLOOKUP(H632,agent_info!$A$2:$A$301, agent_info!$A$2:$A$301)), "Invalid", "Ok")</f>
        <v>Ok</v>
      </c>
    </row>
    <row r="633" spans="1:11" x14ac:dyDescent="0.3">
      <c r="A633" s="1" t="s">
        <v>4213</v>
      </c>
      <c r="B633" s="1" t="s">
        <v>1183</v>
      </c>
      <c r="C633" s="1" t="s">
        <v>3326</v>
      </c>
      <c r="D633" s="1">
        <v>518515.14</v>
      </c>
      <c r="E633" s="1">
        <v>25665.79</v>
      </c>
      <c r="F633" s="41">
        <v>46098</v>
      </c>
      <c r="G633" s="41">
        <v>46463</v>
      </c>
      <c r="H633" s="1" t="s">
        <v>3475</v>
      </c>
      <c r="I633" s="1" t="s">
        <v>3324</v>
      </c>
      <c r="J633" t="str">
        <f>IF(ISNA(_xlfn.XLOOKUP(B633,customer_master!$A$2:$A$1649, customer_master!$A$2:$A$1649)), "Invalid", "Ok")</f>
        <v>Ok</v>
      </c>
      <c r="K633" t="str">
        <f>IF(ISNA(_xlfn.XLOOKUP(H633,agent_info!$A$2:$A$301, agent_info!$A$2:$A$301)), "Invalid", "Ok")</f>
        <v>Ok</v>
      </c>
    </row>
    <row r="634" spans="1:11" x14ac:dyDescent="0.3">
      <c r="A634" s="1" t="s">
        <v>4214</v>
      </c>
      <c r="B634" s="1" t="s">
        <v>26</v>
      </c>
      <c r="C634" s="1" t="s">
        <v>3334</v>
      </c>
      <c r="D634" s="1">
        <v>645695.18000000005</v>
      </c>
      <c r="E634" s="1">
        <v>31235.39</v>
      </c>
      <c r="F634" s="41">
        <v>44413</v>
      </c>
      <c r="G634" s="41">
        <v>44778</v>
      </c>
      <c r="H634" s="1" t="s">
        <v>3762</v>
      </c>
      <c r="I634" s="1" t="s">
        <v>3324</v>
      </c>
      <c r="J634" t="str">
        <f>IF(ISNA(_xlfn.XLOOKUP(B634,customer_master!$A$2:$A$1649, customer_master!$A$2:$A$1649)), "Invalid", "Ok")</f>
        <v>Ok</v>
      </c>
      <c r="K634" t="str">
        <f>IF(ISNA(_xlfn.XLOOKUP(H634,agent_info!$A$2:$A$301, agent_info!$A$2:$A$301)), "Invalid", "Ok")</f>
        <v>Ok</v>
      </c>
    </row>
    <row r="635" spans="1:11" x14ac:dyDescent="0.3">
      <c r="A635" s="1" t="s">
        <v>4215</v>
      </c>
      <c r="B635" s="1" t="s">
        <v>344</v>
      </c>
      <c r="C635" s="1" t="s">
        <v>3326</v>
      </c>
      <c r="D635" s="1">
        <v>507360.92</v>
      </c>
      <c r="E635" s="1">
        <v>24408.91</v>
      </c>
      <c r="F635" s="41">
        <v>46165</v>
      </c>
      <c r="G635" s="41">
        <v>46530</v>
      </c>
      <c r="H635" s="1" t="s">
        <v>3745</v>
      </c>
      <c r="I635" s="1" t="s">
        <v>3324</v>
      </c>
      <c r="J635" t="str">
        <f>IF(ISNA(_xlfn.XLOOKUP(B635,customer_master!$A$2:$A$1649, customer_master!$A$2:$A$1649)), "Invalid", "Ok")</f>
        <v>Ok</v>
      </c>
      <c r="K635" t="str">
        <f>IF(ISNA(_xlfn.XLOOKUP(H635,agent_info!$A$2:$A$301, agent_info!$A$2:$A$301)), "Invalid", "Ok")</f>
        <v>Ok</v>
      </c>
    </row>
    <row r="636" spans="1:11" x14ac:dyDescent="0.3">
      <c r="A636" s="1" t="s">
        <v>4216</v>
      </c>
      <c r="B636" s="1" t="s">
        <v>2571</v>
      </c>
      <c r="C636" s="1" t="s">
        <v>3331</v>
      </c>
      <c r="D636" s="1">
        <v>397738.09</v>
      </c>
      <c r="E636" s="1">
        <v>18333.27</v>
      </c>
      <c r="F636" s="41">
        <v>44800</v>
      </c>
      <c r="G636" s="41">
        <v>45165</v>
      </c>
      <c r="H636" s="1" t="s">
        <v>3363</v>
      </c>
      <c r="I636" s="1" t="s">
        <v>3316</v>
      </c>
      <c r="J636" t="str">
        <f>IF(ISNA(_xlfn.XLOOKUP(B636,customer_master!$A$2:$A$1649, customer_master!$A$2:$A$1649)), "Invalid", "Ok")</f>
        <v>Ok</v>
      </c>
      <c r="K636" t="str">
        <f>IF(ISNA(_xlfn.XLOOKUP(H636,agent_info!$A$2:$A$301, agent_info!$A$2:$A$301)), "Invalid", "Ok")</f>
        <v>Ok</v>
      </c>
    </row>
    <row r="637" spans="1:11" x14ac:dyDescent="0.3">
      <c r="A637" s="1" t="s">
        <v>4217</v>
      </c>
      <c r="B637" s="1" t="s">
        <v>316</v>
      </c>
      <c r="C637" s="1" t="s">
        <v>3314</v>
      </c>
      <c r="D637" s="1">
        <v>472074.18</v>
      </c>
      <c r="E637" s="1">
        <v>21789.49</v>
      </c>
      <c r="F637" s="41">
        <v>45457</v>
      </c>
      <c r="G637" s="41">
        <v>45822</v>
      </c>
      <c r="H637" s="1" t="s">
        <v>3550</v>
      </c>
      <c r="I637" s="1" t="s">
        <v>3320</v>
      </c>
      <c r="J637" t="str">
        <f>IF(ISNA(_xlfn.XLOOKUP(B637,customer_master!$A$2:$A$1649, customer_master!$A$2:$A$1649)), "Invalid", "Ok")</f>
        <v>Ok</v>
      </c>
      <c r="K637" t="str">
        <f>IF(ISNA(_xlfn.XLOOKUP(H637,agent_info!$A$2:$A$301, agent_info!$A$2:$A$301)), "Invalid", "Ok")</f>
        <v>Ok</v>
      </c>
    </row>
    <row r="638" spans="1:11" x14ac:dyDescent="0.3">
      <c r="A638" s="1" t="s">
        <v>4218</v>
      </c>
      <c r="B638" s="1" t="s">
        <v>2004</v>
      </c>
      <c r="C638" s="1" t="s">
        <v>3314</v>
      </c>
      <c r="D638" s="1">
        <v>767160.33</v>
      </c>
      <c r="E638" s="1">
        <v>38325</v>
      </c>
      <c r="F638" s="41">
        <v>45398</v>
      </c>
      <c r="G638" s="41">
        <v>45763</v>
      </c>
      <c r="H638" s="1" t="s">
        <v>4187</v>
      </c>
      <c r="I638" s="1" t="s">
        <v>3324</v>
      </c>
      <c r="J638" t="str">
        <f>IF(ISNA(_xlfn.XLOOKUP(B638,customer_master!$A$2:$A$1649, customer_master!$A$2:$A$1649)), "Invalid", "Ok")</f>
        <v>Ok</v>
      </c>
      <c r="K638" t="str">
        <f>IF(ISNA(_xlfn.XLOOKUP(H638,agent_info!$A$2:$A$301, agent_info!$A$2:$A$301)), "Invalid", "Ok")</f>
        <v>Ok</v>
      </c>
    </row>
    <row r="639" spans="1:11" x14ac:dyDescent="0.3">
      <c r="A639" s="1" t="s">
        <v>4219</v>
      </c>
      <c r="B639" s="1" t="s">
        <v>2853</v>
      </c>
      <c r="C639" s="1" t="s">
        <v>3334</v>
      </c>
      <c r="D639" s="1">
        <v>518157.58</v>
      </c>
      <c r="E639" s="1">
        <v>24036.45</v>
      </c>
      <c r="F639" s="41">
        <v>45409</v>
      </c>
      <c r="G639" s="41">
        <v>45774</v>
      </c>
      <c r="H639" s="1" t="s">
        <v>4220</v>
      </c>
      <c r="I639" s="1" t="s">
        <v>3324</v>
      </c>
      <c r="J639" t="str">
        <f>IF(ISNA(_xlfn.XLOOKUP(B639,customer_master!$A$2:$A$1649, customer_master!$A$2:$A$1649)), "Invalid", "Ok")</f>
        <v>Ok</v>
      </c>
      <c r="K639" t="str">
        <f>IF(ISNA(_xlfn.XLOOKUP(H639,agent_info!$A$2:$A$301, agent_info!$A$2:$A$301)), "Invalid", "Ok")</f>
        <v>Ok</v>
      </c>
    </row>
    <row r="640" spans="1:11" x14ac:dyDescent="0.3">
      <c r="A640" s="1" t="s">
        <v>4221</v>
      </c>
      <c r="B640" s="1" t="s">
        <v>2466</v>
      </c>
      <c r="C640" s="1" t="s">
        <v>3318</v>
      </c>
      <c r="D640" s="1">
        <v>500761.45</v>
      </c>
      <c r="E640" s="1">
        <v>23653.22</v>
      </c>
      <c r="F640" s="41">
        <v>45977</v>
      </c>
      <c r="G640" s="41">
        <v>46342</v>
      </c>
      <c r="H640" s="1" t="s">
        <v>3481</v>
      </c>
      <c r="I640" s="1" t="s">
        <v>3324</v>
      </c>
      <c r="J640" t="str">
        <f>IF(ISNA(_xlfn.XLOOKUP(B640,customer_master!$A$2:$A$1649, customer_master!$A$2:$A$1649)), "Invalid", "Ok")</f>
        <v>Ok</v>
      </c>
      <c r="K640" t="str">
        <f>IF(ISNA(_xlfn.XLOOKUP(H640,agent_info!$A$2:$A$301, agent_info!$A$2:$A$301)), "Invalid", "Ok")</f>
        <v>Ok</v>
      </c>
    </row>
    <row r="641" spans="1:11" x14ac:dyDescent="0.3">
      <c r="A641" s="1" t="s">
        <v>4222</v>
      </c>
      <c r="B641" s="1" t="s">
        <v>1400</v>
      </c>
      <c r="C641" s="1" t="s">
        <v>3326</v>
      </c>
      <c r="D641" s="1">
        <v>403477.22</v>
      </c>
      <c r="E641" s="1">
        <v>18821.48</v>
      </c>
      <c r="F641" s="41">
        <v>46225</v>
      </c>
      <c r="G641" s="41">
        <v>46590</v>
      </c>
      <c r="H641" s="1" t="s">
        <v>3319</v>
      </c>
      <c r="I641" s="1" t="s">
        <v>3320</v>
      </c>
      <c r="J641" t="str">
        <f>IF(ISNA(_xlfn.XLOOKUP(B641,customer_master!$A$2:$A$1649, customer_master!$A$2:$A$1649)), "Invalid", "Ok")</f>
        <v>Ok</v>
      </c>
      <c r="K641" t="str">
        <f>IF(ISNA(_xlfn.XLOOKUP(H641,agent_info!$A$2:$A$301, agent_info!$A$2:$A$301)), "Invalid", "Ok")</f>
        <v>Ok</v>
      </c>
    </row>
    <row r="642" spans="1:11" x14ac:dyDescent="0.3">
      <c r="A642" s="1" t="s">
        <v>4223</v>
      </c>
      <c r="B642" s="1" t="s">
        <v>743</v>
      </c>
      <c r="C642" s="1" t="s">
        <v>3334</v>
      </c>
      <c r="D642" s="1">
        <v>765050.33</v>
      </c>
      <c r="E642" s="1">
        <v>40566.67</v>
      </c>
      <c r="F642" s="41">
        <v>44524</v>
      </c>
      <c r="G642" s="41">
        <v>44889</v>
      </c>
      <c r="H642" s="1" t="s">
        <v>4106</v>
      </c>
      <c r="I642" s="1" t="s">
        <v>3324</v>
      </c>
      <c r="J642" t="str">
        <f>IF(ISNA(_xlfn.XLOOKUP(B642,customer_master!$A$2:$A$1649, customer_master!$A$2:$A$1649)), "Invalid", "Ok")</f>
        <v>Ok</v>
      </c>
      <c r="K642" t="str">
        <f>IF(ISNA(_xlfn.XLOOKUP(H642,agent_info!$A$2:$A$301, agent_info!$A$2:$A$301)), "Invalid", "Ok")</f>
        <v>Ok</v>
      </c>
    </row>
    <row r="643" spans="1:11" x14ac:dyDescent="0.3">
      <c r="A643" s="1" t="s">
        <v>4224</v>
      </c>
      <c r="B643" s="1" t="s">
        <v>3071</v>
      </c>
      <c r="C643" s="1" t="s">
        <v>3326</v>
      </c>
      <c r="D643" s="1">
        <v>430660.76</v>
      </c>
      <c r="E643" s="1">
        <v>21316.49</v>
      </c>
      <c r="F643" s="41">
        <v>44933</v>
      </c>
      <c r="G643" s="41">
        <v>45298</v>
      </c>
      <c r="H643" s="1" t="s">
        <v>3496</v>
      </c>
      <c r="I643" s="1" t="s">
        <v>3316</v>
      </c>
      <c r="J643" t="str">
        <f>IF(ISNA(_xlfn.XLOOKUP(B643,customer_master!$A$2:$A$1649, customer_master!$A$2:$A$1649)), "Invalid", "Ok")</f>
        <v>Ok</v>
      </c>
      <c r="K643" t="str">
        <f>IF(ISNA(_xlfn.XLOOKUP(H643,agent_info!$A$2:$A$301, agent_info!$A$2:$A$301)), "Invalid", "Ok")</f>
        <v>Ok</v>
      </c>
    </row>
    <row r="644" spans="1:11" x14ac:dyDescent="0.3">
      <c r="A644" s="1" t="s">
        <v>4225</v>
      </c>
      <c r="B644" s="1" t="s">
        <v>1897</v>
      </c>
      <c r="C644" s="1" t="s">
        <v>3331</v>
      </c>
      <c r="D644" s="1">
        <v>628264.34</v>
      </c>
      <c r="E644" s="1">
        <v>31743.62</v>
      </c>
      <c r="F644" s="41">
        <v>45248</v>
      </c>
      <c r="G644" s="41">
        <v>45614</v>
      </c>
      <c r="H644" s="1" t="s">
        <v>4175</v>
      </c>
      <c r="I644" s="1" t="s">
        <v>3316</v>
      </c>
      <c r="J644" t="str">
        <f>IF(ISNA(_xlfn.XLOOKUP(B644,customer_master!$A$2:$A$1649, customer_master!$A$2:$A$1649)), "Invalid", "Ok")</f>
        <v>Ok</v>
      </c>
      <c r="K644" t="str">
        <f>IF(ISNA(_xlfn.XLOOKUP(H644,agent_info!$A$2:$A$301, agent_info!$A$2:$A$301)), "Invalid", "Ok")</f>
        <v>Ok</v>
      </c>
    </row>
    <row r="645" spans="1:11" x14ac:dyDescent="0.3">
      <c r="A645" s="1" t="s">
        <v>4226</v>
      </c>
      <c r="B645" s="1" t="s">
        <v>1376</v>
      </c>
      <c r="C645" s="1" t="s">
        <v>3314</v>
      </c>
      <c r="D645" s="1">
        <v>401188.27</v>
      </c>
      <c r="E645" s="1">
        <v>20392.23</v>
      </c>
      <c r="F645" s="41">
        <v>44489</v>
      </c>
      <c r="G645" s="41">
        <v>44854</v>
      </c>
      <c r="H645" s="1" t="s">
        <v>3643</v>
      </c>
      <c r="I645" s="1" t="s">
        <v>3316</v>
      </c>
      <c r="J645" t="str">
        <f>IF(ISNA(_xlfn.XLOOKUP(B645,customer_master!$A$2:$A$1649, customer_master!$A$2:$A$1649)), "Invalid", "Ok")</f>
        <v>Ok</v>
      </c>
      <c r="K645" t="str">
        <f>IF(ISNA(_xlfn.XLOOKUP(H645,agent_info!$A$2:$A$301, agent_info!$A$2:$A$301)), "Invalid", "Ok")</f>
        <v>Ok</v>
      </c>
    </row>
    <row r="646" spans="1:11" x14ac:dyDescent="0.3">
      <c r="A646" s="1" t="s">
        <v>4227</v>
      </c>
      <c r="B646" s="1" t="s">
        <v>3132</v>
      </c>
      <c r="C646" s="1" t="s">
        <v>3326</v>
      </c>
      <c r="D646" s="1">
        <v>373265.32</v>
      </c>
      <c r="E646" s="1">
        <v>18276.509999999998</v>
      </c>
      <c r="F646" s="41">
        <v>44315</v>
      </c>
      <c r="G646" s="41">
        <v>44680</v>
      </c>
      <c r="H646" s="1" t="s">
        <v>3701</v>
      </c>
      <c r="I646" s="1" t="s">
        <v>3324</v>
      </c>
      <c r="J646" t="str">
        <f>IF(ISNA(_xlfn.XLOOKUP(B646,customer_master!$A$2:$A$1649, customer_master!$A$2:$A$1649)), "Invalid", "Ok")</f>
        <v>Ok</v>
      </c>
      <c r="K646" t="str">
        <f>IF(ISNA(_xlfn.XLOOKUP(H646,agent_info!$A$2:$A$301, agent_info!$A$2:$A$301)), "Invalid", "Ok")</f>
        <v>Ok</v>
      </c>
    </row>
    <row r="647" spans="1:11" x14ac:dyDescent="0.3">
      <c r="A647" s="1" t="s">
        <v>4228</v>
      </c>
      <c r="B647" s="1" t="s">
        <v>759</v>
      </c>
      <c r="C647" s="1" t="s">
        <v>3331</v>
      </c>
      <c r="D647" s="1">
        <v>654940.77</v>
      </c>
      <c r="E647" s="1">
        <v>31426.880000000001</v>
      </c>
      <c r="F647" s="41">
        <v>45325</v>
      </c>
      <c r="G647" s="41">
        <v>45691</v>
      </c>
      <c r="H647" s="1" t="s">
        <v>3805</v>
      </c>
      <c r="I647" s="1" t="s">
        <v>3324</v>
      </c>
      <c r="J647" t="str">
        <f>IF(ISNA(_xlfn.XLOOKUP(B647,customer_master!$A$2:$A$1649, customer_master!$A$2:$A$1649)), "Invalid", "Ok")</f>
        <v>Ok</v>
      </c>
      <c r="K647" t="str">
        <f>IF(ISNA(_xlfn.XLOOKUP(H647,agent_info!$A$2:$A$301, agent_info!$A$2:$A$301)), "Invalid", "Ok")</f>
        <v>Ok</v>
      </c>
    </row>
    <row r="648" spans="1:11" x14ac:dyDescent="0.3">
      <c r="A648" s="1" t="s">
        <v>4229</v>
      </c>
      <c r="B648" s="1" t="s">
        <v>1483</v>
      </c>
      <c r="C648" s="1" t="s">
        <v>3318</v>
      </c>
      <c r="D648" s="1">
        <v>618093.56999999995</v>
      </c>
      <c r="E648" s="1">
        <v>30178.080000000002</v>
      </c>
      <c r="F648" s="41">
        <v>45066</v>
      </c>
      <c r="G648" s="41">
        <v>45432</v>
      </c>
      <c r="H648" s="1" t="s">
        <v>4230</v>
      </c>
      <c r="I648" s="1" t="s">
        <v>3324</v>
      </c>
      <c r="J648" t="str">
        <f>IF(ISNA(_xlfn.XLOOKUP(B648,customer_master!$A$2:$A$1649, customer_master!$A$2:$A$1649)), "Invalid", "Ok")</f>
        <v>Ok</v>
      </c>
      <c r="K648" t="str">
        <f>IF(ISNA(_xlfn.XLOOKUP(H648,agent_info!$A$2:$A$301, agent_info!$A$2:$A$301)), "Invalid", "Ok")</f>
        <v>Ok</v>
      </c>
    </row>
    <row r="649" spans="1:11" x14ac:dyDescent="0.3">
      <c r="A649" s="1" t="s">
        <v>4231</v>
      </c>
      <c r="B649" s="1" t="s">
        <v>389</v>
      </c>
      <c r="C649" s="1" t="s">
        <v>3318</v>
      </c>
      <c r="D649" s="1">
        <v>635101.39</v>
      </c>
      <c r="E649" s="1">
        <v>31976.23</v>
      </c>
      <c r="F649" s="41">
        <v>46038</v>
      </c>
      <c r="G649" s="41">
        <v>46403</v>
      </c>
      <c r="H649" s="1" t="s">
        <v>3490</v>
      </c>
      <c r="I649" s="1" t="s">
        <v>3324</v>
      </c>
      <c r="J649" t="str">
        <f>IF(ISNA(_xlfn.XLOOKUP(B649,customer_master!$A$2:$A$1649, customer_master!$A$2:$A$1649)), "Invalid", "Ok")</f>
        <v>Ok</v>
      </c>
      <c r="K649" t="str">
        <f>IF(ISNA(_xlfn.XLOOKUP(H649,agent_info!$A$2:$A$301, agent_info!$A$2:$A$301)), "Invalid", "Ok")</f>
        <v>Ok</v>
      </c>
    </row>
    <row r="650" spans="1:11" x14ac:dyDescent="0.3">
      <c r="A650" s="1" t="s">
        <v>4232</v>
      </c>
      <c r="B650" s="1" t="s">
        <v>449</v>
      </c>
      <c r="C650" s="1" t="s">
        <v>3331</v>
      </c>
      <c r="D650" s="1">
        <v>469615.21</v>
      </c>
      <c r="E650" s="1">
        <v>22816.62</v>
      </c>
      <c r="F650" s="41">
        <v>44281</v>
      </c>
      <c r="G650" s="41">
        <v>44646</v>
      </c>
      <c r="H650" s="1" t="s">
        <v>3660</v>
      </c>
      <c r="I650" s="1" t="s">
        <v>3316</v>
      </c>
      <c r="J650" t="str">
        <f>IF(ISNA(_xlfn.XLOOKUP(B650,customer_master!$A$2:$A$1649, customer_master!$A$2:$A$1649)), "Invalid", "Ok")</f>
        <v>Ok</v>
      </c>
      <c r="K650" t="str">
        <f>IF(ISNA(_xlfn.XLOOKUP(H650,agent_info!$A$2:$A$301, agent_info!$A$2:$A$301)), "Invalid", "Ok")</f>
        <v>Ok</v>
      </c>
    </row>
    <row r="651" spans="1:11" x14ac:dyDescent="0.3">
      <c r="A651" s="1" t="s">
        <v>4233</v>
      </c>
      <c r="B651" s="1" t="s">
        <v>1358</v>
      </c>
      <c r="C651" s="1" t="s">
        <v>3331</v>
      </c>
      <c r="D651" s="1">
        <v>757235.15</v>
      </c>
      <c r="E651" s="1">
        <v>35110.089999999997</v>
      </c>
      <c r="F651" s="41">
        <v>44305</v>
      </c>
      <c r="G651" s="41">
        <v>44670</v>
      </c>
      <c r="H651" s="1" t="s">
        <v>3762</v>
      </c>
      <c r="I651" s="1" t="s">
        <v>3316</v>
      </c>
      <c r="J651" t="str">
        <f>IF(ISNA(_xlfn.XLOOKUP(B651,customer_master!$A$2:$A$1649, customer_master!$A$2:$A$1649)), "Invalid", "Ok")</f>
        <v>Ok</v>
      </c>
      <c r="K651" t="str">
        <f>IF(ISNA(_xlfn.XLOOKUP(H651,agent_info!$A$2:$A$301, agent_info!$A$2:$A$301)), "Invalid", "Ok")</f>
        <v>Ok</v>
      </c>
    </row>
    <row r="652" spans="1:11" x14ac:dyDescent="0.3">
      <c r="A652" s="1" t="s">
        <v>4234</v>
      </c>
      <c r="B652" s="1" t="s">
        <v>2333</v>
      </c>
      <c r="C652" s="1" t="s">
        <v>3334</v>
      </c>
      <c r="D652" s="1">
        <v>599974.43999999994</v>
      </c>
      <c r="E652" s="1">
        <v>32480.74</v>
      </c>
      <c r="F652" s="41">
        <v>45288</v>
      </c>
      <c r="G652" s="41">
        <v>45654</v>
      </c>
      <c r="H652" s="1" t="s">
        <v>3464</v>
      </c>
      <c r="I652" s="1" t="s">
        <v>3316</v>
      </c>
      <c r="J652" t="str">
        <f>IF(ISNA(_xlfn.XLOOKUP(B652,customer_master!$A$2:$A$1649, customer_master!$A$2:$A$1649)), "Invalid", "Ok")</f>
        <v>Ok</v>
      </c>
      <c r="K652" t="str">
        <f>IF(ISNA(_xlfn.XLOOKUP(H652,agent_info!$A$2:$A$301, agent_info!$A$2:$A$301)), "Invalid", "Ok")</f>
        <v>Ok</v>
      </c>
    </row>
    <row r="653" spans="1:11" x14ac:dyDescent="0.3">
      <c r="A653" s="1" t="s">
        <v>4235</v>
      </c>
      <c r="B653" s="1" t="s">
        <v>1145</v>
      </c>
      <c r="C653" s="1" t="s">
        <v>3331</v>
      </c>
      <c r="D653" s="1">
        <v>751382.63</v>
      </c>
      <c r="E653" s="1">
        <v>39315.39</v>
      </c>
      <c r="F653" s="41">
        <v>44147</v>
      </c>
      <c r="G653" s="41">
        <v>44512</v>
      </c>
      <c r="H653" s="1" t="s">
        <v>3587</v>
      </c>
      <c r="I653" s="1" t="s">
        <v>3316</v>
      </c>
      <c r="J653" t="str">
        <f>IF(ISNA(_xlfn.XLOOKUP(B653,customer_master!$A$2:$A$1649, customer_master!$A$2:$A$1649)), "Invalid", "Ok")</f>
        <v>Ok</v>
      </c>
      <c r="K653" t="str">
        <f>IF(ISNA(_xlfn.XLOOKUP(H653,agent_info!$A$2:$A$301, agent_info!$A$2:$A$301)), "Invalid", "Ok")</f>
        <v>Ok</v>
      </c>
    </row>
    <row r="654" spans="1:11" x14ac:dyDescent="0.3">
      <c r="A654" s="1" t="s">
        <v>4236</v>
      </c>
      <c r="B654" s="1" t="s">
        <v>2304</v>
      </c>
      <c r="C654" s="1" t="s">
        <v>3331</v>
      </c>
      <c r="D654" s="1">
        <v>444131.07</v>
      </c>
      <c r="E654" s="1">
        <v>20280.22</v>
      </c>
      <c r="F654" s="41">
        <v>45587</v>
      </c>
      <c r="G654" s="41">
        <v>45952</v>
      </c>
      <c r="H654" s="1" t="s">
        <v>3341</v>
      </c>
      <c r="I654" s="1" t="s">
        <v>3320</v>
      </c>
      <c r="J654" t="str">
        <f>IF(ISNA(_xlfn.XLOOKUP(B654,customer_master!$A$2:$A$1649, customer_master!$A$2:$A$1649)), "Invalid", "Ok")</f>
        <v>Ok</v>
      </c>
      <c r="K654" t="str">
        <f>IF(ISNA(_xlfn.XLOOKUP(H654,agent_info!$A$2:$A$301, agent_info!$A$2:$A$301)), "Invalid", "Ok")</f>
        <v>Ok</v>
      </c>
    </row>
    <row r="655" spans="1:11" x14ac:dyDescent="0.3">
      <c r="A655" s="1" t="s">
        <v>4237</v>
      </c>
      <c r="B655" s="1" t="s">
        <v>2666</v>
      </c>
      <c r="C655" s="1" t="s">
        <v>3334</v>
      </c>
      <c r="D655" s="1">
        <v>540963.31000000006</v>
      </c>
      <c r="E655" s="1">
        <v>29242.85</v>
      </c>
      <c r="F655" s="41">
        <v>45148</v>
      </c>
      <c r="G655" s="41">
        <v>45514</v>
      </c>
      <c r="H655" s="1" t="s">
        <v>3536</v>
      </c>
      <c r="I655" s="1" t="s">
        <v>3316</v>
      </c>
      <c r="J655" t="str">
        <f>IF(ISNA(_xlfn.XLOOKUP(B655,customer_master!$A$2:$A$1649, customer_master!$A$2:$A$1649)), "Invalid", "Ok")</f>
        <v>Ok</v>
      </c>
      <c r="K655" t="str">
        <f>IF(ISNA(_xlfn.XLOOKUP(H655,agent_info!$A$2:$A$301, agent_info!$A$2:$A$301)), "Invalid", "Ok")</f>
        <v>Ok</v>
      </c>
    </row>
    <row r="656" spans="1:11" x14ac:dyDescent="0.3">
      <c r="A656" s="1" t="s">
        <v>4238</v>
      </c>
      <c r="B656" s="1" t="s">
        <v>2920</v>
      </c>
      <c r="C656" s="1" t="s">
        <v>3331</v>
      </c>
      <c r="D656" s="1">
        <v>509564.03</v>
      </c>
      <c r="E656" s="1">
        <v>23799.01</v>
      </c>
      <c r="F656" s="41">
        <v>44486</v>
      </c>
      <c r="G656" s="41">
        <v>44851</v>
      </c>
      <c r="H656" s="1" t="s">
        <v>3694</v>
      </c>
      <c r="I656" s="1" t="s">
        <v>3324</v>
      </c>
      <c r="J656" t="str">
        <f>IF(ISNA(_xlfn.XLOOKUP(B656,customer_master!$A$2:$A$1649, customer_master!$A$2:$A$1649)), "Invalid", "Ok")</f>
        <v>Ok</v>
      </c>
      <c r="K656" t="str">
        <f>IF(ISNA(_xlfn.XLOOKUP(H656,agent_info!$A$2:$A$301, agent_info!$A$2:$A$301)), "Invalid", "Ok")</f>
        <v>Ok</v>
      </c>
    </row>
    <row r="657" spans="1:11" x14ac:dyDescent="0.3">
      <c r="A657" s="1" t="s">
        <v>4239</v>
      </c>
      <c r="B657" s="1" t="s">
        <v>184</v>
      </c>
      <c r="C657" s="1" t="s">
        <v>3331</v>
      </c>
      <c r="D657" s="1">
        <v>669561.07999999996</v>
      </c>
      <c r="E657" s="1">
        <v>30784.61</v>
      </c>
      <c r="F657" s="41">
        <v>44229</v>
      </c>
      <c r="G657" s="41">
        <v>44594</v>
      </c>
      <c r="H657" s="1" t="s">
        <v>4240</v>
      </c>
      <c r="I657" s="1" t="s">
        <v>3324</v>
      </c>
      <c r="J657" t="str">
        <f>IF(ISNA(_xlfn.XLOOKUP(B657,customer_master!$A$2:$A$1649, customer_master!$A$2:$A$1649)), "Invalid", "Ok")</f>
        <v>Ok</v>
      </c>
      <c r="K657" t="str">
        <f>IF(ISNA(_xlfn.XLOOKUP(H657,agent_info!$A$2:$A$301, agent_info!$A$2:$A$301)), "Invalid", "Ok")</f>
        <v>Ok</v>
      </c>
    </row>
    <row r="658" spans="1:11" x14ac:dyDescent="0.3">
      <c r="A658" s="1" t="s">
        <v>4241</v>
      </c>
      <c r="B658" s="1" t="s">
        <v>2573</v>
      </c>
      <c r="C658" s="1" t="s">
        <v>3326</v>
      </c>
      <c r="D658" s="1">
        <v>611650</v>
      </c>
      <c r="E658" s="1">
        <v>28583.73</v>
      </c>
      <c r="F658" s="41">
        <v>46187</v>
      </c>
      <c r="G658" s="41">
        <v>46552</v>
      </c>
      <c r="H658" s="1" t="s">
        <v>3747</v>
      </c>
      <c r="I658" s="1" t="s">
        <v>3324</v>
      </c>
      <c r="J658" t="str">
        <f>IF(ISNA(_xlfn.XLOOKUP(B658,customer_master!$A$2:$A$1649, customer_master!$A$2:$A$1649)), "Invalid", "Ok")</f>
        <v>Ok</v>
      </c>
      <c r="K658" t="str">
        <f>IF(ISNA(_xlfn.XLOOKUP(H658,agent_info!$A$2:$A$301, agent_info!$A$2:$A$301)), "Invalid", "Ok")</f>
        <v>Ok</v>
      </c>
    </row>
    <row r="659" spans="1:11" x14ac:dyDescent="0.3">
      <c r="A659" s="1" t="s">
        <v>4242</v>
      </c>
      <c r="B659" s="1" t="s">
        <v>523</v>
      </c>
      <c r="C659" s="1" t="s">
        <v>3326</v>
      </c>
      <c r="D659" s="1">
        <v>520290.33</v>
      </c>
      <c r="E659" s="1">
        <v>28267.55</v>
      </c>
      <c r="F659" s="41">
        <v>44699</v>
      </c>
      <c r="G659" s="41">
        <v>45064</v>
      </c>
      <c r="H659" s="1" t="s">
        <v>4243</v>
      </c>
      <c r="I659" s="1" t="s">
        <v>3316</v>
      </c>
      <c r="J659" t="str">
        <f>IF(ISNA(_xlfn.XLOOKUP(B659,customer_master!$A$2:$A$1649, customer_master!$A$2:$A$1649)), "Invalid", "Ok")</f>
        <v>Ok</v>
      </c>
      <c r="K659" t="str">
        <f>IF(ISNA(_xlfn.XLOOKUP(H659,agent_info!$A$2:$A$301, agent_info!$A$2:$A$301)), "Invalid", "Ok")</f>
        <v>Ok</v>
      </c>
    </row>
    <row r="660" spans="1:11" x14ac:dyDescent="0.3">
      <c r="A660" s="1" t="s">
        <v>4244</v>
      </c>
      <c r="B660" s="1" t="s">
        <v>2331</v>
      </c>
      <c r="C660" s="1" t="s">
        <v>3334</v>
      </c>
      <c r="D660" s="1">
        <v>391216.98</v>
      </c>
      <c r="E660" s="1">
        <v>18470.5</v>
      </c>
      <c r="F660" s="41">
        <v>44587</v>
      </c>
      <c r="G660" s="41">
        <v>44952</v>
      </c>
      <c r="H660" s="1" t="s">
        <v>3905</v>
      </c>
      <c r="I660" s="1" t="s">
        <v>3324</v>
      </c>
      <c r="J660" t="str">
        <f>IF(ISNA(_xlfn.XLOOKUP(B660,customer_master!$A$2:$A$1649, customer_master!$A$2:$A$1649)), "Invalid", "Ok")</f>
        <v>Ok</v>
      </c>
      <c r="K660" t="str">
        <f>IF(ISNA(_xlfn.XLOOKUP(H660,agent_info!$A$2:$A$301, agent_info!$A$2:$A$301)), "Invalid", "Ok")</f>
        <v>Ok</v>
      </c>
    </row>
    <row r="661" spans="1:11" x14ac:dyDescent="0.3">
      <c r="A661" s="1" t="s">
        <v>4245</v>
      </c>
      <c r="B661" s="1" t="s">
        <v>1261</v>
      </c>
      <c r="C661" s="1" t="s">
        <v>3326</v>
      </c>
      <c r="D661" s="1">
        <v>411322</v>
      </c>
      <c r="E661" s="1">
        <v>21746.560000000001</v>
      </c>
      <c r="F661" s="41">
        <v>45522</v>
      </c>
      <c r="G661" s="41">
        <v>45887</v>
      </c>
      <c r="H661" s="1" t="s">
        <v>3557</v>
      </c>
      <c r="I661" s="1" t="s">
        <v>3316</v>
      </c>
      <c r="J661" t="str">
        <f>IF(ISNA(_xlfn.XLOOKUP(B661,customer_master!$A$2:$A$1649, customer_master!$A$2:$A$1649)), "Invalid", "Ok")</f>
        <v>Ok</v>
      </c>
      <c r="K661" t="str">
        <f>IF(ISNA(_xlfn.XLOOKUP(H661,agent_info!$A$2:$A$301, agent_info!$A$2:$A$301)), "Invalid", "Ok")</f>
        <v>Ok</v>
      </c>
    </row>
    <row r="662" spans="1:11" x14ac:dyDescent="0.3">
      <c r="A662" s="1" t="s">
        <v>4246</v>
      </c>
      <c r="B662" s="1" t="s">
        <v>2366</v>
      </c>
      <c r="C662" s="1" t="s">
        <v>3318</v>
      </c>
      <c r="D662" s="1">
        <v>397000.42</v>
      </c>
      <c r="E662" s="1">
        <v>20417.88</v>
      </c>
      <c r="F662" s="41">
        <v>44230</v>
      </c>
      <c r="G662" s="41">
        <v>44595</v>
      </c>
      <c r="H662" s="1" t="s">
        <v>3490</v>
      </c>
      <c r="I662" s="1" t="s">
        <v>3316</v>
      </c>
      <c r="J662" t="str">
        <f>IF(ISNA(_xlfn.XLOOKUP(B662,customer_master!$A$2:$A$1649, customer_master!$A$2:$A$1649)), "Invalid", "Ok")</f>
        <v>Ok</v>
      </c>
      <c r="K662" t="str">
        <f>IF(ISNA(_xlfn.XLOOKUP(H662,agent_info!$A$2:$A$301, agent_info!$A$2:$A$301)), "Invalid", "Ok")</f>
        <v>Ok</v>
      </c>
    </row>
    <row r="663" spans="1:11" x14ac:dyDescent="0.3">
      <c r="A663" s="1" t="s">
        <v>4247</v>
      </c>
      <c r="B663" s="1" t="s">
        <v>757</v>
      </c>
      <c r="C663" s="1" t="s">
        <v>3318</v>
      </c>
      <c r="D663" s="1">
        <v>698171.51</v>
      </c>
      <c r="E663" s="1">
        <v>35035.800000000003</v>
      </c>
      <c r="F663" s="41">
        <v>44202</v>
      </c>
      <c r="G663" s="41">
        <v>44567</v>
      </c>
      <c r="H663" s="1" t="s">
        <v>3568</v>
      </c>
      <c r="I663" s="1" t="s">
        <v>3324</v>
      </c>
      <c r="J663" t="str">
        <f>IF(ISNA(_xlfn.XLOOKUP(B663,customer_master!$A$2:$A$1649, customer_master!$A$2:$A$1649)), "Invalid", "Ok")</f>
        <v>Ok</v>
      </c>
      <c r="K663" t="str">
        <f>IF(ISNA(_xlfn.XLOOKUP(H663,agent_info!$A$2:$A$301, agent_info!$A$2:$A$301)), "Invalid", "Ok")</f>
        <v>Ok</v>
      </c>
    </row>
    <row r="664" spans="1:11" x14ac:dyDescent="0.3">
      <c r="A664" s="1" t="s">
        <v>4248</v>
      </c>
      <c r="B664" s="1" t="s">
        <v>2160</v>
      </c>
      <c r="C664" s="1" t="s">
        <v>3331</v>
      </c>
      <c r="D664" s="1">
        <v>492047.85</v>
      </c>
      <c r="E664" s="1">
        <v>23941.05</v>
      </c>
      <c r="F664" s="41">
        <v>45213</v>
      </c>
      <c r="G664" s="41">
        <v>45579</v>
      </c>
      <c r="H664" s="1" t="s">
        <v>3852</v>
      </c>
      <c r="I664" s="1" t="s">
        <v>3324</v>
      </c>
      <c r="J664" t="str">
        <f>IF(ISNA(_xlfn.XLOOKUP(B664,customer_master!$A$2:$A$1649, customer_master!$A$2:$A$1649)), "Invalid", "Ok")</f>
        <v>Ok</v>
      </c>
      <c r="K664" t="str">
        <f>IF(ISNA(_xlfn.XLOOKUP(H664,agent_info!$A$2:$A$301, agent_info!$A$2:$A$301)), "Invalid", "Ok")</f>
        <v>Ok</v>
      </c>
    </row>
    <row r="665" spans="1:11" x14ac:dyDescent="0.3">
      <c r="A665" s="1" t="s">
        <v>4249</v>
      </c>
      <c r="B665" s="1" t="s">
        <v>453</v>
      </c>
      <c r="C665" s="1" t="s">
        <v>3326</v>
      </c>
      <c r="D665" s="1">
        <v>391272.92</v>
      </c>
      <c r="E665" s="1">
        <v>17970.91</v>
      </c>
      <c r="F665" s="41">
        <v>44453</v>
      </c>
      <c r="G665" s="41">
        <v>44818</v>
      </c>
      <c r="H665" s="1" t="s">
        <v>3425</v>
      </c>
      <c r="I665" s="1" t="s">
        <v>3324</v>
      </c>
      <c r="J665" t="str">
        <f>IF(ISNA(_xlfn.XLOOKUP(B665,customer_master!$A$2:$A$1649, customer_master!$A$2:$A$1649)), "Invalid", "Ok")</f>
        <v>Ok</v>
      </c>
      <c r="K665" t="str">
        <f>IF(ISNA(_xlfn.XLOOKUP(H665,agent_info!$A$2:$A$301, agent_info!$A$2:$A$301)), "Invalid", "Ok")</f>
        <v>Ok</v>
      </c>
    </row>
    <row r="666" spans="1:11" x14ac:dyDescent="0.3">
      <c r="A666" s="1" t="s">
        <v>4250</v>
      </c>
      <c r="B666" s="1" t="s">
        <v>596</v>
      </c>
      <c r="C666" s="1" t="s">
        <v>3318</v>
      </c>
      <c r="D666" s="1">
        <v>511877.15</v>
      </c>
      <c r="E666" s="1">
        <v>26672.15</v>
      </c>
      <c r="F666" s="41">
        <v>45961</v>
      </c>
      <c r="G666" s="41">
        <v>46326</v>
      </c>
      <c r="H666" s="1" t="s">
        <v>3826</v>
      </c>
      <c r="I666" s="1" t="s">
        <v>3324</v>
      </c>
      <c r="J666" t="str">
        <f>IF(ISNA(_xlfn.XLOOKUP(B666,customer_master!$A$2:$A$1649, customer_master!$A$2:$A$1649)), "Invalid", "Ok")</f>
        <v>Ok</v>
      </c>
      <c r="K666" t="str">
        <f>IF(ISNA(_xlfn.XLOOKUP(H666,agent_info!$A$2:$A$301, agent_info!$A$2:$A$301)), "Invalid", "Ok")</f>
        <v>Ok</v>
      </c>
    </row>
    <row r="667" spans="1:11" x14ac:dyDescent="0.3">
      <c r="A667" s="1" t="s">
        <v>4251</v>
      </c>
      <c r="B667" s="1" t="s">
        <v>2066</v>
      </c>
      <c r="C667" s="1" t="s">
        <v>3331</v>
      </c>
      <c r="D667" s="1">
        <v>410985.87</v>
      </c>
      <c r="E667" s="1">
        <v>20116.86</v>
      </c>
      <c r="F667" s="41">
        <v>44977</v>
      </c>
      <c r="G667" s="41">
        <v>45342</v>
      </c>
      <c r="H667" s="1" t="s">
        <v>3466</v>
      </c>
      <c r="I667" s="1" t="s">
        <v>3316</v>
      </c>
      <c r="J667" t="str">
        <f>IF(ISNA(_xlfn.XLOOKUP(B667,customer_master!$A$2:$A$1649, customer_master!$A$2:$A$1649)), "Invalid", "Ok")</f>
        <v>Ok</v>
      </c>
      <c r="K667" t="str">
        <f>IF(ISNA(_xlfn.XLOOKUP(H667,agent_info!$A$2:$A$301, agent_info!$A$2:$A$301)), "Invalid", "Ok")</f>
        <v>Ok</v>
      </c>
    </row>
    <row r="668" spans="1:11" x14ac:dyDescent="0.3">
      <c r="A668" s="1" t="s">
        <v>4252</v>
      </c>
      <c r="B668" s="1" t="s">
        <v>1141</v>
      </c>
      <c r="C668" s="1" t="s">
        <v>3318</v>
      </c>
      <c r="D668" s="1">
        <v>748008</v>
      </c>
      <c r="E668" s="1">
        <v>37662.1</v>
      </c>
      <c r="F668" s="41">
        <v>44421</v>
      </c>
      <c r="G668" s="41">
        <v>44786</v>
      </c>
      <c r="H668" s="1" t="s">
        <v>3429</v>
      </c>
      <c r="I668" s="1" t="s">
        <v>3324</v>
      </c>
      <c r="J668" t="str">
        <f>IF(ISNA(_xlfn.XLOOKUP(B668,customer_master!$A$2:$A$1649, customer_master!$A$2:$A$1649)), "Invalid", "Ok")</f>
        <v>Ok</v>
      </c>
      <c r="K668" t="str">
        <f>IF(ISNA(_xlfn.XLOOKUP(H668,agent_info!$A$2:$A$301, agent_info!$A$2:$A$301)), "Invalid", "Ok")</f>
        <v>Ok</v>
      </c>
    </row>
    <row r="669" spans="1:11" x14ac:dyDescent="0.3">
      <c r="A669" s="1" t="s">
        <v>4253</v>
      </c>
      <c r="B669" s="1" t="s">
        <v>2353</v>
      </c>
      <c r="C669" s="1" t="s">
        <v>3314</v>
      </c>
      <c r="D669" s="1">
        <v>506278.04</v>
      </c>
      <c r="E669" s="1">
        <v>23044.57</v>
      </c>
      <c r="F669" s="41">
        <v>44319</v>
      </c>
      <c r="G669" s="41">
        <v>44684</v>
      </c>
      <c r="H669" s="1" t="s">
        <v>3872</v>
      </c>
      <c r="I669" s="1" t="s">
        <v>3316</v>
      </c>
      <c r="J669" t="str">
        <f>IF(ISNA(_xlfn.XLOOKUP(B669,customer_master!$A$2:$A$1649, customer_master!$A$2:$A$1649)), "Invalid", "Ok")</f>
        <v>Ok</v>
      </c>
      <c r="K669" t="str">
        <f>IF(ISNA(_xlfn.XLOOKUP(H669,agent_info!$A$2:$A$301, agent_info!$A$2:$A$301)), "Invalid", "Ok")</f>
        <v>Ok</v>
      </c>
    </row>
    <row r="670" spans="1:11" x14ac:dyDescent="0.3">
      <c r="A670" s="1" t="s">
        <v>4254</v>
      </c>
      <c r="B670" s="1" t="s">
        <v>2292</v>
      </c>
      <c r="C670" s="1" t="s">
        <v>3334</v>
      </c>
      <c r="D670" s="1">
        <v>744230.68</v>
      </c>
      <c r="E670" s="1">
        <v>39265.15</v>
      </c>
      <c r="F670" s="41">
        <v>45252</v>
      </c>
      <c r="G670" s="41">
        <v>45618</v>
      </c>
      <c r="H670" s="1" t="s">
        <v>3882</v>
      </c>
      <c r="I670" s="1" t="s">
        <v>3324</v>
      </c>
      <c r="J670" t="str">
        <f>IF(ISNA(_xlfn.XLOOKUP(B670,customer_master!$A$2:$A$1649, customer_master!$A$2:$A$1649)), "Invalid", "Ok")</f>
        <v>Ok</v>
      </c>
      <c r="K670" t="str">
        <f>IF(ISNA(_xlfn.XLOOKUP(H670,agent_info!$A$2:$A$301, agent_info!$A$2:$A$301)), "Invalid", "Ok")</f>
        <v>Ok</v>
      </c>
    </row>
    <row r="671" spans="1:11" x14ac:dyDescent="0.3">
      <c r="A671" s="1" t="s">
        <v>4255</v>
      </c>
      <c r="B671" s="1" t="s">
        <v>2097</v>
      </c>
      <c r="C671" s="1" t="s">
        <v>3318</v>
      </c>
      <c r="D671" s="1">
        <v>636071.44999999995</v>
      </c>
      <c r="E671" s="1">
        <v>33026.559999999998</v>
      </c>
      <c r="F671" s="41">
        <v>45125</v>
      </c>
      <c r="G671" s="41">
        <v>45491</v>
      </c>
      <c r="H671" s="1" t="s">
        <v>3383</v>
      </c>
      <c r="I671" s="1" t="s">
        <v>3324</v>
      </c>
      <c r="J671" t="str">
        <f>IF(ISNA(_xlfn.XLOOKUP(B671,customer_master!$A$2:$A$1649, customer_master!$A$2:$A$1649)), "Invalid", "Ok")</f>
        <v>Ok</v>
      </c>
      <c r="K671" t="str">
        <f>IF(ISNA(_xlfn.XLOOKUP(H671,agent_info!$A$2:$A$301, agent_info!$A$2:$A$301)), "Invalid", "Ok")</f>
        <v>Ok</v>
      </c>
    </row>
    <row r="672" spans="1:11" x14ac:dyDescent="0.3">
      <c r="A672" s="1" t="s">
        <v>4256</v>
      </c>
      <c r="B672" s="1" t="s">
        <v>2444</v>
      </c>
      <c r="C672" s="1" t="s">
        <v>3326</v>
      </c>
      <c r="D672" s="1">
        <v>548137.44999999995</v>
      </c>
      <c r="E672" s="1">
        <v>27567.48</v>
      </c>
      <c r="F672" s="41">
        <v>44227</v>
      </c>
      <c r="G672" s="41">
        <v>44592</v>
      </c>
      <c r="H672" s="1" t="s">
        <v>3437</v>
      </c>
      <c r="I672" s="1" t="s">
        <v>3316</v>
      </c>
      <c r="J672" t="str">
        <f>IF(ISNA(_xlfn.XLOOKUP(B672,customer_master!$A$2:$A$1649, customer_master!$A$2:$A$1649)), "Invalid", "Ok")</f>
        <v>Ok</v>
      </c>
      <c r="K672" t="str">
        <f>IF(ISNA(_xlfn.XLOOKUP(H672,agent_info!$A$2:$A$301, agent_info!$A$2:$A$301)), "Invalid", "Ok")</f>
        <v>Ok</v>
      </c>
    </row>
    <row r="673" spans="1:11" x14ac:dyDescent="0.3">
      <c r="A673" s="1" t="s">
        <v>4257</v>
      </c>
      <c r="B673" s="1" t="s">
        <v>2633</v>
      </c>
      <c r="C673" s="1" t="s">
        <v>3318</v>
      </c>
      <c r="D673" s="1">
        <v>557737.86</v>
      </c>
      <c r="E673" s="1">
        <v>27866.3</v>
      </c>
      <c r="F673" s="41">
        <v>46170</v>
      </c>
      <c r="G673" s="41">
        <v>46535</v>
      </c>
      <c r="H673" s="1" t="s">
        <v>3404</v>
      </c>
      <c r="I673" s="1" t="s">
        <v>3320</v>
      </c>
      <c r="J673" t="str">
        <f>IF(ISNA(_xlfn.XLOOKUP(B673,customer_master!$A$2:$A$1649, customer_master!$A$2:$A$1649)), "Invalid", "Ok")</f>
        <v>Ok</v>
      </c>
      <c r="K673" t="str">
        <f>IF(ISNA(_xlfn.XLOOKUP(H673,agent_info!$A$2:$A$301, agent_info!$A$2:$A$301)), "Invalid", "Ok")</f>
        <v>Ok</v>
      </c>
    </row>
    <row r="674" spans="1:11" x14ac:dyDescent="0.3">
      <c r="A674" s="1" t="s">
        <v>4258</v>
      </c>
      <c r="B674" s="1" t="s">
        <v>3029</v>
      </c>
      <c r="C674" s="1" t="s">
        <v>3326</v>
      </c>
      <c r="D674" s="1">
        <v>590583.04000000004</v>
      </c>
      <c r="E674" s="1">
        <v>28566.68</v>
      </c>
      <c r="F674" s="41">
        <v>45974</v>
      </c>
      <c r="G674" s="41">
        <v>46339</v>
      </c>
      <c r="H674" s="1" t="s">
        <v>3706</v>
      </c>
      <c r="I674" s="1" t="s">
        <v>3316</v>
      </c>
      <c r="J674" t="str">
        <f>IF(ISNA(_xlfn.XLOOKUP(B674,customer_master!$A$2:$A$1649, customer_master!$A$2:$A$1649)), "Invalid", "Ok")</f>
        <v>Ok</v>
      </c>
      <c r="K674" t="str">
        <f>IF(ISNA(_xlfn.XLOOKUP(H674,agent_info!$A$2:$A$301, agent_info!$A$2:$A$301)), "Invalid", "Ok")</f>
        <v>Ok</v>
      </c>
    </row>
    <row r="675" spans="1:11" x14ac:dyDescent="0.3">
      <c r="A675" s="1" t="s">
        <v>4259</v>
      </c>
      <c r="B675" s="1" t="s">
        <v>306</v>
      </c>
      <c r="C675" s="1" t="s">
        <v>3314</v>
      </c>
      <c r="D675" s="1">
        <v>649216</v>
      </c>
      <c r="E675" s="1">
        <v>31437.66</v>
      </c>
      <c r="F675" s="41">
        <v>44361</v>
      </c>
      <c r="G675" s="41">
        <v>44726</v>
      </c>
      <c r="H675" s="1" t="s">
        <v>3894</v>
      </c>
      <c r="I675" s="1" t="s">
        <v>3324</v>
      </c>
      <c r="J675" t="str">
        <f>IF(ISNA(_xlfn.XLOOKUP(B675,customer_master!$A$2:$A$1649, customer_master!$A$2:$A$1649)), "Invalid", "Ok")</f>
        <v>Ok</v>
      </c>
      <c r="K675" t="str">
        <f>IF(ISNA(_xlfn.XLOOKUP(H675,agent_info!$A$2:$A$301, agent_info!$A$2:$A$301)), "Invalid", "Ok")</f>
        <v>Ok</v>
      </c>
    </row>
    <row r="676" spans="1:11" x14ac:dyDescent="0.3">
      <c r="A676" s="1" t="s">
        <v>4260</v>
      </c>
      <c r="B676" s="1" t="s">
        <v>1909</v>
      </c>
      <c r="C676" s="1" t="s">
        <v>3334</v>
      </c>
      <c r="D676" s="1">
        <v>389050.61</v>
      </c>
      <c r="E676" s="1">
        <v>17773.64</v>
      </c>
      <c r="F676" s="41">
        <v>44527</v>
      </c>
      <c r="G676" s="41">
        <v>44892</v>
      </c>
      <c r="H676" s="1" t="s">
        <v>4220</v>
      </c>
      <c r="I676" s="1" t="s">
        <v>3320</v>
      </c>
      <c r="J676" t="str">
        <f>IF(ISNA(_xlfn.XLOOKUP(B676,customer_master!$A$2:$A$1649, customer_master!$A$2:$A$1649)), "Invalid", "Ok")</f>
        <v>Ok</v>
      </c>
      <c r="K676" t="str">
        <f>IF(ISNA(_xlfn.XLOOKUP(H676,agent_info!$A$2:$A$301, agent_info!$A$2:$A$301)), "Invalid", "Ok")</f>
        <v>Ok</v>
      </c>
    </row>
    <row r="677" spans="1:11" x14ac:dyDescent="0.3">
      <c r="A677" s="1" t="s">
        <v>4261</v>
      </c>
      <c r="B677" s="1" t="s">
        <v>2496</v>
      </c>
      <c r="C677" s="1" t="s">
        <v>3314</v>
      </c>
      <c r="D677" s="1">
        <v>734496.74</v>
      </c>
      <c r="E677" s="1">
        <v>38096.239999999998</v>
      </c>
      <c r="F677" s="41">
        <v>45024</v>
      </c>
      <c r="G677" s="41">
        <v>45390</v>
      </c>
      <c r="H677" s="1" t="s">
        <v>3905</v>
      </c>
      <c r="I677" s="1" t="s">
        <v>3324</v>
      </c>
      <c r="J677" t="str">
        <f>IF(ISNA(_xlfn.XLOOKUP(B677,customer_master!$A$2:$A$1649, customer_master!$A$2:$A$1649)), "Invalid", "Ok")</f>
        <v>Ok</v>
      </c>
      <c r="K677" t="str">
        <f>IF(ISNA(_xlfn.XLOOKUP(H677,agent_info!$A$2:$A$301, agent_info!$A$2:$A$301)), "Invalid", "Ok")</f>
        <v>Ok</v>
      </c>
    </row>
    <row r="678" spans="1:11" x14ac:dyDescent="0.3">
      <c r="A678" s="1" t="s">
        <v>4262</v>
      </c>
      <c r="B678" s="1" t="s">
        <v>767</v>
      </c>
      <c r="C678" s="1" t="s">
        <v>3326</v>
      </c>
      <c r="D678" s="1">
        <v>478787.2</v>
      </c>
      <c r="E678" s="1">
        <v>21760.75</v>
      </c>
      <c r="F678" s="41">
        <v>45632</v>
      </c>
      <c r="G678" s="41">
        <v>45997</v>
      </c>
      <c r="H678" s="1" t="s">
        <v>4116</v>
      </c>
      <c r="I678" s="1" t="s">
        <v>3320</v>
      </c>
      <c r="J678" t="str">
        <f>IF(ISNA(_xlfn.XLOOKUP(B678,customer_master!$A$2:$A$1649, customer_master!$A$2:$A$1649)), "Invalid", "Ok")</f>
        <v>Ok</v>
      </c>
      <c r="K678" t="str">
        <f>IF(ISNA(_xlfn.XLOOKUP(H678,agent_info!$A$2:$A$301, agent_info!$A$2:$A$301)), "Invalid", "Ok")</f>
        <v>Ok</v>
      </c>
    </row>
    <row r="679" spans="1:11" x14ac:dyDescent="0.3">
      <c r="A679" s="1" t="s">
        <v>4263</v>
      </c>
      <c r="B679" s="1" t="s">
        <v>897</v>
      </c>
      <c r="C679" s="1" t="s">
        <v>3334</v>
      </c>
      <c r="D679" s="1">
        <v>521010.15</v>
      </c>
      <c r="E679" s="1">
        <v>23452.85</v>
      </c>
      <c r="F679" s="41">
        <v>45117</v>
      </c>
      <c r="G679" s="41">
        <v>45483</v>
      </c>
      <c r="H679" s="1" t="s">
        <v>4033</v>
      </c>
      <c r="I679" s="1" t="s">
        <v>3324</v>
      </c>
      <c r="J679" t="str">
        <f>IF(ISNA(_xlfn.XLOOKUP(B679,customer_master!$A$2:$A$1649, customer_master!$A$2:$A$1649)), "Invalid", "Ok")</f>
        <v>Ok</v>
      </c>
      <c r="K679" t="str">
        <f>IF(ISNA(_xlfn.XLOOKUP(H679,agent_info!$A$2:$A$301, agent_info!$A$2:$A$301)), "Invalid", "Ok")</f>
        <v>Ok</v>
      </c>
    </row>
    <row r="680" spans="1:11" x14ac:dyDescent="0.3">
      <c r="A680" s="1" t="s">
        <v>4264</v>
      </c>
      <c r="B680" s="1" t="s">
        <v>907</v>
      </c>
      <c r="C680" s="1" t="s">
        <v>3326</v>
      </c>
      <c r="D680" s="1">
        <v>492306.69</v>
      </c>
      <c r="E680" s="1">
        <v>22306.32</v>
      </c>
      <c r="F680" s="41">
        <v>45400</v>
      </c>
      <c r="G680" s="41">
        <v>45765</v>
      </c>
      <c r="H680" s="1" t="s">
        <v>3758</v>
      </c>
      <c r="I680" s="1" t="s">
        <v>3316</v>
      </c>
      <c r="J680" t="str">
        <f>IF(ISNA(_xlfn.XLOOKUP(B680,customer_master!$A$2:$A$1649, customer_master!$A$2:$A$1649)), "Invalid", "Ok")</f>
        <v>Ok</v>
      </c>
      <c r="K680" t="str">
        <f>IF(ISNA(_xlfn.XLOOKUP(H680,agent_info!$A$2:$A$301, agent_info!$A$2:$A$301)), "Invalid", "Ok")</f>
        <v>Ok</v>
      </c>
    </row>
    <row r="681" spans="1:11" x14ac:dyDescent="0.3">
      <c r="A681" s="1" t="s">
        <v>4265</v>
      </c>
      <c r="B681" s="1" t="s">
        <v>1913</v>
      </c>
      <c r="C681" s="1" t="s">
        <v>3334</v>
      </c>
      <c r="D681" s="1">
        <v>648833.88</v>
      </c>
      <c r="E681" s="1">
        <v>30517.56</v>
      </c>
      <c r="F681" s="41">
        <v>46135</v>
      </c>
      <c r="G681" s="41">
        <v>46500</v>
      </c>
      <c r="H681" s="1" t="s">
        <v>4052</v>
      </c>
      <c r="I681" s="1" t="s">
        <v>3324</v>
      </c>
      <c r="J681" t="str">
        <f>IF(ISNA(_xlfn.XLOOKUP(B681,customer_master!$A$2:$A$1649, customer_master!$A$2:$A$1649)), "Invalid", "Ok")</f>
        <v>Ok</v>
      </c>
      <c r="K681" t="str">
        <f>IF(ISNA(_xlfn.XLOOKUP(H681,agent_info!$A$2:$A$301, agent_info!$A$2:$A$301)), "Invalid", "Ok")</f>
        <v>Ok</v>
      </c>
    </row>
    <row r="682" spans="1:11" x14ac:dyDescent="0.3">
      <c r="A682" s="1" t="s">
        <v>4266</v>
      </c>
      <c r="B682" s="1" t="s">
        <v>1241</v>
      </c>
      <c r="C682" s="1" t="s">
        <v>3331</v>
      </c>
      <c r="D682" s="1">
        <v>524950.77</v>
      </c>
      <c r="E682" s="1">
        <v>26616.03</v>
      </c>
      <c r="F682" s="41">
        <v>45364</v>
      </c>
      <c r="G682" s="41">
        <v>45729</v>
      </c>
      <c r="H682" s="1" t="s">
        <v>3557</v>
      </c>
      <c r="I682" s="1" t="s">
        <v>3324</v>
      </c>
      <c r="J682" t="str">
        <f>IF(ISNA(_xlfn.XLOOKUP(B682,customer_master!$A$2:$A$1649, customer_master!$A$2:$A$1649)), "Invalid", "Ok")</f>
        <v>Ok</v>
      </c>
      <c r="K682" t="str">
        <f>IF(ISNA(_xlfn.XLOOKUP(H682,agent_info!$A$2:$A$301, agent_info!$A$2:$A$301)), "Invalid", "Ok")</f>
        <v>Ok</v>
      </c>
    </row>
    <row r="683" spans="1:11" x14ac:dyDescent="0.3">
      <c r="A683" s="1" t="s">
        <v>4267</v>
      </c>
      <c r="B683" s="1" t="s">
        <v>2224</v>
      </c>
      <c r="C683" s="1" t="s">
        <v>3318</v>
      </c>
      <c r="D683" s="1">
        <v>519308.14</v>
      </c>
      <c r="E683" s="1">
        <v>26906.18</v>
      </c>
      <c r="F683" s="41">
        <v>45178</v>
      </c>
      <c r="G683" s="41">
        <v>45544</v>
      </c>
      <c r="H683" s="1" t="s">
        <v>4146</v>
      </c>
      <c r="I683" s="1" t="s">
        <v>3316</v>
      </c>
      <c r="J683" t="str">
        <f>IF(ISNA(_xlfn.XLOOKUP(B683,customer_master!$A$2:$A$1649, customer_master!$A$2:$A$1649)), "Invalid", "Ok")</f>
        <v>Ok</v>
      </c>
      <c r="K683" t="str">
        <f>IF(ISNA(_xlfn.XLOOKUP(H683,agent_info!$A$2:$A$301, agent_info!$A$2:$A$301)), "Invalid", "Ok")</f>
        <v>Ok</v>
      </c>
    </row>
    <row r="684" spans="1:11" x14ac:dyDescent="0.3">
      <c r="A684" s="1" t="s">
        <v>4268</v>
      </c>
      <c r="B684" s="1" t="s">
        <v>2048</v>
      </c>
      <c r="C684" s="1" t="s">
        <v>3331</v>
      </c>
      <c r="D684" s="1">
        <v>405711.85</v>
      </c>
      <c r="E684" s="1">
        <v>19964.02</v>
      </c>
      <c r="F684" s="41">
        <v>45578</v>
      </c>
      <c r="G684" s="41">
        <v>45943</v>
      </c>
      <c r="H684" s="1" t="s">
        <v>3343</v>
      </c>
      <c r="I684" s="1" t="s">
        <v>3316</v>
      </c>
      <c r="J684" t="str">
        <f>IF(ISNA(_xlfn.XLOOKUP(B684,customer_master!$A$2:$A$1649, customer_master!$A$2:$A$1649)), "Invalid", "Ok")</f>
        <v>Ok</v>
      </c>
      <c r="K684" t="str">
        <f>IF(ISNA(_xlfn.XLOOKUP(H684,agent_info!$A$2:$A$301, agent_info!$A$2:$A$301)), "Invalid", "Ok")</f>
        <v>Ok</v>
      </c>
    </row>
    <row r="685" spans="1:11" x14ac:dyDescent="0.3">
      <c r="A685" s="1" t="s">
        <v>4269</v>
      </c>
      <c r="B685" s="1" t="s">
        <v>2192</v>
      </c>
      <c r="C685" s="1" t="s">
        <v>3314</v>
      </c>
      <c r="D685" s="1">
        <v>545407.04</v>
      </c>
      <c r="E685" s="1">
        <v>26772.06</v>
      </c>
      <c r="F685" s="41">
        <v>44680</v>
      </c>
      <c r="G685" s="41">
        <v>45045</v>
      </c>
      <c r="H685" s="1" t="s">
        <v>3507</v>
      </c>
      <c r="I685" s="1" t="s">
        <v>3324</v>
      </c>
      <c r="J685" t="str">
        <f>IF(ISNA(_xlfn.XLOOKUP(B685,customer_master!$A$2:$A$1649, customer_master!$A$2:$A$1649)), "Invalid", "Ok")</f>
        <v>Ok</v>
      </c>
      <c r="K685" t="str">
        <f>IF(ISNA(_xlfn.XLOOKUP(H685,agent_info!$A$2:$A$301, agent_info!$A$2:$A$301)), "Invalid", "Ok")</f>
        <v>Ok</v>
      </c>
    </row>
    <row r="686" spans="1:11" x14ac:dyDescent="0.3">
      <c r="A686" s="1" t="s">
        <v>4270</v>
      </c>
      <c r="B686" s="1" t="s">
        <v>867</v>
      </c>
      <c r="C686" s="1" t="s">
        <v>3326</v>
      </c>
      <c r="D686" s="1">
        <v>402317.47</v>
      </c>
      <c r="E686" s="1">
        <v>20424.8</v>
      </c>
      <c r="F686" s="41">
        <v>44093</v>
      </c>
      <c r="G686" s="41">
        <v>44458</v>
      </c>
      <c r="H686" s="1" t="s">
        <v>4074</v>
      </c>
      <c r="I686" s="1" t="s">
        <v>3324</v>
      </c>
      <c r="J686" t="str">
        <f>IF(ISNA(_xlfn.XLOOKUP(B686,customer_master!$A$2:$A$1649, customer_master!$A$2:$A$1649)), "Invalid", "Ok")</f>
        <v>Ok</v>
      </c>
      <c r="K686" t="str">
        <f>IF(ISNA(_xlfn.XLOOKUP(H686,agent_info!$A$2:$A$301, agent_info!$A$2:$A$301)), "Invalid", "Ok")</f>
        <v>Ok</v>
      </c>
    </row>
    <row r="687" spans="1:11" x14ac:dyDescent="0.3">
      <c r="A687" s="1" t="s">
        <v>4271</v>
      </c>
      <c r="B687" s="1" t="s">
        <v>2553</v>
      </c>
      <c r="C687" s="1" t="s">
        <v>3318</v>
      </c>
      <c r="D687" s="1">
        <v>701412.74</v>
      </c>
      <c r="E687" s="1">
        <v>35749.800000000003</v>
      </c>
      <c r="F687" s="41">
        <v>44389</v>
      </c>
      <c r="G687" s="41">
        <v>44754</v>
      </c>
      <c r="H687" s="1" t="s">
        <v>3532</v>
      </c>
      <c r="I687" s="1" t="s">
        <v>3324</v>
      </c>
      <c r="J687" t="str">
        <f>IF(ISNA(_xlfn.XLOOKUP(B687,customer_master!$A$2:$A$1649, customer_master!$A$2:$A$1649)), "Invalid", "Ok")</f>
        <v>Ok</v>
      </c>
      <c r="K687" t="str">
        <f>IF(ISNA(_xlfn.XLOOKUP(H687,agent_info!$A$2:$A$301, agent_info!$A$2:$A$301)), "Invalid", "Ok")</f>
        <v>Ok</v>
      </c>
    </row>
    <row r="688" spans="1:11" x14ac:dyDescent="0.3">
      <c r="A688" s="1" t="s">
        <v>4272</v>
      </c>
      <c r="B688" s="1" t="s">
        <v>2216</v>
      </c>
      <c r="C688" s="1" t="s">
        <v>3318</v>
      </c>
      <c r="D688" s="1">
        <v>504445.19</v>
      </c>
      <c r="E688" s="1">
        <v>26962.58</v>
      </c>
      <c r="F688" s="41">
        <v>44217</v>
      </c>
      <c r="G688" s="41">
        <v>44582</v>
      </c>
      <c r="H688" s="1" t="s">
        <v>4273</v>
      </c>
      <c r="I688" s="1" t="s">
        <v>3324</v>
      </c>
      <c r="J688" t="str">
        <f>IF(ISNA(_xlfn.XLOOKUP(B688,customer_master!$A$2:$A$1649, customer_master!$A$2:$A$1649)), "Invalid", "Ok")</f>
        <v>Ok</v>
      </c>
      <c r="K688" t="str">
        <f>IF(ISNA(_xlfn.XLOOKUP(H688,agent_info!$A$2:$A$301, agent_info!$A$2:$A$301)), "Invalid", "Ok")</f>
        <v>Ok</v>
      </c>
    </row>
    <row r="689" spans="1:11" x14ac:dyDescent="0.3">
      <c r="A689" s="1" t="s">
        <v>4274</v>
      </c>
      <c r="B689" s="1" t="s">
        <v>467</v>
      </c>
      <c r="C689" s="1" t="s">
        <v>3318</v>
      </c>
      <c r="D689" s="1">
        <v>741207.88</v>
      </c>
      <c r="E689" s="1">
        <v>39425.5</v>
      </c>
      <c r="F689" s="41">
        <v>44952</v>
      </c>
      <c r="G689" s="41">
        <v>45317</v>
      </c>
      <c r="H689" s="1" t="s">
        <v>4001</v>
      </c>
      <c r="I689" s="1" t="s">
        <v>3324</v>
      </c>
      <c r="J689" t="str">
        <f>IF(ISNA(_xlfn.XLOOKUP(B689,customer_master!$A$2:$A$1649, customer_master!$A$2:$A$1649)), "Invalid", "Ok")</f>
        <v>Ok</v>
      </c>
      <c r="K689" t="str">
        <f>IF(ISNA(_xlfn.XLOOKUP(H689,agent_info!$A$2:$A$301, agent_info!$A$2:$A$301)), "Invalid", "Ok")</f>
        <v>Ok</v>
      </c>
    </row>
    <row r="690" spans="1:11" x14ac:dyDescent="0.3">
      <c r="A690" s="1" t="s">
        <v>4275</v>
      </c>
      <c r="B690" s="1" t="s">
        <v>711</v>
      </c>
      <c r="C690" s="1" t="s">
        <v>3326</v>
      </c>
      <c r="D690" s="1">
        <v>589584.80000000005</v>
      </c>
      <c r="E690" s="1">
        <v>31386.7</v>
      </c>
      <c r="F690" s="41">
        <v>45847</v>
      </c>
      <c r="G690" s="41">
        <v>46212</v>
      </c>
      <c r="H690" s="1" t="s">
        <v>3729</v>
      </c>
      <c r="I690" s="1" t="s">
        <v>3324</v>
      </c>
      <c r="J690" t="str">
        <f>IF(ISNA(_xlfn.XLOOKUP(B690,customer_master!$A$2:$A$1649, customer_master!$A$2:$A$1649)), "Invalid", "Ok")</f>
        <v>Ok</v>
      </c>
      <c r="K690" t="str">
        <f>IF(ISNA(_xlfn.XLOOKUP(H690,agent_info!$A$2:$A$301, agent_info!$A$2:$A$301)), "Invalid", "Ok")</f>
        <v>Ok</v>
      </c>
    </row>
    <row r="691" spans="1:11" x14ac:dyDescent="0.3">
      <c r="A691" s="1" t="s">
        <v>4276</v>
      </c>
      <c r="B691" s="1" t="s">
        <v>1014</v>
      </c>
      <c r="C691" s="1" t="s">
        <v>3334</v>
      </c>
      <c r="D691" s="1">
        <v>676118.34</v>
      </c>
      <c r="E691" s="1">
        <v>36132.93</v>
      </c>
      <c r="F691" s="41">
        <v>45229</v>
      </c>
      <c r="G691" s="41">
        <v>45595</v>
      </c>
      <c r="H691" s="1" t="s">
        <v>3583</v>
      </c>
      <c r="I691" s="1" t="s">
        <v>3324</v>
      </c>
      <c r="J691" t="str">
        <f>IF(ISNA(_xlfn.XLOOKUP(B691,customer_master!$A$2:$A$1649, customer_master!$A$2:$A$1649)), "Invalid", "Ok")</f>
        <v>Ok</v>
      </c>
      <c r="K691" t="str">
        <f>IF(ISNA(_xlfn.XLOOKUP(H691,agent_info!$A$2:$A$301, agent_info!$A$2:$A$301)), "Invalid", "Ok")</f>
        <v>Ok</v>
      </c>
    </row>
    <row r="692" spans="1:11" x14ac:dyDescent="0.3">
      <c r="A692" s="1" t="s">
        <v>4277</v>
      </c>
      <c r="B692" s="1" t="s">
        <v>3112</v>
      </c>
      <c r="C692" s="1" t="s">
        <v>3334</v>
      </c>
      <c r="D692" s="1">
        <v>749884.2</v>
      </c>
      <c r="E692" s="1">
        <v>40342.5</v>
      </c>
      <c r="F692" s="41">
        <v>46072</v>
      </c>
      <c r="G692" s="41">
        <v>46437</v>
      </c>
      <c r="H692" s="1" t="s">
        <v>3629</v>
      </c>
      <c r="I692" s="1" t="s">
        <v>3316</v>
      </c>
      <c r="J692" t="str">
        <f>IF(ISNA(_xlfn.XLOOKUP(B692,customer_master!$A$2:$A$1649, customer_master!$A$2:$A$1649)), "Invalid", "Ok")</f>
        <v>Ok</v>
      </c>
      <c r="K692" t="str">
        <f>IF(ISNA(_xlfn.XLOOKUP(H692,agent_info!$A$2:$A$301, agent_info!$A$2:$A$301)), "Invalid", "Ok")</f>
        <v>Ok</v>
      </c>
    </row>
    <row r="693" spans="1:11" x14ac:dyDescent="0.3">
      <c r="A693" s="1" t="s">
        <v>4278</v>
      </c>
      <c r="B693" s="1" t="s">
        <v>1107</v>
      </c>
      <c r="C693" s="1" t="s">
        <v>3331</v>
      </c>
      <c r="D693" s="1">
        <v>472653.61</v>
      </c>
      <c r="E693" s="1">
        <v>23894.14</v>
      </c>
      <c r="F693" s="41">
        <v>46004</v>
      </c>
      <c r="G693" s="41">
        <v>46369</v>
      </c>
      <c r="H693" s="1" t="s">
        <v>3494</v>
      </c>
      <c r="I693" s="1" t="s">
        <v>3316</v>
      </c>
      <c r="J693" t="str">
        <f>IF(ISNA(_xlfn.XLOOKUP(B693,customer_master!$A$2:$A$1649, customer_master!$A$2:$A$1649)), "Invalid", "Ok")</f>
        <v>Ok</v>
      </c>
      <c r="K693" t="str">
        <f>IF(ISNA(_xlfn.XLOOKUP(H693,agent_info!$A$2:$A$301, agent_info!$A$2:$A$301)), "Invalid", "Ok")</f>
        <v>Ok</v>
      </c>
    </row>
    <row r="694" spans="1:11" x14ac:dyDescent="0.3">
      <c r="A694" s="1" t="s">
        <v>4279</v>
      </c>
      <c r="B694" s="1" t="s">
        <v>101</v>
      </c>
      <c r="C694" s="1" t="s">
        <v>3314</v>
      </c>
      <c r="D694" s="1">
        <v>603407.02</v>
      </c>
      <c r="E694" s="1">
        <v>30744.6</v>
      </c>
      <c r="F694" s="41">
        <v>45085</v>
      </c>
      <c r="G694" s="41">
        <v>45451</v>
      </c>
      <c r="H694" s="1" t="s">
        <v>3435</v>
      </c>
      <c r="I694" s="1" t="s">
        <v>3324</v>
      </c>
      <c r="J694" t="str">
        <f>IF(ISNA(_xlfn.XLOOKUP(B694,customer_master!$A$2:$A$1649, customer_master!$A$2:$A$1649)), "Invalid", "Ok")</f>
        <v>Ok</v>
      </c>
      <c r="K694" t="str">
        <f>IF(ISNA(_xlfn.XLOOKUP(H694,agent_info!$A$2:$A$301, agent_info!$A$2:$A$301)), "Invalid", "Ok")</f>
        <v>Ok</v>
      </c>
    </row>
    <row r="695" spans="1:11" x14ac:dyDescent="0.3">
      <c r="A695" s="1" t="s">
        <v>4280</v>
      </c>
      <c r="B695" s="1" t="s">
        <v>503</v>
      </c>
      <c r="C695" s="1" t="s">
        <v>3334</v>
      </c>
      <c r="D695" s="1">
        <v>400679.43</v>
      </c>
      <c r="E695" s="1">
        <v>20944.419999999998</v>
      </c>
      <c r="F695" s="41">
        <v>45339</v>
      </c>
      <c r="G695" s="41">
        <v>45705</v>
      </c>
      <c r="H695" s="1" t="s">
        <v>4012</v>
      </c>
      <c r="I695" s="1" t="s">
        <v>3324</v>
      </c>
      <c r="J695" t="str">
        <f>IF(ISNA(_xlfn.XLOOKUP(B695,customer_master!$A$2:$A$1649, customer_master!$A$2:$A$1649)), "Invalid", "Ok")</f>
        <v>Ok</v>
      </c>
      <c r="K695" t="str">
        <f>IF(ISNA(_xlfn.XLOOKUP(H695,agent_info!$A$2:$A$301, agent_info!$A$2:$A$301)), "Invalid", "Ok")</f>
        <v>Ok</v>
      </c>
    </row>
    <row r="696" spans="1:11" x14ac:dyDescent="0.3">
      <c r="A696" s="1" t="s">
        <v>4281</v>
      </c>
      <c r="B696" s="1" t="s">
        <v>142</v>
      </c>
      <c r="C696" s="1" t="s">
        <v>3318</v>
      </c>
      <c r="D696" s="1">
        <v>416086.78</v>
      </c>
      <c r="E696" s="1">
        <v>19551.95</v>
      </c>
      <c r="F696" s="41">
        <v>45693</v>
      </c>
      <c r="G696" s="41">
        <v>46058</v>
      </c>
      <c r="H696" s="1" t="s">
        <v>4282</v>
      </c>
      <c r="I696" s="1" t="s">
        <v>3324</v>
      </c>
      <c r="J696" t="str">
        <f>IF(ISNA(_xlfn.XLOOKUP(B696,customer_master!$A$2:$A$1649, customer_master!$A$2:$A$1649)), "Invalid", "Ok")</f>
        <v>Ok</v>
      </c>
      <c r="K696" t="str">
        <f>IF(ISNA(_xlfn.XLOOKUP(H696,agent_info!$A$2:$A$301, agent_info!$A$2:$A$301)), "Invalid", "Ok")</f>
        <v>Ok</v>
      </c>
    </row>
    <row r="697" spans="1:11" x14ac:dyDescent="0.3">
      <c r="A697" s="1" t="s">
        <v>4283</v>
      </c>
      <c r="B697" s="1" t="s">
        <v>1370</v>
      </c>
      <c r="C697" s="1" t="s">
        <v>3334</v>
      </c>
      <c r="D697" s="1">
        <v>526135.96</v>
      </c>
      <c r="E697" s="1">
        <v>25572.63</v>
      </c>
      <c r="F697" s="41">
        <v>44708</v>
      </c>
      <c r="G697" s="41">
        <v>45073</v>
      </c>
      <c r="H697" s="1" t="s">
        <v>3447</v>
      </c>
      <c r="I697" s="1" t="s">
        <v>3324</v>
      </c>
      <c r="J697" t="str">
        <f>IF(ISNA(_xlfn.XLOOKUP(B697,customer_master!$A$2:$A$1649, customer_master!$A$2:$A$1649)), "Invalid", "Ok")</f>
        <v>Ok</v>
      </c>
      <c r="K697" t="str">
        <f>IF(ISNA(_xlfn.XLOOKUP(H697,agent_info!$A$2:$A$301, agent_info!$A$2:$A$301)), "Invalid", "Ok")</f>
        <v>Ok</v>
      </c>
    </row>
    <row r="698" spans="1:11" x14ac:dyDescent="0.3">
      <c r="A698" s="1" t="s">
        <v>4284</v>
      </c>
      <c r="B698" s="1" t="s">
        <v>2643</v>
      </c>
      <c r="C698" s="1" t="s">
        <v>3326</v>
      </c>
      <c r="D698" s="1">
        <v>588875.65</v>
      </c>
      <c r="E698" s="1">
        <v>31873.8</v>
      </c>
      <c r="F698" s="41">
        <v>46008</v>
      </c>
      <c r="G698" s="41">
        <v>46373</v>
      </c>
      <c r="H698" s="1" t="s">
        <v>3361</v>
      </c>
      <c r="I698" s="1" t="s">
        <v>3316</v>
      </c>
      <c r="J698" t="str">
        <f>IF(ISNA(_xlfn.XLOOKUP(B698,customer_master!$A$2:$A$1649, customer_master!$A$2:$A$1649)), "Invalid", "Ok")</f>
        <v>Ok</v>
      </c>
      <c r="K698" t="str">
        <f>IF(ISNA(_xlfn.XLOOKUP(H698,agent_info!$A$2:$A$301, agent_info!$A$2:$A$301)), "Invalid", "Ok")</f>
        <v>Ok</v>
      </c>
    </row>
    <row r="699" spans="1:11" x14ac:dyDescent="0.3">
      <c r="A699" s="1" t="s">
        <v>4285</v>
      </c>
      <c r="B699" s="1" t="s">
        <v>1511</v>
      </c>
      <c r="C699" s="1" t="s">
        <v>3334</v>
      </c>
      <c r="D699" s="1">
        <v>705202.04</v>
      </c>
      <c r="E699" s="1">
        <v>35420.620000000003</v>
      </c>
      <c r="F699" s="41">
        <v>45077</v>
      </c>
      <c r="G699" s="41">
        <v>45443</v>
      </c>
      <c r="H699" s="1" t="s">
        <v>3477</v>
      </c>
      <c r="I699" s="1" t="s">
        <v>3324</v>
      </c>
      <c r="J699" t="str">
        <f>IF(ISNA(_xlfn.XLOOKUP(B699,customer_master!$A$2:$A$1649, customer_master!$A$2:$A$1649)), "Invalid", "Ok")</f>
        <v>Ok</v>
      </c>
      <c r="K699" t="str">
        <f>IF(ISNA(_xlfn.XLOOKUP(H699,agent_info!$A$2:$A$301, agent_info!$A$2:$A$301)), "Invalid", "Ok")</f>
        <v>Ok</v>
      </c>
    </row>
    <row r="700" spans="1:11" x14ac:dyDescent="0.3">
      <c r="A700" s="1" t="s">
        <v>4286</v>
      </c>
      <c r="B700" s="1" t="s">
        <v>2784</v>
      </c>
      <c r="C700" s="1" t="s">
        <v>3334</v>
      </c>
      <c r="D700" s="1">
        <v>483715.62</v>
      </c>
      <c r="E700" s="1">
        <v>22017.71</v>
      </c>
      <c r="F700" s="41">
        <v>45612</v>
      </c>
      <c r="G700" s="41">
        <v>45977</v>
      </c>
      <c r="H700" s="1" t="s">
        <v>3433</v>
      </c>
      <c r="I700" s="1" t="s">
        <v>3324</v>
      </c>
      <c r="J700" t="str">
        <f>IF(ISNA(_xlfn.XLOOKUP(B700,customer_master!$A$2:$A$1649, customer_master!$A$2:$A$1649)), "Invalid", "Ok")</f>
        <v>Ok</v>
      </c>
      <c r="K700" t="str">
        <f>IF(ISNA(_xlfn.XLOOKUP(H700,agent_info!$A$2:$A$301, agent_info!$A$2:$A$301)), "Invalid", "Ok")</f>
        <v>Ok</v>
      </c>
    </row>
    <row r="701" spans="1:11" x14ac:dyDescent="0.3">
      <c r="A701" s="1" t="s">
        <v>4287</v>
      </c>
      <c r="B701" s="1" t="s">
        <v>190</v>
      </c>
      <c r="C701" s="1" t="s">
        <v>3326</v>
      </c>
      <c r="D701" s="1">
        <v>612177.02</v>
      </c>
      <c r="E701" s="1">
        <v>30030.71</v>
      </c>
      <c r="F701" s="41">
        <v>45636</v>
      </c>
      <c r="G701" s="41">
        <v>46001</v>
      </c>
      <c r="H701" s="1" t="s">
        <v>4095</v>
      </c>
      <c r="I701" s="1" t="s">
        <v>3324</v>
      </c>
      <c r="J701" t="str">
        <f>IF(ISNA(_xlfn.XLOOKUP(B701,customer_master!$A$2:$A$1649, customer_master!$A$2:$A$1649)), "Invalid", "Ok")</f>
        <v>Ok</v>
      </c>
      <c r="K701" t="str">
        <f>IF(ISNA(_xlfn.XLOOKUP(H701,agent_info!$A$2:$A$301, agent_info!$A$2:$A$301)), "Invalid", "Ok")</f>
        <v>Ok</v>
      </c>
    </row>
    <row r="702" spans="1:11" x14ac:dyDescent="0.3">
      <c r="A702" s="1" t="s">
        <v>4288</v>
      </c>
      <c r="B702" s="1" t="s">
        <v>1572</v>
      </c>
      <c r="C702" s="1" t="s">
        <v>3331</v>
      </c>
      <c r="D702" s="1">
        <v>467067.08</v>
      </c>
      <c r="E702" s="1">
        <v>21769.01</v>
      </c>
      <c r="F702" s="41">
        <v>44729</v>
      </c>
      <c r="G702" s="41">
        <v>45094</v>
      </c>
      <c r="H702" s="1" t="s">
        <v>3678</v>
      </c>
      <c r="I702" s="1" t="s">
        <v>3324</v>
      </c>
      <c r="J702" t="str">
        <f>IF(ISNA(_xlfn.XLOOKUP(B702,customer_master!$A$2:$A$1649, customer_master!$A$2:$A$1649)), "Invalid", "Ok")</f>
        <v>Ok</v>
      </c>
      <c r="K702" t="str">
        <f>IF(ISNA(_xlfn.XLOOKUP(H702,agent_info!$A$2:$A$301, agent_info!$A$2:$A$301)), "Invalid", "Ok")</f>
        <v>Ok</v>
      </c>
    </row>
    <row r="703" spans="1:11" x14ac:dyDescent="0.3">
      <c r="A703" s="1" t="s">
        <v>4289</v>
      </c>
      <c r="B703" s="1" t="s">
        <v>2609</v>
      </c>
      <c r="C703" s="1" t="s">
        <v>3334</v>
      </c>
      <c r="D703" s="1">
        <v>387331.41</v>
      </c>
      <c r="E703" s="1">
        <v>18809.919999999998</v>
      </c>
      <c r="F703" s="41">
        <v>45420</v>
      </c>
      <c r="G703" s="41">
        <v>45785</v>
      </c>
      <c r="H703" s="1" t="s">
        <v>4187</v>
      </c>
      <c r="I703" s="1" t="s">
        <v>3324</v>
      </c>
      <c r="J703" t="str">
        <f>IF(ISNA(_xlfn.XLOOKUP(B703,customer_master!$A$2:$A$1649, customer_master!$A$2:$A$1649)), "Invalid", "Ok")</f>
        <v>Ok</v>
      </c>
      <c r="K703" t="str">
        <f>IF(ISNA(_xlfn.XLOOKUP(H703,agent_info!$A$2:$A$301, agent_info!$A$2:$A$301)), "Invalid", "Ok")</f>
        <v>Ok</v>
      </c>
    </row>
    <row r="704" spans="1:11" x14ac:dyDescent="0.3">
      <c r="A704" s="1" t="s">
        <v>4290</v>
      </c>
      <c r="B704" s="1" t="s">
        <v>2254</v>
      </c>
      <c r="C704" s="1" t="s">
        <v>3334</v>
      </c>
      <c r="D704" s="1">
        <v>405949.01</v>
      </c>
      <c r="E704" s="1">
        <v>20480.03</v>
      </c>
      <c r="F704" s="41">
        <v>45852</v>
      </c>
      <c r="G704" s="41">
        <v>46217</v>
      </c>
      <c r="H704" s="1" t="s">
        <v>4087</v>
      </c>
      <c r="I704" s="1" t="s">
        <v>3316</v>
      </c>
      <c r="J704" t="str">
        <f>IF(ISNA(_xlfn.XLOOKUP(B704,customer_master!$A$2:$A$1649, customer_master!$A$2:$A$1649)), "Invalid", "Ok")</f>
        <v>Ok</v>
      </c>
      <c r="K704" t="str">
        <f>IF(ISNA(_xlfn.XLOOKUP(H704,agent_info!$A$2:$A$301, agent_info!$A$2:$A$301)), "Invalid", "Ok")</f>
        <v>Ok</v>
      </c>
    </row>
    <row r="705" spans="1:11" x14ac:dyDescent="0.3">
      <c r="A705" s="1" t="s">
        <v>4291</v>
      </c>
      <c r="B705" s="1" t="s">
        <v>2835</v>
      </c>
      <c r="C705" s="1" t="s">
        <v>3334</v>
      </c>
      <c r="D705" s="1">
        <v>610440.06999999995</v>
      </c>
      <c r="E705" s="1">
        <v>30553.360000000001</v>
      </c>
      <c r="F705" s="41">
        <v>44460</v>
      </c>
      <c r="G705" s="41">
        <v>44825</v>
      </c>
      <c r="H705" s="1" t="s">
        <v>3714</v>
      </c>
      <c r="I705" s="1" t="s">
        <v>3324</v>
      </c>
      <c r="J705" t="str">
        <f>IF(ISNA(_xlfn.XLOOKUP(B705,customer_master!$A$2:$A$1649, customer_master!$A$2:$A$1649)), "Invalid", "Ok")</f>
        <v>Ok</v>
      </c>
      <c r="K705" t="str">
        <f>IF(ISNA(_xlfn.XLOOKUP(H705,agent_info!$A$2:$A$301, agent_info!$A$2:$A$301)), "Invalid", "Ok")</f>
        <v>Ok</v>
      </c>
    </row>
    <row r="706" spans="1:11" x14ac:dyDescent="0.3">
      <c r="A706" s="1" t="s">
        <v>4292</v>
      </c>
      <c r="B706" s="1" t="s">
        <v>927</v>
      </c>
      <c r="C706" s="1" t="s">
        <v>3314</v>
      </c>
      <c r="D706" s="1">
        <v>576401.81000000006</v>
      </c>
      <c r="E706" s="1">
        <v>28765.15</v>
      </c>
      <c r="F706" s="41">
        <v>44623</v>
      </c>
      <c r="G706" s="41">
        <v>44988</v>
      </c>
      <c r="H706" s="1" t="s">
        <v>3801</v>
      </c>
      <c r="I706" s="1" t="s">
        <v>3324</v>
      </c>
      <c r="J706" t="str">
        <f>IF(ISNA(_xlfn.XLOOKUP(B706,customer_master!$A$2:$A$1649, customer_master!$A$2:$A$1649)), "Invalid", "Ok")</f>
        <v>Ok</v>
      </c>
      <c r="K706" t="str">
        <f>IF(ISNA(_xlfn.XLOOKUP(H706,agent_info!$A$2:$A$301, agent_info!$A$2:$A$301)), "Invalid", "Ok")</f>
        <v>Ok</v>
      </c>
    </row>
    <row r="707" spans="1:11" x14ac:dyDescent="0.3">
      <c r="A707" s="1" t="s">
        <v>4293</v>
      </c>
      <c r="B707" s="1" t="s">
        <v>1682</v>
      </c>
      <c r="C707" s="1" t="s">
        <v>3331</v>
      </c>
      <c r="D707" s="1">
        <v>484667.22</v>
      </c>
      <c r="E707" s="1">
        <v>21898.91</v>
      </c>
      <c r="F707" s="41">
        <v>46049</v>
      </c>
      <c r="G707" s="41">
        <v>46414</v>
      </c>
      <c r="H707" s="1" t="s">
        <v>3413</v>
      </c>
      <c r="I707" s="1" t="s">
        <v>3320</v>
      </c>
      <c r="J707" t="str">
        <f>IF(ISNA(_xlfn.XLOOKUP(B707,customer_master!$A$2:$A$1649, customer_master!$A$2:$A$1649)), "Invalid", "Ok")</f>
        <v>Ok</v>
      </c>
      <c r="K707" t="str">
        <f>IF(ISNA(_xlfn.XLOOKUP(H707,agent_info!$A$2:$A$301, agent_info!$A$2:$A$301)), "Invalid", "Ok")</f>
        <v>Ok</v>
      </c>
    </row>
    <row r="708" spans="1:11" x14ac:dyDescent="0.3">
      <c r="A708" s="1" t="s">
        <v>4294</v>
      </c>
      <c r="B708" s="1" t="s">
        <v>2262</v>
      </c>
      <c r="C708" s="1" t="s">
        <v>3318</v>
      </c>
      <c r="D708" s="1">
        <v>380475.09</v>
      </c>
      <c r="E708" s="1">
        <v>18814.89</v>
      </c>
      <c r="F708" s="41">
        <v>45684</v>
      </c>
      <c r="G708" s="41">
        <v>46049</v>
      </c>
      <c r="H708" s="1" t="s">
        <v>4295</v>
      </c>
      <c r="I708" s="1" t="s">
        <v>3324</v>
      </c>
      <c r="J708" t="str">
        <f>IF(ISNA(_xlfn.XLOOKUP(B708,customer_master!$A$2:$A$1649, customer_master!$A$2:$A$1649)), "Invalid", "Ok")</f>
        <v>Ok</v>
      </c>
      <c r="K708" t="str">
        <f>IF(ISNA(_xlfn.XLOOKUP(H708,agent_info!$A$2:$A$301, agent_info!$A$2:$A$301)), "Invalid", "Ok")</f>
        <v>Ok</v>
      </c>
    </row>
    <row r="709" spans="1:11" x14ac:dyDescent="0.3">
      <c r="A709" s="1" t="s">
        <v>4296</v>
      </c>
      <c r="B709" s="1" t="s">
        <v>596</v>
      </c>
      <c r="C709" s="1" t="s">
        <v>3314</v>
      </c>
      <c r="D709" s="1">
        <v>603683.98</v>
      </c>
      <c r="E709" s="1">
        <v>27340.63</v>
      </c>
      <c r="F709" s="41">
        <v>45080</v>
      </c>
      <c r="G709" s="41">
        <v>45446</v>
      </c>
      <c r="H709" s="1" t="s">
        <v>3805</v>
      </c>
      <c r="I709" s="1" t="s">
        <v>3316</v>
      </c>
      <c r="J709" t="str">
        <f>IF(ISNA(_xlfn.XLOOKUP(B709,customer_master!$A$2:$A$1649, customer_master!$A$2:$A$1649)), "Invalid", "Ok")</f>
        <v>Ok</v>
      </c>
      <c r="K709" t="str">
        <f>IF(ISNA(_xlfn.XLOOKUP(H709,agent_info!$A$2:$A$301, agent_info!$A$2:$A$301)), "Invalid", "Ok")</f>
        <v>Ok</v>
      </c>
    </row>
    <row r="710" spans="1:11" x14ac:dyDescent="0.3">
      <c r="A710" s="1" t="s">
        <v>4297</v>
      </c>
      <c r="B710" s="1" t="s">
        <v>2708</v>
      </c>
      <c r="C710" s="1" t="s">
        <v>3326</v>
      </c>
      <c r="D710" s="1">
        <v>636162.31999999995</v>
      </c>
      <c r="E710" s="1">
        <v>31202.880000000001</v>
      </c>
      <c r="F710" s="41">
        <v>46073</v>
      </c>
      <c r="G710" s="41">
        <v>46438</v>
      </c>
      <c r="H710" s="1" t="s">
        <v>3723</v>
      </c>
      <c r="I710" s="1" t="s">
        <v>3324</v>
      </c>
      <c r="J710" t="str">
        <f>IF(ISNA(_xlfn.XLOOKUP(B710,customer_master!$A$2:$A$1649, customer_master!$A$2:$A$1649)), "Invalid", "Ok")</f>
        <v>Ok</v>
      </c>
      <c r="K710" t="str">
        <f>IF(ISNA(_xlfn.XLOOKUP(H710,agent_info!$A$2:$A$301, agent_info!$A$2:$A$301)), "Invalid", "Ok")</f>
        <v>Ok</v>
      </c>
    </row>
    <row r="711" spans="1:11" x14ac:dyDescent="0.3">
      <c r="A711" s="1" t="s">
        <v>4298</v>
      </c>
      <c r="B711" s="1" t="s">
        <v>1053</v>
      </c>
      <c r="C711" s="1" t="s">
        <v>3334</v>
      </c>
      <c r="D711" s="1">
        <v>411389.78</v>
      </c>
      <c r="E711" s="1">
        <v>21174.23</v>
      </c>
      <c r="F711" s="41">
        <v>44479</v>
      </c>
      <c r="G711" s="41">
        <v>44844</v>
      </c>
      <c r="H711" s="1" t="s">
        <v>3976</v>
      </c>
      <c r="I711" s="1" t="s">
        <v>3324</v>
      </c>
      <c r="J711" t="str">
        <f>IF(ISNA(_xlfn.XLOOKUP(B711,customer_master!$A$2:$A$1649, customer_master!$A$2:$A$1649)), "Invalid", "Ok")</f>
        <v>Ok</v>
      </c>
      <c r="K711" t="str">
        <f>IF(ISNA(_xlfn.XLOOKUP(H711,agent_info!$A$2:$A$301, agent_info!$A$2:$A$301)), "Invalid", "Ok")</f>
        <v>Ok</v>
      </c>
    </row>
    <row r="712" spans="1:11" x14ac:dyDescent="0.3">
      <c r="A712" s="1" t="s">
        <v>4299</v>
      </c>
      <c r="B712" s="1" t="s">
        <v>342</v>
      </c>
      <c r="C712" s="1" t="s">
        <v>3318</v>
      </c>
      <c r="D712" s="1">
        <v>656387.34</v>
      </c>
      <c r="E712" s="1">
        <v>30363.85</v>
      </c>
      <c r="F712" s="41">
        <v>45323</v>
      </c>
      <c r="G712" s="41">
        <v>45689</v>
      </c>
      <c r="H712" s="1" t="s">
        <v>3504</v>
      </c>
      <c r="I712" s="1" t="s">
        <v>3324</v>
      </c>
      <c r="J712" t="str">
        <f>IF(ISNA(_xlfn.XLOOKUP(B712,customer_master!$A$2:$A$1649, customer_master!$A$2:$A$1649)), "Invalid", "Ok")</f>
        <v>Ok</v>
      </c>
      <c r="K712" t="str">
        <f>IF(ISNA(_xlfn.XLOOKUP(H712,agent_info!$A$2:$A$301, agent_info!$A$2:$A$301)), "Invalid", "Ok")</f>
        <v>Ok</v>
      </c>
    </row>
    <row r="713" spans="1:11" x14ac:dyDescent="0.3">
      <c r="A713" s="1" t="s">
        <v>4300</v>
      </c>
      <c r="B713" s="1" t="s">
        <v>2549</v>
      </c>
      <c r="C713" s="1" t="s">
        <v>3318</v>
      </c>
      <c r="D713" s="1">
        <v>617857.1</v>
      </c>
      <c r="E713" s="1">
        <v>33467.910000000003</v>
      </c>
      <c r="F713" s="41">
        <v>44939</v>
      </c>
      <c r="G713" s="41">
        <v>45304</v>
      </c>
      <c r="H713" s="1" t="s">
        <v>3548</v>
      </c>
      <c r="I713" s="1" t="s">
        <v>3324</v>
      </c>
      <c r="J713" t="str">
        <f>IF(ISNA(_xlfn.XLOOKUP(B713,customer_master!$A$2:$A$1649, customer_master!$A$2:$A$1649)), "Invalid", "Ok")</f>
        <v>Ok</v>
      </c>
      <c r="K713" t="str">
        <f>IF(ISNA(_xlfn.XLOOKUP(H713,agent_info!$A$2:$A$301, agent_info!$A$2:$A$301)), "Invalid", "Ok")</f>
        <v>Ok</v>
      </c>
    </row>
    <row r="714" spans="1:11" x14ac:dyDescent="0.3">
      <c r="A714" s="1" t="s">
        <v>4301</v>
      </c>
      <c r="B714" s="1" t="s">
        <v>2356</v>
      </c>
      <c r="C714" s="1" t="s">
        <v>3331</v>
      </c>
      <c r="D714" s="1">
        <v>564373.85</v>
      </c>
      <c r="E714" s="1">
        <v>28955.27</v>
      </c>
      <c r="F714" s="41">
        <v>46149</v>
      </c>
      <c r="G714" s="41">
        <v>46514</v>
      </c>
      <c r="H714" s="1" t="s">
        <v>3798</v>
      </c>
      <c r="I714" s="1" t="s">
        <v>3324</v>
      </c>
      <c r="J714" t="str">
        <f>IF(ISNA(_xlfn.XLOOKUP(B714,customer_master!$A$2:$A$1649, customer_master!$A$2:$A$1649)), "Invalid", "Ok")</f>
        <v>Ok</v>
      </c>
      <c r="K714" t="str">
        <f>IF(ISNA(_xlfn.XLOOKUP(H714,agent_info!$A$2:$A$301, agent_info!$A$2:$A$301)), "Invalid", "Ok")</f>
        <v>Ok</v>
      </c>
    </row>
    <row r="715" spans="1:11" x14ac:dyDescent="0.3">
      <c r="A715" s="1" t="s">
        <v>4302</v>
      </c>
      <c r="B715" s="1" t="s">
        <v>2939</v>
      </c>
      <c r="C715" s="1" t="s">
        <v>3331</v>
      </c>
      <c r="D715" s="1">
        <v>399942.23</v>
      </c>
      <c r="E715" s="1">
        <v>18867.669999999998</v>
      </c>
      <c r="F715" s="41">
        <v>44602</v>
      </c>
      <c r="G715" s="41">
        <v>44967</v>
      </c>
      <c r="H715" s="1" t="s">
        <v>4303</v>
      </c>
      <c r="I715" s="1" t="s">
        <v>3324</v>
      </c>
      <c r="J715" t="str">
        <f>IF(ISNA(_xlfn.XLOOKUP(B715,customer_master!$A$2:$A$1649, customer_master!$A$2:$A$1649)), "Invalid", "Ok")</f>
        <v>Ok</v>
      </c>
      <c r="K715" t="str">
        <f>IF(ISNA(_xlfn.XLOOKUP(H715,agent_info!$A$2:$A$301, agent_info!$A$2:$A$301)), "Invalid", "Ok")</f>
        <v>Ok</v>
      </c>
    </row>
    <row r="716" spans="1:11" x14ac:dyDescent="0.3">
      <c r="A716" s="1" t="s">
        <v>4304</v>
      </c>
      <c r="B716" s="1" t="s">
        <v>2965</v>
      </c>
      <c r="C716" s="1" t="s">
        <v>3318</v>
      </c>
      <c r="D716" s="1">
        <v>727110</v>
      </c>
      <c r="E716" s="1">
        <v>35585.4</v>
      </c>
      <c r="F716" s="41">
        <v>45985</v>
      </c>
      <c r="G716" s="41">
        <v>46350</v>
      </c>
      <c r="H716" s="1" t="s">
        <v>3579</v>
      </c>
      <c r="I716" s="1" t="s">
        <v>3320</v>
      </c>
      <c r="J716" t="str">
        <f>IF(ISNA(_xlfn.XLOOKUP(B716,customer_master!$A$2:$A$1649, customer_master!$A$2:$A$1649)), "Invalid", "Ok")</f>
        <v>Ok</v>
      </c>
      <c r="K716" t="str">
        <f>IF(ISNA(_xlfn.XLOOKUP(H716,agent_info!$A$2:$A$301, agent_info!$A$2:$A$301)), "Invalid", "Ok")</f>
        <v>Ok</v>
      </c>
    </row>
    <row r="717" spans="1:11" x14ac:dyDescent="0.3">
      <c r="A717" s="1" t="s">
        <v>4305</v>
      </c>
      <c r="B717" s="1" t="s">
        <v>941</v>
      </c>
      <c r="C717" s="1" t="s">
        <v>3314</v>
      </c>
      <c r="D717" s="1">
        <v>568814.78</v>
      </c>
      <c r="E717" s="1">
        <v>26147.89</v>
      </c>
      <c r="F717" s="41">
        <v>44677</v>
      </c>
      <c r="G717" s="41">
        <v>45042</v>
      </c>
      <c r="H717" s="1" t="s">
        <v>4306</v>
      </c>
      <c r="I717" s="1" t="s">
        <v>3324</v>
      </c>
      <c r="J717" t="str">
        <f>IF(ISNA(_xlfn.XLOOKUP(B717,customer_master!$A$2:$A$1649, customer_master!$A$2:$A$1649)), "Invalid", "Ok")</f>
        <v>Ok</v>
      </c>
      <c r="K717" t="str">
        <f>IF(ISNA(_xlfn.XLOOKUP(H717,agent_info!$A$2:$A$301, agent_info!$A$2:$A$301)), "Invalid", "Ok")</f>
        <v>Ok</v>
      </c>
    </row>
    <row r="718" spans="1:11" x14ac:dyDescent="0.3">
      <c r="A718" s="1" t="s">
        <v>4307</v>
      </c>
      <c r="B718" s="1" t="s">
        <v>2152</v>
      </c>
      <c r="C718" s="1" t="s">
        <v>3314</v>
      </c>
      <c r="D718" s="1">
        <v>538848.68000000005</v>
      </c>
      <c r="E718" s="1">
        <v>24367.08</v>
      </c>
      <c r="F718" s="41">
        <v>45453</v>
      </c>
      <c r="G718" s="41">
        <v>45818</v>
      </c>
      <c r="H718" s="1" t="s">
        <v>3335</v>
      </c>
      <c r="I718" s="1" t="s">
        <v>3324</v>
      </c>
      <c r="J718" t="str">
        <f>IF(ISNA(_xlfn.XLOOKUP(B718,customer_master!$A$2:$A$1649, customer_master!$A$2:$A$1649)), "Invalid", "Ok")</f>
        <v>Ok</v>
      </c>
      <c r="K718" t="str">
        <f>IF(ISNA(_xlfn.XLOOKUP(H718,agent_info!$A$2:$A$301, agent_info!$A$2:$A$301)), "Invalid", "Ok")</f>
        <v>Ok</v>
      </c>
    </row>
    <row r="719" spans="1:11" x14ac:dyDescent="0.3">
      <c r="A719" s="1" t="s">
        <v>4308</v>
      </c>
      <c r="B719" s="1" t="s">
        <v>3303</v>
      </c>
      <c r="C719" s="1" t="s">
        <v>3318</v>
      </c>
      <c r="D719" s="1">
        <v>703637.7</v>
      </c>
      <c r="E719" s="1">
        <v>38108.04</v>
      </c>
      <c r="F719" s="41">
        <v>44716</v>
      </c>
      <c r="G719" s="41">
        <v>45081</v>
      </c>
      <c r="H719" s="1" t="s">
        <v>4309</v>
      </c>
      <c r="I719" s="1" t="s">
        <v>3324</v>
      </c>
      <c r="J719" t="str">
        <f>IF(ISNA(_xlfn.XLOOKUP(B719,customer_master!$A$2:$A$1649, customer_master!$A$2:$A$1649)), "Invalid", "Ok")</f>
        <v>Ok</v>
      </c>
      <c r="K719" t="str">
        <f>IF(ISNA(_xlfn.XLOOKUP(H719,agent_info!$A$2:$A$301, agent_info!$A$2:$A$301)), "Invalid", "Ok")</f>
        <v>Ok</v>
      </c>
    </row>
    <row r="720" spans="1:11" x14ac:dyDescent="0.3">
      <c r="A720" s="1" t="s">
        <v>4310</v>
      </c>
      <c r="B720" s="1" t="s">
        <v>847</v>
      </c>
      <c r="C720" s="1" t="s">
        <v>3314</v>
      </c>
      <c r="D720" s="1">
        <v>710547.62</v>
      </c>
      <c r="E720" s="1">
        <v>36772.15</v>
      </c>
      <c r="F720" s="41">
        <v>46085</v>
      </c>
      <c r="G720" s="41">
        <v>46450</v>
      </c>
      <c r="H720" s="1" t="s">
        <v>4311</v>
      </c>
      <c r="I720" s="1" t="s">
        <v>3324</v>
      </c>
      <c r="J720" t="str">
        <f>IF(ISNA(_xlfn.XLOOKUP(B720,customer_master!$A$2:$A$1649, customer_master!$A$2:$A$1649)), "Invalid", "Ok")</f>
        <v>Ok</v>
      </c>
      <c r="K720" t="str">
        <f>IF(ISNA(_xlfn.XLOOKUP(H720,agent_info!$A$2:$A$301, agent_info!$A$2:$A$301)), "Invalid", "Ok")</f>
        <v>Ok</v>
      </c>
    </row>
    <row r="721" spans="1:11" x14ac:dyDescent="0.3">
      <c r="A721" s="1" t="s">
        <v>4312</v>
      </c>
      <c r="B721" s="1" t="s">
        <v>1586</v>
      </c>
      <c r="C721" s="1" t="s">
        <v>3331</v>
      </c>
      <c r="D721" s="1">
        <v>658950.05000000005</v>
      </c>
      <c r="E721" s="1">
        <v>34790.230000000003</v>
      </c>
      <c r="F721" s="41">
        <v>45607</v>
      </c>
      <c r="G721" s="41">
        <v>45972</v>
      </c>
      <c r="H721" s="1" t="s">
        <v>4313</v>
      </c>
      <c r="I721" s="1" t="s">
        <v>3316</v>
      </c>
      <c r="J721" t="str">
        <f>IF(ISNA(_xlfn.XLOOKUP(B721,customer_master!$A$2:$A$1649, customer_master!$A$2:$A$1649)), "Invalid", "Ok")</f>
        <v>Ok</v>
      </c>
      <c r="K721" t="str">
        <f>IF(ISNA(_xlfn.XLOOKUP(H721,agent_info!$A$2:$A$301, agent_info!$A$2:$A$301)), "Invalid", "Ok")</f>
        <v>Ok</v>
      </c>
    </row>
    <row r="722" spans="1:11" x14ac:dyDescent="0.3">
      <c r="A722" s="1" t="s">
        <v>4314</v>
      </c>
      <c r="B722" s="1" t="s">
        <v>3025</v>
      </c>
      <c r="C722" s="1" t="s">
        <v>3326</v>
      </c>
      <c r="D722" s="1">
        <v>640275.99</v>
      </c>
      <c r="E722" s="1">
        <v>32796.04</v>
      </c>
      <c r="F722" s="41">
        <v>45660</v>
      </c>
      <c r="G722" s="41">
        <v>46025</v>
      </c>
      <c r="H722" s="1" t="s">
        <v>3576</v>
      </c>
      <c r="I722" s="1" t="s">
        <v>3316</v>
      </c>
      <c r="J722" t="str">
        <f>IF(ISNA(_xlfn.XLOOKUP(B722,customer_master!$A$2:$A$1649, customer_master!$A$2:$A$1649)), "Invalid", "Ok")</f>
        <v>Ok</v>
      </c>
      <c r="K722" t="str">
        <f>IF(ISNA(_xlfn.XLOOKUP(H722,agent_info!$A$2:$A$301, agent_info!$A$2:$A$301)), "Invalid", "Ok")</f>
        <v>Ok</v>
      </c>
    </row>
    <row r="723" spans="1:11" x14ac:dyDescent="0.3">
      <c r="A723" s="1" t="s">
        <v>4315</v>
      </c>
      <c r="B723" s="1" t="s">
        <v>369</v>
      </c>
      <c r="C723" s="1" t="s">
        <v>3326</v>
      </c>
      <c r="D723" s="1">
        <v>393514.97</v>
      </c>
      <c r="E723" s="1">
        <v>21276.43</v>
      </c>
      <c r="F723" s="41">
        <v>44553</v>
      </c>
      <c r="G723" s="41">
        <v>44918</v>
      </c>
      <c r="H723" s="1" t="s">
        <v>3803</v>
      </c>
      <c r="I723" s="1" t="s">
        <v>3324</v>
      </c>
      <c r="J723" t="str">
        <f>IF(ISNA(_xlfn.XLOOKUP(B723,customer_master!$A$2:$A$1649, customer_master!$A$2:$A$1649)), "Invalid", "Ok")</f>
        <v>Ok</v>
      </c>
      <c r="K723" t="str">
        <f>IF(ISNA(_xlfn.XLOOKUP(H723,agent_info!$A$2:$A$301, agent_info!$A$2:$A$301)), "Invalid", "Ok")</f>
        <v>Ok</v>
      </c>
    </row>
    <row r="724" spans="1:11" x14ac:dyDescent="0.3">
      <c r="A724" s="1" t="s">
        <v>4316</v>
      </c>
      <c r="B724" s="1" t="s">
        <v>3086</v>
      </c>
      <c r="C724" s="1" t="s">
        <v>3326</v>
      </c>
      <c r="D724" s="1">
        <v>616320.43999999994</v>
      </c>
      <c r="E724" s="1">
        <v>33256.15</v>
      </c>
      <c r="F724" s="41">
        <v>45158</v>
      </c>
      <c r="G724" s="41">
        <v>45524</v>
      </c>
      <c r="H724" s="1" t="s">
        <v>3712</v>
      </c>
      <c r="I724" s="1" t="s">
        <v>3324</v>
      </c>
      <c r="J724" t="str">
        <f>IF(ISNA(_xlfn.XLOOKUP(B724,customer_master!$A$2:$A$1649, customer_master!$A$2:$A$1649)), "Invalid", "Ok")</f>
        <v>Ok</v>
      </c>
      <c r="K724" t="str">
        <f>IF(ISNA(_xlfn.XLOOKUP(H724,agent_info!$A$2:$A$301, agent_info!$A$2:$A$301)), "Invalid", "Ok")</f>
        <v>Ok</v>
      </c>
    </row>
    <row r="725" spans="1:11" x14ac:dyDescent="0.3">
      <c r="A725" s="1" t="s">
        <v>4317</v>
      </c>
      <c r="B725" s="1" t="s">
        <v>1642</v>
      </c>
      <c r="C725" s="1" t="s">
        <v>3334</v>
      </c>
      <c r="D725" s="1">
        <v>511293.12</v>
      </c>
      <c r="E725" s="1">
        <v>23305.55</v>
      </c>
      <c r="F725" s="41">
        <v>46252</v>
      </c>
      <c r="G725" s="41">
        <v>46617</v>
      </c>
      <c r="H725" s="1" t="s">
        <v>3852</v>
      </c>
      <c r="I725" s="1" t="s">
        <v>3324</v>
      </c>
      <c r="J725" t="str">
        <f>IF(ISNA(_xlfn.XLOOKUP(B725,customer_master!$A$2:$A$1649, customer_master!$A$2:$A$1649)), "Invalid", "Ok")</f>
        <v>Ok</v>
      </c>
      <c r="K725" t="str">
        <f>IF(ISNA(_xlfn.XLOOKUP(H725,agent_info!$A$2:$A$301, agent_info!$A$2:$A$301)), "Invalid", "Ok")</f>
        <v>Ok</v>
      </c>
    </row>
    <row r="726" spans="1:11" x14ac:dyDescent="0.3">
      <c r="A726" s="1" t="s">
        <v>4318</v>
      </c>
      <c r="B726" s="1" t="s">
        <v>2969</v>
      </c>
      <c r="C726" s="1" t="s">
        <v>3334</v>
      </c>
      <c r="D726" s="1">
        <v>718985.5</v>
      </c>
      <c r="E726" s="1">
        <v>33716.61</v>
      </c>
      <c r="F726" s="41">
        <v>45288</v>
      </c>
      <c r="G726" s="41">
        <v>45654</v>
      </c>
      <c r="H726" s="1" t="s">
        <v>3598</v>
      </c>
      <c r="I726" s="1" t="s">
        <v>3316</v>
      </c>
      <c r="J726" t="str">
        <f>IF(ISNA(_xlfn.XLOOKUP(B726,customer_master!$A$2:$A$1649, customer_master!$A$2:$A$1649)), "Invalid", "Ok")</f>
        <v>Ok</v>
      </c>
      <c r="K726" t="str">
        <f>IF(ISNA(_xlfn.XLOOKUP(H726,agent_info!$A$2:$A$301, agent_info!$A$2:$A$301)), "Invalid", "Ok")</f>
        <v>Ok</v>
      </c>
    </row>
    <row r="727" spans="1:11" x14ac:dyDescent="0.3">
      <c r="A727" s="1" t="s">
        <v>4319</v>
      </c>
      <c r="B727" s="1" t="s">
        <v>2095</v>
      </c>
      <c r="C727" s="1" t="s">
        <v>3326</v>
      </c>
      <c r="D727" s="1">
        <v>479581.01</v>
      </c>
      <c r="E727" s="1">
        <v>23479.279999999999</v>
      </c>
      <c r="F727" s="41">
        <v>46258</v>
      </c>
      <c r="G727" s="41">
        <v>46623</v>
      </c>
      <c r="H727" s="1" t="s">
        <v>3585</v>
      </c>
      <c r="I727" s="1" t="s">
        <v>3320</v>
      </c>
      <c r="J727" t="str">
        <f>IF(ISNA(_xlfn.XLOOKUP(B727,customer_master!$A$2:$A$1649, customer_master!$A$2:$A$1649)), "Invalid", "Ok")</f>
        <v>Ok</v>
      </c>
      <c r="K727" t="str">
        <f>IF(ISNA(_xlfn.XLOOKUP(H727,agent_info!$A$2:$A$301, agent_info!$A$2:$A$301)), "Invalid", "Ok")</f>
        <v>Ok</v>
      </c>
    </row>
    <row r="728" spans="1:11" x14ac:dyDescent="0.3">
      <c r="A728" s="1" t="s">
        <v>4320</v>
      </c>
      <c r="B728" s="1" t="s">
        <v>2242</v>
      </c>
      <c r="C728" s="1" t="s">
        <v>3331</v>
      </c>
      <c r="D728" s="1">
        <v>402216.96000000002</v>
      </c>
      <c r="E728" s="1">
        <v>19471.68</v>
      </c>
      <c r="F728" s="41">
        <v>44244</v>
      </c>
      <c r="G728" s="41">
        <v>44609</v>
      </c>
      <c r="H728" s="1" t="s">
        <v>3862</v>
      </c>
      <c r="I728" s="1" t="s">
        <v>3324</v>
      </c>
      <c r="J728" t="str">
        <f>IF(ISNA(_xlfn.XLOOKUP(B728,customer_master!$A$2:$A$1649, customer_master!$A$2:$A$1649)), "Invalid", "Ok")</f>
        <v>Ok</v>
      </c>
      <c r="K728" t="str">
        <f>IF(ISNA(_xlfn.XLOOKUP(H728,agent_info!$A$2:$A$301, agent_info!$A$2:$A$301)), "Invalid", "Ok")</f>
        <v>Ok</v>
      </c>
    </row>
    <row r="729" spans="1:11" x14ac:dyDescent="0.3">
      <c r="A729" s="1" t="s">
        <v>4321</v>
      </c>
      <c r="B729" s="1" t="s">
        <v>2573</v>
      </c>
      <c r="C729" s="1" t="s">
        <v>3318</v>
      </c>
      <c r="D729" s="1">
        <v>534635.73</v>
      </c>
      <c r="E729" s="1">
        <v>26868.51</v>
      </c>
      <c r="F729" s="41">
        <v>44307</v>
      </c>
      <c r="G729" s="41">
        <v>44672</v>
      </c>
      <c r="H729" s="1" t="s">
        <v>3565</v>
      </c>
      <c r="I729" s="1" t="s">
        <v>3316</v>
      </c>
      <c r="J729" t="str">
        <f>IF(ISNA(_xlfn.XLOOKUP(B729,customer_master!$A$2:$A$1649, customer_master!$A$2:$A$1649)), "Invalid", "Ok")</f>
        <v>Ok</v>
      </c>
      <c r="K729" t="str">
        <f>IF(ISNA(_xlfn.XLOOKUP(H729,agent_info!$A$2:$A$301, agent_info!$A$2:$A$301)), "Invalid", "Ok")</f>
        <v>Ok</v>
      </c>
    </row>
    <row r="730" spans="1:11" x14ac:dyDescent="0.3">
      <c r="A730" s="1" t="s">
        <v>4322</v>
      </c>
      <c r="B730" s="1" t="s">
        <v>254</v>
      </c>
      <c r="C730" s="1" t="s">
        <v>3331</v>
      </c>
      <c r="D730" s="1">
        <v>670210.43999999994</v>
      </c>
      <c r="E730" s="1">
        <v>31945.79</v>
      </c>
      <c r="F730" s="41">
        <v>45757</v>
      </c>
      <c r="G730" s="41">
        <v>46122</v>
      </c>
      <c r="H730" s="1" t="s">
        <v>3764</v>
      </c>
      <c r="I730" s="1" t="s">
        <v>3324</v>
      </c>
      <c r="J730" t="str">
        <f>IF(ISNA(_xlfn.XLOOKUP(B730,customer_master!$A$2:$A$1649, customer_master!$A$2:$A$1649)), "Invalid", "Ok")</f>
        <v>Ok</v>
      </c>
      <c r="K730" t="str">
        <f>IF(ISNA(_xlfn.XLOOKUP(H730,agent_info!$A$2:$A$301, agent_info!$A$2:$A$301)), "Invalid", "Ok")</f>
        <v>Ok</v>
      </c>
    </row>
    <row r="731" spans="1:11" x14ac:dyDescent="0.3">
      <c r="A731" s="1" t="s">
        <v>4323</v>
      </c>
      <c r="B731" s="1" t="s">
        <v>2115</v>
      </c>
      <c r="C731" s="1" t="s">
        <v>3318</v>
      </c>
      <c r="D731" s="1">
        <v>567352.31999999995</v>
      </c>
      <c r="E731" s="1">
        <v>30055.26</v>
      </c>
      <c r="F731" s="41">
        <v>44791</v>
      </c>
      <c r="G731" s="41">
        <v>45156</v>
      </c>
      <c r="H731" s="1" t="s">
        <v>3447</v>
      </c>
      <c r="I731" s="1" t="s">
        <v>3324</v>
      </c>
      <c r="J731" t="str">
        <f>IF(ISNA(_xlfn.XLOOKUP(B731,customer_master!$A$2:$A$1649, customer_master!$A$2:$A$1649)), "Invalid", "Ok")</f>
        <v>Ok</v>
      </c>
      <c r="K731" t="str">
        <f>IF(ISNA(_xlfn.XLOOKUP(H731,agent_info!$A$2:$A$301, agent_info!$A$2:$A$301)), "Invalid", "Ok")</f>
        <v>Ok</v>
      </c>
    </row>
    <row r="732" spans="1:11" x14ac:dyDescent="0.3">
      <c r="A732" s="1" t="s">
        <v>4324</v>
      </c>
      <c r="B732" s="1" t="s">
        <v>3073</v>
      </c>
      <c r="C732" s="1" t="s">
        <v>3334</v>
      </c>
      <c r="D732" s="1">
        <v>678999.06</v>
      </c>
      <c r="E732" s="1">
        <v>30605.84</v>
      </c>
      <c r="F732" s="41">
        <v>45065</v>
      </c>
      <c r="G732" s="41">
        <v>45431</v>
      </c>
      <c r="H732" s="1" t="s">
        <v>3581</v>
      </c>
      <c r="I732" s="1" t="s">
        <v>3324</v>
      </c>
      <c r="J732" t="str">
        <f>IF(ISNA(_xlfn.XLOOKUP(B732,customer_master!$A$2:$A$1649, customer_master!$A$2:$A$1649)), "Invalid", "Ok")</f>
        <v>Ok</v>
      </c>
      <c r="K732" t="str">
        <f>IF(ISNA(_xlfn.XLOOKUP(H732,agent_info!$A$2:$A$301, agent_info!$A$2:$A$301)), "Invalid", "Ok")</f>
        <v>Ok</v>
      </c>
    </row>
    <row r="733" spans="1:11" x14ac:dyDescent="0.3">
      <c r="A733" s="1" t="s">
        <v>4325</v>
      </c>
      <c r="B733" s="1" t="s">
        <v>3170</v>
      </c>
      <c r="C733" s="1" t="s">
        <v>3331</v>
      </c>
      <c r="D733" s="1">
        <v>394956.93</v>
      </c>
      <c r="E733" s="1">
        <v>20899.2</v>
      </c>
      <c r="F733" s="41">
        <v>44631</v>
      </c>
      <c r="G733" s="41">
        <v>44996</v>
      </c>
      <c r="H733" s="1" t="s">
        <v>3355</v>
      </c>
      <c r="I733" s="1" t="s">
        <v>3324</v>
      </c>
      <c r="J733" t="str">
        <f>IF(ISNA(_xlfn.XLOOKUP(B733,customer_master!$A$2:$A$1649, customer_master!$A$2:$A$1649)), "Invalid", "Ok")</f>
        <v>Ok</v>
      </c>
      <c r="K733" t="str">
        <f>IF(ISNA(_xlfn.XLOOKUP(H733,agent_info!$A$2:$A$301, agent_info!$A$2:$A$301)), "Invalid", "Ok")</f>
        <v>Ok</v>
      </c>
    </row>
    <row r="734" spans="1:11" x14ac:dyDescent="0.3">
      <c r="A734" s="1" t="s">
        <v>4326</v>
      </c>
      <c r="B734" s="1" t="s">
        <v>3214</v>
      </c>
      <c r="C734" s="1" t="s">
        <v>3314</v>
      </c>
      <c r="D734" s="1">
        <v>453208.22</v>
      </c>
      <c r="E734" s="1">
        <v>22177.16</v>
      </c>
      <c r="F734" s="41">
        <v>45186</v>
      </c>
      <c r="G734" s="41">
        <v>45552</v>
      </c>
      <c r="H734" s="1" t="s">
        <v>4132</v>
      </c>
      <c r="I734" s="1" t="s">
        <v>3324</v>
      </c>
      <c r="J734" t="str">
        <f>IF(ISNA(_xlfn.XLOOKUP(B734,customer_master!$A$2:$A$1649, customer_master!$A$2:$A$1649)), "Invalid", "Ok")</f>
        <v>Ok</v>
      </c>
      <c r="K734" t="str">
        <f>IF(ISNA(_xlfn.XLOOKUP(H734,agent_info!$A$2:$A$301, agent_info!$A$2:$A$301)), "Invalid", "Ok")</f>
        <v>Ok</v>
      </c>
    </row>
    <row r="735" spans="1:11" x14ac:dyDescent="0.3">
      <c r="A735" s="1" t="s">
        <v>4327</v>
      </c>
      <c r="B735" s="1" t="s">
        <v>2162</v>
      </c>
      <c r="C735" s="1" t="s">
        <v>3334</v>
      </c>
      <c r="D735" s="1">
        <v>601989.05000000005</v>
      </c>
      <c r="E735" s="1">
        <v>27120.42</v>
      </c>
      <c r="F735" s="41">
        <v>45090</v>
      </c>
      <c r="G735" s="41">
        <v>45456</v>
      </c>
      <c r="H735" s="1" t="s">
        <v>3788</v>
      </c>
      <c r="I735" s="1" t="s">
        <v>3316</v>
      </c>
      <c r="J735" t="str">
        <f>IF(ISNA(_xlfn.XLOOKUP(B735,customer_master!$A$2:$A$1649, customer_master!$A$2:$A$1649)), "Invalid", "Ok")</f>
        <v>Ok</v>
      </c>
      <c r="K735" t="str">
        <f>IF(ISNA(_xlfn.XLOOKUP(H735,agent_info!$A$2:$A$301, agent_info!$A$2:$A$301)), "Invalid", "Ok")</f>
        <v>Ok</v>
      </c>
    </row>
    <row r="736" spans="1:11" x14ac:dyDescent="0.3">
      <c r="A736" s="1" t="s">
        <v>4328</v>
      </c>
      <c r="B736" s="1" t="s">
        <v>2133</v>
      </c>
      <c r="C736" s="1" t="s">
        <v>3334</v>
      </c>
      <c r="D736" s="1">
        <v>533345.80000000005</v>
      </c>
      <c r="E736" s="1">
        <v>28518.34</v>
      </c>
      <c r="F736" s="41">
        <v>44237</v>
      </c>
      <c r="G736" s="41">
        <v>44602</v>
      </c>
      <c r="H736" s="1" t="s">
        <v>3502</v>
      </c>
      <c r="I736" s="1" t="s">
        <v>3316</v>
      </c>
      <c r="J736" t="str">
        <f>IF(ISNA(_xlfn.XLOOKUP(B736,customer_master!$A$2:$A$1649, customer_master!$A$2:$A$1649)), "Invalid", "Ok")</f>
        <v>Ok</v>
      </c>
      <c r="K736" t="str">
        <f>IF(ISNA(_xlfn.XLOOKUP(H736,agent_info!$A$2:$A$301, agent_info!$A$2:$A$301)), "Invalid", "Ok")</f>
        <v>Ok</v>
      </c>
    </row>
    <row r="737" spans="1:11" x14ac:dyDescent="0.3">
      <c r="A737" s="1" t="s">
        <v>4329</v>
      </c>
      <c r="B737" s="1" t="s">
        <v>1847</v>
      </c>
      <c r="C737" s="1" t="s">
        <v>3318</v>
      </c>
      <c r="D737" s="1">
        <v>635106.43000000005</v>
      </c>
      <c r="E737" s="1">
        <v>31417.16</v>
      </c>
      <c r="F737" s="41">
        <v>45599</v>
      </c>
      <c r="G737" s="41">
        <v>45964</v>
      </c>
      <c r="H737" s="1" t="s">
        <v>3885</v>
      </c>
      <c r="I737" s="1" t="s">
        <v>3316</v>
      </c>
      <c r="J737" t="str">
        <f>IF(ISNA(_xlfn.XLOOKUP(B737,customer_master!$A$2:$A$1649, customer_master!$A$2:$A$1649)), "Invalid", "Ok")</f>
        <v>Ok</v>
      </c>
      <c r="K737" t="str">
        <f>IF(ISNA(_xlfn.XLOOKUP(H737,agent_info!$A$2:$A$301, agent_info!$A$2:$A$301)), "Invalid", "Ok")</f>
        <v>Ok</v>
      </c>
    </row>
    <row r="738" spans="1:11" x14ac:dyDescent="0.3">
      <c r="A738" s="1" t="s">
        <v>4330</v>
      </c>
      <c r="B738" s="1" t="s">
        <v>2036</v>
      </c>
      <c r="C738" s="1" t="s">
        <v>3314</v>
      </c>
      <c r="D738" s="1">
        <v>755583.38</v>
      </c>
      <c r="E738" s="1">
        <v>39477.17</v>
      </c>
      <c r="F738" s="41">
        <v>45720</v>
      </c>
      <c r="G738" s="41">
        <v>46085</v>
      </c>
      <c r="H738" s="1" t="s">
        <v>3435</v>
      </c>
      <c r="I738" s="1" t="s">
        <v>3324</v>
      </c>
      <c r="J738" t="str">
        <f>IF(ISNA(_xlfn.XLOOKUP(B738,customer_master!$A$2:$A$1649, customer_master!$A$2:$A$1649)), "Invalid", "Ok")</f>
        <v>Ok</v>
      </c>
      <c r="K738" t="str">
        <f>IF(ISNA(_xlfn.XLOOKUP(H738,agent_info!$A$2:$A$301, agent_info!$A$2:$A$301)), "Invalid", "Ok")</f>
        <v>Ok</v>
      </c>
    </row>
    <row r="739" spans="1:11" x14ac:dyDescent="0.3">
      <c r="A739" s="1" t="s">
        <v>4331</v>
      </c>
      <c r="B739" s="1" t="s">
        <v>2054</v>
      </c>
      <c r="C739" s="1" t="s">
        <v>3318</v>
      </c>
      <c r="D739" s="1">
        <v>627427.81999999995</v>
      </c>
      <c r="E739" s="1">
        <v>33745.879999999997</v>
      </c>
      <c r="F739" s="41">
        <v>44912</v>
      </c>
      <c r="G739" s="41">
        <v>45277</v>
      </c>
      <c r="H739" s="1" t="s">
        <v>3466</v>
      </c>
      <c r="I739" s="1" t="s">
        <v>3324</v>
      </c>
      <c r="J739" t="str">
        <f>IF(ISNA(_xlfn.XLOOKUP(B739,customer_master!$A$2:$A$1649, customer_master!$A$2:$A$1649)), "Invalid", "Ok")</f>
        <v>Ok</v>
      </c>
      <c r="K739" t="str">
        <f>IF(ISNA(_xlfn.XLOOKUP(H739,agent_info!$A$2:$A$301, agent_info!$A$2:$A$301)), "Invalid", "Ok")</f>
        <v>Ok</v>
      </c>
    </row>
    <row r="740" spans="1:11" x14ac:dyDescent="0.3">
      <c r="A740" s="1" t="s">
        <v>4332</v>
      </c>
      <c r="B740" s="1" t="s">
        <v>178</v>
      </c>
      <c r="C740" s="1" t="s">
        <v>3314</v>
      </c>
      <c r="D740" s="1">
        <v>545684.71</v>
      </c>
      <c r="E740" s="1">
        <v>24743.05</v>
      </c>
      <c r="F740" s="41">
        <v>45712</v>
      </c>
      <c r="G740" s="41">
        <v>46077</v>
      </c>
      <c r="H740" s="1" t="s">
        <v>3443</v>
      </c>
      <c r="I740" s="1" t="s">
        <v>3324</v>
      </c>
      <c r="J740" t="str">
        <f>IF(ISNA(_xlfn.XLOOKUP(B740,customer_master!$A$2:$A$1649, customer_master!$A$2:$A$1649)), "Invalid", "Ok")</f>
        <v>Ok</v>
      </c>
      <c r="K740" t="str">
        <f>IF(ISNA(_xlfn.XLOOKUP(H740,agent_info!$A$2:$A$301, agent_info!$A$2:$A$301)), "Invalid", "Ok")</f>
        <v>Ok</v>
      </c>
    </row>
    <row r="741" spans="1:11" x14ac:dyDescent="0.3">
      <c r="A741" s="1" t="s">
        <v>4333</v>
      </c>
      <c r="B741" s="1" t="s">
        <v>326</v>
      </c>
      <c r="C741" s="1" t="s">
        <v>3326</v>
      </c>
      <c r="D741" s="1">
        <v>539827.41</v>
      </c>
      <c r="E741" s="1">
        <v>25707.46</v>
      </c>
      <c r="F741" s="41">
        <v>45952</v>
      </c>
      <c r="G741" s="41">
        <v>46317</v>
      </c>
      <c r="H741" s="1" t="s">
        <v>3843</v>
      </c>
      <c r="I741" s="1" t="s">
        <v>3324</v>
      </c>
      <c r="J741" t="str">
        <f>IF(ISNA(_xlfn.XLOOKUP(B741,customer_master!$A$2:$A$1649, customer_master!$A$2:$A$1649)), "Invalid", "Ok")</f>
        <v>Ok</v>
      </c>
      <c r="K741" t="str">
        <f>IF(ISNA(_xlfn.XLOOKUP(H741,agent_info!$A$2:$A$301, agent_info!$A$2:$A$301)), "Invalid", "Ok")</f>
        <v>Ok</v>
      </c>
    </row>
    <row r="742" spans="1:11" x14ac:dyDescent="0.3">
      <c r="A742" s="1" t="s">
        <v>4334</v>
      </c>
      <c r="B742" s="1" t="s">
        <v>2087</v>
      </c>
      <c r="C742" s="1" t="s">
        <v>3326</v>
      </c>
      <c r="D742" s="1">
        <v>669489.27</v>
      </c>
      <c r="E742" s="1">
        <v>30922.98</v>
      </c>
      <c r="F742" s="41">
        <v>44946</v>
      </c>
      <c r="G742" s="41">
        <v>45311</v>
      </c>
      <c r="H742" s="1" t="s">
        <v>3507</v>
      </c>
      <c r="I742" s="1" t="s">
        <v>3324</v>
      </c>
      <c r="J742" t="str">
        <f>IF(ISNA(_xlfn.XLOOKUP(B742,customer_master!$A$2:$A$1649, customer_master!$A$2:$A$1649)), "Invalid", "Ok")</f>
        <v>Ok</v>
      </c>
      <c r="K742" t="str">
        <f>IF(ISNA(_xlfn.XLOOKUP(H742,agent_info!$A$2:$A$301, agent_info!$A$2:$A$301)), "Invalid", "Ok")</f>
        <v>Ok</v>
      </c>
    </row>
    <row r="743" spans="1:11" x14ac:dyDescent="0.3">
      <c r="A743" s="1" t="s">
        <v>4335</v>
      </c>
      <c r="B743" s="1" t="s">
        <v>1063</v>
      </c>
      <c r="C743" s="1" t="s">
        <v>3318</v>
      </c>
      <c r="D743" s="1">
        <v>632389.93999999994</v>
      </c>
      <c r="E743" s="1">
        <v>29077.35</v>
      </c>
      <c r="F743" s="41">
        <v>44100</v>
      </c>
      <c r="G743" s="41">
        <v>44465</v>
      </c>
      <c r="H743" s="1" t="s">
        <v>4336</v>
      </c>
      <c r="I743" s="1" t="s">
        <v>3324</v>
      </c>
      <c r="J743" t="str">
        <f>IF(ISNA(_xlfn.XLOOKUP(B743,customer_master!$A$2:$A$1649, customer_master!$A$2:$A$1649)), "Invalid", "Ok")</f>
        <v>Ok</v>
      </c>
      <c r="K743" t="str">
        <f>IF(ISNA(_xlfn.XLOOKUP(H743,agent_info!$A$2:$A$301, agent_info!$A$2:$A$301)), "Invalid", "Ok")</f>
        <v>Ok</v>
      </c>
    </row>
    <row r="744" spans="1:11" x14ac:dyDescent="0.3">
      <c r="A744" s="1" t="s">
        <v>4337</v>
      </c>
      <c r="B744" s="1" t="s">
        <v>1016</v>
      </c>
      <c r="C744" s="1" t="s">
        <v>3334</v>
      </c>
      <c r="D744" s="1">
        <v>694224.11</v>
      </c>
      <c r="E744" s="1">
        <v>37804.949999999997</v>
      </c>
      <c r="F744" s="41">
        <v>44328</v>
      </c>
      <c r="G744" s="41">
        <v>44693</v>
      </c>
      <c r="H744" s="1" t="s">
        <v>3976</v>
      </c>
      <c r="I744" s="1" t="s">
        <v>3316</v>
      </c>
      <c r="J744" t="str">
        <f>IF(ISNA(_xlfn.XLOOKUP(B744,customer_master!$A$2:$A$1649, customer_master!$A$2:$A$1649)), "Invalid", "Ok")</f>
        <v>Ok</v>
      </c>
      <c r="K744" t="str">
        <f>IF(ISNA(_xlfn.XLOOKUP(H744,agent_info!$A$2:$A$301, agent_info!$A$2:$A$301)), "Invalid", "Ok")</f>
        <v>Ok</v>
      </c>
    </row>
    <row r="745" spans="1:11" x14ac:dyDescent="0.3">
      <c r="A745" s="1" t="s">
        <v>4338</v>
      </c>
      <c r="B745" s="1" t="s">
        <v>685</v>
      </c>
      <c r="C745" s="1" t="s">
        <v>3326</v>
      </c>
      <c r="D745" s="1">
        <v>455531.44</v>
      </c>
      <c r="E745" s="1">
        <v>24168.54</v>
      </c>
      <c r="F745" s="41">
        <v>46087</v>
      </c>
      <c r="G745" s="41">
        <v>46452</v>
      </c>
      <c r="H745" s="1" t="s">
        <v>3641</v>
      </c>
      <c r="I745" s="1" t="s">
        <v>3324</v>
      </c>
      <c r="J745" t="str">
        <f>IF(ISNA(_xlfn.XLOOKUP(B745,customer_master!$A$2:$A$1649, customer_master!$A$2:$A$1649)), "Invalid", "Ok")</f>
        <v>Ok</v>
      </c>
      <c r="K745" t="str">
        <f>IF(ISNA(_xlfn.XLOOKUP(H745,agent_info!$A$2:$A$301, agent_info!$A$2:$A$301)), "Invalid", "Ok")</f>
        <v>Ok</v>
      </c>
    </row>
    <row r="746" spans="1:11" x14ac:dyDescent="0.3">
      <c r="A746" s="1" t="s">
        <v>4339</v>
      </c>
      <c r="B746" s="1" t="s">
        <v>2651</v>
      </c>
      <c r="C746" s="1" t="s">
        <v>3334</v>
      </c>
      <c r="D746" s="1">
        <v>671563.65</v>
      </c>
      <c r="E746" s="1">
        <v>32669.73</v>
      </c>
      <c r="F746" s="41">
        <v>44794</v>
      </c>
      <c r="G746" s="41">
        <v>45159</v>
      </c>
      <c r="H746" s="1" t="s">
        <v>3931</v>
      </c>
      <c r="I746" s="1" t="s">
        <v>3324</v>
      </c>
      <c r="J746" t="str">
        <f>IF(ISNA(_xlfn.XLOOKUP(B746,customer_master!$A$2:$A$1649, customer_master!$A$2:$A$1649)), "Invalid", "Ok")</f>
        <v>Ok</v>
      </c>
      <c r="K746" t="str">
        <f>IF(ISNA(_xlfn.XLOOKUP(H746,agent_info!$A$2:$A$301, agent_info!$A$2:$A$301)), "Invalid", "Ok")</f>
        <v>Ok</v>
      </c>
    </row>
    <row r="747" spans="1:11" x14ac:dyDescent="0.3">
      <c r="A747" s="1" t="s">
        <v>4340</v>
      </c>
      <c r="B747" s="1" t="s">
        <v>3198</v>
      </c>
      <c r="C747" s="1" t="s">
        <v>3334</v>
      </c>
      <c r="D747" s="1">
        <v>438681.08</v>
      </c>
      <c r="E747" s="1">
        <v>22755.67</v>
      </c>
      <c r="F747" s="41">
        <v>45718</v>
      </c>
      <c r="G747" s="41">
        <v>46083</v>
      </c>
      <c r="H747" s="1" t="s">
        <v>3617</v>
      </c>
      <c r="I747" s="1" t="s">
        <v>3324</v>
      </c>
      <c r="J747" t="str">
        <f>IF(ISNA(_xlfn.XLOOKUP(B747,customer_master!$A$2:$A$1649, customer_master!$A$2:$A$1649)), "Invalid", "Ok")</f>
        <v>Ok</v>
      </c>
      <c r="K747" t="str">
        <f>IF(ISNA(_xlfn.XLOOKUP(H747,agent_info!$A$2:$A$301, agent_info!$A$2:$A$301)), "Invalid", "Ok")</f>
        <v>Ok</v>
      </c>
    </row>
    <row r="748" spans="1:11" x14ac:dyDescent="0.3">
      <c r="A748" s="1" t="s">
        <v>4341</v>
      </c>
      <c r="B748" s="1" t="s">
        <v>2115</v>
      </c>
      <c r="C748" s="1" t="s">
        <v>3314</v>
      </c>
      <c r="D748" s="1">
        <v>673663.61</v>
      </c>
      <c r="E748" s="1">
        <v>36508.83</v>
      </c>
      <c r="F748" s="41">
        <v>45139</v>
      </c>
      <c r="G748" s="41">
        <v>45505</v>
      </c>
      <c r="H748" s="1" t="s">
        <v>3751</v>
      </c>
      <c r="I748" s="1" t="s">
        <v>3324</v>
      </c>
      <c r="J748" t="str">
        <f>IF(ISNA(_xlfn.XLOOKUP(B748,customer_master!$A$2:$A$1649, customer_master!$A$2:$A$1649)), "Invalid", "Ok")</f>
        <v>Ok</v>
      </c>
      <c r="K748" t="str">
        <f>IF(ISNA(_xlfn.XLOOKUP(H748,agent_info!$A$2:$A$301, agent_info!$A$2:$A$301)), "Invalid", "Ok")</f>
        <v>Ok</v>
      </c>
    </row>
    <row r="749" spans="1:11" x14ac:dyDescent="0.3">
      <c r="A749" s="1" t="s">
        <v>4342</v>
      </c>
      <c r="B749" s="1" t="s">
        <v>3144</v>
      </c>
      <c r="C749" s="1" t="s">
        <v>3331</v>
      </c>
      <c r="D749" s="1">
        <v>717814.6</v>
      </c>
      <c r="E749" s="1">
        <v>33886.69</v>
      </c>
      <c r="F749" s="41">
        <v>44226</v>
      </c>
      <c r="G749" s="41">
        <v>44591</v>
      </c>
      <c r="H749" s="1" t="s">
        <v>4343</v>
      </c>
      <c r="I749" s="1" t="s">
        <v>3320</v>
      </c>
      <c r="J749" t="str">
        <f>IF(ISNA(_xlfn.XLOOKUP(B749,customer_master!$A$2:$A$1649, customer_master!$A$2:$A$1649)), "Invalid", "Ok")</f>
        <v>Ok</v>
      </c>
      <c r="K749" t="str">
        <f>IF(ISNA(_xlfn.XLOOKUP(H749,agent_info!$A$2:$A$301, agent_info!$A$2:$A$301)), "Invalid", "Ok")</f>
        <v>Ok</v>
      </c>
    </row>
    <row r="750" spans="1:11" x14ac:dyDescent="0.3">
      <c r="A750" s="1" t="s">
        <v>4344</v>
      </c>
      <c r="B750" s="1" t="s">
        <v>2939</v>
      </c>
      <c r="C750" s="1" t="s">
        <v>3334</v>
      </c>
      <c r="D750" s="1">
        <v>731589.5</v>
      </c>
      <c r="E750" s="1">
        <v>33025.050000000003</v>
      </c>
      <c r="F750" s="41">
        <v>45279</v>
      </c>
      <c r="G750" s="41">
        <v>45645</v>
      </c>
      <c r="H750" s="1" t="s">
        <v>3629</v>
      </c>
      <c r="I750" s="1" t="s">
        <v>3324</v>
      </c>
      <c r="J750" t="str">
        <f>IF(ISNA(_xlfn.XLOOKUP(B750,customer_master!$A$2:$A$1649, customer_master!$A$2:$A$1649)), "Invalid", "Ok")</f>
        <v>Ok</v>
      </c>
      <c r="K750" t="str">
        <f>IF(ISNA(_xlfn.XLOOKUP(H750,agent_info!$A$2:$A$301, agent_info!$A$2:$A$301)), "Invalid", "Ok")</f>
        <v>Ok</v>
      </c>
    </row>
    <row r="751" spans="1:11" x14ac:dyDescent="0.3">
      <c r="A751" s="1" t="s">
        <v>4345</v>
      </c>
      <c r="B751" s="1" t="s">
        <v>773</v>
      </c>
      <c r="C751" s="1" t="s">
        <v>3314</v>
      </c>
      <c r="D751" s="1">
        <v>429887.17</v>
      </c>
      <c r="E751" s="1">
        <v>22887.66</v>
      </c>
      <c r="F751" s="41">
        <v>44608</v>
      </c>
      <c r="G751" s="41">
        <v>44973</v>
      </c>
      <c r="H751" s="1" t="s">
        <v>4074</v>
      </c>
      <c r="I751" s="1" t="s">
        <v>3324</v>
      </c>
      <c r="J751" t="str">
        <f>IF(ISNA(_xlfn.XLOOKUP(B751,customer_master!$A$2:$A$1649, customer_master!$A$2:$A$1649)), "Invalid", "Ok")</f>
        <v>Ok</v>
      </c>
      <c r="K751" t="str">
        <f>IF(ISNA(_xlfn.XLOOKUP(H751,agent_info!$A$2:$A$301, agent_info!$A$2:$A$301)), "Invalid", "Ok")</f>
        <v>Ok</v>
      </c>
    </row>
    <row r="752" spans="1:11" x14ac:dyDescent="0.3">
      <c r="A752" s="1" t="s">
        <v>4346</v>
      </c>
      <c r="B752" s="1" t="s">
        <v>542</v>
      </c>
      <c r="C752" s="1" t="s">
        <v>3314</v>
      </c>
      <c r="D752" s="1">
        <v>704504.59</v>
      </c>
      <c r="E752" s="1">
        <v>36794.15</v>
      </c>
      <c r="F752" s="41">
        <v>46159</v>
      </c>
      <c r="G752" s="41">
        <v>46524</v>
      </c>
      <c r="H752" s="1" t="s">
        <v>3949</v>
      </c>
      <c r="I752" s="1" t="s">
        <v>3324</v>
      </c>
      <c r="J752" t="str">
        <f>IF(ISNA(_xlfn.XLOOKUP(B752,customer_master!$A$2:$A$1649, customer_master!$A$2:$A$1649)), "Invalid", "Ok")</f>
        <v>Ok</v>
      </c>
      <c r="K752" t="str">
        <f>IF(ISNA(_xlfn.XLOOKUP(H752,agent_info!$A$2:$A$301, agent_info!$A$2:$A$301)), "Invalid", "Ok")</f>
        <v>Ok</v>
      </c>
    </row>
    <row r="753" spans="1:11" x14ac:dyDescent="0.3">
      <c r="A753" s="1" t="s">
        <v>4347</v>
      </c>
      <c r="B753" s="1" t="s">
        <v>753</v>
      </c>
      <c r="C753" s="1" t="s">
        <v>3334</v>
      </c>
      <c r="D753" s="1">
        <v>427325.56</v>
      </c>
      <c r="E753" s="1">
        <v>19914.47</v>
      </c>
      <c r="F753" s="41">
        <v>44384</v>
      </c>
      <c r="G753" s="41">
        <v>44749</v>
      </c>
      <c r="H753" s="1" t="s">
        <v>3809</v>
      </c>
      <c r="I753" s="1" t="s">
        <v>3324</v>
      </c>
      <c r="J753" t="str">
        <f>IF(ISNA(_xlfn.XLOOKUP(B753,customer_master!$A$2:$A$1649, customer_master!$A$2:$A$1649)), "Invalid", "Ok")</f>
        <v>Ok</v>
      </c>
      <c r="K753" t="str">
        <f>IF(ISNA(_xlfn.XLOOKUP(H753,agent_info!$A$2:$A$301, agent_info!$A$2:$A$301)), "Invalid", "Ok")</f>
        <v>Ok</v>
      </c>
    </row>
    <row r="754" spans="1:11" x14ac:dyDescent="0.3">
      <c r="A754" s="1" t="s">
        <v>4348</v>
      </c>
      <c r="B754" s="1" t="s">
        <v>350</v>
      </c>
      <c r="C754" s="1" t="s">
        <v>3318</v>
      </c>
      <c r="D754" s="1">
        <v>558834.05000000005</v>
      </c>
      <c r="E754" s="1">
        <v>27883.84</v>
      </c>
      <c r="F754" s="41">
        <v>45875</v>
      </c>
      <c r="G754" s="41">
        <v>46240</v>
      </c>
      <c r="H754" s="1" t="s">
        <v>3691</v>
      </c>
      <c r="I754" s="1" t="s">
        <v>3316</v>
      </c>
      <c r="J754" t="str">
        <f>IF(ISNA(_xlfn.XLOOKUP(B754,customer_master!$A$2:$A$1649, customer_master!$A$2:$A$1649)), "Invalid", "Ok")</f>
        <v>Ok</v>
      </c>
      <c r="K754" t="str">
        <f>IF(ISNA(_xlfn.XLOOKUP(H754,agent_info!$A$2:$A$301, agent_info!$A$2:$A$301)), "Invalid", "Ok")</f>
        <v>Ok</v>
      </c>
    </row>
    <row r="755" spans="1:11" x14ac:dyDescent="0.3">
      <c r="A755" s="1" t="s">
        <v>4349</v>
      </c>
      <c r="B755" s="1" t="s">
        <v>1942</v>
      </c>
      <c r="C755" s="1" t="s">
        <v>3314</v>
      </c>
      <c r="D755" s="1">
        <v>647770.79</v>
      </c>
      <c r="E755" s="1">
        <v>30188.93</v>
      </c>
      <c r="F755" s="41">
        <v>45921</v>
      </c>
      <c r="G755" s="41">
        <v>46286</v>
      </c>
      <c r="H755" s="1" t="s">
        <v>3389</v>
      </c>
      <c r="I755" s="1" t="s">
        <v>3324</v>
      </c>
      <c r="J755" t="str">
        <f>IF(ISNA(_xlfn.XLOOKUP(B755,customer_master!$A$2:$A$1649, customer_master!$A$2:$A$1649)), "Invalid", "Ok")</f>
        <v>Ok</v>
      </c>
      <c r="K755" t="str">
        <f>IF(ISNA(_xlfn.XLOOKUP(H755,agent_info!$A$2:$A$301, agent_info!$A$2:$A$301)), "Invalid", "Ok")</f>
        <v>Ok</v>
      </c>
    </row>
    <row r="756" spans="1:11" x14ac:dyDescent="0.3">
      <c r="A756" s="1" t="s">
        <v>4350</v>
      </c>
      <c r="B756" s="1" t="s">
        <v>956</v>
      </c>
      <c r="C756" s="1" t="s">
        <v>3318</v>
      </c>
      <c r="D756" s="1">
        <v>561046.16</v>
      </c>
      <c r="E756" s="1">
        <v>28628.02</v>
      </c>
      <c r="F756" s="41">
        <v>44450</v>
      </c>
      <c r="G756" s="41">
        <v>44815</v>
      </c>
      <c r="H756" s="1" t="s">
        <v>4095</v>
      </c>
      <c r="I756" s="1" t="s">
        <v>3316</v>
      </c>
      <c r="J756" t="str">
        <f>IF(ISNA(_xlfn.XLOOKUP(B756,customer_master!$A$2:$A$1649, customer_master!$A$2:$A$1649)), "Invalid", "Ok")</f>
        <v>Ok</v>
      </c>
      <c r="K756" t="str">
        <f>IF(ISNA(_xlfn.XLOOKUP(H756,agent_info!$A$2:$A$301, agent_info!$A$2:$A$301)), "Invalid", "Ok")</f>
        <v>Ok</v>
      </c>
    </row>
    <row r="757" spans="1:11" x14ac:dyDescent="0.3">
      <c r="A757" s="1" t="s">
        <v>4351</v>
      </c>
      <c r="B757" s="1" t="s">
        <v>3033</v>
      </c>
      <c r="C757" s="1" t="s">
        <v>3334</v>
      </c>
      <c r="D757" s="1">
        <v>515865.2</v>
      </c>
      <c r="E757" s="1">
        <v>26554.52</v>
      </c>
      <c r="F757" s="41">
        <v>44116</v>
      </c>
      <c r="G757" s="41">
        <v>44481</v>
      </c>
      <c r="H757" s="1" t="s">
        <v>3631</v>
      </c>
      <c r="I757" s="1" t="s">
        <v>3316</v>
      </c>
      <c r="J757" t="str">
        <f>IF(ISNA(_xlfn.XLOOKUP(B757,customer_master!$A$2:$A$1649, customer_master!$A$2:$A$1649)), "Invalid", "Ok")</f>
        <v>Ok</v>
      </c>
      <c r="K757" t="str">
        <f>IF(ISNA(_xlfn.XLOOKUP(H757,agent_info!$A$2:$A$301, agent_info!$A$2:$A$301)), "Invalid", "Ok")</f>
        <v>Ok</v>
      </c>
    </row>
    <row r="758" spans="1:11" x14ac:dyDescent="0.3">
      <c r="A758" s="1" t="s">
        <v>4352</v>
      </c>
      <c r="B758" s="1" t="s">
        <v>2062</v>
      </c>
      <c r="C758" s="1" t="s">
        <v>3314</v>
      </c>
      <c r="D758" s="1">
        <v>648271.15</v>
      </c>
      <c r="E758" s="1">
        <v>30965.86</v>
      </c>
      <c r="F758" s="41">
        <v>44297</v>
      </c>
      <c r="G758" s="41">
        <v>44662</v>
      </c>
      <c r="H758" s="1" t="s">
        <v>3395</v>
      </c>
      <c r="I758" s="1" t="s">
        <v>3324</v>
      </c>
      <c r="J758" t="str">
        <f>IF(ISNA(_xlfn.XLOOKUP(B758,customer_master!$A$2:$A$1649, customer_master!$A$2:$A$1649)), "Invalid", "Ok")</f>
        <v>Ok</v>
      </c>
      <c r="K758" t="str">
        <f>IF(ISNA(_xlfn.XLOOKUP(H758,agent_info!$A$2:$A$301, agent_info!$A$2:$A$301)), "Invalid", "Ok")</f>
        <v>Ok</v>
      </c>
    </row>
    <row r="759" spans="1:11" x14ac:dyDescent="0.3">
      <c r="A759" s="1" t="s">
        <v>4353</v>
      </c>
      <c r="B759" s="1" t="s">
        <v>1217</v>
      </c>
      <c r="C759" s="1" t="s">
        <v>3331</v>
      </c>
      <c r="D759" s="1">
        <v>633625.25</v>
      </c>
      <c r="E759" s="1">
        <v>33460.720000000001</v>
      </c>
      <c r="F759" s="41">
        <v>44721</v>
      </c>
      <c r="G759" s="41">
        <v>45086</v>
      </c>
      <c r="H759" s="1" t="s">
        <v>3862</v>
      </c>
      <c r="I759" s="1" t="s">
        <v>3324</v>
      </c>
      <c r="J759" t="str">
        <f>IF(ISNA(_xlfn.XLOOKUP(B759,customer_master!$A$2:$A$1649, customer_master!$A$2:$A$1649)), "Invalid", "Ok")</f>
        <v>Ok</v>
      </c>
      <c r="K759" t="str">
        <f>IF(ISNA(_xlfn.XLOOKUP(H759,agent_info!$A$2:$A$301, agent_info!$A$2:$A$301)), "Invalid", "Ok")</f>
        <v>Ok</v>
      </c>
    </row>
    <row r="760" spans="1:11" x14ac:dyDescent="0.3">
      <c r="A760" s="1" t="s">
        <v>4354</v>
      </c>
      <c r="B760" s="1" t="s">
        <v>3267</v>
      </c>
      <c r="C760" s="1" t="s">
        <v>3318</v>
      </c>
      <c r="D760" s="1">
        <v>598333.42000000004</v>
      </c>
      <c r="E760" s="1">
        <v>29758.69</v>
      </c>
      <c r="F760" s="41">
        <v>45248</v>
      </c>
      <c r="G760" s="41">
        <v>45614</v>
      </c>
      <c r="H760" s="1" t="s">
        <v>3966</v>
      </c>
      <c r="I760" s="1" t="s">
        <v>3324</v>
      </c>
      <c r="J760" t="str">
        <f>IF(ISNA(_xlfn.XLOOKUP(B760,customer_master!$A$2:$A$1649, customer_master!$A$2:$A$1649)), "Invalid", "Ok")</f>
        <v>Ok</v>
      </c>
      <c r="K760" t="str">
        <f>IF(ISNA(_xlfn.XLOOKUP(H760,agent_info!$A$2:$A$301, agent_info!$A$2:$A$301)), "Invalid", "Ok")</f>
        <v>Ok</v>
      </c>
    </row>
    <row r="761" spans="1:11" x14ac:dyDescent="0.3">
      <c r="A761" s="1" t="s">
        <v>4355</v>
      </c>
      <c r="B761" s="1" t="s">
        <v>3162</v>
      </c>
      <c r="C761" s="1" t="s">
        <v>3314</v>
      </c>
      <c r="D761" s="1">
        <v>588445.04</v>
      </c>
      <c r="E761" s="1">
        <v>30636.55</v>
      </c>
      <c r="F761" s="41">
        <v>44933</v>
      </c>
      <c r="G761" s="41">
        <v>45298</v>
      </c>
      <c r="H761" s="1" t="s">
        <v>3706</v>
      </c>
      <c r="I761" s="1" t="s">
        <v>3316</v>
      </c>
      <c r="J761" t="str">
        <f>IF(ISNA(_xlfn.XLOOKUP(B761,customer_master!$A$2:$A$1649, customer_master!$A$2:$A$1649)), "Invalid", "Ok")</f>
        <v>Ok</v>
      </c>
      <c r="K761" t="str">
        <f>IF(ISNA(_xlfn.XLOOKUP(H761,agent_info!$A$2:$A$301, agent_info!$A$2:$A$301)), "Invalid", "Ok")</f>
        <v>Ok</v>
      </c>
    </row>
    <row r="762" spans="1:11" x14ac:dyDescent="0.3">
      <c r="A762" s="1" t="s">
        <v>4356</v>
      </c>
      <c r="B762" s="1" t="s">
        <v>2589</v>
      </c>
      <c r="C762" s="1" t="s">
        <v>3331</v>
      </c>
      <c r="D762" s="1">
        <v>650739.77</v>
      </c>
      <c r="E762" s="1">
        <v>33446.800000000003</v>
      </c>
      <c r="F762" s="41">
        <v>44247</v>
      </c>
      <c r="G762" s="41">
        <v>44612</v>
      </c>
      <c r="H762" s="1" t="s">
        <v>4027</v>
      </c>
      <c r="I762" s="1" t="s">
        <v>3320</v>
      </c>
      <c r="J762" t="str">
        <f>IF(ISNA(_xlfn.XLOOKUP(B762,customer_master!$A$2:$A$1649, customer_master!$A$2:$A$1649)), "Invalid", "Ok")</f>
        <v>Ok</v>
      </c>
      <c r="K762" t="str">
        <f>IF(ISNA(_xlfn.XLOOKUP(H762,agent_info!$A$2:$A$301, agent_info!$A$2:$A$301)), "Invalid", "Ok")</f>
        <v>Ok</v>
      </c>
    </row>
    <row r="763" spans="1:11" x14ac:dyDescent="0.3">
      <c r="A763" s="1" t="s">
        <v>4357</v>
      </c>
      <c r="B763" s="1" t="s">
        <v>2625</v>
      </c>
      <c r="C763" s="1" t="s">
        <v>3334</v>
      </c>
      <c r="D763" s="1">
        <v>540169.27</v>
      </c>
      <c r="E763" s="1">
        <v>26742.48</v>
      </c>
      <c r="F763" s="41">
        <v>45750</v>
      </c>
      <c r="G763" s="41">
        <v>46115</v>
      </c>
      <c r="H763" s="1" t="s">
        <v>3725</v>
      </c>
      <c r="I763" s="1" t="s">
        <v>3324</v>
      </c>
      <c r="J763" t="str">
        <f>IF(ISNA(_xlfn.XLOOKUP(B763,customer_master!$A$2:$A$1649, customer_master!$A$2:$A$1649)), "Invalid", "Ok")</f>
        <v>Ok</v>
      </c>
      <c r="K763" t="str">
        <f>IF(ISNA(_xlfn.XLOOKUP(H763,agent_info!$A$2:$A$301, agent_info!$A$2:$A$301)), "Invalid", "Ok")</f>
        <v>Ok</v>
      </c>
    </row>
    <row r="764" spans="1:11" x14ac:dyDescent="0.3">
      <c r="A764" s="1" t="s">
        <v>4358</v>
      </c>
      <c r="B764" s="1" t="s">
        <v>3238</v>
      </c>
      <c r="C764" s="1" t="s">
        <v>3318</v>
      </c>
      <c r="D764" s="1">
        <v>403994.4</v>
      </c>
      <c r="E764" s="1">
        <v>19362.310000000001</v>
      </c>
      <c r="F764" s="41">
        <v>45561</v>
      </c>
      <c r="G764" s="41">
        <v>45926</v>
      </c>
      <c r="H764" s="1" t="s">
        <v>3538</v>
      </c>
      <c r="I764" s="1" t="s">
        <v>3324</v>
      </c>
      <c r="J764" t="str">
        <f>IF(ISNA(_xlfn.XLOOKUP(B764,customer_master!$A$2:$A$1649, customer_master!$A$2:$A$1649)), "Invalid", "Ok")</f>
        <v>Ok</v>
      </c>
      <c r="K764" t="str">
        <f>IF(ISNA(_xlfn.XLOOKUP(H764,agent_info!$A$2:$A$301, agent_info!$A$2:$A$301)), "Invalid", "Ok")</f>
        <v>Ok</v>
      </c>
    </row>
    <row r="765" spans="1:11" x14ac:dyDescent="0.3">
      <c r="A765" s="1" t="s">
        <v>4359</v>
      </c>
      <c r="B765" s="1" t="s">
        <v>2006</v>
      </c>
      <c r="C765" s="1" t="s">
        <v>3326</v>
      </c>
      <c r="D765" s="1">
        <v>538109.07999999996</v>
      </c>
      <c r="E765" s="1">
        <v>25314.29</v>
      </c>
      <c r="F765" s="41">
        <v>44413</v>
      </c>
      <c r="G765" s="41">
        <v>44778</v>
      </c>
      <c r="H765" s="1" t="s">
        <v>3905</v>
      </c>
      <c r="I765" s="1" t="s">
        <v>3324</v>
      </c>
      <c r="J765" t="str">
        <f>IF(ISNA(_xlfn.XLOOKUP(B765,customer_master!$A$2:$A$1649, customer_master!$A$2:$A$1649)), "Invalid", "Ok")</f>
        <v>Ok</v>
      </c>
      <c r="K765" t="str">
        <f>IF(ISNA(_xlfn.XLOOKUP(H765,agent_info!$A$2:$A$301, agent_info!$A$2:$A$301)), "Invalid", "Ok")</f>
        <v>Ok</v>
      </c>
    </row>
    <row r="766" spans="1:11" x14ac:dyDescent="0.3">
      <c r="A766" s="1" t="s">
        <v>4360</v>
      </c>
      <c r="B766" s="1" t="s">
        <v>2926</v>
      </c>
      <c r="C766" s="1" t="s">
        <v>3326</v>
      </c>
      <c r="D766" s="1">
        <v>603209.43999999994</v>
      </c>
      <c r="E766" s="1">
        <v>31644.03</v>
      </c>
      <c r="F766" s="41">
        <v>44861</v>
      </c>
      <c r="G766" s="41">
        <v>45226</v>
      </c>
      <c r="H766" s="1" t="s">
        <v>3917</v>
      </c>
      <c r="I766" s="1" t="s">
        <v>3316</v>
      </c>
      <c r="J766" t="str">
        <f>IF(ISNA(_xlfn.XLOOKUP(B766,customer_master!$A$2:$A$1649, customer_master!$A$2:$A$1649)), "Invalid", "Ok")</f>
        <v>Ok</v>
      </c>
      <c r="K766" t="str">
        <f>IF(ISNA(_xlfn.XLOOKUP(H766,agent_info!$A$2:$A$301, agent_info!$A$2:$A$301)), "Invalid", "Ok")</f>
        <v>Ok</v>
      </c>
    </row>
    <row r="767" spans="1:11" x14ac:dyDescent="0.3">
      <c r="A767" s="1" t="s">
        <v>4361</v>
      </c>
      <c r="B767" s="1" t="s">
        <v>248</v>
      </c>
      <c r="C767" s="1" t="s">
        <v>3314</v>
      </c>
      <c r="D767" s="1">
        <v>500176.56</v>
      </c>
      <c r="E767" s="1">
        <v>25718.799999999999</v>
      </c>
      <c r="F767" s="41">
        <v>44551</v>
      </c>
      <c r="G767" s="41">
        <v>44916</v>
      </c>
      <c r="H767" s="1" t="s">
        <v>3337</v>
      </c>
      <c r="I767" s="1" t="s">
        <v>3324</v>
      </c>
      <c r="J767" t="str">
        <f>IF(ISNA(_xlfn.XLOOKUP(B767,customer_master!$A$2:$A$1649, customer_master!$A$2:$A$1649)), "Invalid", "Ok")</f>
        <v>Ok</v>
      </c>
      <c r="K767" t="str">
        <f>IF(ISNA(_xlfn.XLOOKUP(H767,agent_info!$A$2:$A$301, agent_info!$A$2:$A$301)), "Invalid", "Ok")</f>
        <v>Ok</v>
      </c>
    </row>
    <row r="768" spans="1:11" x14ac:dyDescent="0.3">
      <c r="A768" s="1" t="s">
        <v>4362</v>
      </c>
      <c r="B768" s="1" t="s">
        <v>1853</v>
      </c>
      <c r="C768" s="1" t="s">
        <v>3326</v>
      </c>
      <c r="D768" s="1">
        <v>399262.9</v>
      </c>
      <c r="E768" s="1">
        <v>19088.53</v>
      </c>
      <c r="F768" s="41">
        <v>44152</v>
      </c>
      <c r="G768" s="41">
        <v>44517</v>
      </c>
      <c r="H768" s="1" t="s">
        <v>4187</v>
      </c>
      <c r="I768" s="1" t="s">
        <v>3316</v>
      </c>
      <c r="J768" t="str">
        <f>IF(ISNA(_xlfn.XLOOKUP(B768,customer_master!$A$2:$A$1649, customer_master!$A$2:$A$1649)), "Invalid", "Ok")</f>
        <v>Ok</v>
      </c>
      <c r="K768" t="str">
        <f>IF(ISNA(_xlfn.XLOOKUP(H768,agent_info!$A$2:$A$301, agent_info!$A$2:$A$301)), "Invalid", "Ok")</f>
        <v>Ok</v>
      </c>
    </row>
    <row r="769" spans="1:11" x14ac:dyDescent="0.3">
      <c r="A769" s="1" t="s">
        <v>4363</v>
      </c>
      <c r="B769" s="1" t="s">
        <v>1688</v>
      </c>
      <c r="C769" s="1" t="s">
        <v>3314</v>
      </c>
      <c r="D769" s="1">
        <v>736058.86</v>
      </c>
      <c r="E769" s="1">
        <v>40241.07</v>
      </c>
      <c r="F769" s="41">
        <v>45556</v>
      </c>
      <c r="G769" s="41">
        <v>45921</v>
      </c>
      <c r="H769" s="1" t="s">
        <v>3441</v>
      </c>
      <c r="I769" s="1" t="s">
        <v>3320</v>
      </c>
      <c r="J769" t="str">
        <f>IF(ISNA(_xlfn.XLOOKUP(B769,customer_master!$A$2:$A$1649, customer_master!$A$2:$A$1649)), "Invalid", "Ok")</f>
        <v>Ok</v>
      </c>
      <c r="K769" t="str">
        <f>IF(ISNA(_xlfn.XLOOKUP(H769,agent_info!$A$2:$A$301, agent_info!$A$2:$A$301)), "Invalid", "Ok")</f>
        <v>Ok</v>
      </c>
    </row>
    <row r="770" spans="1:11" x14ac:dyDescent="0.3">
      <c r="A770" s="1" t="s">
        <v>4364</v>
      </c>
      <c r="B770" s="1" t="s">
        <v>156</v>
      </c>
      <c r="C770" s="1" t="s">
        <v>3334</v>
      </c>
      <c r="D770" s="1">
        <v>717543.62</v>
      </c>
      <c r="E770" s="1">
        <v>38104</v>
      </c>
      <c r="F770" s="41">
        <v>44550</v>
      </c>
      <c r="G770" s="41">
        <v>44915</v>
      </c>
      <c r="H770" s="1" t="s">
        <v>3743</v>
      </c>
      <c r="I770" s="1" t="s">
        <v>3324</v>
      </c>
      <c r="J770" t="str">
        <f>IF(ISNA(_xlfn.XLOOKUP(B770,customer_master!$A$2:$A$1649, customer_master!$A$2:$A$1649)), "Invalid", "Ok")</f>
        <v>Ok</v>
      </c>
      <c r="K770" t="str">
        <f>IF(ISNA(_xlfn.XLOOKUP(H770,agent_info!$A$2:$A$301, agent_info!$A$2:$A$301)), "Invalid", "Ok")</f>
        <v>Ok</v>
      </c>
    </row>
    <row r="771" spans="1:11" x14ac:dyDescent="0.3">
      <c r="A771" s="1" t="s">
        <v>4365</v>
      </c>
      <c r="B771" s="1" t="s">
        <v>322</v>
      </c>
      <c r="C771" s="1" t="s">
        <v>3318</v>
      </c>
      <c r="D771" s="1">
        <v>611768.13</v>
      </c>
      <c r="E771" s="1">
        <v>28305.3</v>
      </c>
      <c r="F771" s="41">
        <v>45604</v>
      </c>
      <c r="G771" s="41">
        <v>45969</v>
      </c>
      <c r="H771" s="1" t="s">
        <v>4076</v>
      </c>
      <c r="I771" s="1" t="s">
        <v>3316</v>
      </c>
      <c r="J771" t="str">
        <f>IF(ISNA(_xlfn.XLOOKUP(B771,customer_master!$A$2:$A$1649, customer_master!$A$2:$A$1649)), "Invalid", "Ok")</f>
        <v>Ok</v>
      </c>
      <c r="K771" t="str">
        <f>IF(ISNA(_xlfn.XLOOKUP(H771,agent_info!$A$2:$A$301, agent_info!$A$2:$A$301)), "Invalid", "Ok")</f>
        <v>Ok</v>
      </c>
    </row>
    <row r="772" spans="1:11" x14ac:dyDescent="0.3">
      <c r="A772" s="1" t="s">
        <v>4366</v>
      </c>
      <c r="B772" s="1" t="s">
        <v>109</v>
      </c>
      <c r="C772" s="1" t="s">
        <v>3331</v>
      </c>
      <c r="D772" s="1">
        <v>681590.63</v>
      </c>
      <c r="E772" s="1">
        <v>31779.599999999999</v>
      </c>
      <c r="F772" s="41">
        <v>45910</v>
      </c>
      <c r="G772" s="41">
        <v>46275</v>
      </c>
      <c r="H772" s="1" t="s">
        <v>3367</v>
      </c>
      <c r="I772" s="1" t="s">
        <v>3324</v>
      </c>
      <c r="J772" t="str">
        <f>IF(ISNA(_xlfn.XLOOKUP(B772,customer_master!$A$2:$A$1649, customer_master!$A$2:$A$1649)), "Invalid", "Ok")</f>
        <v>Ok</v>
      </c>
      <c r="K772" t="str">
        <f>IF(ISNA(_xlfn.XLOOKUP(H772,agent_info!$A$2:$A$301, agent_info!$A$2:$A$301)), "Invalid", "Ok")</f>
        <v>Ok</v>
      </c>
    </row>
    <row r="773" spans="1:11" x14ac:dyDescent="0.3">
      <c r="A773" s="1" t="s">
        <v>4367</v>
      </c>
      <c r="B773" s="1" t="s">
        <v>996</v>
      </c>
      <c r="C773" s="1" t="s">
        <v>3314</v>
      </c>
      <c r="D773" s="1">
        <v>757990.05</v>
      </c>
      <c r="E773" s="1">
        <v>38233.379999999997</v>
      </c>
      <c r="F773" s="41">
        <v>45855</v>
      </c>
      <c r="G773" s="41">
        <v>46220</v>
      </c>
      <c r="H773" s="1" t="s">
        <v>3397</v>
      </c>
      <c r="I773" s="1" t="s">
        <v>3324</v>
      </c>
      <c r="J773" t="str">
        <f>IF(ISNA(_xlfn.XLOOKUP(B773,customer_master!$A$2:$A$1649, customer_master!$A$2:$A$1649)), "Invalid", "Ok")</f>
        <v>Ok</v>
      </c>
      <c r="K773" t="str">
        <f>IF(ISNA(_xlfn.XLOOKUP(H773,agent_info!$A$2:$A$301, agent_info!$A$2:$A$301)), "Invalid", "Ok")</f>
        <v>Ok</v>
      </c>
    </row>
    <row r="774" spans="1:11" x14ac:dyDescent="0.3">
      <c r="A774" s="1" t="s">
        <v>4368</v>
      </c>
      <c r="B774" s="1" t="s">
        <v>208</v>
      </c>
      <c r="C774" s="1" t="s">
        <v>3334</v>
      </c>
      <c r="D774" s="1">
        <v>604164.71</v>
      </c>
      <c r="E774" s="1">
        <v>27805.95</v>
      </c>
      <c r="F774" s="41">
        <v>45482</v>
      </c>
      <c r="G774" s="41">
        <v>45847</v>
      </c>
      <c r="H774" s="1" t="s">
        <v>3389</v>
      </c>
      <c r="I774" s="1" t="s">
        <v>3324</v>
      </c>
      <c r="J774" t="str">
        <f>IF(ISNA(_xlfn.XLOOKUP(B774,customer_master!$A$2:$A$1649, customer_master!$A$2:$A$1649)), "Invalid", "Ok")</f>
        <v>Ok</v>
      </c>
      <c r="K774" t="str">
        <f>IF(ISNA(_xlfn.XLOOKUP(H774,agent_info!$A$2:$A$301, agent_info!$A$2:$A$301)), "Invalid", "Ok")</f>
        <v>Ok</v>
      </c>
    </row>
    <row r="775" spans="1:11" x14ac:dyDescent="0.3">
      <c r="A775" s="1" t="s">
        <v>4369</v>
      </c>
      <c r="B775" s="1" t="s">
        <v>1429</v>
      </c>
      <c r="C775" s="1" t="s">
        <v>3314</v>
      </c>
      <c r="D775" s="1">
        <v>479009.95</v>
      </c>
      <c r="E775" s="1">
        <v>26174.720000000001</v>
      </c>
      <c r="F775" s="41">
        <v>45647</v>
      </c>
      <c r="G775" s="41">
        <v>46012</v>
      </c>
      <c r="H775" s="1" t="s">
        <v>4370</v>
      </c>
      <c r="I775" s="1" t="s">
        <v>3320</v>
      </c>
      <c r="J775" t="str">
        <f>IF(ISNA(_xlfn.XLOOKUP(B775,customer_master!$A$2:$A$1649, customer_master!$A$2:$A$1649)), "Invalid", "Ok")</f>
        <v>Ok</v>
      </c>
      <c r="K775" t="str">
        <f>IF(ISNA(_xlfn.XLOOKUP(H775,agent_info!$A$2:$A$301, agent_info!$A$2:$A$301)), "Invalid", "Ok")</f>
        <v>Ok</v>
      </c>
    </row>
    <row r="776" spans="1:11" x14ac:dyDescent="0.3">
      <c r="A776" s="1" t="s">
        <v>4371</v>
      </c>
      <c r="B776" s="1" t="s">
        <v>2696</v>
      </c>
      <c r="C776" s="1" t="s">
        <v>3318</v>
      </c>
      <c r="D776" s="1">
        <v>619470.93000000005</v>
      </c>
      <c r="E776" s="1">
        <v>31828.560000000001</v>
      </c>
      <c r="F776" s="41">
        <v>46043</v>
      </c>
      <c r="G776" s="41">
        <v>46408</v>
      </c>
      <c r="H776" s="1" t="s">
        <v>3504</v>
      </c>
      <c r="I776" s="1" t="s">
        <v>3324</v>
      </c>
      <c r="J776" t="str">
        <f>IF(ISNA(_xlfn.XLOOKUP(B776,customer_master!$A$2:$A$1649, customer_master!$A$2:$A$1649)), "Invalid", "Ok")</f>
        <v>Ok</v>
      </c>
      <c r="K776" t="str">
        <f>IF(ISNA(_xlfn.XLOOKUP(H776,agent_info!$A$2:$A$301, agent_info!$A$2:$A$301)), "Invalid", "Ok")</f>
        <v>Ok</v>
      </c>
    </row>
    <row r="777" spans="1:11" x14ac:dyDescent="0.3">
      <c r="A777" s="1" t="s">
        <v>4372</v>
      </c>
      <c r="B777" s="1" t="s">
        <v>2064</v>
      </c>
      <c r="C777" s="1" t="s">
        <v>3314</v>
      </c>
      <c r="D777" s="1">
        <v>737118.57</v>
      </c>
      <c r="E777" s="1">
        <v>33658.120000000003</v>
      </c>
      <c r="F777" s="41">
        <v>44933</v>
      </c>
      <c r="G777" s="41">
        <v>45298</v>
      </c>
      <c r="H777" s="1" t="s">
        <v>3425</v>
      </c>
      <c r="I777" s="1" t="s">
        <v>3324</v>
      </c>
      <c r="J777" t="str">
        <f>IF(ISNA(_xlfn.XLOOKUP(B777,customer_master!$A$2:$A$1649, customer_master!$A$2:$A$1649)), "Invalid", "Ok")</f>
        <v>Ok</v>
      </c>
      <c r="K777" t="str">
        <f>IF(ISNA(_xlfn.XLOOKUP(H777,agent_info!$A$2:$A$301, agent_info!$A$2:$A$301)), "Invalid", "Ok")</f>
        <v>Ok</v>
      </c>
    </row>
    <row r="778" spans="1:11" x14ac:dyDescent="0.3">
      <c r="A778" s="1" t="s">
        <v>4373</v>
      </c>
      <c r="B778" s="1" t="s">
        <v>2250</v>
      </c>
      <c r="C778" s="1" t="s">
        <v>3326</v>
      </c>
      <c r="D778" s="1">
        <v>591551.87</v>
      </c>
      <c r="E778" s="1">
        <v>29243.279999999999</v>
      </c>
      <c r="F778" s="41">
        <v>44752</v>
      </c>
      <c r="G778" s="41">
        <v>45117</v>
      </c>
      <c r="H778" s="1" t="s">
        <v>3587</v>
      </c>
      <c r="I778" s="1" t="s">
        <v>3324</v>
      </c>
      <c r="J778" t="str">
        <f>IF(ISNA(_xlfn.XLOOKUP(B778,customer_master!$A$2:$A$1649, customer_master!$A$2:$A$1649)), "Invalid", "Ok")</f>
        <v>Ok</v>
      </c>
      <c r="K778" t="str">
        <f>IF(ISNA(_xlfn.XLOOKUP(H778,agent_info!$A$2:$A$301, agent_info!$A$2:$A$301)), "Invalid", "Ok")</f>
        <v>Ok</v>
      </c>
    </row>
    <row r="779" spans="1:11" x14ac:dyDescent="0.3">
      <c r="A779" s="1" t="s">
        <v>4374</v>
      </c>
      <c r="B779" s="1" t="s">
        <v>137</v>
      </c>
      <c r="C779" s="1" t="s">
        <v>3334</v>
      </c>
      <c r="D779" s="1">
        <v>395102.55</v>
      </c>
      <c r="E779" s="1">
        <v>18656.62</v>
      </c>
      <c r="F779" s="41">
        <v>44191</v>
      </c>
      <c r="G779" s="41">
        <v>44556</v>
      </c>
      <c r="H779" s="1" t="s">
        <v>3723</v>
      </c>
      <c r="I779" s="1" t="s">
        <v>3324</v>
      </c>
      <c r="J779" t="str">
        <f>IF(ISNA(_xlfn.XLOOKUP(B779,customer_master!$A$2:$A$1649, customer_master!$A$2:$A$1649)), "Invalid", "Ok")</f>
        <v>Ok</v>
      </c>
      <c r="K779" t="str">
        <f>IF(ISNA(_xlfn.XLOOKUP(H779,agent_info!$A$2:$A$301, agent_info!$A$2:$A$301)), "Invalid", "Ok")</f>
        <v>Ok</v>
      </c>
    </row>
    <row r="780" spans="1:11" x14ac:dyDescent="0.3">
      <c r="A780" s="1" t="s">
        <v>4375</v>
      </c>
      <c r="B780" s="1" t="s">
        <v>2788</v>
      </c>
      <c r="C780" s="1" t="s">
        <v>3331</v>
      </c>
      <c r="D780" s="1">
        <v>731386.09</v>
      </c>
      <c r="E780" s="1">
        <v>36499.46</v>
      </c>
      <c r="F780" s="41">
        <v>44087</v>
      </c>
      <c r="G780" s="41">
        <v>44452</v>
      </c>
      <c r="H780" s="1" t="s">
        <v>3420</v>
      </c>
      <c r="I780" s="1" t="s">
        <v>3324</v>
      </c>
      <c r="J780" t="str">
        <f>IF(ISNA(_xlfn.XLOOKUP(B780,customer_master!$A$2:$A$1649, customer_master!$A$2:$A$1649)), "Invalid", "Ok")</f>
        <v>Ok</v>
      </c>
      <c r="K780" t="str">
        <f>IF(ISNA(_xlfn.XLOOKUP(H780,agent_info!$A$2:$A$301, agent_info!$A$2:$A$301)), "Invalid", "Ok")</f>
        <v>Ok</v>
      </c>
    </row>
    <row r="781" spans="1:11" x14ac:dyDescent="0.3">
      <c r="A781" s="1" t="s">
        <v>4376</v>
      </c>
      <c r="B781" s="1" t="s">
        <v>519</v>
      </c>
      <c r="C781" s="1" t="s">
        <v>3331</v>
      </c>
      <c r="D781" s="1">
        <v>669027.11</v>
      </c>
      <c r="E781" s="1">
        <v>31758.89</v>
      </c>
      <c r="F781" s="41">
        <v>45770</v>
      </c>
      <c r="G781" s="41">
        <v>46135</v>
      </c>
      <c r="H781" s="1" t="s">
        <v>4055</v>
      </c>
      <c r="I781" s="1" t="s">
        <v>3324</v>
      </c>
      <c r="J781" t="str">
        <f>IF(ISNA(_xlfn.XLOOKUP(B781,customer_master!$A$2:$A$1649, customer_master!$A$2:$A$1649)), "Invalid", "Ok")</f>
        <v>Ok</v>
      </c>
      <c r="K781" t="str">
        <f>IF(ISNA(_xlfn.XLOOKUP(H781,agent_info!$A$2:$A$301, agent_info!$A$2:$A$301)), "Invalid", "Ok")</f>
        <v>Ok</v>
      </c>
    </row>
    <row r="782" spans="1:11" x14ac:dyDescent="0.3">
      <c r="A782" s="1" t="s">
        <v>4377</v>
      </c>
      <c r="B782" s="1" t="s">
        <v>1019</v>
      </c>
      <c r="C782" s="1" t="s">
        <v>3314</v>
      </c>
      <c r="D782" s="1">
        <v>539704.93999999994</v>
      </c>
      <c r="E782" s="1">
        <v>28775.97</v>
      </c>
      <c r="F782" s="41">
        <v>45758</v>
      </c>
      <c r="G782" s="41">
        <v>46123</v>
      </c>
      <c r="H782" s="1" t="s">
        <v>3749</v>
      </c>
      <c r="I782" s="1" t="s">
        <v>3316</v>
      </c>
      <c r="J782" t="str">
        <f>IF(ISNA(_xlfn.XLOOKUP(B782,customer_master!$A$2:$A$1649, customer_master!$A$2:$A$1649)), "Invalid", "Ok")</f>
        <v>Ok</v>
      </c>
      <c r="K782" t="str">
        <f>IF(ISNA(_xlfn.XLOOKUP(H782,agent_info!$A$2:$A$301, agent_info!$A$2:$A$301)), "Invalid", "Ok")</f>
        <v>Ok</v>
      </c>
    </row>
    <row r="783" spans="1:11" x14ac:dyDescent="0.3">
      <c r="A783" s="1" t="s">
        <v>4378</v>
      </c>
      <c r="B783" s="1" t="s">
        <v>1735</v>
      </c>
      <c r="C783" s="1" t="s">
        <v>3334</v>
      </c>
      <c r="D783" s="1">
        <v>765184.38</v>
      </c>
      <c r="E783" s="1">
        <v>39951.040000000001</v>
      </c>
      <c r="F783" s="41">
        <v>46112</v>
      </c>
      <c r="G783" s="41">
        <v>46477</v>
      </c>
      <c r="H783" s="1" t="s">
        <v>3332</v>
      </c>
      <c r="I783" s="1" t="s">
        <v>3316</v>
      </c>
      <c r="J783" t="str">
        <f>IF(ISNA(_xlfn.XLOOKUP(B783,customer_master!$A$2:$A$1649, customer_master!$A$2:$A$1649)), "Invalid", "Ok")</f>
        <v>Ok</v>
      </c>
      <c r="K783" t="str">
        <f>IF(ISNA(_xlfn.XLOOKUP(H783,agent_info!$A$2:$A$301, agent_info!$A$2:$A$301)), "Invalid", "Ok")</f>
        <v>Ok</v>
      </c>
    </row>
    <row r="784" spans="1:11" x14ac:dyDescent="0.3">
      <c r="A784" s="1" t="s">
        <v>4379</v>
      </c>
      <c r="B784" s="1" t="s">
        <v>3092</v>
      </c>
      <c r="C784" s="1" t="s">
        <v>3331</v>
      </c>
      <c r="D784" s="1">
        <v>656820.67000000004</v>
      </c>
      <c r="E784" s="1">
        <v>35511.519999999997</v>
      </c>
      <c r="F784" s="41">
        <v>44898</v>
      </c>
      <c r="G784" s="41">
        <v>45263</v>
      </c>
      <c r="H784" s="1" t="s">
        <v>4198</v>
      </c>
      <c r="I784" s="1" t="s">
        <v>3324</v>
      </c>
      <c r="J784" t="str">
        <f>IF(ISNA(_xlfn.XLOOKUP(B784,customer_master!$A$2:$A$1649, customer_master!$A$2:$A$1649)), "Invalid", "Ok")</f>
        <v>Ok</v>
      </c>
      <c r="K784" t="str">
        <f>IF(ISNA(_xlfn.XLOOKUP(H784,agent_info!$A$2:$A$301, agent_info!$A$2:$A$301)), "Invalid", "Ok")</f>
        <v>Ok</v>
      </c>
    </row>
    <row r="785" spans="1:11" x14ac:dyDescent="0.3">
      <c r="A785" s="1" t="s">
        <v>4380</v>
      </c>
      <c r="B785" s="1" t="s">
        <v>3301</v>
      </c>
      <c r="C785" s="1" t="s">
        <v>3331</v>
      </c>
      <c r="D785" s="1">
        <v>696405.77</v>
      </c>
      <c r="E785" s="1">
        <v>32716.85</v>
      </c>
      <c r="F785" s="41">
        <v>44599</v>
      </c>
      <c r="G785" s="41">
        <v>44964</v>
      </c>
      <c r="H785" s="1" t="s">
        <v>3807</v>
      </c>
      <c r="I785" s="1" t="s">
        <v>3324</v>
      </c>
      <c r="J785" t="str">
        <f>IF(ISNA(_xlfn.XLOOKUP(B785,customer_master!$A$2:$A$1649, customer_master!$A$2:$A$1649)), "Invalid", "Ok")</f>
        <v>Ok</v>
      </c>
      <c r="K785" t="str">
        <f>IF(ISNA(_xlfn.XLOOKUP(H785,agent_info!$A$2:$A$301, agent_info!$A$2:$A$301)), "Invalid", "Ok")</f>
        <v>Ok</v>
      </c>
    </row>
    <row r="786" spans="1:11" x14ac:dyDescent="0.3">
      <c r="A786" s="1" t="s">
        <v>4381</v>
      </c>
      <c r="B786" s="1" t="s">
        <v>2599</v>
      </c>
      <c r="C786" s="1" t="s">
        <v>3314</v>
      </c>
      <c r="D786" s="1">
        <v>748119.13</v>
      </c>
      <c r="E786" s="1">
        <v>36548.550000000003</v>
      </c>
      <c r="F786" s="41">
        <v>44277</v>
      </c>
      <c r="G786" s="41">
        <v>44642</v>
      </c>
      <c r="H786" s="1" t="s">
        <v>3329</v>
      </c>
      <c r="I786" s="1" t="s">
        <v>3324</v>
      </c>
      <c r="J786" t="str">
        <f>IF(ISNA(_xlfn.XLOOKUP(B786,customer_master!$A$2:$A$1649, customer_master!$A$2:$A$1649)), "Invalid", "Ok")</f>
        <v>Ok</v>
      </c>
      <c r="K786" t="str">
        <f>IF(ISNA(_xlfn.XLOOKUP(H786,agent_info!$A$2:$A$301, agent_info!$A$2:$A$301)), "Invalid", "Ok")</f>
        <v>Ok</v>
      </c>
    </row>
    <row r="787" spans="1:11" x14ac:dyDescent="0.3">
      <c r="A787" s="1" t="s">
        <v>4382</v>
      </c>
      <c r="B787" s="1" t="s">
        <v>2442</v>
      </c>
      <c r="C787" s="1" t="s">
        <v>3326</v>
      </c>
      <c r="D787" s="1">
        <v>363852.46</v>
      </c>
      <c r="E787" s="1">
        <v>19304.07</v>
      </c>
      <c r="F787" s="41">
        <v>45001</v>
      </c>
      <c r="G787" s="41">
        <v>45367</v>
      </c>
      <c r="H787" s="1" t="s">
        <v>3966</v>
      </c>
      <c r="I787" s="1" t="s">
        <v>3324</v>
      </c>
      <c r="J787" t="str">
        <f>IF(ISNA(_xlfn.XLOOKUP(B787,customer_master!$A$2:$A$1649, customer_master!$A$2:$A$1649)), "Invalid", "Ok")</f>
        <v>Ok</v>
      </c>
      <c r="K787" t="str">
        <f>IF(ISNA(_xlfn.XLOOKUP(H787,agent_info!$A$2:$A$301, agent_info!$A$2:$A$301)), "Invalid", "Ok")</f>
        <v>Ok</v>
      </c>
    </row>
    <row r="788" spans="1:11" x14ac:dyDescent="0.3">
      <c r="A788" s="1" t="s">
        <v>4383</v>
      </c>
      <c r="B788" s="1" t="s">
        <v>1763</v>
      </c>
      <c r="C788" s="1" t="s">
        <v>3326</v>
      </c>
      <c r="D788" s="1">
        <v>621046.94999999995</v>
      </c>
      <c r="E788" s="1">
        <v>30268.880000000001</v>
      </c>
      <c r="F788" s="41">
        <v>46245</v>
      </c>
      <c r="G788" s="41">
        <v>46610</v>
      </c>
      <c r="H788" s="1" t="s">
        <v>3794</v>
      </c>
      <c r="I788" s="1" t="s">
        <v>3316</v>
      </c>
      <c r="J788" t="str">
        <f>IF(ISNA(_xlfn.XLOOKUP(B788,customer_master!$A$2:$A$1649, customer_master!$A$2:$A$1649)), "Invalid", "Ok")</f>
        <v>Ok</v>
      </c>
      <c r="K788" t="str">
        <f>IF(ISNA(_xlfn.XLOOKUP(H788,agent_info!$A$2:$A$301, agent_info!$A$2:$A$301)), "Invalid", "Ok")</f>
        <v>Ok</v>
      </c>
    </row>
    <row r="789" spans="1:11" x14ac:dyDescent="0.3">
      <c r="A789" s="1" t="s">
        <v>4384</v>
      </c>
      <c r="B789" s="1" t="s">
        <v>2222</v>
      </c>
      <c r="C789" s="1" t="s">
        <v>3318</v>
      </c>
      <c r="D789" s="1">
        <v>524038.95</v>
      </c>
      <c r="E789" s="1">
        <v>25568.32</v>
      </c>
      <c r="F789" s="41">
        <v>44815</v>
      </c>
      <c r="G789" s="41">
        <v>45180</v>
      </c>
      <c r="H789" s="1" t="s">
        <v>3502</v>
      </c>
      <c r="I789" s="1" t="s">
        <v>3324</v>
      </c>
      <c r="J789" t="str">
        <f>IF(ISNA(_xlfn.XLOOKUP(B789,customer_master!$A$2:$A$1649, customer_master!$A$2:$A$1649)), "Invalid", "Ok")</f>
        <v>Ok</v>
      </c>
      <c r="K789" t="str">
        <f>IF(ISNA(_xlfn.XLOOKUP(H789,agent_info!$A$2:$A$301, agent_info!$A$2:$A$301)), "Invalid", "Ok")</f>
        <v>Ok</v>
      </c>
    </row>
    <row r="790" spans="1:11" x14ac:dyDescent="0.3">
      <c r="A790" s="1" t="s">
        <v>4385</v>
      </c>
      <c r="B790" s="1" t="s">
        <v>515</v>
      </c>
      <c r="C790" s="1" t="s">
        <v>3326</v>
      </c>
      <c r="D790" s="1">
        <v>654176.25</v>
      </c>
      <c r="E790" s="1">
        <v>35888.36</v>
      </c>
      <c r="F790" s="41">
        <v>44498</v>
      </c>
      <c r="G790" s="41">
        <v>44863</v>
      </c>
      <c r="H790" s="1" t="s">
        <v>3905</v>
      </c>
      <c r="I790" s="1" t="s">
        <v>3324</v>
      </c>
      <c r="J790" t="str">
        <f>IF(ISNA(_xlfn.XLOOKUP(B790,customer_master!$A$2:$A$1649, customer_master!$A$2:$A$1649)), "Invalid", "Ok")</f>
        <v>Ok</v>
      </c>
      <c r="K790" t="str">
        <f>IF(ISNA(_xlfn.XLOOKUP(H790,agent_info!$A$2:$A$301, agent_info!$A$2:$A$301)), "Invalid", "Ok")</f>
        <v>Ok</v>
      </c>
    </row>
    <row r="791" spans="1:11" x14ac:dyDescent="0.3">
      <c r="A791" s="1" t="s">
        <v>4386</v>
      </c>
      <c r="B791" s="1" t="s">
        <v>915</v>
      </c>
      <c r="C791" s="1" t="s">
        <v>3326</v>
      </c>
      <c r="D791" s="1">
        <v>657613.55000000005</v>
      </c>
      <c r="E791" s="1">
        <v>34661.910000000003</v>
      </c>
      <c r="F791" s="41">
        <v>45543</v>
      </c>
      <c r="G791" s="41">
        <v>45908</v>
      </c>
      <c r="H791" s="1" t="s">
        <v>3502</v>
      </c>
      <c r="I791" s="1" t="s">
        <v>3324</v>
      </c>
      <c r="J791" t="str">
        <f>IF(ISNA(_xlfn.XLOOKUP(B791,customer_master!$A$2:$A$1649, customer_master!$A$2:$A$1649)), "Invalid", "Ok")</f>
        <v>Ok</v>
      </c>
      <c r="K791" t="str">
        <f>IF(ISNA(_xlfn.XLOOKUP(H791,agent_info!$A$2:$A$301, agent_info!$A$2:$A$301)), "Invalid", "Ok")</f>
        <v>Ok</v>
      </c>
    </row>
    <row r="792" spans="1:11" x14ac:dyDescent="0.3">
      <c r="A792" s="1" t="s">
        <v>4387</v>
      </c>
      <c r="B792" s="1" t="s">
        <v>3267</v>
      </c>
      <c r="C792" s="1" t="s">
        <v>3318</v>
      </c>
      <c r="D792" s="1">
        <v>691217.78</v>
      </c>
      <c r="E792" s="1">
        <v>37054.92</v>
      </c>
      <c r="F792" s="41">
        <v>44560</v>
      </c>
      <c r="G792" s="41">
        <v>44925</v>
      </c>
      <c r="H792" s="1" t="s">
        <v>4388</v>
      </c>
      <c r="I792" s="1" t="s">
        <v>3324</v>
      </c>
      <c r="J792" t="str">
        <f>IF(ISNA(_xlfn.XLOOKUP(B792,customer_master!$A$2:$A$1649, customer_master!$A$2:$A$1649)), "Invalid", "Ok")</f>
        <v>Ok</v>
      </c>
      <c r="K792" t="str">
        <f>IF(ISNA(_xlfn.XLOOKUP(H792,agent_info!$A$2:$A$301, agent_info!$A$2:$A$301)), "Invalid", "Ok")</f>
        <v>Ok</v>
      </c>
    </row>
    <row r="793" spans="1:11" x14ac:dyDescent="0.3">
      <c r="A793" s="1" t="s">
        <v>4389</v>
      </c>
      <c r="B793" s="1" t="s">
        <v>3243</v>
      </c>
      <c r="C793" s="1" t="s">
        <v>3334</v>
      </c>
      <c r="D793" s="1">
        <v>684992.23</v>
      </c>
      <c r="E793" s="1">
        <v>33612.379999999997</v>
      </c>
      <c r="F793" s="41">
        <v>46010</v>
      </c>
      <c r="G793" s="41">
        <v>46375</v>
      </c>
      <c r="H793" s="1" t="s">
        <v>4295</v>
      </c>
      <c r="I793" s="1" t="s">
        <v>3316</v>
      </c>
      <c r="J793" t="str">
        <f>IF(ISNA(_xlfn.XLOOKUP(B793,customer_master!$A$2:$A$1649, customer_master!$A$2:$A$1649)), "Invalid", "Ok")</f>
        <v>Ok</v>
      </c>
      <c r="K793" t="str">
        <f>IF(ISNA(_xlfn.XLOOKUP(H793,agent_info!$A$2:$A$301, agent_info!$A$2:$A$301)), "Invalid", "Ok")</f>
        <v>Ok</v>
      </c>
    </row>
    <row r="794" spans="1:11" x14ac:dyDescent="0.3">
      <c r="A794" s="1" t="s">
        <v>4390</v>
      </c>
      <c r="B794" s="1" t="s">
        <v>1089</v>
      </c>
      <c r="C794" s="1" t="s">
        <v>3334</v>
      </c>
      <c r="D794" s="1">
        <v>690798.89</v>
      </c>
      <c r="E794" s="1">
        <v>35133.47</v>
      </c>
      <c r="F794" s="41">
        <v>45823</v>
      </c>
      <c r="G794" s="41">
        <v>46188</v>
      </c>
      <c r="H794" s="1" t="s">
        <v>4391</v>
      </c>
      <c r="I794" s="1" t="s">
        <v>3324</v>
      </c>
      <c r="J794" t="str">
        <f>IF(ISNA(_xlfn.XLOOKUP(B794,customer_master!$A$2:$A$1649, customer_master!$A$2:$A$1649)), "Invalid", "Ok")</f>
        <v>Ok</v>
      </c>
      <c r="K794" t="str">
        <f>IF(ISNA(_xlfn.XLOOKUP(H794,agent_info!$A$2:$A$301, agent_info!$A$2:$A$301)), "Invalid", "Ok")</f>
        <v>Ok</v>
      </c>
    </row>
    <row r="795" spans="1:11" x14ac:dyDescent="0.3">
      <c r="A795" s="1" t="s">
        <v>4392</v>
      </c>
      <c r="B795" s="1" t="s">
        <v>837</v>
      </c>
      <c r="C795" s="1" t="s">
        <v>3334</v>
      </c>
      <c r="D795" s="1">
        <v>499172.71</v>
      </c>
      <c r="E795" s="1">
        <v>24711.81</v>
      </c>
      <c r="F795" s="41">
        <v>45897</v>
      </c>
      <c r="G795" s="41">
        <v>46262</v>
      </c>
      <c r="H795" s="1" t="s">
        <v>4309</v>
      </c>
      <c r="I795" s="1" t="s">
        <v>3324</v>
      </c>
      <c r="J795" t="str">
        <f>IF(ISNA(_xlfn.XLOOKUP(B795,customer_master!$A$2:$A$1649, customer_master!$A$2:$A$1649)), "Invalid", "Ok")</f>
        <v>Ok</v>
      </c>
      <c r="K795" t="str">
        <f>IF(ISNA(_xlfn.XLOOKUP(H795,agent_info!$A$2:$A$301, agent_info!$A$2:$A$301)), "Invalid", "Ok")</f>
        <v>Ok</v>
      </c>
    </row>
    <row r="796" spans="1:11" x14ac:dyDescent="0.3">
      <c r="A796" s="1" t="s">
        <v>4393</v>
      </c>
      <c r="B796" s="1" t="s">
        <v>807</v>
      </c>
      <c r="C796" s="1" t="s">
        <v>3331</v>
      </c>
      <c r="D796" s="1">
        <v>536590.51</v>
      </c>
      <c r="E796" s="1">
        <v>26562.81</v>
      </c>
      <c r="F796" s="41">
        <v>44444</v>
      </c>
      <c r="G796" s="41">
        <v>44809</v>
      </c>
      <c r="H796" s="1" t="s">
        <v>3565</v>
      </c>
      <c r="I796" s="1" t="s">
        <v>3316</v>
      </c>
      <c r="J796" t="str">
        <f>IF(ISNA(_xlfn.XLOOKUP(B796,customer_master!$A$2:$A$1649, customer_master!$A$2:$A$1649)), "Invalid", "Ok")</f>
        <v>Ok</v>
      </c>
      <c r="K796" t="str">
        <f>IF(ISNA(_xlfn.XLOOKUP(H796,agent_info!$A$2:$A$301, agent_info!$A$2:$A$301)), "Invalid", "Ok")</f>
        <v>Ok</v>
      </c>
    </row>
    <row r="797" spans="1:11" x14ac:dyDescent="0.3">
      <c r="A797" s="1" t="s">
        <v>4394</v>
      </c>
      <c r="B797" s="1" t="s">
        <v>1630</v>
      </c>
      <c r="C797" s="1" t="s">
        <v>3334</v>
      </c>
      <c r="D797" s="1">
        <v>429296.13</v>
      </c>
      <c r="E797" s="1">
        <v>19866.53</v>
      </c>
      <c r="F797" s="41">
        <v>44443</v>
      </c>
      <c r="G797" s="41">
        <v>44808</v>
      </c>
      <c r="H797" s="1" t="s">
        <v>3425</v>
      </c>
      <c r="I797" s="1" t="s">
        <v>3316</v>
      </c>
      <c r="J797" t="str">
        <f>IF(ISNA(_xlfn.XLOOKUP(B797,customer_master!$A$2:$A$1649, customer_master!$A$2:$A$1649)), "Invalid", "Ok")</f>
        <v>Ok</v>
      </c>
      <c r="K797" t="str">
        <f>IF(ISNA(_xlfn.XLOOKUP(H797,agent_info!$A$2:$A$301, agent_info!$A$2:$A$301)), "Invalid", "Ok")</f>
        <v>Ok</v>
      </c>
    </row>
    <row r="798" spans="1:11" x14ac:dyDescent="0.3">
      <c r="A798" s="1" t="s">
        <v>4395</v>
      </c>
      <c r="B798" s="1" t="s">
        <v>791</v>
      </c>
      <c r="C798" s="1" t="s">
        <v>3331</v>
      </c>
      <c r="D798" s="1">
        <v>698370.67</v>
      </c>
      <c r="E798" s="1">
        <v>37307.89</v>
      </c>
      <c r="F798" s="41">
        <v>44988</v>
      </c>
      <c r="G798" s="41">
        <v>45354</v>
      </c>
      <c r="H798" s="1" t="s">
        <v>4012</v>
      </c>
      <c r="I798" s="1" t="s">
        <v>3324</v>
      </c>
      <c r="J798" t="str">
        <f>IF(ISNA(_xlfn.XLOOKUP(B798,customer_master!$A$2:$A$1649, customer_master!$A$2:$A$1649)), "Invalid", "Ok")</f>
        <v>Ok</v>
      </c>
      <c r="K798" t="str">
        <f>IF(ISNA(_xlfn.XLOOKUP(H798,agent_info!$A$2:$A$301, agent_info!$A$2:$A$301)), "Invalid", "Ok")</f>
        <v>Ok</v>
      </c>
    </row>
    <row r="799" spans="1:11" x14ac:dyDescent="0.3">
      <c r="A799" s="1" t="s">
        <v>4396</v>
      </c>
      <c r="B799" s="1" t="s">
        <v>2168</v>
      </c>
      <c r="C799" s="1" t="s">
        <v>3326</v>
      </c>
      <c r="D799" s="1">
        <v>576102.27</v>
      </c>
      <c r="E799" s="1">
        <v>28174.53</v>
      </c>
      <c r="F799" s="41">
        <v>44313</v>
      </c>
      <c r="G799" s="41">
        <v>44678</v>
      </c>
      <c r="H799" s="1" t="s">
        <v>3337</v>
      </c>
      <c r="I799" s="1" t="s">
        <v>3316</v>
      </c>
      <c r="J799" t="str">
        <f>IF(ISNA(_xlfn.XLOOKUP(B799,customer_master!$A$2:$A$1649, customer_master!$A$2:$A$1649)), "Invalid", "Ok")</f>
        <v>Ok</v>
      </c>
      <c r="K799" t="str">
        <f>IF(ISNA(_xlfn.XLOOKUP(H799,agent_info!$A$2:$A$301, agent_info!$A$2:$A$301)), "Invalid", "Ok")</f>
        <v>Ok</v>
      </c>
    </row>
    <row r="800" spans="1:11" x14ac:dyDescent="0.3">
      <c r="A800" s="1" t="s">
        <v>4397</v>
      </c>
      <c r="B800" s="1" t="s">
        <v>286</v>
      </c>
      <c r="C800" s="1" t="s">
        <v>3326</v>
      </c>
      <c r="D800" s="1">
        <v>564450.85</v>
      </c>
      <c r="E800" s="1">
        <v>28684.400000000001</v>
      </c>
      <c r="F800" s="41">
        <v>44794</v>
      </c>
      <c r="G800" s="41">
        <v>45159</v>
      </c>
      <c r="H800" s="1" t="s">
        <v>4391</v>
      </c>
      <c r="I800" s="1" t="s">
        <v>3324</v>
      </c>
      <c r="J800" t="str">
        <f>IF(ISNA(_xlfn.XLOOKUP(B800,customer_master!$A$2:$A$1649, customer_master!$A$2:$A$1649)), "Invalid", "Ok")</f>
        <v>Ok</v>
      </c>
      <c r="K800" t="str">
        <f>IF(ISNA(_xlfn.XLOOKUP(H800,agent_info!$A$2:$A$301, agent_info!$A$2:$A$301)), "Invalid", "Ok")</f>
        <v>Ok</v>
      </c>
    </row>
    <row r="801" spans="1:11" x14ac:dyDescent="0.3">
      <c r="A801" s="1" t="s">
        <v>4398</v>
      </c>
      <c r="B801" s="1" t="s">
        <v>373</v>
      </c>
      <c r="C801" s="1" t="s">
        <v>3326</v>
      </c>
      <c r="D801" s="1">
        <v>436127.31</v>
      </c>
      <c r="E801" s="1">
        <v>23363.65</v>
      </c>
      <c r="F801" s="41">
        <v>45309</v>
      </c>
      <c r="G801" s="41">
        <v>45675</v>
      </c>
      <c r="H801" s="1" t="s">
        <v>3751</v>
      </c>
      <c r="I801" s="1" t="s">
        <v>3324</v>
      </c>
      <c r="J801" t="str">
        <f>IF(ISNA(_xlfn.XLOOKUP(B801,customer_master!$A$2:$A$1649, customer_master!$A$2:$A$1649)), "Invalid", "Ok")</f>
        <v>Ok</v>
      </c>
      <c r="K801" t="str">
        <f>IF(ISNA(_xlfn.XLOOKUP(H801,agent_info!$A$2:$A$301, agent_info!$A$2:$A$301)), "Invalid", "Ok")</f>
        <v>Ok</v>
      </c>
    </row>
    <row r="802" spans="1:11" x14ac:dyDescent="0.3">
      <c r="A802" s="1" t="s">
        <v>4399</v>
      </c>
      <c r="B802" s="1" t="s">
        <v>935</v>
      </c>
      <c r="C802" s="1" t="s">
        <v>3314</v>
      </c>
      <c r="D802" s="1">
        <v>621788.89</v>
      </c>
      <c r="E802" s="1">
        <v>32789.9</v>
      </c>
      <c r="F802" s="41">
        <v>44492</v>
      </c>
      <c r="G802" s="41">
        <v>44857</v>
      </c>
      <c r="H802" s="1" t="s">
        <v>4400</v>
      </c>
      <c r="I802" s="1" t="s">
        <v>3320</v>
      </c>
      <c r="J802" t="str">
        <f>IF(ISNA(_xlfn.XLOOKUP(B802,customer_master!$A$2:$A$1649, customer_master!$A$2:$A$1649)), "Invalid", "Ok")</f>
        <v>Ok</v>
      </c>
      <c r="K802" t="str">
        <f>IF(ISNA(_xlfn.XLOOKUP(H802,agent_info!$A$2:$A$301, agent_info!$A$2:$A$301)), "Invalid", "Ok")</f>
        <v>Ok</v>
      </c>
    </row>
    <row r="803" spans="1:11" x14ac:dyDescent="0.3">
      <c r="A803" s="1" t="s">
        <v>4401</v>
      </c>
      <c r="B803" s="1" t="s">
        <v>2587</v>
      </c>
      <c r="C803" s="1" t="s">
        <v>3334</v>
      </c>
      <c r="D803" s="1">
        <v>560002.41</v>
      </c>
      <c r="E803" s="1">
        <v>26310.25</v>
      </c>
      <c r="F803" s="41">
        <v>44531</v>
      </c>
      <c r="G803" s="41">
        <v>44896</v>
      </c>
      <c r="H803" s="1" t="s">
        <v>3620</v>
      </c>
      <c r="I803" s="1" t="s">
        <v>3324</v>
      </c>
      <c r="J803" t="str">
        <f>IF(ISNA(_xlfn.XLOOKUP(B803,customer_master!$A$2:$A$1649, customer_master!$A$2:$A$1649)), "Invalid", "Ok")</f>
        <v>Ok</v>
      </c>
      <c r="K803" t="str">
        <f>IF(ISNA(_xlfn.XLOOKUP(H803,agent_info!$A$2:$A$301, agent_info!$A$2:$A$301)), "Invalid", "Ok")</f>
        <v>Ok</v>
      </c>
    </row>
    <row r="804" spans="1:11" x14ac:dyDescent="0.3">
      <c r="A804" s="1" t="s">
        <v>4402</v>
      </c>
      <c r="B804" s="1" t="s">
        <v>1091</v>
      </c>
      <c r="C804" s="1" t="s">
        <v>3326</v>
      </c>
      <c r="D804" s="1">
        <v>698344.08</v>
      </c>
      <c r="E804" s="1">
        <v>35744.82</v>
      </c>
      <c r="F804" s="41">
        <v>45264</v>
      </c>
      <c r="G804" s="41">
        <v>45630</v>
      </c>
      <c r="H804" s="1" t="s">
        <v>4033</v>
      </c>
      <c r="I804" s="1" t="s">
        <v>3324</v>
      </c>
      <c r="J804" t="str">
        <f>IF(ISNA(_xlfn.XLOOKUP(B804,customer_master!$A$2:$A$1649, customer_master!$A$2:$A$1649)), "Invalid", "Ok")</f>
        <v>Ok</v>
      </c>
      <c r="K804" t="str">
        <f>IF(ISNA(_xlfn.XLOOKUP(H804,agent_info!$A$2:$A$301, agent_info!$A$2:$A$301)), "Invalid", "Ok")</f>
        <v>Ok</v>
      </c>
    </row>
    <row r="805" spans="1:11" x14ac:dyDescent="0.3">
      <c r="A805" s="1" t="s">
        <v>4403</v>
      </c>
      <c r="B805" s="1" t="s">
        <v>1578</v>
      </c>
      <c r="C805" s="1" t="s">
        <v>3334</v>
      </c>
      <c r="D805" s="1">
        <v>717281.29</v>
      </c>
      <c r="E805" s="1">
        <v>35833.440000000002</v>
      </c>
      <c r="F805" s="41">
        <v>46135</v>
      </c>
      <c r="G805" s="41">
        <v>46500</v>
      </c>
      <c r="H805" s="1" t="s">
        <v>3897</v>
      </c>
      <c r="I805" s="1" t="s">
        <v>3324</v>
      </c>
      <c r="J805" t="str">
        <f>IF(ISNA(_xlfn.XLOOKUP(B805,customer_master!$A$2:$A$1649, customer_master!$A$2:$A$1649)), "Invalid", "Ok")</f>
        <v>Ok</v>
      </c>
      <c r="K805" t="str">
        <f>IF(ISNA(_xlfn.XLOOKUP(H805,agent_info!$A$2:$A$301, agent_info!$A$2:$A$301)), "Invalid", "Ok")</f>
        <v>Ok</v>
      </c>
    </row>
    <row r="806" spans="1:11" x14ac:dyDescent="0.3">
      <c r="A806" s="1" t="s">
        <v>4404</v>
      </c>
      <c r="B806" s="1" t="s">
        <v>2190</v>
      </c>
      <c r="C806" s="1" t="s">
        <v>3331</v>
      </c>
      <c r="D806" s="1">
        <v>582162.47</v>
      </c>
      <c r="E806" s="1">
        <v>27711.82</v>
      </c>
      <c r="F806" s="41">
        <v>44341</v>
      </c>
      <c r="G806" s="41">
        <v>44706</v>
      </c>
      <c r="H806" s="1" t="s">
        <v>3767</v>
      </c>
      <c r="I806" s="1" t="s">
        <v>3324</v>
      </c>
      <c r="J806" t="str">
        <f>IF(ISNA(_xlfn.XLOOKUP(B806,customer_master!$A$2:$A$1649, customer_master!$A$2:$A$1649)), "Invalid", "Ok")</f>
        <v>Ok</v>
      </c>
      <c r="K806" t="str">
        <f>IF(ISNA(_xlfn.XLOOKUP(H806,agent_info!$A$2:$A$301, agent_info!$A$2:$A$301)), "Invalid", "Ok")</f>
        <v>Ok</v>
      </c>
    </row>
    <row r="807" spans="1:11" x14ac:dyDescent="0.3">
      <c r="A807" s="1" t="s">
        <v>4405</v>
      </c>
      <c r="B807" s="1" t="s">
        <v>2617</v>
      </c>
      <c r="C807" s="1" t="s">
        <v>3334</v>
      </c>
      <c r="D807" s="1">
        <v>696255.39</v>
      </c>
      <c r="E807" s="1">
        <v>31615.97</v>
      </c>
      <c r="F807" s="41">
        <v>44545</v>
      </c>
      <c r="G807" s="41">
        <v>44910</v>
      </c>
      <c r="H807" s="1" t="s">
        <v>3966</v>
      </c>
      <c r="I807" s="1" t="s">
        <v>3316</v>
      </c>
      <c r="J807" t="str">
        <f>IF(ISNA(_xlfn.XLOOKUP(B807,customer_master!$A$2:$A$1649, customer_master!$A$2:$A$1649)), "Invalid", "Ok")</f>
        <v>Ok</v>
      </c>
      <c r="K807" t="str">
        <f>IF(ISNA(_xlfn.XLOOKUP(H807,agent_info!$A$2:$A$301, agent_info!$A$2:$A$301)), "Invalid", "Ok")</f>
        <v>Ok</v>
      </c>
    </row>
    <row r="808" spans="1:11" x14ac:dyDescent="0.3">
      <c r="A808" s="1" t="s">
        <v>4406</v>
      </c>
      <c r="B808" s="1" t="s">
        <v>1037</v>
      </c>
      <c r="C808" s="1" t="s">
        <v>3334</v>
      </c>
      <c r="D808" s="1">
        <v>448334.43</v>
      </c>
      <c r="E808" s="1">
        <v>22998.62</v>
      </c>
      <c r="F808" s="41">
        <v>44858</v>
      </c>
      <c r="G808" s="41">
        <v>45223</v>
      </c>
      <c r="H808" s="1" t="s">
        <v>4031</v>
      </c>
      <c r="I808" s="1" t="s">
        <v>3324</v>
      </c>
      <c r="J808" t="str">
        <f>IF(ISNA(_xlfn.XLOOKUP(B808,customer_master!$A$2:$A$1649, customer_master!$A$2:$A$1649)), "Invalid", "Ok")</f>
        <v>Ok</v>
      </c>
      <c r="K808" t="str">
        <f>IF(ISNA(_xlfn.XLOOKUP(H808,agent_info!$A$2:$A$301, agent_info!$A$2:$A$301)), "Invalid", "Ok")</f>
        <v>Ok</v>
      </c>
    </row>
    <row r="809" spans="1:11" x14ac:dyDescent="0.3">
      <c r="A809" s="1" t="s">
        <v>4407</v>
      </c>
      <c r="B809" s="1" t="s">
        <v>2444</v>
      </c>
      <c r="C809" s="1" t="s">
        <v>3326</v>
      </c>
      <c r="D809" s="1">
        <v>385490.17</v>
      </c>
      <c r="E809" s="1">
        <v>20353.32</v>
      </c>
      <c r="F809" s="41">
        <v>44457</v>
      </c>
      <c r="G809" s="41">
        <v>44822</v>
      </c>
      <c r="H809" s="1" t="s">
        <v>3704</v>
      </c>
      <c r="I809" s="1" t="s">
        <v>3316</v>
      </c>
      <c r="J809" t="str">
        <f>IF(ISNA(_xlfn.XLOOKUP(B809,customer_master!$A$2:$A$1649, customer_master!$A$2:$A$1649)), "Invalid", "Ok")</f>
        <v>Ok</v>
      </c>
      <c r="K809" t="str">
        <f>IF(ISNA(_xlfn.XLOOKUP(H809,agent_info!$A$2:$A$301, agent_info!$A$2:$A$301)), "Invalid", "Ok")</f>
        <v>Ok</v>
      </c>
    </row>
    <row r="810" spans="1:11" x14ac:dyDescent="0.3">
      <c r="A810" s="1" t="s">
        <v>4408</v>
      </c>
      <c r="B810" s="1" t="s">
        <v>964</v>
      </c>
      <c r="C810" s="1" t="s">
        <v>3331</v>
      </c>
      <c r="D810" s="1">
        <v>622093.28</v>
      </c>
      <c r="E810" s="1">
        <v>33852.559999999998</v>
      </c>
      <c r="F810" s="41">
        <v>44958</v>
      </c>
      <c r="G810" s="41">
        <v>45323</v>
      </c>
      <c r="H810" s="1" t="s">
        <v>4095</v>
      </c>
      <c r="I810" s="1" t="s">
        <v>3324</v>
      </c>
      <c r="J810" t="str">
        <f>IF(ISNA(_xlfn.XLOOKUP(B810,customer_master!$A$2:$A$1649, customer_master!$A$2:$A$1649)), "Invalid", "Ok")</f>
        <v>Ok</v>
      </c>
      <c r="K810" t="str">
        <f>IF(ISNA(_xlfn.XLOOKUP(H810,agent_info!$A$2:$A$301, agent_info!$A$2:$A$301)), "Invalid", "Ok")</f>
        <v>Ok</v>
      </c>
    </row>
    <row r="811" spans="1:11" x14ac:dyDescent="0.3">
      <c r="A811" s="1" t="s">
        <v>4409</v>
      </c>
      <c r="B811" s="1" t="s">
        <v>2160</v>
      </c>
      <c r="C811" s="1" t="s">
        <v>3334</v>
      </c>
      <c r="D811" s="1">
        <v>664812.54</v>
      </c>
      <c r="E811" s="1">
        <v>32276.54</v>
      </c>
      <c r="F811" s="41">
        <v>44770</v>
      </c>
      <c r="G811" s="41">
        <v>45135</v>
      </c>
      <c r="H811" s="1" t="s">
        <v>3760</v>
      </c>
      <c r="I811" s="1" t="s">
        <v>3324</v>
      </c>
      <c r="J811" t="str">
        <f>IF(ISNA(_xlfn.XLOOKUP(B811,customer_master!$A$2:$A$1649, customer_master!$A$2:$A$1649)), "Invalid", "Ok")</f>
        <v>Ok</v>
      </c>
      <c r="K811" t="str">
        <f>IF(ISNA(_xlfn.XLOOKUP(H811,agent_info!$A$2:$A$301, agent_info!$A$2:$A$301)), "Invalid", "Ok")</f>
        <v>Ok</v>
      </c>
    </row>
    <row r="812" spans="1:11" x14ac:dyDescent="0.3">
      <c r="A812" s="1" t="s">
        <v>4410</v>
      </c>
      <c r="B812" s="1" t="s">
        <v>1513</v>
      </c>
      <c r="C812" s="1" t="s">
        <v>3326</v>
      </c>
      <c r="D812" s="1">
        <v>368569.75</v>
      </c>
      <c r="E812" s="1">
        <v>18057.03</v>
      </c>
      <c r="F812" s="41">
        <v>44930</v>
      </c>
      <c r="G812" s="41">
        <v>45295</v>
      </c>
      <c r="H812" s="1" t="s">
        <v>3678</v>
      </c>
      <c r="I812" s="1" t="s">
        <v>3316</v>
      </c>
      <c r="J812" t="str">
        <f>IF(ISNA(_xlfn.XLOOKUP(B812,customer_master!$A$2:$A$1649, customer_master!$A$2:$A$1649)), "Invalid", "Ok")</f>
        <v>Ok</v>
      </c>
      <c r="K812" t="str">
        <f>IF(ISNA(_xlfn.XLOOKUP(H812,agent_info!$A$2:$A$301, agent_info!$A$2:$A$301)), "Invalid", "Ok")</f>
        <v>Ok</v>
      </c>
    </row>
    <row r="813" spans="1:11" x14ac:dyDescent="0.3">
      <c r="A813" s="1" t="s">
        <v>4411</v>
      </c>
      <c r="B813" s="1" t="s">
        <v>3080</v>
      </c>
      <c r="C813" s="1" t="s">
        <v>3331</v>
      </c>
      <c r="D813" s="1">
        <v>458167.52</v>
      </c>
      <c r="E813" s="1">
        <v>21364.38</v>
      </c>
      <c r="F813" s="41">
        <v>45082</v>
      </c>
      <c r="G813" s="41">
        <v>45448</v>
      </c>
      <c r="H813" s="1" t="s">
        <v>3477</v>
      </c>
      <c r="I813" s="1" t="s">
        <v>3324</v>
      </c>
      <c r="J813" t="str">
        <f>IF(ISNA(_xlfn.XLOOKUP(B813,customer_master!$A$2:$A$1649, customer_master!$A$2:$A$1649)), "Invalid", "Ok")</f>
        <v>Ok</v>
      </c>
      <c r="K813" t="str">
        <f>IF(ISNA(_xlfn.XLOOKUP(H813,agent_info!$A$2:$A$301, agent_info!$A$2:$A$301)), "Invalid", "Ok")</f>
        <v>Ok</v>
      </c>
    </row>
    <row r="814" spans="1:11" x14ac:dyDescent="0.3">
      <c r="A814" s="1" t="s">
        <v>4412</v>
      </c>
      <c r="B814" s="1" t="s">
        <v>3253</v>
      </c>
      <c r="C814" s="1" t="s">
        <v>3314</v>
      </c>
      <c r="D814" s="1">
        <v>591848.17000000004</v>
      </c>
      <c r="E814" s="1">
        <v>32460.6</v>
      </c>
      <c r="F814" s="41">
        <v>44221</v>
      </c>
      <c r="G814" s="41">
        <v>44586</v>
      </c>
      <c r="H814" s="1" t="s">
        <v>3682</v>
      </c>
      <c r="I814" s="1" t="s">
        <v>3324</v>
      </c>
      <c r="J814" t="str">
        <f>IF(ISNA(_xlfn.XLOOKUP(B814,customer_master!$A$2:$A$1649, customer_master!$A$2:$A$1649)), "Invalid", "Ok")</f>
        <v>Ok</v>
      </c>
      <c r="K814" t="str">
        <f>IF(ISNA(_xlfn.XLOOKUP(H814,agent_info!$A$2:$A$301, agent_info!$A$2:$A$301)), "Invalid", "Ok")</f>
        <v>Ok</v>
      </c>
    </row>
    <row r="815" spans="1:11" x14ac:dyDescent="0.3">
      <c r="A815" s="1" t="s">
        <v>4413</v>
      </c>
      <c r="B815" s="1" t="s">
        <v>2573</v>
      </c>
      <c r="C815" s="1" t="s">
        <v>3331</v>
      </c>
      <c r="D815" s="1">
        <v>405464.53</v>
      </c>
      <c r="E815" s="1">
        <v>21690.68</v>
      </c>
      <c r="F815" s="41">
        <v>45863</v>
      </c>
      <c r="G815" s="41">
        <v>46228</v>
      </c>
      <c r="H815" s="1" t="s">
        <v>3375</v>
      </c>
      <c r="I815" s="1" t="s">
        <v>3324</v>
      </c>
      <c r="J815" t="str">
        <f>IF(ISNA(_xlfn.XLOOKUP(B815,customer_master!$A$2:$A$1649, customer_master!$A$2:$A$1649)), "Invalid", "Ok")</f>
        <v>Ok</v>
      </c>
      <c r="K815" t="str">
        <f>IF(ISNA(_xlfn.XLOOKUP(H815,agent_info!$A$2:$A$301, agent_info!$A$2:$A$301)), "Invalid", "Ok")</f>
        <v>Ok</v>
      </c>
    </row>
    <row r="816" spans="1:11" x14ac:dyDescent="0.3">
      <c r="A816" s="1" t="s">
        <v>4414</v>
      </c>
      <c r="B816" s="1" t="s">
        <v>3043</v>
      </c>
      <c r="C816" s="1" t="s">
        <v>3314</v>
      </c>
      <c r="D816" s="1">
        <v>548260.34</v>
      </c>
      <c r="E816" s="1">
        <v>29921.88</v>
      </c>
      <c r="F816" s="41">
        <v>45501</v>
      </c>
      <c r="G816" s="41">
        <v>45866</v>
      </c>
      <c r="H816" s="1" t="s">
        <v>3515</v>
      </c>
      <c r="I816" s="1" t="s">
        <v>3324</v>
      </c>
      <c r="J816" t="str">
        <f>IF(ISNA(_xlfn.XLOOKUP(B816,customer_master!$A$2:$A$1649, customer_master!$A$2:$A$1649)), "Invalid", "Ok")</f>
        <v>Ok</v>
      </c>
      <c r="K816" t="str">
        <f>IF(ISNA(_xlfn.XLOOKUP(H816,agent_info!$A$2:$A$301, agent_info!$A$2:$A$301)), "Invalid", "Ok")</f>
        <v>Ok</v>
      </c>
    </row>
    <row r="817" spans="1:11" x14ac:dyDescent="0.3">
      <c r="A817" s="1" t="s">
        <v>4415</v>
      </c>
      <c r="B817" s="1" t="s">
        <v>483</v>
      </c>
      <c r="C817" s="1" t="s">
        <v>3318</v>
      </c>
      <c r="D817" s="1">
        <v>560226.16</v>
      </c>
      <c r="E817" s="1">
        <v>27985.24</v>
      </c>
      <c r="F817" s="41">
        <v>44885</v>
      </c>
      <c r="G817" s="41">
        <v>45250</v>
      </c>
      <c r="H817" s="1" t="s">
        <v>3555</v>
      </c>
      <c r="I817" s="1" t="s">
        <v>3316</v>
      </c>
      <c r="J817" t="str">
        <f>IF(ISNA(_xlfn.XLOOKUP(B817,customer_master!$A$2:$A$1649, customer_master!$A$2:$A$1649)), "Invalid", "Ok")</f>
        <v>Ok</v>
      </c>
      <c r="K817" t="str">
        <f>IF(ISNA(_xlfn.XLOOKUP(H817,agent_info!$A$2:$A$301, agent_info!$A$2:$A$301)), "Invalid", "Ok")</f>
        <v>Ok</v>
      </c>
    </row>
    <row r="818" spans="1:11" x14ac:dyDescent="0.3">
      <c r="A818" s="1" t="s">
        <v>4416</v>
      </c>
      <c r="B818" s="1" t="s">
        <v>2186</v>
      </c>
      <c r="C818" s="1" t="s">
        <v>3318</v>
      </c>
      <c r="D818" s="1">
        <v>726444.08</v>
      </c>
      <c r="E818" s="1">
        <v>34213.93</v>
      </c>
      <c r="F818" s="41">
        <v>44224</v>
      </c>
      <c r="G818" s="41">
        <v>44589</v>
      </c>
      <c r="H818" s="1" t="s">
        <v>3574</v>
      </c>
      <c r="I818" s="1" t="s">
        <v>3316</v>
      </c>
      <c r="J818" t="str">
        <f>IF(ISNA(_xlfn.XLOOKUP(B818,customer_master!$A$2:$A$1649, customer_master!$A$2:$A$1649)), "Invalid", "Ok")</f>
        <v>Ok</v>
      </c>
      <c r="K818" t="str">
        <f>IF(ISNA(_xlfn.XLOOKUP(H818,agent_info!$A$2:$A$301, agent_info!$A$2:$A$301)), "Invalid", "Ok")</f>
        <v>Ok</v>
      </c>
    </row>
    <row r="819" spans="1:11" x14ac:dyDescent="0.3">
      <c r="A819" s="1" t="s">
        <v>4417</v>
      </c>
      <c r="B819" s="1" t="s">
        <v>703</v>
      </c>
      <c r="C819" s="1" t="s">
        <v>3334</v>
      </c>
      <c r="D819" s="1">
        <v>506535.45</v>
      </c>
      <c r="E819" s="1">
        <v>25697.48</v>
      </c>
      <c r="F819" s="41">
        <v>44556</v>
      </c>
      <c r="G819" s="41">
        <v>44921</v>
      </c>
      <c r="H819" s="1" t="s">
        <v>4012</v>
      </c>
      <c r="I819" s="1" t="s">
        <v>3316</v>
      </c>
      <c r="J819" t="str">
        <f>IF(ISNA(_xlfn.XLOOKUP(B819,customer_master!$A$2:$A$1649, customer_master!$A$2:$A$1649)), "Invalid", "Ok")</f>
        <v>Ok</v>
      </c>
      <c r="K819" t="str">
        <f>IF(ISNA(_xlfn.XLOOKUP(H819,agent_info!$A$2:$A$301, agent_info!$A$2:$A$301)), "Invalid", "Ok")</f>
        <v>Ok</v>
      </c>
    </row>
    <row r="820" spans="1:11" x14ac:dyDescent="0.3">
      <c r="A820" s="1" t="s">
        <v>4418</v>
      </c>
      <c r="B820" s="1" t="s">
        <v>935</v>
      </c>
      <c r="C820" s="1" t="s">
        <v>3318</v>
      </c>
      <c r="D820" s="1">
        <v>441756.68</v>
      </c>
      <c r="E820" s="1">
        <v>21522.79</v>
      </c>
      <c r="F820" s="41">
        <v>44737</v>
      </c>
      <c r="G820" s="41">
        <v>45102</v>
      </c>
      <c r="H820" s="1" t="s">
        <v>3339</v>
      </c>
      <c r="I820" s="1" t="s">
        <v>3324</v>
      </c>
      <c r="J820" t="str">
        <f>IF(ISNA(_xlfn.XLOOKUP(B820,customer_master!$A$2:$A$1649, customer_master!$A$2:$A$1649)), "Invalid", "Ok")</f>
        <v>Ok</v>
      </c>
      <c r="K820" t="str">
        <f>IF(ISNA(_xlfn.XLOOKUP(H820,agent_info!$A$2:$A$301, agent_info!$A$2:$A$301)), "Invalid", "Ok")</f>
        <v>Ok</v>
      </c>
    </row>
    <row r="821" spans="1:11" x14ac:dyDescent="0.3">
      <c r="A821" s="1" t="s">
        <v>4419</v>
      </c>
      <c r="B821" s="1" t="s">
        <v>1753</v>
      </c>
      <c r="C821" s="1" t="s">
        <v>3314</v>
      </c>
      <c r="D821" s="1">
        <v>387890.68</v>
      </c>
      <c r="E821" s="1">
        <v>18804.41</v>
      </c>
      <c r="F821" s="41">
        <v>45389</v>
      </c>
      <c r="G821" s="41">
        <v>45754</v>
      </c>
      <c r="H821" s="1" t="s">
        <v>3449</v>
      </c>
      <c r="I821" s="1" t="s">
        <v>3324</v>
      </c>
      <c r="J821" t="str">
        <f>IF(ISNA(_xlfn.XLOOKUP(B821,customer_master!$A$2:$A$1649, customer_master!$A$2:$A$1649)), "Invalid", "Ok")</f>
        <v>Ok</v>
      </c>
      <c r="K821" t="str">
        <f>IF(ISNA(_xlfn.XLOOKUP(H821,agent_info!$A$2:$A$301, agent_info!$A$2:$A$301)), "Invalid", "Ok")</f>
        <v>Ok</v>
      </c>
    </row>
    <row r="822" spans="1:11" x14ac:dyDescent="0.3">
      <c r="A822" s="1" t="s">
        <v>4420</v>
      </c>
      <c r="B822" s="1" t="s">
        <v>2470</v>
      </c>
      <c r="C822" s="1" t="s">
        <v>3331</v>
      </c>
      <c r="D822" s="1">
        <v>427893.49</v>
      </c>
      <c r="E822" s="1">
        <v>19607.64</v>
      </c>
      <c r="F822" s="41">
        <v>46231</v>
      </c>
      <c r="G822" s="41">
        <v>46596</v>
      </c>
      <c r="H822" s="1" t="s">
        <v>3838</v>
      </c>
      <c r="I822" s="1" t="s">
        <v>3324</v>
      </c>
      <c r="J822" t="str">
        <f>IF(ISNA(_xlfn.XLOOKUP(B822,customer_master!$A$2:$A$1649, customer_master!$A$2:$A$1649)), "Invalid", "Ok")</f>
        <v>Ok</v>
      </c>
      <c r="K822" t="str">
        <f>IF(ISNA(_xlfn.XLOOKUP(H822,agent_info!$A$2:$A$301, agent_info!$A$2:$A$301)), "Invalid", "Ok")</f>
        <v>Ok</v>
      </c>
    </row>
    <row r="823" spans="1:11" x14ac:dyDescent="0.3">
      <c r="A823" s="1" t="s">
        <v>4421</v>
      </c>
      <c r="B823" s="1" t="s">
        <v>2416</v>
      </c>
      <c r="C823" s="1" t="s">
        <v>3326</v>
      </c>
      <c r="D823" s="1">
        <v>612803.1</v>
      </c>
      <c r="E823" s="1">
        <v>28024.400000000001</v>
      </c>
      <c r="F823" s="41">
        <v>44300</v>
      </c>
      <c r="G823" s="41">
        <v>44665</v>
      </c>
      <c r="H823" s="1" t="s">
        <v>3840</v>
      </c>
      <c r="I823" s="1" t="s">
        <v>3324</v>
      </c>
      <c r="J823" t="str">
        <f>IF(ISNA(_xlfn.XLOOKUP(B823,customer_master!$A$2:$A$1649, customer_master!$A$2:$A$1649)), "Invalid", "Ok")</f>
        <v>Ok</v>
      </c>
      <c r="K823" t="str">
        <f>IF(ISNA(_xlfn.XLOOKUP(H823,agent_info!$A$2:$A$301, agent_info!$A$2:$A$301)), "Invalid", "Ok")</f>
        <v>Ok</v>
      </c>
    </row>
    <row r="824" spans="1:11" x14ac:dyDescent="0.3">
      <c r="A824" s="1" t="s">
        <v>4422</v>
      </c>
      <c r="B824" s="1" t="s">
        <v>2891</v>
      </c>
      <c r="C824" s="1" t="s">
        <v>3318</v>
      </c>
      <c r="D824" s="1">
        <v>546180.47</v>
      </c>
      <c r="E824" s="1">
        <v>26647.040000000001</v>
      </c>
      <c r="F824" s="41">
        <v>45252</v>
      </c>
      <c r="G824" s="41">
        <v>45618</v>
      </c>
      <c r="H824" s="1" t="s">
        <v>4014</v>
      </c>
      <c r="I824" s="1" t="s">
        <v>3324</v>
      </c>
      <c r="J824" t="str">
        <f>IF(ISNA(_xlfn.XLOOKUP(B824,customer_master!$A$2:$A$1649, customer_master!$A$2:$A$1649)), "Invalid", "Ok")</f>
        <v>Ok</v>
      </c>
      <c r="K824" t="str">
        <f>IF(ISNA(_xlfn.XLOOKUP(H824,agent_info!$A$2:$A$301, agent_info!$A$2:$A$301)), "Invalid", "Ok")</f>
        <v>Ok</v>
      </c>
    </row>
    <row r="825" spans="1:11" x14ac:dyDescent="0.3">
      <c r="A825" s="1" t="s">
        <v>4423</v>
      </c>
      <c r="B825" s="1" t="s">
        <v>1877</v>
      </c>
      <c r="C825" s="1" t="s">
        <v>3334</v>
      </c>
      <c r="D825" s="1">
        <v>461509.14</v>
      </c>
      <c r="E825" s="1">
        <v>25042.400000000001</v>
      </c>
      <c r="F825" s="41">
        <v>46248</v>
      </c>
      <c r="G825" s="41">
        <v>46613</v>
      </c>
      <c r="H825" s="1" t="s">
        <v>3858</v>
      </c>
      <c r="I825" s="1" t="s">
        <v>3316</v>
      </c>
      <c r="J825" t="str">
        <f>IF(ISNA(_xlfn.XLOOKUP(B825,customer_master!$A$2:$A$1649, customer_master!$A$2:$A$1649)), "Invalid", "Ok")</f>
        <v>Ok</v>
      </c>
      <c r="K825" t="str">
        <f>IF(ISNA(_xlfn.XLOOKUP(H825,agent_info!$A$2:$A$301, agent_info!$A$2:$A$301)), "Invalid", "Ok")</f>
        <v>Ok</v>
      </c>
    </row>
    <row r="826" spans="1:11" x14ac:dyDescent="0.3">
      <c r="A826" s="1" t="s">
        <v>4424</v>
      </c>
      <c r="B826" s="1" t="s">
        <v>3080</v>
      </c>
      <c r="C826" s="1" t="s">
        <v>3318</v>
      </c>
      <c r="D826" s="1">
        <v>730684.47</v>
      </c>
      <c r="E826" s="1">
        <v>38163.82</v>
      </c>
      <c r="F826" s="41">
        <v>45941</v>
      </c>
      <c r="G826" s="41">
        <v>46306</v>
      </c>
      <c r="H826" s="1" t="s">
        <v>3389</v>
      </c>
      <c r="I826" s="1" t="s">
        <v>3316</v>
      </c>
      <c r="J826" t="str">
        <f>IF(ISNA(_xlfn.XLOOKUP(B826,customer_master!$A$2:$A$1649, customer_master!$A$2:$A$1649)), "Invalid", "Ok")</f>
        <v>Ok</v>
      </c>
      <c r="K826" t="str">
        <f>IF(ISNA(_xlfn.XLOOKUP(H826,agent_info!$A$2:$A$301, agent_info!$A$2:$A$301)), "Invalid", "Ok")</f>
        <v>Ok</v>
      </c>
    </row>
    <row r="827" spans="1:11" x14ac:dyDescent="0.3">
      <c r="A827" s="1" t="s">
        <v>4425</v>
      </c>
      <c r="B827" s="1" t="s">
        <v>2953</v>
      </c>
      <c r="C827" s="1" t="s">
        <v>3318</v>
      </c>
      <c r="D827" s="1">
        <v>675689.48</v>
      </c>
      <c r="E827" s="1">
        <v>35545.040000000001</v>
      </c>
      <c r="F827" s="41">
        <v>44452</v>
      </c>
      <c r="G827" s="41">
        <v>44817</v>
      </c>
      <c r="H827" s="1" t="s">
        <v>3819</v>
      </c>
      <c r="I827" s="1" t="s">
        <v>3324</v>
      </c>
      <c r="J827" t="str">
        <f>IF(ISNA(_xlfn.XLOOKUP(B827,customer_master!$A$2:$A$1649, customer_master!$A$2:$A$1649)), "Invalid", "Ok")</f>
        <v>Ok</v>
      </c>
      <c r="K827" t="str">
        <f>IF(ISNA(_xlfn.XLOOKUP(H827,agent_info!$A$2:$A$301, agent_info!$A$2:$A$301)), "Invalid", "Ok")</f>
        <v>Ok</v>
      </c>
    </row>
    <row r="828" spans="1:11" x14ac:dyDescent="0.3">
      <c r="A828" s="1" t="s">
        <v>4426</v>
      </c>
      <c r="B828" s="1" t="s">
        <v>2823</v>
      </c>
      <c r="C828" s="1" t="s">
        <v>3318</v>
      </c>
      <c r="D828" s="1">
        <v>421229.85</v>
      </c>
      <c r="E828" s="1">
        <v>19942.25</v>
      </c>
      <c r="F828" s="41">
        <v>46179</v>
      </c>
      <c r="G828" s="41">
        <v>46544</v>
      </c>
      <c r="H828" s="1" t="s">
        <v>3353</v>
      </c>
      <c r="I828" s="1" t="s">
        <v>3324</v>
      </c>
      <c r="J828" t="str">
        <f>IF(ISNA(_xlfn.XLOOKUP(B828,customer_master!$A$2:$A$1649, customer_master!$A$2:$A$1649)), "Invalid", "Ok")</f>
        <v>Ok</v>
      </c>
      <c r="K828" t="str">
        <f>IF(ISNA(_xlfn.XLOOKUP(H828,agent_info!$A$2:$A$301, agent_info!$A$2:$A$301)), "Invalid", "Ok")</f>
        <v>Ok</v>
      </c>
    </row>
    <row r="829" spans="1:11" x14ac:dyDescent="0.3">
      <c r="A829" s="1" t="s">
        <v>4427</v>
      </c>
      <c r="B829" s="1" t="s">
        <v>807</v>
      </c>
      <c r="C829" s="1" t="s">
        <v>3314</v>
      </c>
      <c r="D829" s="1">
        <v>488548.58</v>
      </c>
      <c r="E829" s="1">
        <v>25573.22</v>
      </c>
      <c r="F829" s="41">
        <v>45391</v>
      </c>
      <c r="G829" s="41">
        <v>45756</v>
      </c>
      <c r="H829" s="1" t="s">
        <v>3492</v>
      </c>
      <c r="I829" s="1" t="s">
        <v>3324</v>
      </c>
      <c r="J829" t="str">
        <f>IF(ISNA(_xlfn.XLOOKUP(B829,customer_master!$A$2:$A$1649, customer_master!$A$2:$A$1649)), "Invalid", "Ok")</f>
        <v>Ok</v>
      </c>
      <c r="K829" t="str">
        <f>IF(ISNA(_xlfn.XLOOKUP(H829,agent_info!$A$2:$A$301, agent_info!$A$2:$A$301)), "Invalid", "Ok")</f>
        <v>Ok</v>
      </c>
    </row>
    <row r="830" spans="1:11" x14ac:dyDescent="0.3">
      <c r="A830" s="1" t="s">
        <v>4428</v>
      </c>
      <c r="B830" s="1" t="s">
        <v>1781</v>
      </c>
      <c r="C830" s="1" t="s">
        <v>3314</v>
      </c>
      <c r="D830" s="1">
        <v>712034.97</v>
      </c>
      <c r="E830" s="1">
        <v>34934.71</v>
      </c>
      <c r="F830" s="41">
        <v>46228</v>
      </c>
      <c r="G830" s="41">
        <v>46593</v>
      </c>
      <c r="H830" s="1" t="s">
        <v>3369</v>
      </c>
      <c r="I830" s="1" t="s">
        <v>3316</v>
      </c>
      <c r="J830" t="str">
        <f>IF(ISNA(_xlfn.XLOOKUP(B830,customer_master!$A$2:$A$1649, customer_master!$A$2:$A$1649)), "Invalid", "Ok")</f>
        <v>Ok</v>
      </c>
      <c r="K830" t="str">
        <f>IF(ISNA(_xlfn.XLOOKUP(H830,agent_info!$A$2:$A$301, agent_info!$A$2:$A$301)), "Invalid", "Ok")</f>
        <v>Ok</v>
      </c>
    </row>
    <row r="831" spans="1:11" x14ac:dyDescent="0.3">
      <c r="A831" s="1" t="s">
        <v>4429</v>
      </c>
      <c r="B831" s="1" t="s">
        <v>2452</v>
      </c>
      <c r="C831" s="1" t="s">
        <v>3314</v>
      </c>
      <c r="D831" s="1">
        <v>651586.18999999994</v>
      </c>
      <c r="E831" s="1">
        <v>29708.36</v>
      </c>
      <c r="F831" s="41">
        <v>45603</v>
      </c>
      <c r="G831" s="41">
        <v>45968</v>
      </c>
      <c r="H831" s="1" t="s">
        <v>3363</v>
      </c>
      <c r="I831" s="1" t="s">
        <v>3324</v>
      </c>
      <c r="J831" t="str">
        <f>IF(ISNA(_xlfn.XLOOKUP(B831,customer_master!$A$2:$A$1649, customer_master!$A$2:$A$1649)), "Invalid", "Ok")</f>
        <v>Ok</v>
      </c>
      <c r="K831" t="str">
        <f>IF(ISNA(_xlfn.XLOOKUP(H831,agent_info!$A$2:$A$301, agent_info!$A$2:$A$301)), "Invalid", "Ok")</f>
        <v>Ok</v>
      </c>
    </row>
    <row r="832" spans="1:11" x14ac:dyDescent="0.3">
      <c r="A832" s="1" t="s">
        <v>4430</v>
      </c>
      <c r="B832" s="1" t="s">
        <v>3234</v>
      </c>
      <c r="C832" s="1" t="s">
        <v>3331</v>
      </c>
      <c r="D832" s="1">
        <v>742225.5</v>
      </c>
      <c r="E832" s="1">
        <v>36330.550000000003</v>
      </c>
      <c r="F832" s="41">
        <v>45562</v>
      </c>
      <c r="G832" s="41">
        <v>45927</v>
      </c>
      <c r="H832" s="1" t="s">
        <v>4240</v>
      </c>
      <c r="I832" s="1" t="s">
        <v>3324</v>
      </c>
      <c r="J832" t="str">
        <f>IF(ISNA(_xlfn.XLOOKUP(B832,customer_master!$A$2:$A$1649, customer_master!$A$2:$A$1649)), "Invalid", "Ok")</f>
        <v>Ok</v>
      </c>
      <c r="K832" t="str">
        <f>IF(ISNA(_xlfn.XLOOKUP(H832,agent_info!$A$2:$A$301, agent_info!$A$2:$A$301)), "Invalid", "Ok")</f>
        <v>Ok</v>
      </c>
    </row>
    <row r="833" spans="1:11" x14ac:dyDescent="0.3">
      <c r="A833" s="1" t="s">
        <v>4431</v>
      </c>
      <c r="B833" s="1" t="s">
        <v>71</v>
      </c>
      <c r="C833" s="1" t="s">
        <v>3334</v>
      </c>
      <c r="D833" s="1">
        <v>414356.03</v>
      </c>
      <c r="E833" s="1">
        <v>19189.88</v>
      </c>
      <c r="F833" s="41">
        <v>46208</v>
      </c>
      <c r="G833" s="41">
        <v>46573</v>
      </c>
      <c r="H833" s="1" t="s">
        <v>3830</v>
      </c>
      <c r="I833" s="1" t="s">
        <v>3324</v>
      </c>
      <c r="J833" t="str">
        <f>IF(ISNA(_xlfn.XLOOKUP(B833,customer_master!$A$2:$A$1649, customer_master!$A$2:$A$1649)), "Invalid", "Ok")</f>
        <v>Ok</v>
      </c>
      <c r="K833" t="str">
        <f>IF(ISNA(_xlfn.XLOOKUP(H833,agent_info!$A$2:$A$301, agent_info!$A$2:$A$301)), "Invalid", "Ok")</f>
        <v>Ok</v>
      </c>
    </row>
    <row r="834" spans="1:11" x14ac:dyDescent="0.3">
      <c r="A834" s="1" t="s">
        <v>4432</v>
      </c>
      <c r="B834" s="1" t="s">
        <v>1111</v>
      </c>
      <c r="C834" s="1" t="s">
        <v>3326</v>
      </c>
      <c r="D834" s="1">
        <v>621393.93000000005</v>
      </c>
      <c r="E834" s="1">
        <v>33267.56</v>
      </c>
      <c r="F834" s="41">
        <v>45597</v>
      </c>
      <c r="G834" s="41">
        <v>45962</v>
      </c>
      <c r="H834" s="1" t="s">
        <v>3375</v>
      </c>
      <c r="I834" s="1" t="s">
        <v>3324</v>
      </c>
      <c r="J834" t="str">
        <f>IF(ISNA(_xlfn.XLOOKUP(B834,customer_master!$A$2:$A$1649, customer_master!$A$2:$A$1649)), "Invalid", "Ok")</f>
        <v>Ok</v>
      </c>
      <c r="K834" t="str">
        <f>IF(ISNA(_xlfn.XLOOKUP(H834,agent_info!$A$2:$A$301, agent_info!$A$2:$A$301)), "Invalid", "Ok")</f>
        <v>Ok</v>
      </c>
    </row>
    <row r="835" spans="1:11" x14ac:dyDescent="0.3">
      <c r="A835" s="1" t="s">
        <v>4433</v>
      </c>
      <c r="B835" s="1" t="s">
        <v>1163</v>
      </c>
      <c r="C835" s="1" t="s">
        <v>3314</v>
      </c>
      <c r="D835" s="1">
        <v>414418.4</v>
      </c>
      <c r="E835" s="1">
        <v>22131.16</v>
      </c>
      <c r="F835" s="41">
        <v>44804</v>
      </c>
      <c r="G835" s="41">
        <v>45169</v>
      </c>
      <c r="H835" s="1" t="s">
        <v>3712</v>
      </c>
      <c r="I835" s="1" t="s">
        <v>3324</v>
      </c>
      <c r="J835" t="str">
        <f>IF(ISNA(_xlfn.XLOOKUP(B835,customer_master!$A$2:$A$1649, customer_master!$A$2:$A$1649)), "Invalid", "Ok")</f>
        <v>Ok</v>
      </c>
      <c r="K835" t="str">
        <f>IF(ISNA(_xlfn.XLOOKUP(H835,agent_info!$A$2:$A$301, agent_info!$A$2:$A$301)), "Invalid", "Ok")</f>
        <v>Ok</v>
      </c>
    </row>
    <row r="836" spans="1:11" x14ac:dyDescent="0.3">
      <c r="A836" s="1" t="s">
        <v>4434</v>
      </c>
      <c r="B836" s="1" t="s">
        <v>970</v>
      </c>
      <c r="C836" s="1" t="s">
        <v>3314</v>
      </c>
      <c r="D836" s="1">
        <v>514614.85</v>
      </c>
      <c r="E836" s="1">
        <v>24637.03</v>
      </c>
      <c r="F836" s="41">
        <v>45469</v>
      </c>
      <c r="G836" s="41">
        <v>45834</v>
      </c>
      <c r="H836" s="1" t="s">
        <v>4400</v>
      </c>
      <c r="I836" s="1" t="s">
        <v>3316</v>
      </c>
      <c r="J836" t="str">
        <f>IF(ISNA(_xlfn.XLOOKUP(B836,customer_master!$A$2:$A$1649, customer_master!$A$2:$A$1649)), "Invalid", "Ok")</f>
        <v>Ok</v>
      </c>
      <c r="K836" t="str">
        <f>IF(ISNA(_xlfn.XLOOKUP(H836,agent_info!$A$2:$A$301, agent_info!$A$2:$A$301)), "Invalid", "Ok")</f>
        <v>Ok</v>
      </c>
    </row>
    <row r="837" spans="1:11" x14ac:dyDescent="0.3">
      <c r="A837" s="1" t="s">
        <v>4435</v>
      </c>
      <c r="B837" s="1" t="s">
        <v>2714</v>
      </c>
      <c r="C837" s="1" t="s">
        <v>3326</v>
      </c>
      <c r="D837" s="1">
        <v>612734.06999999995</v>
      </c>
      <c r="E837" s="1">
        <v>31322.49</v>
      </c>
      <c r="F837" s="41">
        <v>46014</v>
      </c>
      <c r="G837" s="41">
        <v>46379</v>
      </c>
      <c r="H837" s="1" t="s">
        <v>3785</v>
      </c>
      <c r="I837" s="1" t="s">
        <v>3324</v>
      </c>
      <c r="J837" t="str">
        <f>IF(ISNA(_xlfn.XLOOKUP(B837,customer_master!$A$2:$A$1649, customer_master!$A$2:$A$1649)), "Invalid", "Ok")</f>
        <v>Ok</v>
      </c>
      <c r="K837" t="str">
        <f>IF(ISNA(_xlfn.XLOOKUP(H837,agent_info!$A$2:$A$301, agent_info!$A$2:$A$301)), "Invalid", "Ok")</f>
        <v>Ok</v>
      </c>
    </row>
    <row r="838" spans="1:11" x14ac:dyDescent="0.3">
      <c r="A838" s="1" t="s">
        <v>4436</v>
      </c>
      <c r="B838" s="1" t="s">
        <v>184</v>
      </c>
      <c r="C838" s="1" t="s">
        <v>3334</v>
      </c>
      <c r="D838" s="1">
        <v>658738.84</v>
      </c>
      <c r="E838" s="1">
        <v>32039.47</v>
      </c>
      <c r="F838" s="41">
        <v>44773</v>
      </c>
      <c r="G838" s="41">
        <v>45138</v>
      </c>
      <c r="H838" s="1" t="s">
        <v>4388</v>
      </c>
      <c r="I838" s="1" t="s">
        <v>3316</v>
      </c>
      <c r="J838" t="str">
        <f>IF(ISNA(_xlfn.XLOOKUP(B838,customer_master!$A$2:$A$1649, customer_master!$A$2:$A$1649)), "Invalid", "Ok")</f>
        <v>Ok</v>
      </c>
      <c r="K838" t="str">
        <f>IF(ISNA(_xlfn.XLOOKUP(H838,agent_info!$A$2:$A$301, agent_info!$A$2:$A$301)), "Invalid", "Ok")</f>
        <v>Ok</v>
      </c>
    </row>
    <row r="839" spans="1:11" x14ac:dyDescent="0.3">
      <c r="A839" s="1" t="s">
        <v>4437</v>
      </c>
      <c r="B839" s="1" t="s">
        <v>1217</v>
      </c>
      <c r="C839" s="1" t="s">
        <v>3331</v>
      </c>
      <c r="D839" s="1">
        <v>382307.95</v>
      </c>
      <c r="E839" s="1">
        <v>17793.48</v>
      </c>
      <c r="F839" s="41">
        <v>45943</v>
      </c>
      <c r="G839" s="41">
        <v>46308</v>
      </c>
      <c r="H839" s="1" t="s">
        <v>4438</v>
      </c>
      <c r="I839" s="1" t="s">
        <v>3316</v>
      </c>
      <c r="J839" t="str">
        <f>IF(ISNA(_xlfn.XLOOKUP(B839,customer_master!$A$2:$A$1649, customer_master!$A$2:$A$1649)), "Invalid", "Ok")</f>
        <v>Ok</v>
      </c>
      <c r="K839" t="str">
        <f>IF(ISNA(_xlfn.XLOOKUP(H839,agent_info!$A$2:$A$301, agent_info!$A$2:$A$301)), "Invalid", "Ok")</f>
        <v>Ok</v>
      </c>
    </row>
    <row r="840" spans="1:11" x14ac:dyDescent="0.3">
      <c r="A840" s="1" t="s">
        <v>4439</v>
      </c>
      <c r="B840" s="1" t="s">
        <v>2380</v>
      </c>
      <c r="C840" s="1" t="s">
        <v>3326</v>
      </c>
      <c r="D840" s="1">
        <v>420680.03</v>
      </c>
      <c r="E840" s="1">
        <v>21662.53</v>
      </c>
      <c r="F840" s="41">
        <v>45133</v>
      </c>
      <c r="G840" s="41">
        <v>45499</v>
      </c>
      <c r="H840" s="1" t="s">
        <v>3413</v>
      </c>
      <c r="I840" s="1" t="s">
        <v>3324</v>
      </c>
      <c r="J840" t="str">
        <f>IF(ISNA(_xlfn.XLOOKUP(B840,customer_master!$A$2:$A$1649, customer_master!$A$2:$A$1649)), "Invalid", "Ok")</f>
        <v>Ok</v>
      </c>
      <c r="K840" t="str">
        <f>IF(ISNA(_xlfn.XLOOKUP(H840,agent_info!$A$2:$A$301, agent_info!$A$2:$A$301)), "Invalid", "Ok")</f>
        <v>Ok</v>
      </c>
    </row>
    <row r="841" spans="1:11" x14ac:dyDescent="0.3">
      <c r="A841" s="1" t="s">
        <v>4440</v>
      </c>
      <c r="B841" s="1" t="s">
        <v>1382</v>
      </c>
      <c r="C841" s="1" t="s">
        <v>3326</v>
      </c>
      <c r="D841" s="1">
        <v>622500.79</v>
      </c>
      <c r="E841" s="1">
        <v>32744.21</v>
      </c>
      <c r="F841" s="41">
        <v>44811</v>
      </c>
      <c r="G841" s="41">
        <v>45176</v>
      </c>
      <c r="H841" s="1" t="s">
        <v>3598</v>
      </c>
      <c r="I841" s="1" t="s">
        <v>3316</v>
      </c>
      <c r="J841" t="str">
        <f>IF(ISNA(_xlfn.XLOOKUP(B841,customer_master!$A$2:$A$1649, customer_master!$A$2:$A$1649)), "Invalid", "Ok")</f>
        <v>Ok</v>
      </c>
      <c r="K841" t="str">
        <f>IF(ISNA(_xlfn.XLOOKUP(H841,agent_info!$A$2:$A$301, agent_info!$A$2:$A$301)), "Invalid", "Ok")</f>
        <v>Ok</v>
      </c>
    </row>
    <row r="842" spans="1:11" x14ac:dyDescent="0.3">
      <c r="A842" s="1" t="s">
        <v>4441</v>
      </c>
      <c r="B842" s="1" t="s">
        <v>511</v>
      </c>
      <c r="C842" s="1" t="s">
        <v>3314</v>
      </c>
      <c r="D842" s="1">
        <v>433566.79</v>
      </c>
      <c r="E842" s="1">
        <v>22869.45</v>
      </c>
      <c r="F842" s="41">
        <v>45410</v>
      </c>
      <c r="G842" s="41">
        <v>45775</v>
      </c>
      <c r="H842" s="1" t="s">
        <v>3557</v>
      </c>
      <c r="I842" s="1" t="s">
        <v>3316</v>
      </c>
      <c r="J842" t="str">
        <f>IF(ISNA(_xlfn.XLOOKUP(B842,customer_master!$A$2:$A$1649, customer_master!$A$2:$A$1649)), "Invalid", "Ok")</f>
        <v>Ok</v>
      </c>
      <c r="K842" t="str">
        <f>IF(ISNA(_xlfn.XLOOKUP(H842,agent_info!$A$2:$A$301, agent_info!$A$2:$A$301)), "Invalid", "Ok")</f>
        <v>Ok</v>
      </c>
    </row>
    <row r="843" spans="1:11" x14ac:dyDescent="0.3">
      <c r="A843" s="1" t="s">
        <v>4442</v>
      </c>
      <c r="B843" s="1" t="s">
        <v>2052</v>
      </c>
      <c r="C843" s="1" t="s">
        <v>3326</v>
      </c>
      <c r="D843" s="1">
        <v>464232.62</v>
      </c>
      <c r="E843" s="1">
        <v>21583.200000000001</v>
      </c>
      <c r="F843" s="41">
        <v>45359</v>
      </c>
      <c r="G843" s="41">
        <v>45724</v>
      </c>
      <c r="H843" s="1" t="s">
        <v>4370</v>
      </c>
      <c r="I843" s="1" t="s">
        <v>3324</v>
      </c>
      <c r="J843" t="str">
        <f>IF(ISNA(_xlfn.XLOOKUP(B843,customer_master!$A$2:$A$1649, customer_master!$A$2:$A$1649)), "Invalid", "Ok")</f>
        <v>Ok</v>
      </c>
      <c r="K843" t="str">
        <f>IF(ISNA(_xlfn.XLOOKUP(H843,agent_info!$A$2:$A$301, agent_info!$A$2:$A$301)), "Invalid", "Ok")</f>
        <v>Ok</v>
      </c>
    </row>
    <row r="844" spans="1:11" x14ac:dyDescent="0.3">
      <c r="A844" s="1" t="s">
        <v>4443</v>
      </c>
      <c r="B844" s="1" t="s">
        <v>1753</v>
      </c>
      <c r="C844" s="1" t="s">
        <v>3334</v>
      </c>
      <c r="D844" s="1">
        <v>455797.46</v>
      </c>
      <c r="E844" s="1">
        <v>22847.21</v>
      </c>
      <c r="F844" s="41">
        <v>44915</v>
      </c>
      <c r="G844" s="41">
        <v>45280</v>
      </c>
      <c r="H844" s="1" t="s">
        <v>3920</v>
      </c>
      <c r="I844" s="1" t="s">
        <v>3320</v>
      </c>
      <c r="J844" t="str">
        <f>IF(ISNA(_xlfn.XLOOKUP(B844,customer_master!$A$2:$A$1649, customer_master!$A$2:$A$1649)), "Invalid", "Ok")</f>
        <v>Ok</v>
      </c>
      <c r="K844" t="str">
        <f>IF(ISNA(_xlfn.XLOOKUP(H844,agent_info!$A$2:$A$301, agent_info!$A$2:$A$301)), "Invalid", "Ok")</f>
        <v>Ok</v>
      </c>
    </row>
    <row r="845" spans="1:11" x14ac:dyDescent="0.3">
      <c r="A845" s="1" t="s">
        <v>4444</v>
      </c>
      <c r="B845" s="1" t="s">
        <v>3251</v>
      </c>
      <c r="C845" s="1" t="s">
        <v>3314</v>
      </c>
      <c r="D845" s="1">
        <v>427910</v>
      </c>
      <c r="E845" s="1">
        <v>19358.22</v>
      </c>
      <c r="F845" s="41">
        <v>45481</v>
      </c>
      <c r="G845" s="41">
        <v>45846</v>
      </c>
      <c r="H845" s="1" t="s">
        <v>3371</v>
      </c>
      <c r="I845" s="1" t="s">
        <v>3324</v>
      </c>
      <c r="J845" t="str">
        <f>IF(ISNA(_xlfn.XLOOKUP(B845,customer_master!$A$2:$A$1649, customer_master!$A$2:$A$1649)), "Invalid", "Ok")</f>
        <v>Ok</v>
      </c>
      <c r="K845" t="str">
        <f>IF(ISNA(_xlfn.XLOOKUP(H845,agent_info!$A$2:$A$301, agent_info!$A$2:$A$301)), "Invalid", "Ok")</f>
        <v>Ok</v>
      </c>
    </row>
    <row r="846" spans="1:11" x14ac:dyDescent="0.3">
      <c r="A846" s="1" t="s">
        <v>4445</v>
      </c>
      <c r="B846" s="1" t="s">
        <v>2494</v>
      </c>
      <c r="C846" s="1" t="s">
        <v>3326</v>
      </c>
      <c r="D846" s="1">
        <v>642819.01</v>
      </c>
      <c r="E846" s="1">
        <v>29506.48</v>
      </c>
      <c r="F846" s="41">
        <v>44586</v>
      </c>
      <c r="G846" s="41">
        <v>44951</v>
      </c>
      <c r="H846" s="1" t="s">
        <v>3395</v>
      </c>
      <c r="I846" s="1" t="s">
        <v>3324</v>
      </c>
      <c r="J846" t="str">
        <f>IF(ISNA(_xlfn.XLOOKUP(B846,customer_master!$A$2:$A$1649, customer_master!$A$2:$A$1649)), "Invalid", "Ok")</f>
        <v>Ok</v>
      </c>
      <c r="K846" t="str">
        <f>IF(ISNA(_xlfn.XLOOKUP(H846,agent_info!$A$2:$A$301, agent_info!$A$2:$A$301)), "Invalid", "Ok")</f>
        <v>Ok</v>
      </c>
    </row>
    <row r="847" spans="1:11" x14ac:dyDescent="0.3">
      <c r="A847" s="1" t="s">
        <v>4446</v>
      </c>
      <c r="B847" s="1" t="s">
        <v>3273</v>
      </c>
      <c r="C847" s="1" t="s">
        <v>3331</v>
      </c>
      <c r="D847" s="1">
        <v>404901.88</v>
      </c>
      <c r="E847" s="1">
        <v>18548.759999999998</v>
      </c>
      <c r="F847" s="41">
        <v>45364</v>
      </c>
      <c r="G847" s="41">
        <v>45729</v>
      </c>
      <c r="H847" s="1" t="s">
        <v>3541</v>
      </c>
      <c r="I847" s="1" t="s">
        <v>3320</v>
      </c>
      <c r="J847" t="str">
        <f>IF(ISNA(_xlfn.XLOOKUP(B847,customer_master!$A$2:$A$1649, customer_master!$A$2:$A$1649)), "Invalid", "Ok")</f>
        <v>Ok</v>
      </c>
      <c r="K847" t="str">
        <f>IF(ISNA(_xlfn.XLOOKUP(H847,agent_info!$A$2:$A$301, agent_info!$A$2:$A$301)), "Invalid", "Ok")</f>
        <v>Ok</v>
      </c>
    </row>
    <row r="848" spans="1:11" x14ac:dyDescent="0.3">
      <c r="A848" s="1" t="s">
        <v>4447</v>
      </c>
      <c r="B848" s="1" t="s">
        <v>662</v>
      </c>
      <c r="C848" s="1" t="s">
        <v>3318</v>
      </c>
      <c r="D848" s="1">
        <v>580626.88</v>
      </c>
      <c r="E848" s="1">
        <v>26460.27</v>
      </c>
      <c r="F848" s="41">
        <v>46243</v>
      </c>
      <c r="G848" s="41">
        <v>46608</v>
      </c>
      <c r="H848" s="1" t="s">
        <v>4343</v>
      </c>
      <c r="I848" s="1" t="s">
        <v>3324</v>
      </c>
      <c r="J848" t="str">
        <f>IF(ISNA(_xlfn.XLOOKUP(B848,customer_master!$A$2:$A$1649, customer_master!$A$2:$A$1649)), "Invalid", "Ok")</f>
        <v>Ok</v>
      </c>
      <c r="K848" t="str">
        <f>IF(ISNA(_xlfn.XLOOKUP(H848,agent_info!$A$2:$A$301, agent_info!$A$2:$A$301)), "Invalid", "Ok")</f>
        <v>Ok</v>
      </c>
    </row>
    <row r="849" spans="1:11" x14ac:dyDescent="0.3">
      <c r="A849" s="1" t="s">
        <v>4448</v>
      </c>
      <c r="B849" s="1" t="s">
        <v>2539</v>
      </c>
      <c r="C849" s="1" t="s">
        <v>3318</v>
      </c>
      <c r="D849" s="1">
        <v>639829.44999999995</v>
      </c>
      <c r="E849" s="1">
        <v>30927.88</v>
      </c>
      <c r="F849" s="41">
        <v>44586</v>
      </c>
      <c r="G849" s="41">
        <v>44951</v>
      </c>
      <c r="H849" s="1" t="s">
        <v>3725</v>
      </c>
      <c r="I849" s="1" t="s">
        <v>3324</v>
      </c>
      <c r="J849" t="str">
        <f>IF(ISNA(_xlfn.XLOOKUP(B849,customer_master!$A$2:$A$1649, customer_master!$A$2:$A$1649)), "Invalid", "Ok")</f>
        <v>Ok</v>
      </c>
      <c r="K849" t="str">
        <f>IF(ISNA(_xlfn.XLOOKUP(H849,agent_info!$A$2:$A$301, agent_info!$A$2:$A$301)), "Invalid", "Ok")</f>
        <v>Ok</v>
      </c>
    </row>
    <row r="850" spans="1:11" x14ac:dyDescent="0.3">
      <c r="A850" s="1" t="s">
        <v>4449</v>
      </c>
      <c r="B850" s="1" t="s">
        <v>1845</v>
      </c>
      <c r="C850" s="1" t="s">
        <v>3314</v>
      </c>
      <c r="D850" s="1">
        <v>407172.23</v>
      </c>
      <c r="E850" s="1">
        <v>19779.12</v>
      </c>
      <c r="F850" s="41">
        <v>45428</v>
      </c>
      <c r="G850" s="41">
        <v>45793</v>
      </c>
      <c r="H850" s="1" t="s">
        <v>3522</v>
      </c>
      <c r="I850" s="1" t="s">
        <v>3320</v>
      </c>
      <c r="J850" t="str">
        <f>IF(ISNA(_xlfn.XLOOKUP(B850,customer_master!$A$2:$A$1649, customer_master!$A$2:$A$1649)), "Invalid", "Ok")</f>
        <v>Ok</v>
      </c>
      <c r="K850" t="str">
        <f>IF(ISNA(_xlfn.XLOOKUP(H850,agent_info!$A$2:$A$301, agent_info!$A$2:$A$301)), "Invalid", "Ok")</f>
        <v>Ok</v>
      </c>
    </row>
    <row r="851" spans="1:11" x14ac:dyDescent="0.3">
      <c r="A851" s="1" t="s">
        <v>4450</v>
      </c>
      <c r="B851" s="1" t="s">
        <v>2384</v>
      </c>
      <c r="C851" s="1" t="s">
        <v>3326</v>
      </c>
      <c r="D851" s="1">
        <v>571699.37</v>
      </c>
      <c r="E851" s="1">
        <v>29716.19</v>
      </c>
      <c r="F851" s="41">
        <v>46042</v>
      </c>
      <c r="G851" s="41">
        <v>46407</v>
      </c>
      <c r="H851" s="1" t="s">
        <v>3805</v>
      </c>
      <c r="I851" s="1" t="s">
        <v>3324</v>
      </c>
      <c r="J851" t="str">
        <f>IF(ISNA(_xlfn.XLOOKUP(B851,customer_master!$A$2:$A$1649, customer_master!$A$2:$A$1649)), "Invalid", "Ok")</f>
        <v>Ok</v>
      </c>
      <c r="K851" t="str">
        <f>IF(ISNA(_xlfn.XLOOKUP(H851,agent_info!$A$2:$A$301, agent_info!$A$2:$A$301)), "Invalid", "Ok")</f>
        <v>Ok</v>
      </c>
    </row>
    <row r="852" spans="1:11" x14ac:dyDescent="0.3">
      <c r="A852" s="1" t="s">
        <v>4451</v>
      </c>
      <c r="B852" s="1" t="s">
        <v>1568</v>
      </c>
      <c r="C852" s="1" t="s">
        <v>3326</v>
      </c>
      <c r="D852" s="1">
        <v>466922.93</v>
      </c>
      <c r="E852" s="1">
        <v>22551.82</v>
      </c>
      <c r="F852" s="41">
        <v>44753</v>
      </c>
      <c r="G852" s="41">
        <v>45118</v>
      </c>
      <c r="H852" s="1" t="s">
        <v>3375</v>
      </c>
      <c r="I852" s="1" t="s">
        <v>3324</v>
      </c>
      <c r="J852" t="str">
        <f>IF(ISNA(_xlfn.XLOOKUP(B852,customer_master!$A$2:$A$1649, customer_master!$A$2:$A$1649)), "Invalid", "Ok")</f>
        <v>Ok</v>
      </c>
      <c r="K852" t="str">
        <f>IF(ISNA(_xlfn.XLOOKUP(H852,agent_info!$A$2:$A$301, agent_info!$A$2:$A$301)), "Invalid", "Ok")</f>
        <v>Ok</v>
      </c>
    </row>
    <row r="853" spans="1:11" x14ac:dyDescent="0.3">
      <c r="A853" s="1" t="s">
        <v>4452</v>
      </c>
      <c r="B853" s="1" t="s">
        <v>755</v>
      </c>
      <c r="C853" s="1" t="s">
        <v>3326</v>
      </c>
      <c r="D853" s="1">
        <v>641740.82999999996</v>
      </c>
      <c r="E853" s="1">
        <v>29779.31</v>
      </c>
      <c r="F853" s="41">
        <v>45694</v>
      </c>
      <c r="G853" s="41">
        <v>46059</v>
      </c>
      <c r="H853" s="1" t="s">
        <v>3653</v>
      </c>
      <c r="I853" s="1" t="s">
        <v>3320</v>
      </c>
      <c r="J853" t="str">
        <f>IF(ISNA(_xlfn.XLOOKUP(B853,customer_master!$A$2:$A$1649, customer_master!$A$2:$A$1649)), "Invalid", "Ok")</f>
        <v>Ok</v>
      </c>
      <c r="K853" t="str">
        <f>IF(ISNA(_xlfn.XLOOKUP(H853,agent_info!$A$2:$A$301, agent_info!$A$2:$A$301)), "Invalid", "Ok")</f>
        <v>Ok</v>
      </c>
    </row>
    <row r="854" spans="1:11" x14ac:dyDescent="0.3">
      <c r="A854" s="1" t="s">
        <v>4453</v>
      </c>
      <c r="B854" s="1" t="s">
        <v>186</v>
      </c>
      <c r="C854" s="1" t="s">
        <v>3318</v>
      </c>
      <c r="D854" s="1">
        <v>679515.34</v>
      </c>
      <c r="E854" s="1">
        <v>37012.36</v>
      </c>
      <c r="F854" s="41">
        <v>45736</v>
      </c>
      <c r="G854" s="41">
        <v>46101</v>
      </c>
      <c r="H854" s="1" t="s">
        <v>3813</v>
      </c>
      <c r="I854" s="1" t="s">
        <v>3316</v>
      </c>
      <c r="J854" t="str">
        <f>IF(ISNA(_xlfn.XLOOKUP(B854,customer_master!$A$2:$A$1649, customer_master!$A$2:$A$1649)), "Invalid", "Ok")</f>
        <v>Ok</v>
      </c>
      <c r="K854" t="str">
        <f>IF(ISNA(_xlfn.XLOOKUP(H854,agent_info!$A$2:$A$301, agent_info!$A$2:$A$301)), "Invalid", "Ok")</f>
        <v>Ok</v>
      </c>
    </row>
    <row r="855" spans="1:11" x14ac:dyDescent="0.3">
      <c r="A855" s="1" t="s">
        <v>4454</v>
      </c>
      <c r="B855" s="1" t="s">
        <v>2780</v>
      </c>
      <c r="C855" s="1" t="s">
        <v>3314</v>
      </c>
      <c r="D855" s="1">
        <v>690653.44</v>
      </c>
      <c r="E855" s="1">
        <v>37125.910000000003</v>
      </c>
      <c r="F855" s="41">
        <v>45435</v>
      </c>
      <c r="G855" s="41">
        <v>45800</v>
      </c>
      <c r="H855" s="1" t="s">
        <v>4455</v>
      </c>
      <c r="I855" s="1" t="s">
        <v>3324</v>
      </c>
      <c r="J855" t="str">
        <f>IF(ISNA(_xlfn.XLOOKUP(B855,customer_master!$A$2:$A$1649, customer_master!$A$2:$A$1649)), "Invalid", "Ok")</f>
        <v>Ok</v>
      </c>
      <c r="K855" t="str">
        <f>IF(ISNA(_xlfn.XLOOKUP(H855,agent_info!$A$2:$A$301, agent_info!$A$2:$A$301)), "Invalid", "Ok")</f>
        <v>Ok</v>
      </c>
    </row>
    <row r="856" spans="1:11" x14ac:dyDescent="0.3">
      <c r="A856" s="1" t="s">
        <v>4456</v>
      </c>
      <c r="B856" s="1" t="s">
        <v>2704</v>
      </c>
      <c r="C856" s="1" t="s">
        <v>3326</v>
      </c>
      <c r="D856" s="1">
        <v>489532.22</v>
      </c>
      <c r="E856" s="1">
        <v>22637.07</v>
      </c>
      <c r="F856" s="41">
        <v>44208</v>
      </c>
      <c r="G856" s="41">
        <v>44573</v>
      </c>
      <c r="H856" s="1" t="s">
        <v>3404</v>
      </c>
      <c r="I856" s="1" t="s">
        <v>3316</v>
      </c>
      <c r="J856" t="str">
        <f>IF(ISNA(_xlfn.XLOOKUP(B856,customer_master!$A$2:$A$1649, customer_master!$A$2:$A$1649)), "Invalid", "Ok")</f>
        <v>Ok</v>
      </c>
      <c r="K856" t="str">
        <f>IF(ISNA(_xlfn.XLOOKUP(H856,agent_info!$A$2:$A$301, agent_info!$A$2:$A$301)), "Invalid", "Ok")</f>
        <v>Ok</v>
      </c>
    </row>
    <row r="857" spans="1:11" x14ac:dyDescent="0.3">
      <c r="A857" s="1" t="s">
        <v>4457</v>
      </c>
      <c r="B857" s="1" t="s">
        <v>576</v>
      </c>
      <c r="C857" s="1" t="s">
        <v>3318</v>
      </c>
      <c r="D857" s="1">
        <v>688923.22</v>
      </c>
      <c r="E857" s="1">
        <v>33500.81</v>
      </c>
      <c r="F857" s="41">
        <v>44897</v>
      </c>
      <c r="G857" s="41">
        <v>45262</v>
      </c>
      <c r="H857" s="1" t="s">
        <v>3745</v>
      </c>
      <c r="I857" s="1" t="s">
        <v>3316</v>
      </c>
      <c r="J857" t="str">
        <f>IF(ISNA(_xlfn.XLOOKUP(B857,customer_master!$A$2:$A$1649, customer_master!$A$2:$A$1649)), "Invalid", "Ok")</f>
        <v>Ok</v>
      </c>
      <c r="K857" t="str">
        <f>IF(ISNA(_xlfn.XLOOKUP(H857,agent_info!$A$2:$A$301, agent_info!$A$2:$A$301)), "Invalid", "Ok")</f>
        <v>Ok</v>
      </c>
    </row>
    <row r="858" spans="1:11" x14ac:dyDescent="0.3">
      <c r="A858" s="1" t="s">
        <v>4458</v>
      </c>
      <c r="B858" s="1" t="s">
        <v>2162</v>
      </c>
      <c r="C858" s="1" t="s">
        <v>3318</v>
      </c>
      <c r="D858" s="1">
        <v>616133.19999999995</v>
      </c>
      <c r="E858" s="1">
        <v>28761.62</v>
      </c>
      <c r="F858" s="41">
        <v>44727</v>
      </c>
      <c r="G858" s="41">
        <v>45092</v>
      </c>
      <c r="H858" s="1" t="s">
        <v>3359</v>
      </c>
      <c r="I858" s="1" t="s">
        <v>3324</v>
      </c>
      <c r="J858" t="str">
        <f>IF(ISNA(_xlfn.XLOOKUP(B858,customer_master!$A$2:$A$1649, customer_master!$A$2:$A$1649)), "Invalid", "Ok")</f>
        <v>Ok</v>
      </c>
      <c r="K858" t="str">
        <f>IF(ISNA(_xlfn.XLOOKUP(H858,agent_info!$A$2:$A$301, agent_info!$A$2:$A$301)), "Invalid", "Ok")</f>
        <v>Ok</v>
      </c>
    </row>
    <row r="859" spans="1:11" x14ac:dyDescent="0.3">
      <c r="A859" s="1" t="s">
        <v>4459</v>
      </c>
      <c r="B859" s="1" t="s">
        <v>2458</v>
      </c>
      <c r="C859" s="1" t="s">
        <v>3326</v>
      </c>
      <c r="D859" s="1">
        <v>482539.25</v>
      </c>
      <c r="E859" s="1">
        <v>26342.36</v>
      </c>
      <c r="F859" s="41">
        <v>44409</v>
      </c>
      <c r="G859" s="41">
        <v>44774</v>
      </c>
      <c r="H859" s="1" t="s">
        <v>3647</v>
      </c>
      <c r="I859" s="1" t="s">
        <v>3316</v>
      </c>
      <c r="J859" t="str">
        <f>IF(ISNA(_xlfn.XLOOKUP(B859,customer_master!$A$2:$A$1649, customer_master!$A$2:$A$1649)), "Invalid", "Ok")</f>
        <v>Ok</v>
      </c>
      <c r="K859" t="str">
        <f>IF(ISNA(_xlfn.XLOOKUP(H859,agent_info!$A$2:$A$301, agent_info!$A$2:$A$301)), "Invalid", "Ok")</f>
        <v>Ok</v>
      </c>
    </row>
    <row r="860" spans="1:11" x14ac:dyDescent="0.3">
      <c r="A860" s="1" t="s">
        <v>4460</v>
      </c>
      <c r="B860" s="1" t="s">
        <v>1871</v>
      </c>
      <c r="C860" s="1" t="s">
        <v>3334</v>
      </c>
      <c r="D860" s="1">
        <v>416057.93</v>
      </c>
      <c r="E860" s="1">
        <v>20203.68</v>
      </c>
      <c r="F860" s="41">
        <v>44525</v>
      </c>
      <c r="G860" s="41">
        <v>44890</v>
      </c>
      <c r="H860" s="1" t="s">
        <v>4198</v>
      </c>
      <c r="I860" s="1" t="s">
        <v>3320</v>
      </c>
      <c r="J860" t="str">
        <f>IF(ISNA(_xlfn.XLOOKUP(B860,customer_master!$A$2:$A$1649, customer_master!$A$2:$A$1649)), "Invalid", "Ok")</f>
        <v>Ok</v>
      </c>
      <c r="K860" t="str">
        <f>IF(ISNA(_xlfn.XLOOKUP(H860,agent_info!$A$2:$A$301, agent_info!$A$2:$A$301)), "Invalid", "Ok")</f>
        <v>Ok</v>
      </c>
    </row>
    <row r="861" spans="1:11" x14ac:dyDescent="0.3">
      <c r="A861" s="1" t="s">
        <v>4461</v>
      </c>
      <c r="B861" s="1" t="s">
        <v>1075</v>
      </c>
      <c r="C861" s="1" t="s">
        <v>3334</v>
      </c>
      <c r="D861" s="1">
        <v>410725.28</v>
      </c>
      <c r="E861" s="1">
        <v>18885.63</v>
      </c>
      <c r="F861" s="41">
        <v>44160</v>
      </c>
      <c r="G861" s="41">
        <v>44525</v>
      </c>
      <c r="H861" s="1" t="s">
        <v>3678</v>
      </c>
      <c r="I861" s="1" t="s">
        <v>3324</v>
      </c>
      <c r="J861" t="str">
        <f>IF(ISNA(_xlfn.XLOOKUP(B861,customer_master!$A$2:$A$1649, customer_master!$A$2:$A$1649)), "Invalid", "Ok")</f>
        <v>Ok</v>
      </c>
      <c r="K861" t="str">
        <f>IF(ISNA(_xlfn.XLOOKUP(H861,agent_info!$A$2:$A$301, agent_info!$A$2:$A$301)), "Invalid", "Ok")</f>
        <v>Ok</v>
      </c>
    </row>
    <row r="862" spans="1:11" x14ac:dyDescent="0.3">
      <c r="A862" s="1" t="s">
        <v>4462</v>
      </c>
      <c r="B862" s="1" t="s">
        <v>2931</v>
      </c>
      <c r="C862" s="1" t="s">
        <v>3326</v>
      </c>
      <c r="D862" s="1">
        <v>437990.57</v>
      </c>
      <c r="E862" s="1">
        <v>22893.08</v>
      </c>
      <c r="F862" s="41">
        <v>46101</v>
      </c>
      <c r="G862" s="41">
        <v>46466</v>
      </c>
      <c r="H862" s="1" t="s">
        <v>3483</v>
      </c>
      <c r="I862" s="1" t="s">
        <v>3324</v>
      </c>
      <c r="J862" t="str">
        <f>IF(ISNA(_xlfn.XLOOKUP(B862,customer_master!$A$2:$A$1649, customer_master!$A$2:$A$1649)), "Invalid", "Ok")</f>
        <v>Ok</v>
      </c>
      <c r="K862" t="str">
        <f>IF(ISNA(_xlfn.XLOOKUP(H862,agent_info!$A$2:$A$301, agent_info!$A$2:$A$301)), "Invalid", "Ok")</f>
        <v>Ok</v>
      </c>
    </row>
    <row r="863" spans="1:11" x14ac:dyDescent="0.3">
      <c r="A863" s="1" t="s">
        <v>4463</v>
      </c>
      <c r="B863" s="1" t="s">
        <v>2156</v>
      </c>
      <c r="C863" s="1" t="s">
        <v>3318</v>
      </c>
      <c r="D863" s="1">
        <v>491243</v>
      </c>
      <c r="E863" s="1">
        <v>25602.2</v>
      </c>
      <c r="F863" s="41">
        <v>45387</v>
      </c>
      <c r="G863" s="41">
        <v>45752</v>
      </c>
      <c r="H863" s="1" t="s">
        <v>3607</v>
      </c>
      <c r="I863" s="1" t="s">
        <v>3324</v>
      </c>
      <c r="J863" t="str">
        <f>IF(ISNA(_xlfn.XLOOKUP(B863,customer_master!$A$2:$A$1649, customer_master!$A$2:$A$1649)), "Invalid", "Ok")</f>
        <v>Ok</v>
      </c>
      <c r="K863" t="str">
        <f>IF(ISNA(_xlfn.XLOOKUP(H863,agent_info!$A$2:$A$301, agent_info!$A$2:$A$301)), "Invalid", "Ok")</f>
        <v>Ok</v>
      </c>
    </row>
    <row r="864" spans="1:11" x14ac:dyDescent="0.3">
      <c r="A864" s="1" t="s">
        <v>4464</v>
      </c>
      <c r="B864" s="1" t="s">
        <v>2414</v>
      </c>
      <c r="C864" s="1" t="s">
        <v>3314</v>
      </c>
      <c r="D864" s="1">
        <v>742098.39</v>
      </c>
      <c r="E864" s="1">
        <v>35183.14</v>
      </c>
      <c r="F864" s="41">
        <v>46150</v>
      </c>
      <c r="G864" s="41">
        <v>46515</v>
      </c>
      <c r="H864" s="1" t="s">
        <v>3443</v>
      </c>
      <c r="I864" s="1" t="s">
        <v>3316</v>
      </c>
      <c r="J864" t="str">
        <f>IF(ISNA(_xlfn.XLOOKUP(B864,customer_master!$A$2:$A$1649, customer_master!$A$2:$A$1649)), "Invalid", "Ok")</f>
        <v>Ok</v>
      </c>
      <c r="K864" t="str">
        <f>IF(ISNA(_xlfn.XLOOKUP(H864,agent_info!$A$2:$A$301, agent_info!$A$2:$A$301)), "Invalid", "Ok")</f>
        <v>Ok</v>
      </c>
    </row>
    <row r="865" spans="1:11" x14ac:dyDescent="0.3">
      <c r="A865" s="1" t="s">
        <v>4465</v>
      </c>
      <c r="B865" s="1" t="s">
        <v>2180</v>
      </c>
      <c r="C865" s="1" t="s">
        <v>3318</v>
      </c>
      <c r="D865" s="1">
        <v>755976.58</v>
      </c>
      <c r="E865" s="1">
        <v>36449.120000000003</v>
      </c>
      <c r="F865" s="41">
        <v>45697</v>
      </c>
      <c r="G865" s="41">
        <v>46062</v>
      </c>
      <c r="H865" s="1" t="s">
        <v>3803</v>
      </c>
      <c r="I865" s="1" t="s">
        <v>3316</v>
      </c>
      <c r="J865" t="str">
        <f>IF(ISNA(_xlfn.XLOOKUP(B865,customer_master!$A$2:$A$1649, customer_master!$A$2:$A$1649)), "Invalid", "Ok")</f>
        <v>Ok</v>
      </c>
      <c r="K865" t="str">
        <f>IF(ISNA(_xlfn.XLOOKUP(H865,agent_info!$A$2:$A$301, agent_info!$A$2:$A$301)), "Invalid", "Ok")</f>
        <v>Ok</v>
      </c>
    </row>
    <row r="866" spans="1:11" x14ac:dyDescent="0.3">
      <c r="A866" s="1" t="s">
        <v>4466</v>
      </c>
      <c r="B866" s="1" t="s">
        <v>2414</v>
      </c>
      <c r="C866" s="1" t="s">
        <v>3331</v>
      </c>
      <c r="D866" s="1">
        <v>436311.57</v>
      </c>
      <c r="E866" s="1">
        <v>21444.799999999999</v>
      </c>
      <c r="F866" s="41">
        <v>44797</v>
      </c>
      <c r="G866" s="41">
        <v>45162</v>
      </c>
      <c r="H866" s="1" t="s">
        <v>3701</v>
      </c>
      <c r="I866" s="1" t="s">
        <v>3324</v>
      </c>
      <c r="J866" t="str">
        <f>IF(ISNA(_xlfn.XLOOKUP(B866,customer_master!$A$2:$A$1649, customer_master!$A$2:$A$1649)), "Invalid", "Ok")</f>
        <v>Ok</v>
      </c>
      <c r="K866" t="str">
        <f>IF(ISNA(_xlfn.XLOOKUP(H866,agent_info!$A$2:$A$301, agent_info!$A$2:$A$301)), "Invalid", "Ok")</f>
        <v>Ok</v>
      </c>
    </row>
    <row r="867" spans="1:11" x14ac:dyDescent="0.3">
      <c r="A867" s="1" t="s">
        <v>4467</v>
      </c>
      <c r="B867" s="1" t="s">
        <v>517</v>
      </c>
      <c r="C867" s="1" t="s">
        <v>3331</v>
      </c>
      <c r="D867" s="1">
        <v>741166.07999999996</v>
      </c>
      <c r="E867" s="1">
        <v>35336.58</v>
      </c>
      <c r="F867" s="41">
        <v>44686</v>
      </c>
      <c r="G867" s="41">
        <v>45051</v>
      </c>
      <c r="H867" s="1" t="s">
        <v>3373</v>
      </c>
      <c r="I867" s="1" t="s">
        <v>3324</v>
      </c>
      <c r="J867" t="str">
        <f>IF(ISNA(_xlfn.XLOOKUP(B867,customer_master!$A$2:$A$1649, customer_master!$A$2:$A$1649)), "Invalid", "Ok")</f>
        <v>Ok</v>
      </c>
      <c r="K867" t="str">
        <f>IF(ISNA(_xlfn.XLOOKUP(H867,agent_info!$A$2:$A$301, agent_info!$A$2:$A$301)), "Invalid", "Ok")</f>
        <v>Ok</v>
      </c>
    </row>
    <row r="868" spans="1:11" x14ac:dyDescent="0.3">
      <c r="A868" s="1" t="s">
        <v>4468</v>
      </c>
      <c r="B868" s="1" t="s">
        <v>3071</v>
      </c>
      <c r="C868" s="1" t="s">
        <v>3314</v>
      </c>
      <c r="D868" s="1">
        <v>657017.9</v>
      </c>
      <c r="E868" s="1">
        <v>31463.85</v>
      </c>
      <c r="F868" s="41">
        <v>45487</v>
      </c>
      <c r="G868" s="41">
        <v>45852</v>
      </c>
      <c r="H868" s="1" t="s">
        <v>4469</v>
      </c>
      <c r="I868" s="1" t="s">
        <v>3324</v>
      </c>
      <c r="J868" t="str">
        <f>IF(ISNA(_xlfn.XLOOKUP(B868,customer_master!$A$2:$A$1649, customer_master!$A$2:$A$1649)), "Invalid", "Ok")</f>
        <v>Ok</v>
      </c>
      <c r="K868" t="str">
        <f>IF(ISNA(_xlfn.XLOOKUP(H868,agent_info!$A$2:$A$301, agent_info!$A$2:$A$301)), "Invalid", "Ok")</f>
        <v>Ok</v>
      </c>
    </row>
    <row r="869" spans="1:11" x14ac:dyDescent="0.3">
      <c r="A869" s="1" t="s">
        <v>4470</v>
      </c>
      <c r="B869" s="1" t="s">
        <v>964</v>
      </c>
      <c r="C869" s="1" t="s">
        <v>3314</v>
      </c>
      <c r="D869" s="1">
        <v>576964.14</v>
      </c>
      <c r="E869" s="1">
        <v>30588.28</v>
      </c>
      <c r="F869" s="41">
        <v>45744</v>
      </c>
      <c r="G869" s="41">
        <v>46109</v>
      </c>
      <c r="H869" s="1" t="s">
        <v>3631</v>
      </c>
      <c r="I869" s="1" t="s">
        <v>3316</v>
      </c>
      <c r="J869" t="str">
        <f>IF(ISNA(_xlfn.XLOOKUP(B869,customer_master!$A$2:$A$1649, customer_master!$A$2:$A$1649)), "Invalid", "Ok")</f>
        <v>Ok</v>
      </c>
      <c r="K869" t="str">
        <f>IF(ISNA(_xlfn.XLOOKUP(H869,agent_info!$A$2:$A$301, agent_info!$A$2:$A$301)), "Invalid", "Ok")</f>
        <v>Ok</v>
      </c>
    </row>
    <row r="870" spans="1:11" x14ac:dyDescent="0.3">
      <c r="A870" s="1" t="s">
        <v>4471</v>
      </c>
      <c r="B870" s="1" t="s">
        <v>2772</v>
      </c>
      <c r="C870" s="1" t="s">
        <v>3314</v>
      </c>
      <c r="D870" s="1">
        <v>752554.36</v>
      </c>
      <c r="E870" s="1">
        <v>39523.03</v>
      </c>
      <c r="F870" s="41">
        <v>45218</v>
      </c>
      <c r="G870" s="41">
        <v>45584</v>
      </c>
      <c r="H870" s="1" t="s">
        <v>4472</v>
      </c>
      <c r="I870" s="1" t="s">
        <v>3316</v>
      </c>
      <c r="J870" t="str">
        <f>IF(ISNA(_xlfn.XLOOKUP(B870,customer_master!$A$2:$A$1649, customer_master!$A$2:$A$1649)), "Invalid", "Ok")</f>
        <v>Ok</v>
      </c>
      <c r="K870" t="str">
        <f>IF(ISNA(_xlfn.XLOOKUP(H870,agent_info!$A$2:$A$301, agent_info!$A$2:$A$301)), "Invalid", "Ok")</f>
        <v>Ok</v>
      </c>
    </row>
    <row r="871" spans="1:11" x14ac:dyDescent="0.3">
      <c r="A871" s="1" t="s">
        <v>4473</v>
      </c>
      <c r="B871" s="1" t="s">
        <v>2969</v>
      </c>
      <c r="C871" s="1" t="s">
        <v>3314</v>
      </c>
      <c r="D871" s="1">
        <v>659771.88</v>
      </c>
      <c r="E871" s="1">
        <v>34259.51</v>
      </c>
      <c r="F871" s="41">
        <v>46219</v>
      </c>
      <c r="G871" s="41">
        <v>46584</v>
      </c>
      <c r="H871" s="1" t="s">
        <v>3351</v>
      </c>
      <c r="I871" s="1" t="s">
        <v>3316</v>
      </c>
      <c r="J871" t="str">
        <f>IF(ISNA(_xlfn.XLOOKUP(B871,customer_master!$A$2:$A$1649, customer_master!$A$2:$A$1649)), "Invalid", "Ok")</f>
        <v>Ok</v>
      </c>
      <c r="K871" t="str">
        <f>IF(ISNA(_xlfn.XLOOKUP(H871,agent_info!$A$2:$A$301, agent_info!$A$2:$A$301)), "Invalid", "Ok")</f>
        <v>Ok</v>
      </c>
    </row>
    <row r="872" spans="1:11" x14ac:dyDescent="0.3">
      <c r="A872" s="1" t="s">
        <v>4474</v>
      </c>
      <c r="B872" s="1" t="s">
        <v>2178</v>
      </c>
      <c r="C872" s="1" t="s">
        <v>3314</v>
      </c>
      <c r="D872" s="1">
        <v>613556.99</v>
      </c>
      <c r="E872" s="1">
        <v>31823.81</v>
      </c>
      <c r="F872" s="41">
        <v>45497</v>
      </c>
      <c r="G872" s="41">
        <v>45862</v>
      </c>
      <c r="H872" s="1" t="s">
        <v>3603</v>
      </c>
      <c r="I872" s="1" t="s">
        <v>3324</v>
      </c>
      <c r="J872" t="str">
        <f>IF(ISNA(_xlfn.XLOOKUP(B872,customer_master!$A$2:$A$1649, customer_master!$A$2:$A$1649)), "Invalid", "Ok")</f>
        <v>Ok</v>
      </c>
      <c r="K872" t="str">
        <f>IF(ISNA(_xlfn.XLOOKUP(H872,agent_info!$A$2:$A$301, agent_info!$A$2:$A$301)), "Invalid", "Ok")</f>
        <v>Ok</v>
      </c>
    </row>
    <row r="873" spans="1:11" x14ac:dyDescent="0.3">
      <c r="A873" s="1" t="s">
        <v>4475</v>
      </c>
      <c r="B873" s="1" t="s">
        <v>2002</v>
      </c>
      <c r="C873" s="1" t="s">
        <v>3314</v>
      </c>
      <c r="D873" s="1">
        <v>465667.8</v>
      </c>
      <c r="E873" s="1">
        <v>23385.29</v>
      </c>
      <c r="F873" s="41">
        <v>44709</v>
      </c>
      <c r="G873" s="41">
        <v>45074</v>
      </c>
      <c r="H873" s="1" t="s">
        <v>3361</v>
      </c>
      <c r="I873" s="1" t="s">
        <v>3324</v>
      </c>
      <c r="J873" t="str">
        <f>IF(ISNA(_xlfn.XLOOKUP(B873,customer_master!$A$2:$A$1649, customer_master!$A$2:$A$1649)), "Invalid", "Ok")</f>
        <v>Ok</v>
      </c>
      <c r="K873" t="str">
        <f>IF(ISNA(_xlfn.XLOOKUP(H873,agent_info!$A$2:$A$301, agent_info!$A$2:$A$301)), "Invalid", "Ok")</f>
        <v>Ok</v>
      </c>
    </row>
    <row r="874" spans="1:11" x14ac:dyDescent="0.3">
      <c r="A874" s="1" t="s">
        <v>4476</v>
      </c>
      <c r="B874" s="1" t="s">
        <v>389</v>
      </c>
      <c r="C874" s="1" t="s">
        <v>3331</v>
      </c>
      <c r="D874" s="1">
        <v>474755.37</v>
      </c>
      <c r="E874" s="1">
        <v>23030.01</v>
      </c>
      <c r="F874" s="41">
        <v>44128</v>
      </c>
      <c r="G874" s="41">
        <v>44493</v>
      </c>
      <c r="H874" s="1" t="s">
        <v>3433</v>
      </c>
      <c r="I874" s="1" t="s">
        <v>3316</v>
      </c>
      <c r="J874" t="str">
        <f>IF(ISNA(_xlfn.XLOOKUP(B874,customer_master!$A$2:$A$1649, customer_master!$A$2:$A$1649)), "Invalid", "Ok")</f>
        <v>Ok</v>
      </c>
      <c r="K874" t="str">
        <f>IF(ISNA(_xlfn.XLOOKUP(H874,agent_info!$A$2:$A$301, agent_info!$A$2:$A$301)), "Invalid", "Ok")</f>
        <v>Ok</v>
      </c>
    </row>
    <row r="875" spans="1:11" x14ac:dyDescent="0.3">
      <c r="A875" s="1" t="s">
        <v>4477</v>
      </c>
      <c r="B875" s="1" t="s">
        <v>1457</v>
      </c>
      <c r="C875" s="1" t="s">
        <v>3318</v>
      </c>
      <c r="D875" s="1">
        <v>722547.66</v>
      </c>
      <c r="E875" s="1">
        <v>37720.93</v>
      </c>
      <c r="F875" s="41">
        <v>45933</v>
      </c>
      <c r="G875" s="41">
        <v>46298</v>
      </c>
      <c r="H875" s="1" t="s">
        <v>3319</v>
      </c>
      <c r="I875" s="1" t="s">
        <v>3324</v>
      </c>
      <c r="J875" t="str">
        <f>IF(ISNA(_xlfn.XLOOKUP(B875,customer_master!$A$2:$A$1649, customer_master!$A$2:$A$1649)), "Invalid", "Ok")</f>
        <v>Ok</v>
      </c>
      <c r="K875" t="str">
        <f>IF(ISNA(_xlfn.XLOOKUP(H875,agent_info!$A$2:$A$301, agent_info!$A$2:$A$301)), "Invalid", "Ok")</f>
        <v>Ok</v>
      </c>
    </row>
    <row r="876" spans="1:11" x14ac:dyDescent="0.3">
      <c r="A876" s="1" t="s">
        <v>4478</v>
      </c>
      <c r="B876" s="1" t="s">
        <v>2054</v>
      </c>
      <c r="C876" s="1" t="s">
        <v>3334</v>
      </c>
      <c r="D876" s="1">
        <v>467789.93</v>
      </c>
      <c r="E876" s="1">
        <v>21594.9</v>
      </c>
      <c r="F876" s="41">
        <v>44803</v>
      </c>
      <c r="G876" s="41">
        <v>45168</v>
      </c>
      <c r="H876" s="1" t="s">
        <v>3836</v>
      </c>
      <c r="I876" s="1" t="s">
        <v>3324</v>
      </c>
      <c r="J876" t="str">
        <f>IF(ISNA(_xlfn.XLOOKUP(B876,customer_master!$A$2:$A$1649, customer_master!$A$2:$A$1649)), "Invalid", "Ok")</f>
        <v>Ok</v>
      </c>
      <c r="K876" t="str">
        <f>IF(ISNA(_xlfn.XLOOKUP(H876,agent_info!$A$2:$A$301, agent_info!$A$2:$A$301)), "Invalid", "Ok")</f>
        <v>Ok</v>
      </c>
    </row>
    <row r="877" spans="1:11" x14ac:dyDescent="0.3">
      <c r="A877" s="1" t="s">
        <v>4479</v>
      </c>
      <c r="B877" s="1" t="s">
        <v>310</v>
      </c>
      <c r="C877" s="1" t="s">
        <v>3318</v>
      </c>
      <c r="D877" s="1">
        <v>390211.67</v>
      </c>
      <c r="E877" s="1">
        <v>18110</v>
      </c>
      <c r="F877" s="41">
        <v>44608</v>
      </c>
      <c r="G877" s="41">
        <v>44973</v>
      </c>
      <c r="H877" s="1" t="s">
        <v>3815</v>
      </c>
      <c r="I877" s="1" t="s">
        <v>3324</v>
      </c>
      <c r="J877" t="str">
        <f>IF(ISNA(_xlfn.XLOOKUP(B877,customer_master!$A$2:$A$1649, customer_master!$A$2:$A$1649)), "Invalid", "Ok")</f>
        <v>Ok</v>
      </c>
      <c r="K877" t="str">
        <f>IF(ISNA(_xlfn.XLOOKUP(H877,agent_info!$A$2:$A$301, agent_info!$A$2:$A$301)), "Invalid", "Ok")</f>
        <v>Ok</v>
      </c>
    </row>
    <row r="878" spans="1:11" x14ac:dyDescent="0.3">
      <c r="A878" s="1" t="s">
        <v>4480</v>
      </c>
      <c r="B878" s="1" t="s">
        <v>397</v>
      </c>
      <c r="C878" s="1" t="s">
        <v>3314</v>
      </c>
      <c r="D878" s="1">
        <v>487497.43</v>
      </c>
      <c r="E878" s="1">
        <v>22552.92</v>
      </c>
      <c r="F878" s="41">
        <v>45259</v>
      </c>
      <c r="G878" s="41">
        <v>45625</v>
      </c>
      <c r="H878" s="1" t="s">
        <v>3397</v>
      </c>
      <c r="I878" s="1" t="s">
        <v>3324</v>
      </c>
      <c r="J878" t="str">
        <f>IF(ISNA(_xlfn.XLOOKUP(B878,customer_master!$A$2:$A$1649, customer_master!$A$2:$A$1649)), "Invalid", "Ok")</f>
        <v>Ok</v>
      </c>
      <c r="K878" t="str">
        <f>IF(ISNA(_xlfn.XLOOKUP(H878,agent_info!$A$2:$A$301, agent_info!$A$2:$A$301)), "Invalid", "Ok")</f>
        <v>Ok</v>
      </c>
    </row>
    <row r="879" spans="1:11" x14ac:dyDescent="0.3">
      <c r="A879" s="1" t="s">
        <v>4481</v>
      </c>
      <c r="B879" s="1" t="s">
        <v>3289</v>
      </c>
      <c r="C879" s="1" t="s">
        <v>3331</v>
      </c>
      <c r="D879" s="1">
        <v>564832.01</v>
      </c>
      <c r="E879" s="1">
        <v>29556.07</v>
      </c>
      <c r="F879" s="41">
        <v>46064</v>
      </c>
      <c r="G879" s="41">
        <v>46429</v>
      </c>
      <c r="H879" s="1" t="s">
        <v>3509</v>
      </c>
      <c r="I879" s="1" t="s">
        <v>3316</v>
      </c>
      <c r="J879" t="str">
        <f>IF(ISNA(_xlfn.XLOOKUP(B879,customer_master!$A$2:$A$1649, customer_master!$A$2:$A$1649)), "Invalid", "Ok")</f>
        <v>Ok</v>
      </c>
      <c r="K879" t="str">
        <f>IF(ISNA(_xlfn.XLOOKUP(H879,agent_info!$A$2:$A$301, agent_info!$A$2:$A$301)), "Invalid", "Ok")</f>
        <v>Ok</v>
      </c>
    </row>
    <row r="880" spans="1:11" x14ac:dyDescent="0.3">
      <c r="A880" s="1" t="s">
        <v>4482</v>
      </c>
      <c r="B880" s="1" t="s">
        <v>1125</v>
      </c>
      <c r="C880" s="1" t="s">
        <v>3318</v>
      </c>
      <c r="D880" s="1">
        <v>522382.68</v>
      </c>
      <c r="E880" s="1">
        <v>26597.33</v>
      </c>
      <c r="F880" s="41">
        <v>45534</v>
      </c>
      <c r="G880" s="41">
        <v>45899</v>
      </c>
      <c r="H880" s="1" t="s">
        <v>3481</v>
      </c>
      <c r="I880" s="1" t="s">
        <v>3324</v>
      </c>
      <c r="J880" t="str">
        <f>IF(ISNA(_xlfn.XLOOKUP(B880,customer_master!$A$2:$A$1649, customer_master!$A$2:$A$1649)), "Invalid", "Ok")</f>
        <v>Ok</v>
      </c>
      <c r="K880" t="str">
        <f>IF(ISNA(_xlfn.XLOOKUP(H880,agent_info!$A$2:$A$301, agent_info!$A$2:$A$301)), "Invalid", "Ok")</f>
        <v>Ok</v>
      </c>
    </row>
    <row r="881" spans="1:11" x14ac:dyDescent="0.3">
      <c r="A881" s="1" t="s">
        <v>4483</v>
      </c>
      <c r="B881" s="1" t="s">
        <v>1185</v>
      </c>
      <c r="C881" s="1" t="s">
        <v>3326</v>
      </c>
      <c r="D881" s="1">
        <v>677531.05</v>
      </c>
      <c r="E881" s="1">
        <v>33538.870000000003</v>
      </c>
      <c r="F881" s="41">
        <v>44621</v>
      </c>
      <c r="G881" s="41">
        <v>44986</v>
      </c>
      <c r="H881" s="1" t="s">
        <v>4116</v>
      </c>
      <c r="I881" s="1" t="s">
        <v>3320</v>
      </c>
      <c r="J881" t="str">
        <f>IF(ISNA(_xlfn.XLOOKUP(B881,customer_master!$A$2:$A$1649, customer_master!$A$2:$A$1649)), "Invalid", "Ok")</f>
        <v>Ok</v>
      </c>
      <c r="K881" t="str">
        <f>IF(ISNA(_xlfn.XLOOKUP(H881,agent_info!$A$2:$A$301, agent_info!$A$2:$A$301)), "Invalid", "Ok")</f>
        <v>Ok</v>
      </c>
    </row>
    <row r="882" spans="1:11" x14ac:dyDescent="0.3">
      <c r="A882" s="1" t="s">
        <v>4484</v>
      </c>
      <c r="B882" s="1" t="s">
        <v>865</v>
      </c>
      <c r="C882" s="1" t="s">
        <v>3334</v>
      </c>
      <c r="D882" s="1">
        <v>546151.01</v>
      </c>
      <c r="E882" s="1">
        <v>27177.74</v>
      </c>
      <c r="F882" s="41">
        <v>45583</v>
      </c>
      <c r="G882" s="41">
        <v>45948</v>
      </c>
      <c r="H882" s="1" t="s">
        <v>4168</v>
      </c>
      <c r="I882" s="1" t="s">
        <v>3316</v>
      </c>
      <c r="J882" t="str">
        <f>IF(ISNA(_xlfn.XLOOKUP(B882,customer_master!$A$2:$A$1649, customer_master!$A$2:$A$1649)), "Invalid", "Ok")</f>
        <v>Ok</v>
      </c>
      <c r="K882" t="str">
        <f>IF(ISNA(_xlfn.XLOOKUP(H882,agent_info!$A$2:$A$301, agent_info!$A$2:$A$301)), "Invalid", "Ok")</f>
        <v>Ok</v>
      </c>
    </row>
    <row r="883" spans="1:11" x14ac:dyDescent="0.3">
      <c r="A883" s="1" t="s">
        <v>4485</v>
      </c>
      <c r="B883" s="1" t="s">
        <v>2162</v>
      </c>
      <c r="C883" s="1" t="s">
        <v>3318</v>
      </c>
      <c r="D883" s="1">
        <v>714061.92</v>
      </c>
      <c r="E883" s="1">
        <v>38042.07</v>
      </c>
      <c r="F883" s="41">
        <v>45654</v>
      </c>
      <c r="G883" s="41">
        <v>46019</v>
      </c>
      <c r="H883" s="1" t="s">
        <v>3579</v>
      </c>
      <c r="I883" s="1" t="s">
        <v>3316</v>
      </c>
      <c r="J883" t="str">
        <f>IF(ISNA(_xlfn.XLOOKUP(B883,customer_master!$A$2:$A$1649, customer_master!$A$2:$A$1649)), "Invalid", "Ok")</f>
        <v>Ok</v>
      </c>
      <c r="K883" t="str">
        <f>IF(ISNA(_xlfn.XLOOKUP(H883,agent_info!$A$2:$A$301, agent_info!$A$2:$A$301)), "Invalid", "Ok")</f>
        <v>Ok</v>
      </c>
    </row>
    <row r="884" spans="1:11" x14ac:dyDescent="0.3">
      <c r="A884" s="1" t="s">
        <v>4486</v>
      </c>
      <c r="B884" s="1" t="s">
        <v>1586</v>
      </c>
      <c r="C884" s="1" t="s">
        <v>3334</v>
      </c>
      <c r="D884" s="1">
        <v>613945.23</v>
      </c>
      <c r="E884" s="1">
        <v>28374.58</v>
      </c>
      <c r="F884" s="41">
        <v>45409</v>
      </c>
      <c r="G884" s="41">
        <v>45774</v>
      </c>
      <c r="H884" s="1" t="s">
        <v>3601</v>
      </c>
      <c r="I884" s="1" t="s">
        <v>3324</v>
      </c>
      <c r="J884" t="str">
        <f>IF(ISNA(_xlfn.XLOOKUP(B884,customer_master!$A$2:$A$1649, customer_master!$A$2:$A$1649)), "Invalid", "Ok")</f>
        <v>Ok</v>
      </c>
      <c r="K884" t="str">
        <f>IF(ISNA(_xlfn.XLOOKUP(H884,agent_info!$A$2:$A$301, agent_info!$A$2:$A$301)), "Invalid", "Ok")</f>
        <v>Ok</v>
      </c>
    </row>
    <row r="885" spans="1:11" x14ac:dyDescent="0.3">
      <c r="A885" s="1" t="s">
        <v>4487</v>
      </c>
      <c r="B885" s="1" t="s">
        <v>2621</v>
      </c>
      <c r="C885" s="1" t="s">
        <v>3318</v>
      </c>
      <c r="D885" s="1">
        <v>576119.13</v>
      </c>
      <c r="E885" s="1">
        <v>28133.3</v>
      </c>
      <c r="F885" s="41">
        <v>44913</v>
      </c>
      <c r="G885" s="41">
        <v>45278</v>
      </c>
      <c r="H885" s="1" t="s">
        <v>3734</v>
      </c>
      <c r="I885" s="1" t="s">
        <v>3316</v>
      </c>
      <c r="J885" t="str">
        <f>IF(ISNA(_xlfn.XLOOKUP(B885,customer_master!$A$2:$A$1649, customer_master!$A$2:$A$1649)), "Invalid", "Ok")</f>
        <v>Ok</v>
      </c>
      <c r="K885" t="str">
        <f>IF(ISNA(_xlfn.XLOOKUP(H885,agent_info!$A$2:$A$301, agent_info!$A$2:$A$301)), "Invalid", "Ok")</f>
        <v>Ok</v>
      </c>
    </row>
    <row r="886" spans="1:11" x14ac:dyDescent="0.3">
      <c r="A886" s="1" t="s">
        <v>4488</v>
      </c>
      <c r="B886" s="1" t="s">
        <v>1721</v>
      </c>
      <c r="C886" s="1" t="s">
        <v>3334</v>
      </c>
      <c r="D886" s="1">
        <v>446675.32</v>
      </c>
      <c r="E886" s="1">
        <v>23495.86</v>
      </c>
      <c r="F886" s="41">
        <v>44782</v>
      </c>
      <c r="G886" s="41">
        <v>45147</v>
      </c>
      <c r="H886" s="1" t="s">
        <v>3576</v>
      </c>
      <c r="I886" s="1" t="s">
        <v>3324</v>
      </c>
      <c r="J886" t="str">
        <f>IF(ISNA(_xlfn.XLOOKUP(B886,customer_master!$A$2:$A$1649, customer_master!$A$2:$A$1649)), "Invalid", "Ok")</f>
        <v>Ok</v>
      </c>
      <c r="K886" t="str">
        <f>IF(ISNA(_xlfn.XLOOKUP(H886,agent_info!$A$2:$A$301, agent_info!$A$2:$A$301)), "Invalid", "Ok")</f>
        <v>Ok</v>
      </c>
    </row>
    <row r="887" spans="1:11" x14ac:dyDescent="0.3">
      <c r="A887" s="1" t="s">
        <v>4489</v>
      </c>
      <c r="B887" s="1" t="s">
        <v>87</v>
      </c>
      <c r="C887" s="1" t="s">
        <v>3326</v>
      </c>
      <c r="D887" s="1">
        <v>444861.17</v>
      </c>
      <c r="E887" s="1">
        <v>22945.22</v>
      </c>
      <c r="F887" s="41">
        <v>45046</v>
      </c>
      <c r="G887" s="41">
        <v>45412</v>
      </c>
      <c r="H887" s="1" t="s">
        <v>3751</v>
      </c>
      <c r="I887" s="1" t="s">
        <v>3324</v>
      </c>
      <c r="J887" t="str">
        <f>IF(ISNA(_xlfn.XLOOKUP(B887,customer_master!$A$2:$A$1649, customer_master!$A$2:$A$1649)), "Invalid", "Ok")</f>
        <v>Ok</v>
      </c>
      <c r="K887" t="str">
        <f>IF(ISNA(_xlfn.XLOOKUP(H887,agent_info!$A$2:$A$301, agent_info!$A$2:$A$301)), "Invalid", "Ok")</f>
        <v>Ok</v>
      </c>
    </row>
    <row r="888" spans="1:11" x14ac:dyDescent="0.3">
      <c r="A888" s="1" t="s">
        <v>4490</v>
      </c>
      <c r="B888" s="1" t="s">
        <v>1620</v>
      </c>
      <c r="C888" s="1" t="s">
        <v>3318</v>
      </c>
      <c r="D888" s="1">
        <v>705789.04</v>
      </c>
      <c r="E888" s="1">
        <v>34831.72</v>
      </c>
      <c r="F888" s="41">
        <v>44090</v>
      </c>
      <c r="G888" s="41">
        <v>44455</v>
      </c>
      <c r="H888" s="1" t="s">
        <v>3420</v>
      </c>
      <c r="I888" s="1" t="s">
        <v>3324</v>
      </c>
      <c r="J888" t="str">
        <f>IF(ISNA(_xlfn.XLOOKUP(B888,customer_master!$A$2:$A$1649, customer_master!$A$2:$A$1649)), "Invalid", "Ok")</f>
        <v>Ok</v>
      </c>
      <c r="K888" t="str">
        <f>IF(ISNA(_xlfn.XLOOKUP(H888,agent_info!$A$2:$A$301, agent_info!$A$2:$A$301)), "Invalid", "Ok")</f>
        <v>Ok</v>
      </c>
    </row>
    <row r="889" spans="1:11" x14ac:dyDescent="0.3">
      <c r="A889" s="1" t="s">
        <v>4491</v>
      </c>
      <c r="B889" s="1" t="s">
        <v>218</v>
      </c>
      <c r="C889" s="1" t="s">
        <v>3318</v>
      </c>
      <c r="D889" s="1">
        <v>672823.83</v>
      </c>
      <c r="E889" s="1">
        <v>31786.49</v>
      </c>
      <c r="F889" s="41">
        <v>45983</v>
      </c>
      <c r="G889" s="41">
        <v>46348</v>
      </c>
      <c r="H889" s="1" t="s">
        <v>4095</v>
      </c>
      <c r="I889" s="1" t="s">
        <v>3324</v>
      </c>
      <c r="J889" t="str">
        <f>IF(ISNA(_xlfn.XLOOKUP(B889,customer_master!$A$2:$A$1649, customer_master!$A$2:$A$1649)), "Invalid", "Ok")</f>
        <v>Ok</v>
      </c>
      <c r="K889" t="str">
        <f>IF(ISNA(_xlfn.XLOOKUP(H889,agent_info!$A$2:$A$301, agent_info!$A$2:$A$301)), "Invalid", "Ok")</f>
        <v>Ok</v>
      </c>
    </row>
    <row r="890" spans="1:11" x14ac:dyDescent="0.3">
      <c r="A890" s="1" t="s">
        <v>4492</v>
      </c>
      <c r="B890" s="1" t="s">
        <v>2740</v>
      </c>
      <c r="C890" s="1" t="s">
        <v>3331</v>
      </c>
      <c r="D890" s="1">
        <v>552192.01</v>
      </c>
      <c r="E890" s="1">
        <v>30074.81</v>
      </c>
      <c r="F890" s="41">
        <v>44230</v>
      </c>
      <c r="G890" s="41">
        <v>44595</v>
      </c>
      <c r="H890" s="1" t="s">
        <v>3530</v>
      </c>
      <c r="I890" s="1" t="s">
        <v>3324</v>
      </c>
      <c r="J890" t="str">
        <f>IF(ISNA(_xlfn.XLOOKUP(B890,customer_master!$A$2:$A$1649, customer_master!$A$2:$A$1649)), "Invalid", "Ok")</f>
        <v>Ok</v>
      </c>
      <c r="K890" t="str">
        <f>IF(ISNA(_xlfn.XLOOKUP(H890,agent_info!$A$2:$A$301, agent_info!$A$2:$A$301)), "Invalid", "Ok")</f>
        <v>Ok</v>
      </c>
    </row>
    <row r="891" spans="1:11" x14ac:dyDescent="0.3">
      <c r="A891" s="1" t="s">
        <v>4493</v>
      </c>
      <c r="B891" s="1" t="s">
        <v>405</v>
      </c>
      <c r="C891" s="1" t="s">
        <v>3326</v>
      </c>
      <c r="D891" s="1">
        <v>668157.75</v>
      </c>
      <c r="E891" s="1">
        <v>32792.639999999999</v>
      </c>
      <c r="F891" s="41">
        <v>44498</v>
      </c>
      <c r="G891" s="41">
        <v>44863</v>
      </c>
      <c r="H891" s="1" t="s">
        <v>3667</v>
      </c>
      <c r="I891" s="1" t="s">
        <v>3324</v>
      </c>
      <c r="J891" t="str">
        <f>IF(ISNA(_xlfn.XLOOKUP(B891,customer_master!$A$2:$A$1649, customer_master!$A$2:$A$1649)), "Invalid", "Ok")</f>
        <v>Ok</v>
      </c>
      <c r="K891" t="str">
        <f>IF(ISNA(_xlfn.XLOOKUP(H891,agent_info!$A$2:$A$301, agent_info!$A$2:$A$301)), "Invalid", "Ok")</f>
        <v>Ok</v>
      </c>
    </row>
    <row r="892" spans="1:11" x14ac:dyDescent="0.3">
      <c r="A892" s="1" t="s">
        <v>4494</v>
      </c>
      <c r="B892" s="1" t="s">
        <v>767</v>
      </c>
      <c r="C892" s="1" t="s">
        <v>3318</v>
      </c>
      <c r="D892" s="1">
        <v>687649.55</v>
      </c>
      <c r="E892" s="1">
        <v>36980.660000000003</v>
      </c>
      <c r="F892" s="41">
        <v>45467</v>
      </c>
      <c r="G892" s="41">
        <v>45832</v>
      </c>
      <c r="H892" s="1" t="s">
        <v>3322</v>
      </c>
      <c r="I892" s="1" t="s">
        <v>3324</v>
      </c>
      <c r="J892" t="str">
        <f>IF(ISNA(_xlfn.XLOOKUP(B892,customer_master!$A$2:$A$1649, customer_master!$A$2:$A$1649)), "Invalid", "Ok")</f>
        <v>Ok</v>
      </c>
      <c r="K892" t="str">
        <f>IF(ISNA(_xlfn.XLOOKUP(H892,agent_info!$A$2:$A$301, agent_info!$A$2:$A$301)), "Invalid", "Ok")</f>
        <v>Ok</v>
      </c>
    </row>
    <row r="893" spans="1:11" x14ac:dyDescent="0.3">
      <c r="A893" s="1" t="s">
        <v>4495</v>
      </c>
      <c r="B893" s="1" t="s">
        <v>1545</v>
      </c>
      <c r="C893" s="1" t="s">
        <v>3314</v>
      </c>
      <c r="D893" s="1">
        <v>428152.47</v>
      </c>
      <c r="E893" s="1">
        <v>22597.16</v>
      </c>
      <c r="F893" s="41">
        <v>44387</v>
      </c>
      <c r="G893" s="41">
        <v>44752</v>
      </c>
      <c r="H893" s="1" t="s">
        <v>3449</v>
      </c>
      <c r="I893" s="1" t="s">
        <v>3324</v>
      </c>
      <c r="J893" t="str">
        <f>IF(ISNA(_xlfn.XLOOKUP(B893,customer_master!$A$2:$A$1649, customer_master!$A$2:$A$1649)), "Invalid", "Ok")</f>
        <v>Ok</v>
      </c>
      <c r="K893" t="str">
        <f>IF(ISNA(_xlfn.XLOOKUP(H893,agent_info!$A$2:$A$301, agent_info!$A$2:$A$301)), "Invalid", "Ok")</f>
        <v>Ok</v>
      </c>
    </row>
    <row r="894" spans="1:11" x14ac:dyDescent="0.3">
      <c r="A894" s="1" t="s">
        <v>4496</v>
      </c>
      <c r="B894" s="1" t="s">
        <v>695</v>
      </c>
      <c r="C894" s="1" t="s">
        <v>3334</v>
      </c>
      <c r="D894" s="1">
        <v>618283.24</v>
      </c>
      <c r="E894" s="1">
        <v>33149.440000000002</v>
      </c>
      <c r="F894" s="41">
        <v>44524</v>
      </c>
      <c r="G894" s="41">
        <v>44889</v>
      </c>
      <c r="H894" s="1" t="s">
        <v>3377</v>
      </c>
      <c r="I894" s="1" t="s">
        <v>3324</v>
      </c>
      <c r="J894" t="str">
        <f>IF(ISNA(_xlfn.XLOOKUP(B894,customer_master!$A$2:$A$1649, customer_master!$A$2:$A$1649)), "Invalid", "Ok")</f>
        <v>Ok</v>
      </c>
      <c r="K894" t="str">
        <f>IF(ISNA(_xlfn.XLOOKUP(H894,agent_info!$A$2:$A$301, agent_info!$A$2:$A$301)), "Invalid", "Ok")</f>
        <v>Ok</v>
      </c>
    </row>
    <row r="895" spans="1:11" x14ac:dyDescent="0.3">
      <c r="A895" s="1" t="s">
        <v>4497</v>
      </c>
      <c r="B895" s="1" t="s">
        <v>1807</v>
      </c>
      <c r="C895" s="1" t="s">
        <v>3334</v>
      </c>
      <c r="D895" s="1">
        <v>692554.63</v>
      </c>
      <c r="E895" s="1">
        <v>31282.15</v>
      </c>
      <c r="F895" s="41">
        <v>44278</v>
      </c>
      <c r="G895" s="41">
        <v>44643</v>
      </c>
      <c r="H895" s="1" t="s">
        <v>3701</v>
      </c>
      <c r="I895" s="1" t="s">
        <v>3320</v>
      </c>
      <c r="J895" t="str">
        <f>IF(ISNA(_xlfn.XLOOKUP(B895,customer_master!$A$2:$A$1649, customer_master!$A$2:$A$1649)), "Invalid", "Ok")</f>
        <v>Ok</v>
      </c>
      <c r="K895" t="str">
        <f>IF(ISNA(_xlfn.XLOOKUP(H895,agent_info!$A$2:$A$301, agent_info!$A$2:$A$301)), "Invalid", "Ok")</f>
        <v>Ok</v>
      </c>
    </row>
    <row r="896" spans="1:11" x14ac:dyDescent="0.3">
      <c r="A896" s="1" t="s">
        <v>4498</v>
      </c>
      <c r="B896" s="1" t="s">
        <v>1549</v>
      </c>
      <c r="C896" s="1" t="s">
        <v>3326</v>
      </c>
      <c r="D896" s="1">
        <v>632920.43999999994</v>
      </c>
      <c r="E896" s="1">
        <v>31502.93</v>
      </c>
      <c r="F896" s="41">
        <v>45376</v>
      </c>
      <c r="G896" s="41">
        <v>45741</v>
      </c>
      <c r="H896" s="1" t="s">
        <v>3475</v>
      </c>
      <c r="I896" s="1" t="s">
        <v>3324</v>
      </c>
      <c r="J896" t="str">
        <f>IF(ISNA(_xlfn.XLOOKUP(B896,customer_master!$A$2:$A$1649, customer_master!$A$2:$A$1649)), "Invalid", "Ok")</f>
        <v>Ok</v>
      </c>
      <c r="K896" t="str">
        <f>IF(ISNA(_xlfn.XLOOKUP(H896,agent_info!$A$2:$A$301, agent_info!$A$2:$A$301)), "Invalid", "Ok")</f>
        <v>Ok</v>
      </c>
    </row>
    <row r="897" spans="1:11" x14ac:dyDescent="0.3">
      <c r="A897" s="1" t="s">
        <v>4499</v>
      </c>
      <c r="B897" s="1" t="s">
        <v>3160</v>
      </c>
      <c r="C897" s="1" t="s">
        <v>3318</v>
      </c>
      <c r="D897" s="1">
        <v>412526.97</v>
      </c>
      <c r="E897" s="1">
        <v>19633.95</v>
      </c>
      <c r="F897" s="41">
        <v>45899</v>
      </c>
      <c r="G897" s="41">
        <v>46264</v>
      </c>
      <c r="H897" s="1" t="s">
        <v>3515</v>
      </c>
      <c r="I897" s="1" t="s">
        <v>3324</v>
      </c>
      <c r="J897" t="str">
        <f>IF(ISNA(_xlfn.XLOOKUP(B897,customer_master!$A$2:$A$1649, customer_master!$A$2:$A$1649)), "Invalid", "Ok")</f>
        <v>Ok</v>
      </c>
      <c r="K897" t="str">
        <f>IF(ISNA(_xlfn.XLOOKUP(H897,agent_info!$A$2:$A$301, agent_info!$A$2:$A$301)), "Invalid", "Ok")</f>
        <v>Ok</v>
      </c>
    </row>
    <row r="898" spans="1:11" x14ac:dyDescent="0.3">
      <c r="A898" s="1" t="s">
        <v>4500</v>
      </c>
      <c r="B898" s="1" t="s">
        <v>324</v>
      </c>
      <c r="C898" s="1" t="s">
        <v>3314</v>
      </c>
      <c r="D898" s="1">
        <v>471475.3</v>
      </c>
      <c r="E898" s="1">
        <v>22508.33</v>
      </c>
      <c r="F898" s="41">
        <v>46119</v>
      </c>
      <c r="G898" s="41">
        <v>46484</v>
      </c>
      <c r="H898" s="1" t="s">
        <v>3387</v>
      </c>
      <c r="I898" s="1" t="s">
        <v>3324</v>
      </c>
      <c r="J898" t="str">
        <f>IF(ISNA(_xlfn.XLOOKUP(B898,customer_master!$A$2:$A$1649, customer_master!$A$2:$A$1649)), "Invalid", "Ok")</f>
        <v>Ok</v>
      </c>
      <c r="K898" t="str">
        <f>IF(ISNA(_xlfn.XLOOKUP(H898,agent_info!$A$2:$A$301, agent_info!$A$2:$A$301)), "Invalid", "Ok")</f>
        <v>Ok</v>
      </c>
    </row>
    <row r="899" spans="1:11" x14ac:dyDescent="0.3">
      <c r="A899" s="1" t="s">
        <v>4501</v>
      </c>
      <c r="B899" s="1" t="s">
        <v>1927</v>
      </c>
      <c r="C899" s="1" t="s">
        <v>3318</v>
      </c>
      <c r="D899" s="1">
        <v>534128.86</v>
      </c>
      <c r="E899" s="1">
        <v>25477.09</v>
      </c>
      <c r="F899" s="41">
        <v>44594</v>
      </c>
      <c r="G899" s="41">
        <v>44959</v>
      </c>
      <c r="H899" s="1" t="s">
        <v>3545</v>
      </c>
      <c r="I899" s="1" t="s">
        <v>3324</v>
      </c>
      <c r="J899" t="str">
        <f>IF(ISNA(_xlfn.XLOOKUP(B899,customer_master!$A$2:$A$1649, customer_master!$A$2:$A$1649)), "Invalid", "Ok")</f>
        <v>Ok</v>
      </c>
      <c r="K899" t="str">
        <f>IF(ISNA(_xlfn.XLOOKUP(H899,agent_info!$A$2:$A$301, agent_info!$A$2:$A$301)), "Invalid", "Ok")</f>
        <v>Ok</v>
      </c>
    </row>
    <row r="900" spans="1:11" x14ac:dyDescent="0.3">
      <c r="A900" s="1" t="s">
        <v>4502</v>
      </c>
      <c r="B900" s="1" t="s">
        <v>2414</v>
      </c>
      <c r="C900" s="1" t="s">
        <v>3318</v>
      </c>
      <c r="D900" s="1">
        <v>473116.55</v>
      </c>
      <c r="E900" s="1">
        <v>23132.15</v>
      </c>
      <c r="F900" s="41">
        <v>44248</v>
      </c>
      <c r="G900" s="41">
        <v>44613</v>
      </c>
      <c r="H900" s="1" t="s">
        <v>3329</v>
      </c>
      <c r="I900" s="1" t="s">
        <v>3316</v>
      </c>
      <c r="J900" t="str">
        <f>IF(ISNA(_xlfn.XLOOKUP(B900,customer_master!$A$2:$A$1649, customer_master!$A$2:$A$1649)), "Invalid", "Ok")</f>
        <v>Ok</v>
      </c>
      <c r="K900" t="str">
        <f>IF(ISNA(_xlfn.XLOOKUP(H900,agent_info!$A$2:$A$301, agent_info!$A$2:$A$301)), "Invalid", "Ok")</f>
        <v>Ok</v>
      </c>
    </row>
    <row r="901" spans="1:11" x14ac:dyDescent="0.3">
      <c r="A901" s="1" t="s">
        <v>4503</v>
      </c>
      <c r="B901" s="1" t="s">
        <v>459</v>
      </c>
      <c r="C901" s="1" t="s">
        <v>3331</v>
      </c>
      <c r="D901" s="1">
        <v>423059.9</v>
      </c>
      <c r="E901" s="1">
        <v>20775.22</v>
      </c>
      <c r="F901" s="41">
        <v>45666</v>
      </c>
      <c r="G901" s="41">
        <v>46031</v>
      </c>
      <c r="H901" s="1" t="s">
        <v>3427</v>
      </c>
      <c r="I901" s="1" t="s">
        <v>3324</v>
      </c>
      <c r="J901" t="str">
        <f>IF(ISNA(_xlfn.XLOOKUP(B901,customer_master!$A$2:$A$1649, customer_master!$A$2:$A$1649)), "Invalid", "Ok")</f>
        <v>Ok</v>
      </c>
      <c r="K901" t="str">
        <f>IF(ISNA(_xlfn.XLOOKUP(H901,agent_info!$A$2:$A$301, agent_info!$A$2:$A$301)), "Invalid", "Ok")</f>
        <v>Ok</v>
      </c>
    </row>
    <row r="902" spans="1:11" x14ac:dyDescent="0.3">
      <c r="A902" s="1" t="s">
        <v>4504</v>
      </c>
      <c r="B902" s="1" t="s">
        <v>2141</v>
      </c>
      <c r="C902" s="1" t="s">
        <v>3318</v>
      </c>
      <c r="D902" s="1">
        <v>615686.56000000006</v>
      </c>
      <c r="E902" s="1">
        <v>31609.599999999999</v>
      </c>
      <c r="F902" s="41">
        <v>44759</v>
      </c>
      <c r="G902" s="41">
        <v>45124</v>
      </c>
      <c r="H902" s="1" t="s">
        <v>4505</v>
      </c>
      <c r="I902" s="1" t="s">
        <v>3324</v>
      </c>
      <c r="J902" t="str">
        <f>IF(ISNA(_xlfn.XLOOKUP(B902,customer_master!$A$2:$A$1649, customer_master!$A$2:$A$1649)), "Invalid", "Ok")</f>
        <v>Ok</v>
      </c>
      <c r="K902" t="str">
        <f>IF(ISNA(_xlfn.XLOOKUP(H902,agent_info!$A$2:$A$301, agent_info!$A$2:$A$301)), "Invalid", "Ok")</f>
        <v>Ok</v>
      </c>
    </row>
    <row r="903" spans="1:11" x14ac:dyDescent="0.3">
      <c r="A903" s="1" t="s">
        <v>4506</v>
      </c>
      <c r="B903" s="1" t="s">
        <v>2871</v>
      </c>
      <c r="C903" s="1" t="s">
        <v>3334</v>
      </c>
      <c r="D903" s="1">
        <v>580377.28</v>
      </c>
      <c r="E903" s="1">
        <v>27860.23</v>
      </c>
      <c r="F903" s="41">
        <v>45658</v>
      </c>
      <c r="G903" s="41">
        <v>46023</v>
      </c>
      <c r="H903" s="1" t="s">
        <v>3830</v>
      </c>
      <c r="I903" s="1" t="s">
        <v>3320</v>
      </c>
      <c r="J903" t="str">
        <f>IF(ISNA(_xlfn.XLOOKUP(B903,customer_master!$A$2:$A$1649, customer_master!$A$2:$A$1649)), "Invalid", "Ok")</f>
        <v>Ok</v>
      </c>
      <c r="K903" t="str">
        <f>IF(ISNA(_xlfn.XLOOKUP(H903,agent_info!$A$2:$A$301, agent_info!$A$2:$A$301)), "Invalid", "Ok")</f>
        <v>Ok</v>
      </c>
    </row>
    <row r="904" spans="1:11" x14ac:dyDescent="0.3">
      <c r="A904" s="1" t="s">
        <v>4507</v>
      </c>
      <c r="B904" s="1" t="s">
        <v>2611</v>
      </c>
      <c r="C904" s="1" t="s">
        <v>3331</v>
      </c>
      <c r="D904" s="1">
        <v>440628.59</v>
      </c>
      <c r="E904" s="1">
        <v>21030.22</v>
      </c>
      <c r="F904" s="41">
        <v>44613</v>
      </c>
      <c r="G904" s="41">
        <v>44978</v>
      </c>
      <c r="H904" s="1" t="s">
        <v>3840</v>
      </c>
      <c r="I904" s="1" t="s">
        <v>3324</v>
      </c>
      <c r="J904" t="str">
        <f>IF(ISNA(_xlfn.XLOOKUP(B904,customer_master!$A$2:$A$1649, customer_master!$A$2:$A$1649)), "Invalid", "Ok")</f>
        <v>Ok</v>
      </c>
      <c r="K904" t="str">
        <f>IF(ISNA(_xlfn.XLOOKUP(H904,agent_info!$A$2:$A$301, agent_info!$A$2:$A$301)), "Invalid", "Ok")</f>
        <v>Ok</v>
      </c>
    </row>
    <row r="905" spans="1:11" x14ac:dyDescent="0.3">
      <c r="A905" s="1" t="s">
        <v>4508</v>
      </c>
      <c r="B905" s="1" t="s">
        <v>3108</v>
      </c>
      <c r="C905" s="1" t="s">
        <v>3334</v>
      </c>
      <c r="D905" s="1">
        <v>610757.06999999995</v>
      </c>
      <c r="E905" s="1">
        <v>29686.51</v>
      </c>
      <c r="F905" s="41">
        <v>44463</v>
      </c>
      <c r="G905" s="41">
        <v>44828</v>
      </c>
      <c r="H905" s="1" t="s">
        <v>3462</v>
      </c>
      <c r="I905" s="1" t="s">
        <v>3324</v>
      </c>
      <c r="J905" t="str">
        <f>IF(ISNA(_xlfn.XLOOKUP(B905,customer_master!$A$2:$A$1649, customer_master!$A$2:$A$1649)), "Invalid", "Ok")</f>
        <v>Ok</v>
      </c>
      <c r="K905" t="str">
        <f>IF(ISNA(_xlfn.XLOOKUP(H905,agent_info!$A$2:$A$301, agent_info!$A$2:$A$301)), "Invalid", "Ok")</f>
        <v>Ok</v>
      </c>
    </row>
    <row r="906" spans="1:11" x14ac:dyDescent="0.3">
      <c r="A906" s="1" t="s">
        <v>4509</v>
      </c>
      <c r="B906" s="1" t="s">
        <v>2414</v>
      </c>
      <c r="C906" s="1" t="s">
        <v>3314</v>
      </c>
      <c r="D906" s="1">
        <v>408875.76</v>
      </c>
      <c r="E906" s="1">
        <v>21206.400000000001</v>
      </c>
      <c r="F906" s="41">
        <v>44622</v>
      </c>
      <c r="G906" s="41">
        <v>44987</v>
      </c>
      <c r="H906" s="1" t="s">
        <v>3788</v>
      </c>
      <c r="I906" s="1" t="s">
        <v>3316</v>
      </c>
      <c r="J906" t="str">
        <f>IF(ISNA(_xlfn.XLOOKUP(B906,customer_master!$A$2:$A$1649, customer_master!$A$2:$A$1649)), "Invalid", "Ok")</f>
        <v>Ok</v>
      </c>
      <c r="K906" t="str">
        <f>IF(ISNA(_xlfn.XLOOKUP(H906,agent_info!$A$2:$A$301, agent_info!$A$2:$A$301)), "Invalid", "Ok")</f>
        <v>Ok</v>
      </c>
    </row>
    <row r="907" spans="1:11" x14ac:dyDescent="0.3">
      <c r="A907" s="1" t="s">
        <v>4510</v>
      </c>
      <c r="B907" s="1" t="s">
        <v>1347</v>
      </c>
      <c r="C907" s="1" t="s">
        <v>3334</v>
      </c>
      <c r="D907" s="1">
        <v>532470.81000000006</v>
      </c>
      <c r="E907" s="1">
        <v>23962.1</v>
      </c>
      <c r="F907" s="41">
        <v>44702</v>
      </c>
      <c r="G907" s="41">
        <v>45067</v>
      </c>
      <c r="H907" s="1" t="s">
        <v>4511</v>
      </c>
      <c r="I907" s="1" t="s">
        <v>3324</v>
      </c>
      <c r="J907" t="str">
        <f>IF(ISNA(_xlfn.XLOOKUP(B907,customer_master!$A$2:$A$1649, customer_master!$A$2:$A$1649)), "Invalid", "Ok")</f>
        <v>Ok</v>
      </c>
      <c r="K907" t="str">
        <f>IF(ISNA(_xlfn.XLOOKUP(H907,agent_info!$A$2:$A$301, agent_info!$A$2:$A$301)), "Invalid", "Ok")</f>
        <v>Ok</v>
      </c>
    </row>
    <row r="908" spans="1:11" x14ac:dyDescent="0.3">
      <c r="A908" s="1" t="s">
        <v>4512</v>
      </c>
      <c r="B908" s="1" t="s">
        <v>3065</v>
      </c>
      <c r="C908" s="1" t="s">
        <v>3318</v>
      </c>
      <c r="D908" s="1">
        <v>677571.79</v>
      </c>
      <c r="E908" s="1">
        <v>35551.699999999997</v>
      </c>
      <c r="F908" s="41">
        <v>45059</v>
      </c>
      <c r="G908" s="41">
        <v>45425</v>
      </c>
      <c r="H908" s="1" t="s">
        <v>4303</v>
      </c>
      <c r="I908" s="1" t="s">
        <v>3316</v>
      </c>
      <c r="J908" t="str">
        <f>IF(ISNA(_xlfn.XLOOKUP(B908,customer_master!$A$2:$A$1649, customer_master!$A$2:$A$1649)), "Invalid", "Ok")</f>
        <v>Ok</v>
      </c>
      <c r="K908" t="str">
        <f>IF(ISNA(_xlfn.XLOOKUP(H908,agent_info!$A$2:$A$301, agent_info!$A$2:$A$301)), "Invalid", "Ok")</f>
        <v>Ok</v>
      </c>
    </row>
    <row r="909" spans="1:11" x14ac:dyDescent="0.3">
      <c r="A909" s="1" t="s">
        <v>4513</v>
      </c>
      <c r="B909" s="1" t="s">
        <v>799</v>
      </c>
      <c r="C909" s="1" t="s">
        <v>3334</v>
      </c>
      <c r="D909" s="1">
        <v>727669.11</v>
      </c>
      <c r="E909" s="1">
        <v>35211.68</v>
      </c>
      <c r="F909" s="41">
        <v>45470</v>
      </c>
      <c r="G909" s="41">
        <v>45835</v>
      </c>
      <c r="H909" s="1" t="s">
        <v>3710</v>
      </c>
      <c r="I909" s="1" t="s">
        <v>3324</v>
      </c>
      <c r="J909" t="str">
        <f>IF(ISNA(_xlfn.XLOOKUP(B909,customer_master!$A$2:$A$1649, customer_master!$A$2:$A$1649)), "Invalid", "Ok")</f>
        <v>Ok</v>
      </c>
      <c r="K909" t="str">
        <f>IF(ISNA(_xlfn.XLOOKUP(H909,agent_info!$A$2:$A$301, agent_info!$A$2:$A$301)), "Invalid", "Ok")</f>
        <v>Ok</v>
      </c>
    </row>
    <row r="910" spans="1:11" x14ac:dyDescent="0.3">
      <c r="A910" s="1" t="s">
        <v>4514</v>
      </c>
      <c r="B910" s="1" t="s">
        <v>1946</v>
      </c>
      <c r="C910" s="1" t="s">
        <v>3331</v>
      </c>
      <c r="D910" s="1">
        <v>475057.01</v>
      </c>
      <c r="E910" s="1">
        <v>24115.03</v>
      </c>
      <c r="F910" s="41">
        <v>44672</v>
      </c>
      <c r="G910" s="41">
        <v>45037</v>
      </c>
      <c r="H910" s="1" t="s">
        <v>3435</v>
      </c>
      <c r="I910" s="1" t="s">
        <v>3316</v>
      </c>
      <c r="J910" t="str">
        <f>IF(ISNA(_xlfn.XLOOKUP(B910,customer_master!$A$2:$A$1649, customer_master!$A$2:$A$1649)), "Invalid", "Ok")</f>
        <v>Ok</v>
      </c>
      <c r="K910" t="str">
        <f>IF(ISNA(_xlfn.XLOOKUP(H910,agent_info!$A$2:$A$301, agent_info!$A$2:$A$301)), "Invalid", "Ok")</f>
        <v>Ok</v>
      </c>
    </row>
    <row r="911" spans="1:11" x14ac:dyDescent="0.3">
      <c r="A911" s="1" t="s">
        <v>4515</v>
      </c>
      <c r="B911" s="1" t="s">
        <v>2549</v>
      </c>
      <c r="C911" s="1" t="s">
        <v>3318</v>
      </c>
      <c r="D911" s="1">
        <v>702894.33</v>
      </c>
      <c r="E911" s="1">
        <v>36982.94</v>
      </c>
      <c r="F911" s="41">
        <v>45789</v>
      </c>
      <c r="G911" s="41">
        <v>46154</v>
      </c>
      <c r="H911" s="1" t="s">
        <v>4067</v>
      </c>
      <c r="I911" s="1" t="s">
        <v>3320</v>
      </c>
      <c r="J911" t="str">
        <f>IF(ISNA(_xlfn.XLOOKUP(B911,customer_master!$A$2:$A$1649, customer_master!$A$2:$A$1649)), "Invalid", "Ok")</f>
        <v>Ok</v>
      </c>
      <c r="K911" t="str">
        <f>IF(ISNA(_xlfn.XLOOKUP(H911,agent_info!$A$2:$A$301, agent_info!$A$2:$A$301)), "Invalid", "Ok")</f>
        <v>Ok</v>
      </c>
    </row>
    <row r="912" spans="1:11" x14ac:dyDescent="0.3">
      <c r="A912" s="1" t="s">
        <v>4516</v>
      </c>
      <c r="B912" s="1" t="s">
        <v>2901</v>
      </c>
      <c r="C912" s="1" t="s">
        <v>3334</v>
      </c>
      <c r="D912" s="1">
        <v>728326.75</v>
      </c>
      <c r="E912" s="1">
        <v>36495.25</v>
      </c>
      <c r="F912" s="41">
        <v>44252</v>
      </c>
      <c r="G912" s="41">
        <v>44617</v>
      </c>
      <c r="H912" s="1" t="s">
        <v>3433</v>
      </c>
      <c r="I912" s="1" t="s">
        <v>3324</v>
      </c>
      <c r="J912" t="str">
        <f>IF(ISNA(_xlfn.XLOOKUP(B912,customer_master!$A$2:$A$1649, customer_master!$A$2:$A$1649)), "Invalid", "Ok")</f>
        <v>Ok</v>
      </c>
      <c r="K912" t="str">
        <f>IF(ISNA(_xlfn.XLOOKUP(H912,agent_info!$A$2:$A$301, agent_info!$A$2:$A$301)), "Invalid", "Ok")</f>
        <v>Ok</v>
      </c>
    </row>
    <row r="913" spans="1:11" x14ac:dyDescent="0.3">
      <c r="A913" s="1" t="s">
        <v>4517</v>
      </c>
      <c r="B913" s="1" t="s">
        <v>3047</v>
      </c>
      <c r="C913" s="1" t="s">
        <v>3331</v>
      </c>
      <c r="D913" s="1">
        <v>613025.6</v>
      </c>
      <c r="E913" s="1">
        <v>31553.35</v>
      </c>
      <c r="F913" s="41">
        <v>46208</v>
      </c>
      <c r="G913" s="41">
        <v>46573</v>
      </c>
      <c r="H913" s="1" t="s">
        <v>4518</v>
      </c>
      <c r="I913" s="1" t="s">
        <v>3316</v>
      </c>
      <c r="J913" t="str">
        <f>IF(ISNA(_xlfn.XLOOKUP(B913,customer_master!$A$2:$A$1649, customer_master!$A$2:$A$1649)), "Invalid", "Ok")</f>
        <v>Ok</v>
      </c>
      <c r="K913" t="str">
        <f>IF(ISNA(_xlfn.XLOOKUP(H913,agent_info!$A$2:$A$301, agent_info!$A$2:$A$301)), "Invalid", "Ok")</f>
        <v>Ok</v>
      </c>
    </row>
    <row r="914" spans="1:11" x14ac:dyDescent="0.3">
      <c r="A914" s="1" t="s">
        <v>4519</v>
      </c>
      <c r="B914" s="1" t="s">
        <v>318</v>
      </c>
      <c r="C914" s="1" t="s">
        <v>3314</v>
      </c>
      <c r="D914" s="1">
        <v>763138.49</v>
      </c>
      <c r="E914" s="1">
        <v>41361.65</v>
      </c>
      <c r="F914" s="41">
        <v>44949</v>
      </c>
      <c r="G914" s="41">
        <v>45314</v>
      </c>
      <c r="H914" s="1" t="s">
        <v>3439</v>
      </c>
      <c r="I914" s="1" t="s">
        <v>3324</v>
      </c>
      <c r="J914" t="str">
        <f>IF(ISNA(_xlfn.XLOOKUP(B914,customer_master!$A$2:$A$1649, customer_master!$A$2:$A$1649)), "Invalid", "Ok")</f>
        <v>Ok</v>
      </c>
      <c r="K914" t="str">
        <f>IF(ISNA(_xlfn.XLOOKUP(H914,agent_info!$A$2:$A$301, agent_info!$A$2:$A$301)), "Invalid", "Ok")</f>
        <v>Ok</v>
      </c>
    </row>
    <row r="915" spans="1:11" x14ac:dyDescent="0.3">
      <c r="A915" s="1" t="s">
        <v>4520</v>
      </c>
      <c r="B915" s="1" t="s">
        <v>2430</v>
      </c>
      <c r="C915" s="1" t="s">
        <v>3326</v>
      </c>
      <c r="D915" s="1">
        <v>436161.54</v>
      </c>
      <c r="E915" s="1">
        <v>19757.53</v>
      </c>
      <c r="F915" s="41">
        <v>44444</v>
      </c>
      <c r="G915" s="41">
        <v>44809</v>
      </c>
      <c r="H915" s="1" t="s">
        <v>4282</v>
      </c>
      <c r="I915" s="1" t="s">
        <v>3324</v>
      </c>
      <c r="J915" t="str">
        <f>IF(ISNA(_xlfn.XLOOKUP(B915,customer_master!$A$2:$A$1649, customer_master!$A$2:$A$1649)), "Invalid", "Ok")</f>
        <v>Ok</v>
      </c>
      <c r="K915" t="str">
        <f>IF(ISNA(_xlfn.XLOOKUP(H915,agent_info!$A$2:$A$301, agent_info!$A$2:$A$301)), "Invalid", "Ok")</f>
        <v>Ok</v>
      </c>
    </row>
    <row r="916" spans="1:11" x14ac:dyDescent="0.3">
      <c r="A916" s="1" t="s">
        <v>4521</v>
      </c>
      <c r="B916" s="1" t="s">
        <v>725</v>
      </c>
      <c r="C916" s="1" t="s">
        <v>3318</v>
      </c>
      <c r="D916" s="1">
        <v>404072.26</v>
      </c>
      <c r="E916" s="1">
        <v>19595.599999999999</v>
      </c>
      <c r="F916" s="41">
        <v>45044</v>
      </c>
      <c r="G916" s="41">
        <v>45410</v>
      </c>
      <c r="H916" s="1" t="s">
        <v>3917</v>
      </c>
      <c r="I916" s="1" t="s">
        <v>3316</v>
      </c>
      <c r="J916" t="str">
        <f>IF(ISNA(_xlfn.XLOOKUP(B916,customer_master!$A$2:$A$1649, customer_master!$A$2:$A$1649)), "Invalid", "Ok")</f>
        <v>Ok</v>
      </c>
      <c r="K916" t="str">
        <f>IF(ISNA(_xlfn.XLOOKUP(H916,agent_info!$A$2:$A$301, agent_info!$A$2:$A$301)), "Invalid", "Ok")</f>
        <v>Ok</v>
      </c>
    </row>
    <row r="917" spans="1:11" x14ac:dyDescent="0.3">
      <c r="A917" s="1" t="s">
        <v>4522</v>
      </c>
      <c r="B917" s="1" t="s">
        <v>2591</v>
      </c>
      <c r="C917" s="1" t="s">
        <v>3331</v>
      </c>
      <c r="D917" s="1">
        <v>703273.56</v>
      </c>
      <c r="E917" s="1">
        <v>38165.629999999997</v>
      </c>
      <c r="F917" s="41">
        <v>45184</v>
      </c>
      <c r="G917" s="41">
        <v>45550</v>
      </c>
      <c r="H917" s="1" t="s">
        <v>3527</v>
      </c>
      <c r="I917" s="1" t="s">
        <v>3324</v>
      </c>
      <c r="J917" t="str">
        <f>IF(ISNA(_xlfn.XLOOKUP(B917,customer_master!$A$2:$A$1649, customer_master!$A$2:$A$1649)), "Invalid", "Ok")</f>
        <v>Ok</v>
      </c>
      <c r="K917" t="str">
        <f>IF(ISNA(_xlfn.XLOOKUP(H917,agent_info!$A$2:$A$301, agent_info!$A$2:$A$301)), "Invalid", "Ok")</f>
        <v>Ok</v>
      </c>
    </row>
    <row r="918" spans="1:11" x14ac:dyDescent="0.3">
      <c r="A918" s="1" t="s">
        <v>4523</v>
      </c>
      <c r="B918" s="1" t="s">
        <v>2337</v>
      </c>
      <c r="C918" s="1" t="s">
        <v>3331</v>
      </c>
      <c r="D918" s="1">
        <v>568790.05000000005</v>
      </c>
      <c r="E918" s="1">
        <v>30358.77</v>
      </c>
      <c r="F918" s="41">
        <v>45687</v>
      </c>
      <c r="G918" s="41">
        <v>46052</v>
      </c>
      <c r="H918" s="1" t="s">
        <v>4524</v>
      </c>
      <c r="I918" s="1" t="s">
        <v>3320</v>
      </c>
      <c r="J918" t="str">
        <f>IF(ISNA(_xlfn.XLOOKUP(B918,customer_master!$A$2:$A$1649, customer_master!$A$2:$A$1649)), "Invalid", "Ok")</f>
        <v>Ok</v>
      </c>
      <c r="K918" t="str">
        <f>IF(ISNA(_xlfn.XLOOKUP(H918,agent_info!$A$2:$A$301, agent_info!$A$2:$A$301)), "Invalid", "Ok")</f>
        <v>Ok</v>
      </c>
    </row>
    <row r="919" spans="1:11" x14ac:dyDescent="0.3">
      <c r="A919" s="1" t="s">
        <v>4525</v>
      </c>
      <c r="B919" s="1" t="s">
        <v>642</v>
      </c>
      <c r="C919" s="1" t="s">
        <v>3334</v>
      </c>
      <c r="D919" s="1">
        <v>518384.74</v>
      </c>
      <c r="E919" s="1">
        <v>26524.86</v>
      </c>
      <c r="F919" s="41">
        <v>45743</v>
      </c>
      <c r="G919" s="41">
        <v>46108</v>
      </c>
      <c r="H919" s="1" t="s">
        <v>4303</v>
      </c>
      <c r="I919" s="1" t="s">
        <v>3324</v>
      </c>
      <c r="J919" t="str">
        <f>IF(ISNA(_xlfn.XLOOKUP(B919,customer_master!$A$2:$A$1649, customer_master!$A$2:$A$1649)), "Invalid", "Ok")</f>
        <v>Ok</v>
      </c>
      <c r="K919" t="str">
        <f>IF(ISNA(_xlfn.XLOOKUP(H919,agent_info!$A$2:$A$301, agent_info!$A$2:$A$301)), "Invalid", "Ok")</f>
        <v>Ok</v>
      </c>
    </row>
    <row r="920" spans="1:11" x14ac:dyDescent="0.3">
      <c r="A920" s="1" t="s">
        <v>4526</v>
      </c>
      <c r="B920" s="1" t="s">
        <v>2762</v>
      </c>
      <c r="C920" s="1" t="s">
        <v>3326</v>
      </c>
      <c r="D920" s="1">
        <v>369331.49</v>
      </c>
      <c r="E920" s="1">
        <v>17466.810000000001</v>
      </c>
      <c r="F920" s="41">
        <v>45873</v>
      </c>
      <c r="G920" s="41">
        <v>46238</v>
      </c>
      <c r="H920" s="1" t="s">
        <v>3492</v>
      </c>
      <c r="I920" s="1" t="s">
        <v>3324</v>
      </c>
      <c r="J920" t="str">
        <f>IF(ISNA(_xlfn.XLOOKUP(B920,customer_master!$A$2:$A$1649, customer_master!$A$2:$A$1649)), "Invalid", "Ok")</f>
        <v>Ok</v>
      </c>
      <c r="K920" t="str">
        <f>IF(ISNA(_xlfn.XLOOKUP(H920,agent_info!$A$2:$A$301, agent_info!$A$2:$A$301)), "Invalid", "Ok")</f>
        <v>Ok</v>
      </c>
    </row>
    <row r="921" spans="1:11" x14ac:dyDescent="0.3">
      <c r="A921" s="1" t="s">
        <v>4527</v>
      </c>
      <c r="B921" s="1" t="s">
        <v>1551</v>
      </c>
      <c r="C921" s="1" t="s">
        <v>3318</v>
      </c>
      <c r="D921" s="1">
        <v>402428.05</v>
      </c>
      <c r="E921" s="1">
        <v>19439.419999999998</v>
      </c>
      <c r="F921" s="41">
        <v>45816</v>
      </c>
      <c r="G921" s="41">
        <v>46181</v>
      </c>
      <c r="H921" s="1" t="s">
        <v>4313</v>
      </c>
      <c r="I921" s="1" t="s">
        <v>3324</v>
      </c>
      <c r="J921" t="str">
        <f>IF(ISNA(_xlfn.XLOOKUP(B921,customer_master!$A$2:$A$1649, customer_master!$A$2:$A$1649)), "Invalid", "Ok")</f>
        <v>Ok</v>
      </c>
      <c r="K921" t="str">
        <f>IF(ISNA(_xlfn.XLOOKUP(H921,agent_info!$A$2:$A$301, agent_info!$A$2:$A$301)), "Invalid", "Ok")</f>
        <v>Ok</v>
      </c>
    </row>
    <row r="922" spans="1:11" x14ac:dyDescent="0.3">
      <c r="A922" s="1" t="s">
        <v>4528</v>
      </c>
      <c r="B922" s="1" t="s">
        <v>1819</v>
      </c>
      <c r="C922" s="1" t="s">
        <v>3331</v>
      </c>
      <c r="D922" s="1">
        <v>416108.33</v>
      </c>
      <c r="E922" s="1">
        <v>22294.9</v>
      </c>
      <c r="F922" s="41">
        <v>44120</v>
      </c>
      <c r="G922" s="41">
        <v>44485</v>
      </c>
      <c r="H922" s="1" t="s">
        <v>3487</v>
      </c>
      <c r="I922" s="1" t="s">
        <v>3324</v>
      </c>
      <c r="J922" t="str">
        <f>IF(ISNA(_xlfn.XLOOKUP(B922,customer_master!$A$2:$A$1649, customer_master!$A$2:$A$1649)), "Invalid", "Ok")</f>
        <v>Ok</v>
      </c>
      <c r="K922" t="str">
        <f>IF(ISNA(_xlfn.XLOOKUP(H922,agent_info!$A$2:$A$301, agent_info!$A$2:$A$301)), "Invalid", "Ok")</f>
        <v>Ok</v>
      </c>
    </row>
    <row r="923" spans="1:11" x14ac:dyDescent="0.3">
      <c r="A923" s="1" t="s">
        <v>4529</v>
      </c>
      <c r="B923" s="1" t="s">
        <v>3222</v>
      </c>
      <c r="C923" s="1" t="s">
        <v>3334</v>
      </c>
      <c r="D923" s="1">
        <v>455702.37</v>
      </c>
      <c r="E923" s="1">
        <v>23688.65</v>
      </c>
      <c r="F923" s="41">
        <v>44913</v>
      </c>
      <c r="G923" s="41">
        <v>45278</v>
      </c>
      <c r="H923" s="1" t="s">
        <v>3714</v>
      </c>
      <c r="I923" s="1" t="s">
        <v>3324</v>
      </c>
      <c r="J923" t="str">
        <f>IF(ISNA(_xlfn.XLOOKUP(B923,customer_master!$A$2:$A$1649, customer_master!$A$2:$A$1649)), "Invalid", "Ok")</f>
        <v>Ok</v>
      </c>
      <c r="K923" t="str">
        <f>IF(ISNA(_xlfn.XLOOKUP(H923,agent_info!$A$2:$A$301, agent_info!$A$2:$A$301)), "Invalid", "Ok")</f>
        <v>Ok</v>
      </c>
    </row>
    <row r="924" spans="1:11" x14ac:dyDescent="0.3">
      <c r="A924" s="1" t="s">
        <v>4530</v>
      </c>
      <c r="B924" s="1" t="s">
        <v>2190</v>
      </c>
      <c r="C924" s="1" t="s">
        <v>3334</v>
      </c>
      <c r="D924" s="1">
        <v>758604.36</v>
      </c>
      <c r="E924" s="1">
        <v>36304.15</v>
      </c>
      <c r="F924" s="41">
        <v>45949</v>
      </c>
      <c r="G924" s="41">
        <v>46314</v>
      </c>
      <c r="H924" s="1" t="s">
        <v>3315</v>
      </c>
      <c r="I924" s="1" t="s">
        <v>3324</v>
      </c>
      <c r="J924" t="str">
        <f>IF(ISNA(_xlfn.XLOOKUP(B924,customer_master!$A$2:$A$1649, customer_master!$A$2:$A$1649)), "Invalid", "Ok")</f>
        <v>Ok</v>
      </c>
      <c r="K924" t="str">
        <f>IF(ISNA(_xlfn.XLOOKUP(H924,agent_info!$A$2:$A$301, agent_info!$A$2:$A$301)), "Invalid", "Ok")</f>
        <v>Ok</v>
      </c>
    </row>
    <row r="925" spans="1:11" x14ac:dyDescent="0.3">
      <c r="A925" s="1" t="s">
        <v>4531</v>
      </c>
      <c r="B925" s="1" t="s">
        <v>1966</v>
      </c>
      <c r="C925" s="1" t="s">
        <v>3318</v>
      </c>
      <c r="D925" s="1">
        <v>484370.77</v>
      </c>
      <c r="E925" s="1">
        <v>22437.24</v>
      </c>
      <c r="F925" s="41">
        <v>45740</v>
      </c>
      <c r="G925" s="41">
        <v>46105</v>
      </c>
      <c r="H925" s="1" t="s">
        <v>3803</v>
      </c>
      <c r="I925" s="1" t="s">
        <v>3324</v>
      </c>
      <c r="J925" t="str">
        <f>IF(ISNA(_xlfn.XLOOKUP(B925,customer_master!$A$2:$A$1649, customer_master!$A$2:$A$1649)), "Invalid", "Ok")</f>
        <v>Ok</v>
      </c>
      <c r="K925" t="str">
        <f>IF(ISNA(_xlfn.XLOOKUP(H925,agent_info!$A$2:$A$301, agent_info!$A$2:$A$301)), "Invalid", "Ok")</f>
        <v>Ok</v>
      </c>
    </row>
    <row r="926" spans="1:11" x14ac:dyDescent="0.3">
      <c r="A926" s="1" t="s">
        <v>4532</v>
      </c>
      <c r="B926" s="1" t="s">
        <v>91</v>
      </c>
      <c r="C926" s="1" t="s">
        <v>3318</v>
      </c>
      <c r="D926" s="1">
        <v>686843.88</v>
      </c>
      <c r="E926" s="1">
        <v>36270.65</v>
      </c>
      <c r="F926" s="41">
        <v>46096</v>
      </c>
      <c r="G926" s="41">
        <v>46461</v>
      </c>
      <c r="H926" s="1" t="s">
        <v>3413</v>
      </c>
      <c r="I926" s="1" t="s">
        <v>3324</v>
      </c>
      <c r="J926" t="str">
        <f>IF(ISNA(_xlfn.XLOOKUP(B926,customer_master!$A$2:$A$1649, customer_master!$A$2:$A$1649)), "Invalid", "Ok")</f>
        <v>Ok</v>
      </c>
      <c r="K926" t="str">
        <f>IF(ISNA(_xlfn.XLOOKUP(H926,agent_info!$A$2:$A$301, agent_info!$A$2:$A$301)), "Invalid", "Ok")</f>
        <v>Ok</v>
      </c>
    </row>
    <row r="927" spans="1:11" x14ac:dyDescent="0.3">
      <c r="A927" s="1" t="s">
        <v>4533</v>
      </c>
      <c r="B927" s="1" t="s">
        <v>709</v>
      </c>
      <c r="C927" s="1" t="s">
        <v>3318</v>
      </c>
      <c r="D927" s="1">
        <v>385338.41</v>
      </c>
      <c r="E927" s="1">
        <v>19560.64</v>
      </c>
      <c r="F927" s="41">
        <v>45381</v>
      </c>
      <c r="G927" s="41">
        <v>45746</v>
      </c>
      <c r="H927" s="1" t="s">
        <v>3455</v>
      </c>
      <c r="I927" s="1" t="s">
        <v>3324</v>
      </c>
      <c r="J927" t="str">
        <f>IF(ISNA(_xlfn.XLOOKUP(B927,customer_master!$A$2:$A$1649, customer_master!$A$2:$A$1649)), "Invalid", "Ok")</f>
        <v>Ok</v>
      </c>
      <c r="K927" t="str">
        <f>IF(ISNA(_xlfn.XLOOKUP(H927,agent_info!$A$2:$A$301, agent_info!$A$2:$A$301)), "Invalid", "Ok")</f>
        <v>Ok</v>
      </c>
    </row>
    <row r="928" spans="1:11" x14ac:dyDescent="0.3">
      <c r="A928" s="1" t="s">
        <v>4534</v>
      </c>
      <c r="B928" s="1" t="s">
        <v>123</v>
      </c>
      <c r="C928" s="1" t="s">
        <v>3331</v>
      </c>
      <c r="D928" s="1">
        <v>504272.45</v>
      </c>
      <c r="E928" s="1">
        <v>27550.61</v>
      </c>
      <c r="F928" s="41">
        <v>44411</v>
      </c>
      <c r="G928" s="41">
        <v>44776</v>
      </c>
      <c r="H928" s="1" t="s">
        <v>3817</v>
      </c>
      <c r="I928" s="1" t="s">
        <v>3316</v>
      </c>
      <c r="J928" t="str">
        <f>IF(ISNA(_xlfn.XLOOKUP(B928,customer_master!$A$2:$A$1649, customer_master!$A$2:$A$1649)), "Invalid", "Ok")</f>
        <v>Ok</v>
      </c>
      <c r="K928" t="str">
        <f>IF(ISNA(_xlfn.XLOOKUP(H928,agent_info!$A$2:$A$301, agent_info!$A$2:$A$301)), "Invalid", "Ok")</f>
        <v>Ok</v>
      </c>
    </row>
    <row r="929" spans="1:11" x14ac:dyDescent="0.3">
      <c r="A929" s="1" t="s">
        <v>4535</v>
      </c>
      <c r="B929" s="1" t="s">
        <v>1127</v>
      </c>
      <c r="C929" s="1" t="s">
        <v>3314</v>
      </c>
      <c r="D929" s="1">
        <v>733884.09</v>
      </c>
      <c r="E929" s="1">
        <v>36007.96</v>
      </c>
      <c r="F929" s="41">
        <v>45669</v>
      </c>
      <c r="G929" s="41">
        <v>46034</v>
      </c>
      <c r="H929" s="1" t="s">
        <v>3543</v>
      </c>
      <c r="I929" s="1" t="s">
        <v>3324</v>
      </c>
      <c r="J929" t="str">
        <f>IF(ISNA(_xlfn.XLOOKUP(B929,customer_master!$A$2:$A$1649, customer_master!$A$2:$A$1649)), "Invalid", "Ok")</f>
        <v>Ok</v>
      </c>
      <c r="K929" t="str">
        <f>IF(ISNA(_xlfn.XLOOKUP(H929,agent_info!$A$2:$A$301, agent_info!$A$2:$A$301)), "Invalid", "Ok")</f>
        <v>Ok</v>
      </c>
    </row>
    <row r="930" spans="1:11" x14ac:dyDescent="0.3">
      <c r="A930" s="1" t="s">
        <v>4536</v>
      </c>
      <c r="B930" s="1" t="s">
        <v>1167</v>
      </c>
      <c r="C930" s="1" t="s">
        <v>3331</v>
      </c>
      <c r="D930" s="1">
        <v>452093.06</v>
      </c>
      <c r="E930" s="1">
        <v>21922.11</v>
      </c>
      <c r="F930" s="41">
        <v>44640</v>
      </c>
      <c r="G930" s="41">
        <v>45005</v>
      </c>
      <c r="H930" s="1" t="s">
        <v>3481</v>
      </c>
      <c r="I930" s="1" t="s">
        <v>3316</v>
      </c>
      <c r="J930" t="str">
        <f>IF(ISNA(_xlfn.XLOOKUP(B930,customer_master!$A$2:$A$1649, customer_master!$A$2:$A$1649)), "Invalid", "Ok")</f>
        <v>Ok</v>
      </c>
      <c r="K930" t="str">
        <f>IF(ISNA(_xlfn.XLOOKUP(H930,agent_info!$A$2:$A$301, agent_info!$A$2:$A$301)), "Invalid", "Ok")</f>
        <v>Ok</v>
      </c>
    </row>
    <row r="931" spans="1:11" x14ac:dyDescent="0.3">
      <c r="A931" s="1" t="s">
        <v>4537</v>
      </c>
      <c r="B931" s="1" t="s">
        <v>1777</v>
      </c>
      <c r="C931" s="1" t="s">
        <v>3326</v>
      </c>
      <c r="D931" s="1">
        <v>449408.23</v>
      </c>
      <c r="E931" s="1">
        <v>21530.05</v>
      </c>
      <c r="F931" s="41">
        <v>45093</v>
      </c>
      <c r="G931" s="41">
        <v>45459</v>
      </c>
      <c r="H931" s="1" t="s">
        <v>4067</v>
      </c>
      <c r="I931" s="1" t="s">
        <v>3324</v>
      </c>
      <c r="J931" t="str">
        <f>IF(ISNA(_xlfn.XLOOKUP(B931,customer_master!$A$2:$A$1649, customer_master!$A$2:$A$1649)), "Invalid", "Ok")</f>
        <v>Ok</v>
      </c>
      <c r="K931" t="str">
        <f>IF(ISNA(_xlfn.XLOOKUP(H931,agent_info!$A$2:$A$301, agent_info!$A$2:$A$301)), "Invalid", "Ok")</f>
        <v>Ok</v>
      </c>
    </row>
    <row r="932" spans="1:11" x14ac:dyDescent="0.3">
      <c r="A932" s="1" t="s">
        <v>4538</v>
      </c>
      <c r="B932" s="1" t="s">
        <v>2304</v>
      </c>
      <c r="C932" s="1" t="s">
        <v>3334</v>
      </c>
      <c r="D932" s="1">
        <v>703208.23</v>
      </c>
      <c r="E932" s="1">
        <v>35032.99</v>
      </c>
      <c r="F932" s="41">
        <v>45071</v>
      </c>
      <c r="G932" s="41">
        <v>45437</v>
      </c>
      <c r="H932" s="1" t="s">
        <v>4539</v>
      </c>
      <c r="I932" s="1" t="s">
        <v>3316</v>
      </c>
      <c r="J932" t="str">
        <f>IF(ISNA(_xlfn.XLOOKUP(B932,customer_master!$A$2:$A$1649, customer_master!$A$2:$A$1649)), "Invalid", "Ok")</f>
        <v>Ok</v>
      </c>
      <c r="K932" t="str">
        <f>IF(ISNA(_xlfn.XLOOKUP(H932,agent_info!$A$2:$A$301, agent_info!$A$2:$A$301)), "Invalid", "Ok")</f>
        <v>Ok</v>
      </c>
    </row>
    <row r="933" spans="1:11" x14ac:dyDescent="0.3">
      <c r="A933" s="1" t="s">
        <v>4540</v>
      </c>
      <c r="B933" s="1" t="s">
        <v>636</v>
      </c>
      <c r="C933" s="1" t="s">
        <v>3326</v>
      </c>
      <c r="D933" s="1">
        <v>392487.09</v>
      </c>
      <c r="E933" s="1">
        <v>18928.59</v>
      </c>
      <c r="F933" s="41">
        <v>44899</v>
      </c>
      <c r="G933" s="41">
        <v>45264</v>
      </c>
      <c r="H933" s="1" t="s">
        <v>3530</v>
      </c>
      <c r="I933" s="1" t="s">
        <v>3316</v>
      </c>
      <c r="J933" t="str">
        <f>IF(ISNA(_xlfn.XLOOKUP(B933,customer_master!$A$2:$A$1649, customer_master!$A$2:$A$1649)), "Invalid", "Ok")</f>
        <v>Ok</v>
      </c>
      <c r="K933" t="str">
        <f>IF(ISNA(_xlfn.XLOOKUP(H933,agent_info!$A$2:$A$301, agent_info!$A$2:$A$301)), "Invalid", "Ok")</f>
        <v>Ok</v>
      </c>
    </row>
    <row r="934" spans="1:11" x14ac:dyDescent="0.3">
      <c r="A934" s="1" t="s">
        <v>4541</v>
      </c>
      <c r="B934" s="1" t="s">
        <v>2014</v>
      </c>
      <c r="C934" s="1" t="s">
        <v>3314</v>
      </c>
      <c r="D934" s="1">
        <v>405475.53</v>
      </c>
      <c r="E934" s="1">
        <v>18543.169999999998</v>
      </c>
      <c r="F934" s="41">
        <v>45405</v>
      </c>
      <c r="G934" s="41">
        <v>45770</v>
      </c>
      <c r="H934" s="1" t="s">
        <v>3420</v>
      </c>
      <c r="I934" s="1" t="s">
        <v>3320</v>
      </c>
      <c r="J934" t="str">
        <f>IF(ISNA(_xlfn.XLOOKUP(B934,customer_master!$A$2:$A$1649, customer_master!$A$2:$A$1649)), "Invalid", "Ok")</f>
        <v>Ok</v>
      </c>
      <c r="K934" t="str">
        <f>IF(ISNA(_xlfn.XLOOKUP(H934,agent_info!$A$2:$A$301, agent_info!$A$2:$A$301)), "Invalid", "Ok")</f>
        <v>Ok</v>
      </c>
    </row>
    <row r="935" spans="1:11" x14ac:dyDescent="0.3">
      <c r="A935" s="1" t="s">
        <v>4542</v>
      </c>
      <c r="B935" s="1" t="s">
        <v>3049</v>
      </c>
      <c r="C935" s="1" t="s">
        <v>3331</v>
      </c>
      <c r="D935" s="1">
        <v>750020.13</v>
      </c>
      <c r="E935" s="1">
        <v>36091.94</v>
      </c>
      <c r="F935" s="41">
        <v>44234</v>
      </c>
      <c r="G935" s="41">
        <v>44599</v>
      </c>
      <c r="H935" s="1" t="s">
        <v>3830</v>
      </c>
      <c r="I935" s="1" t="s">
        <v>3316</v>
      </c>
      <c r="J935" t="str">
        <f>IF(ISNA(_xlfn.XLOOKUP(B935,customer_master!$A$2:$A$1649, customer_master!$A$2:$A$1649)), "Invalid", "Ok")</f>
        <v>Ok</v>
      </c>
      <c r="K935" t="str">
        <f>IF(ISNA(_xlfn.XLOOKUP(H935,agent_info!$A$2:$A$301, agent_info!$A$2:$A$301)), "Invalid", "Ok")</f>
        <v>Ok</v>
      </c>
    </row>
    <row r="936" spans="1:11" x14ac:dyDescent="0.3">
      <c r="A936" s="1" t="s">
        <v>4543</v>
      </c>
      <c r="B936" s="1" t="s">
        <v>658</v>
      </c>
      <c r="C936" s="1" t="s">
        <v>3334</v>
      </c>
      <c r="D936" s="1">
        <v>540844.82999999996</v>
      </c>
      <c r="E936" s="1">
        <v>25521.85</v>
      </c>
      <c r="F936" s="41">
        <v>44376</v>
      </c>
      <c r="G936" s="41">
        <v>44741</v>
      </c>
      <c r="H936" s="1" t="s">
        <v>3322</v>
      </c>
      <c r="I936" s="1" t="s">
        <v>3324</v>
      </c>
      <c r="J936" t="str">
        <f>IF(ISNA(_xlfn.XLOOKUP(B936,customer_master!$A$2:$A$1649, customer_master!$A$2:$A$1649)), "Invalid", "Ok")</f>
        <v>Ok</v>
      </c>
      <c r="K936" t="str">
        <f>IF(ISNA(_xlfn.XLOOKUP(H936,agent_info!$A$2:$A$301, agent_info!$A$2:$A$301)), "Invalid", "Ok")</f>
        <v>Ok</v>
      </c>
    </row>
    <row r="937" spans="1:11" x14ac:dyDescent="0.3">
      <c r="A937" s="1" t="s">
        <v>4544</v>
      </c>
      <c r="B937" s="1" t="s">
        <v>2198</v>
      </c>
      <c r="C937" s="1" t="s">
        <v>3314</v>
      </c>
      <c r="D937" s="1">
        <v>638280.43999999994</v>
      </c>
      <c r="E937" s="1">
        <v>33927.06</v>
      </c>
      <c r="F937" s="41">
        <v>45105</v>
      </c>
      <c r="G937" s="41">
        <v>45471</v>
      </c>
      <c r="H937" s="1" t="s">
        <v>4545</v>
      </c>
      <c r="I937" s="1" t="s">
        <v>3324</v>
      </c>
      <c r="J937" t="str">
        <f>IF(ISNA(_xlfn.XLOOKUP(B937,customer_master!$A$2:$A$1649, customer_master!$A$2:$A$1649)), "Invalid", "Ok")</f>
        <v>Ok</v>
      </c>
      <c r="K937" t="str">
        <f>IF(ISNA(_xlfn.XLOOKUP(H937,agent_info!$A$2:$A$301, agent_info!$A$2:$A$301)), "Invalid", "Ok")</f>
        <v>Ok</v>
      </c>
    </row>
    <row r="938" spans="1:11" x14ac:dyDescent="0.3">
      <c r="A938" s="1" t="s">
        <v>4546</v>
      </c>
      <c r="B938" s="1" t="s">
        <v>186</v>
      </c>
      <c r="C938" s="1" t="s">
        <v>3318</v>
      </c>
      <c r="D938" s="1">
        <v>426049.81</v>
      </c>
      <c r="E938" s="1">
        <v>20175.98</v>
      </c>
      <c r="F938" s="41">
        <v>44416</v>
      </c>
      <c r="G938" s="41">
        <v>44781</v>
      </c>
      <c r="H938" s="1" t="s">
        <v>3509</v>
      </c>
      <c r="I938" s="1" t="s">
        <v>3316</v>
      </c>
      <c r="J938" t="str">
        <f>IF(ISNA(_xlfn.XLOOKUP(B938,customer_master!$A$2:$A$1649, customer_master!$A$2:$A$1649)), "Invalid", "Ok")</f>
        <v>Ok</v>
      </c>
      <c r="K938" t="str">
        <f>IF(ISNA(_xlfn.XLOOKUP(H938,agent_info!$A$2:$A$301, agent_info!$A$2:$A$301)), "Invalid", "Ok")</f>
        <v>Ok</v>
      </c>
    </row>
    <row r="939" spans="1:11" x14ac:dyDescent="0.3">
      <c r="A939" s="1" t="s">
        <v>4547</v>
      </c>
      <c r="B939" s="1" t="s">
        <v>1781</v>
      </c>
      <c r="C939" s="1" t="s">
        <v>3326</v>
      </c>
      <c r="D939" s="1">
        <v>427062.09</v>
      </c>
      <c r="E939" s="1">
        <v>21177.46</v>
      </c>
      <c r="F939" s="41">
        <v>44492</v>
      </c>
      <c r="G939" s="41">
        <v>44857</v>
      </c>
      <c r="H939" s="1" t="s">
        <v>4548</v>
      </c>
      <c r="I939" s="1" t="s">
        <v>3316</v>
      </c>
      <c r="J939" t="str">
        <f>IF(ISNA(_xlfn.XLOOKUP(B939,customer_master!$A$2:$A$1649, customer_master!$A$2:$A$1649)), "Invalid", "Ok")</f>
        <v>Ok</v>
      </c>
      <c r="K939" t="str">
        <f>IF(ISNA(_xlfn.XLOOKUP(H939,agent_info!$A$2:$A$301, agent_info!$A$2:$A$301)), "Invalid", "Ok")</f>
        <v>Ok</v>
      </c>
    </row>
    <row r="940" spans="1:11" x14ac:dyDescent="0.3">
      <c r="A940" s="1" t="s">
        <v>4549</v>
      </c>
      <c r="B940" s="1" t="s">
        <v>2468</v>
      </c>
      <c r="C940" s="1" t="s">
        <v>3326</v>
      </c>
      <c r="D940" s="1">
        <v>510993.27</v>
      </c>
      <c r="E940" s="1">
        <v>26432.34</v>
      </c>
      <c r="F940" s="41">
        <v>44105</v>
      </c>
      <c r="G940" s="41">
        <v>44470</v>
      </c>
      <c r="H940" s="1" t="s">
        <v>3719</v>
      </c>
      <c r="I940" s="1" t="s">
        <v>3316</v>
      </c>
      <c r="J940" t="str">
        <f>IF(ISNA(_xlfn.XLOOKUP(B940,customer_master!$A$2:$A$1649, customer_master!$A$2:$A$1649)), "Invalid", "Ok")</f>
        <v>Ok</v>
      </c>
      <c r="K940" t="str">
        <f>IF(ISNA(_xlfn.XLOOKUP(H940,agent_info!$A$2:$A$301, agent_info!$A$2:$A$301)), "Invalid", "Ok")</f>
        <v>Ok</v>
      </c>
    </row>
    <row r="941" spans="1:11" x14ac:dyDescent="0.3">
      <c r="A941" s="1" t="s">
        <v>4550</v>
      </c>
      <c r="B941" s="1" t="s">
        <v>146</v>
      </c>
      <c r="C941" s="1" t="s">
        <v>3314</v>
      </c>
      <c r="D941" s="1">
        <v>644933.99</v>
      </c>
      <c r="E941" s="1">
        <v>29984.44</v>
      </c>
      <c r="F941" s="41">
        <v>45174</v>
      </c>
      <c r="G941" s="41">
        <v>45540</v>
      </c>
      <c r="H941" s="1" t="s">
        <v>4116</v>
      </c>
      <c r="I941" s="1" t="s">
        <v>3324</v>
      </c>
      <c r="J941" t="str">
        <f>IF(ISNA(_xlfn.XLOOKUP(B941,customer_master!$A$2:$A$1649, customer_master!$A$2:$A$1649)), "Invalid", "Ok")</f>
        <v>Ok</v>
      </c>
      <c r="K941" t="str">
        <f>IF(ISNA(_xlfn.XLOOKUP(H941,agent_info!$A$2:$A$301, agent_info!$A$2:$A$301)), "Invalid", "Ok")</f>
        <v>Ok</v>
      </c>
    </row>
    <row r="942" spans="1:11" x14ac:dyDescent="0.3">
      <c r="A942" s="1" t="s">
        <v>4551</v>
      </c>
      <c r="B942" s="1" t="s">
        <v>1129</v>
      </c>
      <c r="C942" s="1" t="s">
        <v>3334</v>
      </c>
      <c r="D942" s="1">
        <v>497900.45</v>
      </c>
      <c r="E942" s="1">
        <v>25050.78</v>
      </c>
      <c r="F942" s="41">
        <v>45666</v>
      </c>
      <c r="G942" s="41">
        <v>46031</v>
      </c>
      <c r="H942" s="1" t="s">
        <v>3555</v>
      </c>
      <c r="I942" s="1" t="s">
        <v>3324</v>
      </c>
      <c r="J942" t="str">
        <f>IF(ISNA(_xlfn.XLOOKUP(B942,customer_master!$A$2:$A$1649, customer_master!$A$2:$A$1649)), "Invalid", "Ok")</f>
        <v>Ok</v>
      </c>
      <c r="K942" t="str">
        <f>IF(ISNA(_xlfn.XLOOKUP(H942,agent_info!$A$2:$A$301, agent_info!$A$2:$A$301)), "Invalid", "Ok")</f>
        <v>Ok</v>
      </c>
    </row>
    <row r="943" spans="1:11" x14ac:dyDescent="0.3">
      <c r="A943" s="1" t="s">
        <v>4552</v>
      </c>
      <c r="B943" s="1" t="s">
        <v>2922</v>
      </c>
      <c r="C943" s="1" t="s">
        <v>3318</v>
      </c>
      <c r="D943" s="1">
        <v>712391.56</v>
      </c>
      <c r="E943" s="1">
        <v>38092.910000000003</v>
      </c>
      <c r="F943" s="41">
        <v>45154</v>
      </c>
      <c r="G943" s="41">
        <v>45520</v>
      </c>
      <c r="H943" s="1" t="s">
        <v>3749</v>
      </c>
      <c r="I943" s="1" t="s">
        <v>3324</v>
      </c>
      <c r="J943" t="str">
        <f>IF(ISNA(_xlfn.XLOOKUP(B943,customer_master!$A$2:$A$1649, customer_master!$A$2:$A$1649)), "Invalid", "Ok")</f>
        <v>Ok</v>
      </c>
      <c r="K943" t="str">
        <f>IF(ISNA(_xlfn.XLOOKUP(H943,agent_info!$A$2:$A$301, agent_info!$A$2:$A$301)), "Invalid", "Ok")</f>
        <v>Ok</v>
      </c>
    </row>
    <row r="944" spans="1:11" x14ac:dyDescent="0.3">
      <c r="A944" s="1" t="s">
        <v>4553</v>
      </c>
      <c r="B944" s="1" t="s">
        <v>799</v>
      </c>
      <c r="C944" s="1" t="s">
        <v>3314</v>
      </c>
      <c r="D944" s="1">
        <v>685740.44</v>
      </c>
      <c r="E944" s="1">
        <v>34863.599999999999</v>
      </c>
      <c r="F944" s="41">
        <v>46106</v>
      </c>
      <c r="G944" s="41">
        <v>46471</v>
      </c>
      <c r="H944" s="1" t="s">
        <v>3485</v>
      </c>
      <c r="I944" s="1" t="s">
        <v>3324</v>
      </c>
      <c r="J944" t="str">
        <f>IF(ISNA(_xlfn.XLOOKUP(B944,customer_master!$A$2:$A$1649, customer_master!$A$2:$A$1649)), "Invalid", "Ok")</f>
        <v>Ok</v>
      </c>
      <c r="K944" t="str">
        <f>IF(ISNA(_xlfn.XLOOKUP(H944,agent_info!$A$2:$A$301, agent_info!$A$2:$A$301)), "Invalid", "Ok")</f>
        <v>Ok</v>
      </c>
    </row>
    <row r="945" spans="1:11" x14ac:dyDescent="0.3">
      <c r="A945" s="1" t="s">
        <v>4554</v>
      </c>
      <c r="B945" s="1" t="s">
        <v>2418</v>
      </c>
      <c r="C945" s="1" t="s">
        <v>3334</v>
      </c>
      <c r="D945" s="1">
        <v>597349.79</v>
      </c>
      <c r="E945" s="1">
        <v>29762.27</v>
      </c>
      <c r="F945" s="41">
        <v>46138</v>
      </c>
      <c r="G945" s="41">
        <v>46503</v>
      </c>
      <c r="H945" s="1" t="s">
        <v>3548</v>
      </c>
      <c r="I945" s="1" t="s">
        <v>3316</v>
      </c>
      <c r="J945" t="str">
        <f>IF(ISNA(_xlfn.XLOOKUP(B945,customer_master!$A$2:$A$1649, customer_master!$A$2:$A$1649)), "Invalid", "Ok")</f>
        <v>Ok</v>
      </c>
      <c r="K945" t="str">
        <f>IF(ISNA(_xlfn.XLOOKUP(H945,agent_info!$A$2:$A$301, agent_info!$A$2:$A$301)), "Invalid", "Ok")</f>
        <v>Ok</v>
      </c>
    </row>
    <row r="946" spans="1:11" x14ac:dyDescent="0.3">
      <c r="A946" s="1" t="s">
        <v>4555</v>
      </c>
      <c r="B946" s="1" t="s">
        <v>2056</v>
      </c>
      <c r="C946" s="1" t="s">
        <v>3326</v>
      </c>
      <c r="D946" s="1">
        <v>510723.91</v>
      </c>
      <c r="E946" s="1">
        <v>27266.93</v>
      </c>
      <c r="F946" s="41">
        <v>46204</v>
      </c>
      <c r="G946" s="41">
        <v>46569</v>
      </c>
      <c r="H946" s="1" t="s">
        <v>3629</v>
      </c>
      <c r="I946" s="1" t="s">
        <v>3316</v>
      </c>
      <c r="J946" t="str">
        <f>IF(ISNA(_xlfn.XLOOKUP(B946,customer_master!$A$2:$A$1649, customer_master!$A$2:$A$1649)), "Invalid", "Ok")</f>
        <v>Ok</v>
      </c>
      <c r="K946" t="str">
        <f>IF(ISNA(_xlfn.XLOOKUP(H946,agent_info!$A$2:$A$301, agent_info!$A$2:$A$301)), "Invalid", "Ok")</f>
        <v>Ok</v>
      </c>
    </row>
    <row r="947" spans="1:11" x14ac:dyDescent="0.3">
      <c r="A947" s="1" t="s">
        <v>4556</v>
      </c>
      <c r="B947" s="1" t="s">
        <v>578</v>
      </c>
      <c r="C947" s="1" t="s">
        <v>3326</v>
      </c>
      <c r="D947" s="1">
        <v>566839.89</v>
      </c>
      <c r="E947" s="1">
        <v>30877.200000000001</v>
      </c>
      <c r="F947" s="41">
        <v>44894</v>
      </c>
      <c r="G947" s="41">
        <v>45259</v>
      </c>
      <c r="H947" s="1" t="s">
        <v>3641</v>
      </c>
      <c r="I947" s="1" t="s">
        <v>3320</v>
      </c>
      <c r="J947" t="str">
        <f>IF(ISNA(_xlfn.XLOOKUP(B947,customer_master!$A$2:$A$1649, customer_master!$A$2:$A$1649)), "Invalid", "Ok")</f>
        <v>Ok</v>
      </c>
      <c r="K947" t="str">
        <f>IF(ISNA(_xlfn.XLOOKUP(H947,agent_info!$A$2:$A$301, agent_info!$A$2:$A$301)), "Invalid", "Ok")</f>
        <v>Ok</v>
      </c>
    </row>
    <row r="948" spans="1:11" x14ac:dyDescent="0.3">
      <c r="A948" s="1" t="s">
        <v>4557</v>
      </c>
      <c r="B948" s="1" t="s">
        <v>2468</v>
      </c>
      <c r="C948" s="1" t="s">
        <v>3314</v>
      </c>
      <c r="D948" s="1">
        <v>666690.31999999995</v>
      </c>
      <c r="E948" s="1">
        <v>35474.49</v>
      </c>
      <c r="F948" s="41">
        <v>45150</v>
      </c>
      <c r="G948" s="41">
        <v>45516</v>
      </c>
      <c r="H948" s="1" t="s">
        <v>3406</v>
      </c>
      <c r="I948" s="1" t="s">
        <v>3316</v>
      </c>
      <c r="J948" t="str">
        <f>IF(ISNA(_xlfn.XLOOKUP(B948,customer_master!$A$2:$A$1649, customer_master!$A$2:$A$1649)), "Invalid", "Ok")</f>
        <v>Ok</v>
      </c>
      <c r="K948" t="str">
        <f>IF(ISNA(_xlfn.XLOOKUP(H948,agent_info!$A$2:$A$301, agent_info!$A$2:$A$301)), "Invalid", "Ok")</f>
        <v>Ok</v>
      </c>
    </row>
    <row r="949" spans="1:11" x14ac:dyDescent="0.3">
      <c r="A949" s="1" t="s">
        <v>4558</v>
      </c>
      <c r="B949" s="1" t="s">
        <v>1783</v>
      </c>
      <c r="C949" s="1" t="s">
        <v>3318</v>
      </c>
      <c r="D949" s="1">
        <v>429011.21</v>
      </c>
      <c r="E949" s="1">
        <v>21057.63</v>
      </c>
      <c r="F949" s="41">
        <v>45482</v>
      </c>
      <c r="G949" s="41">
        <v>45847</v>
      </c>
      <c r="H949" s="1" t="s">
        <v>3885</v>
      </c>
      <c r="I949" s="1" t="s">
        <v>3316</v>
      </c>
      <c r="J949" t="str">
        <f>IF(ISNA(_xlfn.XLOOKUP(B949,customer_master!$A$2:$A$1649, customer_master!$A$2:$A$1649)), "Invalid", "Ok")</f>
        <v>Ok</v>
      </c>
      <c r="K949" t="str">
        <f>IF(ISNA(_xlfn.XLOOKUP(H949,agent_info!$A$2:$A$301, agent_info!$A$2:$A$301)), "Invalid", "Ok")</f>
        <v>Ok</v>
      </c>
    </row>
    <row r="950" spans="1:11" x14ac:dyDescent="0.3">
      <c r="A950" s="1" t="s">
        <v>4559</v>
      </c>
      <c r="B950" s="1" t="s">
        <v>399</v>
      </c>
      <c r="C950" s="1" t="s">
        <v>3334</v>
      </c>
      <c r="D950" s="1">
        <v>713266.92</v>
      </c>
      <c r="E950" s="1">
        <v>36460.019999999997</v>
      </c>
      <c r="F950" s="41">
        <v>45366</v>
      </c>
      <c r="G950" s="41">
        <v>45731</v>
      </c>
      <c r="H950" s="1" t="s">
        <v>4400</v>
      </c>
      <c r="I950" s="1" t="s">
        <v>3324</v>
      </c>
      <c r="J950" t="str">
        <f>IF(ISNA(_xlfn.XLOOKUP(B950,customer_master!$A$2:$A$1649, customer_master!$A$2:$A$1649)), "Invalid", "Ok")</f>
        <v>Ok</v>
      </c>
      <c r="K950" t="str">
        <f>IF(ISNA(_xlfn.XLOOKUP(H950,agent_info!$A$2:$A$301, agent_info!$A$2:$A$301)), "Invalid", "Ok")</f>
        <v>Ok</v>
      </c>
    </row>
    <row r="951" spans="1:11" x14ac:dyDescent="0.3">
      <c r="A951" s="1" t="s">
        <v>4560</v>
      </c>
      <c r="B951" s="1" t="s">
        <v>3156</v>
      </c>
      <c r="C951" s="1" t="s">
        <v>3326</v>
      </c>
      <c r="D951" s="1">
        <v>521290.97</v>
      </c>
      <c r="E951" s="1">
        <v>26203.43</v>
      </c>
      <c r="F951" s="41">
        <v>44973</v>
      </c>
      <c r="G951" s="41">
        <v>45338</v>
      </c>
      <c r="H951" s="1" t="s">
        <v>3593</v>
      </c>
      <c r="I951" s="1" t="s">
        <v>3320</v>
      </c>
      <c r="J951" t="str">
        <f>IF(ISNA(_xlfn.XLOOKUP(B951,customer_master!$A$2:$A$1649, customer_master!$A$2:$A$1649)), "Invalid", "Ok")</f>
        <v>Ok</v>
      </c>
      <c r="K951" t="str">
        <f>IF(ISNA(_xlfn.XLOOKUP(H951,agent_info!$A$2:$A$301, agent_info!$A$2:$A$301)), "Invalid", "Ok")</f>
        <v>Ok</v>
      </c>
    </row>
    <row r="952" spans="1:11" x14ac:dyDescent="0.3">
      <c r="A952" s="1" t="s">
        <v>4561</v>
      </c>
      <c r="B952" s="1" t="s">
        <v>1652</v>
      </c>
      <c r="C952" s="1" t="s">
        <v>3331</v>
      </c>
      <c r="D952" s="1">
        <v>738333.73</v>
      </c>
      <c r="E952" s="1">
        <v>35464.449999999997</v>
      </c>
      <c r="F952" s="41">
        <v>44162</v>
      </c>
      <c r="G952" s="41">
        <v>44527</v>
      </c>
      <c r="H952" s="1" t="s">
        <v>3455</v>
      </c>
      <c r="I952" s="1" t="s">
        <v>3316</v>
      </c>
      <c r="J952" t="str">
        <f>IF(ISNA(_xlfn.XLOOKUP(B952,customer_master!$A$2:$A$1649, customer_master!$A$2:$A$1649)), "Invalid", "Ok")</f>
        <v>Ok</v>
      </c>
      <c r="K952" t="str">
        <f>IF(ISNA(_xlfn.XLOOKUP(H952,agent_info!$A$2:$A$301, agent_info!$A$2:$A$301)), "Invalid", "Ok")</f>
        <v>Ok</v>
      </c>
    </row>
    <row r="953" spans="1:11" x14ac:dyDescent="0.3">
      <c r="A953" s="1" t="s">
        <v>4562</v>
      </c>
      <c r="B953" s="1" t="s">
        <v>2484</v>
      </c>
      <c r="C953" s="1" t="s">
        <v>3326</v>
      </c>
      <c r="D953" s="1">
        <v>684439.84</v>
      </c>
      <c r="E953" s="1">
        <v>33779.300000000003</v>
      </c>
      <c r="F953" s="41">
        <v>46097</v>
      </c>
      <c r="G953" s="41">
        <v>46462</v>
      </c>
      <c r="H953" s="1" t="s">
        <v>3470</v>
      </c>
      <c r="I953" s="1" t="s">
        <v>3324</v>
      </c>
      <c r="J953" t="str">
        <f>IF(ISNA(_xlfn.XLOOKUP(B953,customer_master!$A$2:$A$1649, customer_master!$A$2:$A$1649)), "Invalid", "Ok")</f>
        <v>Ok</v>
      </c>
      <c r="K953" t="str">
        <f>IF(ISNA(_xlfn.XLOOKUP(H953,agent_info!$A$2:$A$301, agent_info!$A$2:$A$301)), "Invalid", "Ok")</f>
        <v>Ok</v>
      </c>
    </row>
    <row r="954" spans="1:11" x14ac:dyDescent="0.3">
      <c r="A954" s="1" t="s">
        <v>4563</v>
      </c>
      <c r="B954" s="1" t="s">
        <v>769</v>
      </c>
      <c r="C954" s="1" t="s">
        <v>3326</v>
      </c>
      <c r="D954" s="1">
        <v>360750.89</v>
      </c>
      <c r="E954" s="1">
        <v>19225.38</v>
      </c>
      <c r="F954" s="41">
        <v>44920</v>
      </c>
      <c r="G954" s="41">
        <v>45285</v>
      </c>
      <c r="H954" s="1" t="s">
        <v>4093</v>
      </c>
      <c r="I954" s="1" t="s">
        <v>3324</v>
      </c>
      <c r="J954" t="str">
        <f>IF(ISNA(_xlfn.XLOOKUP(B954,customer_master!$A$2:$A$1649, customer_master!$A$2:$A$1649)), "Invalid", "Ok")</f>
        <v>Ok</v>
      </c>
      <c r="K954" t="str">
        <f>IF(ISNA(_xlfn.XLOOKUP(H954,agent_info!$A$2:$A$301, agent_info!$A$2:$A$301)), "Invalid", "Ok")</f>
        <v>Ok</v>
      </c>
    </row>
    <row r="955" spans="1:11" x14ac:dyDescent="0.3">
      <c r="A955" s="1" t="s">
        <v>4564</v>
      </c>
      <c r="B955" s="1" t="s">
        <v>487</v>
      </c>
      <c r="C955" s="1" t="s">
        <v>3318</v>
      </c>
      <c r="D955" s="1">
        <v>523333.81</v>
      </c>
      <c r="E955" s="1">
        <v>25122.53</v>
      </c>
      <c r="F955" s="41">
        <v>45316</v>
      </c>
      <c r="G955" s="41">
        <v>45682</v>
      </c>
      <c r="H955" s="1" t="s">
        <v>3767</v>
      </c>
      <c r="I955" s="1" t="s">
        <v>3324</v>
      </c>
      <c r="J955" t="str">
        <f>IF(ISNA(_xlfn.XLOOKUP(B955,customer_master!$A$2:$A$1649, customer_master!$A$2:$A$1649)), "Invalid", "Ok")</f>
        <v>Ok</v>
      </c>
      <c r="K955" t="str">
        <f>IF(ISNA(_xlfn.XLOOKUP(H955,agent_info!$A$2:$A$301, agent_info!$A$2:$A$301)), "Invalid", "Ok")</f>
        <v>Ok</v>
      </c>
    </row>
    <row r="956" spans="1:11" x14ac:dyDescent="0.3">
      <c r="A956" s="1" t="s">
        <v>4565</v>
      </c>
      <c r="B956" s="1" t="s">
        <v>2466</v>
      </c>
      <c r="C956" s="1" t="s">
        <v>3331</v>
      </c>
      <c r="D956" s="1">
        <v>582254.23</v>
      </c>
      <c r="E956" s="1">
        <v>31380.92</v>
      </c>
      <c r="F956" s="41">
        <v>44502</v>
      </c>
      <c r="G956" s="41">
        <v>44867</v>
      </c>
      <c r="H956" s="1" t="s">
        <v>3643</v>
      </c>
      <c r="I956" s="1" t="s">
        <v>3324</v>
      </c>
      <c r="J956" t="str">
        <f>IF(ISNA(_xlfn.XLOOKUP(B956,customer_master!$A$2:$A$1649, customer_master!$A$2:$A$1649)), "Invalid", "Ok")</f>
        <v>Ok</v>
      </c>
      <c r="K956" t="str">
        <f>IF(ISNA(_xlfn.XLOOKUP(H956,agent_info!$A$2:$A$301, agent_info!$A$2:$A$301)), "Invalid", "Ok")</f>
        <v>Ok</v>
      </c>
    </row>
    <row r="957" spans="1:11" x14ac:dyDescent="0.3">
      <c r="A957" s="1" t="s">
        <v>4566</v>
      </c>
      <c r="B957" s="1" t="s">
        <v>2250</v>
      </c>
      <c r="C957" s="1" t="s">
        <v>3318</v>
      </c>
      <c r="D957" s="1">
        <v>581967.09</v>
      </c>
      <c r="E957" s="1">
        <v>31958.31</v>
      </c>
      <c r="F957" s="41">
        <v>45033</v>
      </c>
      <c r="G957" s="41">
        <v>45399</v>
      </c>
      <c r="H957" s="1" t="s">
        <v>3754</v>
      </c>
      <c r="I957" s="1" t="s">
        <v>3316</v>
      </c>
      <c r="J957" t="str">
        <f>IF(ISNA(_xlfn.XLOOKUP(B957,customer_master!$A$2:$A$1649, customer_master!$A$2:$A$1649)), "Invalid", "Ok")</f>
        <v>Ok</v>
      </c>
      <c r="K957" t="str">
        <f>IF(ISNA(_xlfn.XLOOKUP(H957,agent_info!$A$2:$A$301, agent_info!$A$2:$A$301)), "Invalid", "Ok")</f>
        <v>Ok</v>
      </c>
    </row>
    <row r="958" spans="1:11" x14ac:dyDescent="0.3">
      <c r="A958" s="1" t="s">
        <v>4567</v>
      </c>
      <c r="B958" s="1" t="s">
        <v>927</v>
      </c>
      <c r="C958" s="1" t="s">
        <v>3314</v>
      </c>
      <c r="D958" s="1">
        <v>701621.45</v>
      </c>
      <c r="E958" s="1">
        <v>33725.31</v>
      </c>
      <c r="F958" s="41">
        <v>44636</v>
      </c>
      <c r="G958" s="41">
        <v>45001</v>
      </c>
      <c r="H958" s="1" t="s">
        <v>4132</v>
      </c>
      <c r="I958" s="1" t="s">
        <v>3324</v>
      </c>
      <c r="J958" t="str">
        <f>IF(ISNA(_xlfn.XLOOKUP(B958,customer_master!$A$2:$A$1649, customer_master!$A$2:$A$1649)), "Invalid", "Ok")</f>
        <v>Ok</v>
      </c>
      <c r="K958" t="str">
        <f>IF(ISNA(_xlfn.XLOOKUP(H958,agent_info!$A$2:$A$301, agent_info!$A$2:$A$301)), "Invalid", "Ok")</f>
        <v>Ok</v>
      </c>
    </row>
    <row r="959" spans="1:11" x14ac:dyDescent="0.3">
      <c r="A959" s="1" t="s">
        <v>4568</v>
      </c>
      <c r="B959" s="1" t="s">
        <v>2490</v>
      </c>
      <c r="C959" s="1" t="s">
        <v>3334</v>
      </c>
      <c r="D959" s="1">
        <v>439325.04</v>
      </c>
      <c r="E959" s="1">
        <v>20308.849999999999</v>
      </c>
      <c r="F959" s="41">
        <v>46078</v>
      </c>
      <c r="G959" s="41">
        <v>46443</v>
      </c>
      <c r="H959" s="1" t="s">
        <v>3694</v>
      </c>
      <c r="I959" s="1" t="s">
        <v>3324</v>
      </c>
      <c r="J959" t="str">
        <f>IF(ISNA(_xlfn.XLOOKUP(B959,customer_master!$A$2:$A$1649, customer_master!$A$2:$A$1649)), "Invalid", "Ok")</f>
        <v>Ok</v>
      </c>
      <c r="K959" t="str">
        <f>IF(ISNA(_xlfn.XLOOKUP(H959,agent_info!$A$2:$A$301, agent_info!$A$2:$A$301)), "Invalid", "Ok")</f>
        <v>Ok</v>
      </c>
    </row>
    <row r="960" spans="1:11" x14ac:dyDescent="0.3">
      <c r="A960" s="1" t="s">
        <v>4569</v>
      </c>
      <c r="B960" s="1" t="s">
        <v>1697</v>
      </c>
      <c r="C960" s="1" t="s">
        <v>3318</v>
      </c>
      <c r="D960" s="1">
        <v>613298.46</v>
      </c>
      <c r="E960" s="1">
        <v>33468.769999999997</v>
      </c>
      <c r="F960" s="41">
        <v>45660</v>
      </c>
      <c r="G960" s="41">
        <v>46025</v>
      </c>
      <c r="H960" s="1" t="s">
        <v>3441</v>
      </c>
      <c r="I960" s="1" t="s">
        <v>3324</v>
      </c>
      <c r="J960" t="str">
        <f>IF(ISNA(_xlfn.XLOOKUP(B960,customer_master!$A$2:$A$1649, customer_master!$A$2:$A$1649)), "Invalid", "Ok")</f>
        <v>Ok</v>
      </c>
      <c r="K960" t="str">
        <f>IF(ISNA(_xlfn.XLOOKUP(H960,agent_info!$A$2:$A$301, agent_info!$A$2:$A$301)), "Invalid", "Ok")</f>
        <v>Ok</v>
      </c>
    </row>
    <row r="961" spans="1:11" x14ac:dyDescent="0.3">
      <c r="A961" s="1" t="s">
        <v>4570</v>
      </c>
      <c r="B961" s="1" t="s">
        <v>1185</v>
      </c>
      <c r="C961" s="1" t="s">
        <v>3334</v>
      </c>
      <c r="D961" s="1">
        <v>747899.84</v>
      </c>
      <c r="E961" s="1">
        <v>34934.89</v>
      </c>
      <c r="F961" s="41">
        <v>45194</v>
      </c>
      <c r="G961" s="41">
        <v>45560</v>
      </c>
      <c r="H961" s="1" t="s">
        <v>3570</v>
      </c>
      <c r="I961" s="1" t="s">
        <v>3320</v>
      </c>
      <c r="J961" t="str">
        <f>IF(ISNA(_xlfn.XLOOKUP(B961,customer_master!$A$2:$A$1649, customer_master!$A$2:$A$1649)), "Invalid", "Ok")</f>
        <v>Ok</v>
      </c>
      <c r="K961" t="str">
        <f>IF(ISNA(_xlfn.XLOOKUP(H961,agent_info!$A$2:$A$301, agent_info!$A$2:$A$301)), "Invalid", "Ok")</f>
        <v>Ok</v>
      </c>
    </row>
    <row r="962" spans="1:11" x14ac:dyDescent="0.3">
      <c r="A962" s="1" t="s">
        <v>4571</v>
      </c>
      <c r="B962" s="1" t="s">
        <v>2609</v>
      </c>
      <c r="C962" s="1" t="s">
        <v>3334</v>
      </c>
      <c r="D962" s="1">
        <v>768726.11</v>
      </c>
      <c r="E962" s="1">
        <v>40523.120000000003</v>
      </c>
      <c r="F962" s="41">
        <v>45148</v>
      </c>
      <c r="G962" s="41">
        <v>45514</v>
      </c>
      <c r="H962" s="1" t="s">
        <v>3966</v>
      </c>
      <c r="I962" s="1" t="s">
        <v>3324</v>
      </c>
      <c r="J962" t="str">
        <f>IF(ISNA(_xlfn.XLOOKUP(B962,customer_master!$A$2:$A$1649, customer_master!$A$2:$A$1649)), "Invalid", "Ok")</f>
        <v>Ok</v>
      </c>
      <c r="K962" t="str">
        <f>IF(ISNA(_xlfn.XLOOKUP(H962,agent_info!$A$2:$A$301, agent_info!$A$2:$A$301)), "Invalid", "Ok")</f>
        <v>Ok</v>
      </c>
    </row>
    <row r="963" spans="1:11" x14ac:dyDescent="0.3">
      <c r="A963" s="1" t="s">
        <v>4572</v>
      </c>
      <c r="B963" s="1" t="s">
        <v>2075</v>
      </c>
      <c r="C963" s="1" t="s">
        <v>3326</v>
      </c>
      <c r="D963" s="1">
        <v>353529.94</v>
      </c>
      <c r="E963" s="1">
        <v>16047.13</v>
      </c>
      <c r="F963" s="41">
        <v>45586</v>
      </c>
      <c r="G963" s="41">
        <v>45951</v>
      </c>
      <c r="H963" s="1" t="s">
        <v>3846</v>
      </c>
      <c r="I963" s="1" t="s">
        <v>3324</v>
      </c>
      <c r="J963" t="str">
        <f>IF(ISNA(_xlfn.XLOOKUP(B963,customer_master!$A$2:$A$1649, customer_master!$A$2:$A$1649)), "Invalid", "Ok")</f>
        <v>Ok</v>
      </c>
      <c r="K963" t="str">
        <f>IF(ISNA(_xlfn.XLOOKUP(H963,agent_info!$A$2:$A$301, agent_info!$A$2:$A$301)), "Invalid", "Ok")</f>
        <v>Ok</v>
      </c>
    </row>
    <row r="964" spans="1:11" x14ac:dyDescent="0.3">
      <c r="A964" s="1" t="s">
        <v>4573</v>
      </c>
      <c r="B964" s="1" t="s">
        <v>1705</v>
      </c>
      <c r="C964" s="1" t="s">
        <v>3331</v>
      </c>
      <c r="D964" s="1">
        <v>752534.42</v>
      </c>
      <c r="E964" s="1">
        <v>35636.76</v>
      </c>
      <c r="F964" s="41">
        <v>45603</v>
      </c>
      <c r="G964" s="41">
        <v>45968</v>
      </c>
      <c r="H964" s="1" t="s">
        <v>3738</v>
      </c>
      <c r="I964" s="1" t="s">
        <v>3316</v>
      </c>
      <c r="J964" t="str">
        <f>IF(ISNA(_xlfn.XLOOKUP(B964,customer_master!$A$2:$A$1649, customer_master!$A$2:$A$1649)), "Invalid", "Ok")</f>
        <v>Ok</v>
      </c>
      <c r="K964" t="str">
        <f>IF(ISNA(_xlfn.XLOOKUP(H964,agent_info!$A$2:$A$301, agent_info!$A$2:$A$301)), "Invalid", "Ok")</f>
        <v>Ok</v>
      </c>
    </row>
    <row r="965" spans="1:11" x14ac:dyDescent="0.3">
      <c r="A965" s="1" t="s">
        <v>4574</v>
      </c>
      <c r="B965" s="1" t="s">
        <v>2573</v>
      </c>
      <c r="C965" s="1" t="s">
        <v>3331</v>
      </c>
      <c r="D965" s="1">
        <v>428123.13</v>
      </c>
      <c r="E965" s="1">
        <v>20379.330000000002</v>
      </c>
      <c r="F965" s="41">
        <v>45503</v>
      </c>
      <c r="G965" s="41">
        <v>45868</v>
      </c>
      <c r="H965" s="1" t="s">
        <v>3758</v>
      </c>
      <c r="I965" s="1" t="s">
        <v>3324</v>
      </c>
      <c r="J965" t="str">
        <f>IF(ISNA(_xlfn.XLOOKUP(B965,customer_master!$A$2:$A$1649, customer_master!$A$2:$A$1649)), "Invalid", "Ok")</f>
        <v>Ok</v>
      </c>
      <c r="K965" t="str">
        <f>IF(ISNA(_xlfn.XLOOKUP(H965,agent_info!$A$2:$A$301, agent_info!$A$2:$A$301)), "Invalid", "Ok")</f>
        <v>Ok</v>
      </c>
    </row>
    <row r="966" spans="1:11" x14ac:dyDescent="0.3">
      <c r="A966" s="1" t="s">
        <v>4575</v>
      </c>
      <c r="B966" s="1" t="s">
        <v>1821</v>
      </c>
      <c r="C966" s="1" t="s">
        <v>3331</v>
      </c>
      <c r="D966" s="1">
        <v>586346.63</v>
      </c>
      <c r="E966" s="1">
        <v>28128.43</v>
      </c>
      <c r="F966" s="41">
        <v>46107</v>
      </c>
      <c r="G966" s="41">
        <v>46472</v>
      </c>
      <c r="H966" s="1" t="s">
        <v>3796</v>
      </c>
      <c r="I966" s="1" t="s">
        <v>3316</v>
      </c>
      <c r="J966" t="str">
        <f>IF(ISNA(_xlfn.XLOOKUP(B966,customer_master!$A$2:$A$1649, customer_master!$A$2:$A$1649)), "Invalid", "Ok")</f>
        <v>Ok</v>
      </c>
      <c r="K966" t="str">
        <f>IF(ISNA(_xlfn.XLOOKUP(H966,agent_info!$A$2:$A$301, agent_info!$A$2:$A$301)), "Invalid", "Ok")</f>
        <v>Ok</v>
      </c>
    </row>
    <row r="967" spans="1:11" x14ac:dyDescent="0.3">
      <c r="A967" s="1" t="s">
        <v>4576</v>
      </c>
      <c r="B967" s="1" t="s">
        <v>3120</v>
      </c>
      <c r="C967" s="1" t="s">
        <v>3326</v>
      </c>
      <c r="D967" s="1">
        <v>436229.43</v>
      </c>
      <c r="E967" s="1">
        <v>23640.6</v>
      </c>
      <c r="F967" s="41">
        <v>45689</v>
      </c>
      <c r="G967" s="41">
        <v>46054</v>
      </c>
      <c r="H967" s="1" t="s">
        <v>3813</v>
      </c>
      <c r="I967" s="1" t="s">
        <v>3324</v>
      </c>
      <c r="J967" t="str">
        <f>IF(ISNA(_xlfn.XLOOKUP(B967,customer_master!$A$2:$A$1649, customer_master!$A$2:$A$1649)), "Invalid", "Ok")</f>
        <v>Ok</v>
      </c>
      <c r="K967" t="str">
        <f>IF(ISNA(_xlfn.XLOOKUP(H967,agent_info!$A$2:$A$301, agent_info!$A$2:$A$301)), "Invalid", "Ok")</f>
        <v>Ok</v>
      </c>
    </row>
    <row r="968" spans="1:11" x14ac:dyDescent="0.3">
      <c r="A968" s="1" t="s">
        <v>4577</v>
      </c>
      <c r="B968" s="1" t="s">
        <v>2716</v>
      </c>
      <c r="C968" s="1" t="s">
        <v>3326</v>
      </c>
      <c r="D968" s="1">
        <v>562236.86</v>
      </c>
      <c r="E968" s="1">
        <v>26286.31</v>
      </c>
      <c r="F968" s="41">
        <v>44608</v>
      </c>
      <c r="G968" s="41">
        <v>44973</v>
      </c>
      <c r="H968" s="1" t="s">
        <v>4548</v>
      </c>
      <c r="I968" s="1" t="s">
        <v>3320</v>
      </c>
      <c r="J968" t="str">
        <f>IF(ISNA(_xlfn.XLOOKUP(B968,customer_master!$A$2:$A$1649, customer_master!$A$2:$A$1649)), "Invalid", "Ok")</f>
        <v>Ok</v>
      </c>
      <c r="K968" t="str">
        <f>IF(ISNA(_xlfn.XLOOKUP(H968,agent_info!$A$2:$A$301, agent_info!$A$2:$A$301)), "Invalid", "Ok")</f>
        <v>Ok</v>
      </c>
    </row>
    <row r="969" spans="1:11" x14ac:dyDescent="0.3">
      <c r="A969" s="1" t="s">
        <v>4578</v>
      </c>
      <c r="B969" s="1" t="s">
        <v>1215</v>
      </c>
      <c r="C969" s="1" t="s">
        <v>3331</v>
      </c>
      <c r="D969" s="1">
        <v>395625.64</v>
      </c>
      <c r="E969" s="1">
        <v>18490.11</v>
      </c>
      <c r="F969" s="41">
        <v>44152</v>
      </c>
      <c r="G969" s="41">
        <v>44517</v>
      </c>
      <c r="H969" s="1" t="s">
        <v>3637</v>
      </c>
      <c r="I969" s="1" t="s">
        <v>3324</v>
      </c>
      <c r="J969" t="str">
        <f>IF(ISNA(_xlfn.XLOOKUP(B969,customer_master!$A$2:$A$1649, customer_master!$A$2:$A$1649)), "Invalid", "Ok")</f>
        <v>Ok</v>
      </c>
      <c r="K969" t="str">
        <f>IF(ISNA(_xlfn.XLOOKUP(H969,agent_info!$A$2:$A$301, agent_info!$A$2:$A$301)), "Invalid", "Ok")</f>
        <v>Ok</v>
      </c>
    </row>
    <row r="970" spans="1:11" x14ac:dyDescent="0.3">
      <c r="A970" s="1" t="s">
        <v>4579</v>
      </c>
      <c r="B970" s="1" t="s">
        <v>1561</v>
      </c>
      <c r="C970" s="1" t="s">
        <v>3331</v>
      </c>
      <c r="D970" s="1">
        <v>472423.92</v>
      </c>
      <c r="E970" s="1">
        <v>24526.71</v>
      </c>
      <c r="F970" s="41">
        <v>45859</v>
      </c>
      <c r="G970" s="41">
        <v>46224</v>
      </c>
      <c r="H970" s="1" t="s">
        <v>3880</v>
      </c>
      <c r="I970" s="1" t="s">
        <v>3324</v>
      </c>
      <c r="J970" t="str">
        <f>IF(ISNA(_xlfn.XLOOKUP(B970,customer_master!$A$2:$A$1649, customer_master!$A$2:$A$1649)), "Invalid", "Ok")</f>
        <v>Ok</v>
      </c>
      <c r="K970" t="str">
        <f>IF(ISNA(_xlfn.XLOOKUP(H970,agent_info!$A$2:$A$301, agent_info!$A$2:$A$301)), "Invalid", "Ok")</f>
        <v>Ok</v>
      </c>
    </row>
    <row r="971" spans="1:11" x14ac:dyDescent="0.3">
      <c r="A971" s="1" t="s">
        <v>4580</v>
      </c>
      <c r="B971" s="1" t="s">
        <v>3176</v>
      </c>
      <c r="C971" s="1" t="s">
        <v>3326</v>
      </c>
      <c r="D971" s="1">
        <v>455201.47</v>
      </c>
      <c r="E971" s="1">
        <v>24819.03</v>
      </c>
      <c r="F971" s="41">
        <v>45460</v>
      </c>
      <c r="G971" s="41">
        <v>45825</v>
      </c>
      <c r="H971" s="1" t="s">
        <v>3998</v>
      </c>
      <c r="I971" s="1" t="s">
        <v>3324</v>
      </c>
      <c r="J971" t="str">
        <f>IF(ISNA(_xlfn.XLOOKUP(B971,customer_master!$A$2:$A$1649, customer_master!$A$2:$A$1649)), "Invalid", "Ok")</f>
        <v>Ok</v>
      </c>
      <c r="K971" t="str">
        <f>IF(ISNA(_xlfn.XLOOKUP(H971,agent_info!$A$2:$A$301, agent_info!$A$2:$A$301)), "Invalid", "Ok")</f>
        <v>Ok</v>
      </c>
    </row>
    <row r="972" spans="1:11" x14ac:dyDescent="0.3">
      <c r="A972" s="1" t="s">
        <v>4581</v>
      </c>
      <c r="B972" s="1" t="s">
        <v>2975</v>
      </c>
      <c r="C972" s="1" t="s">
        <v>3331</v>
      </c>
      <c r="D972" s="1">
        <v>730804.14</v>
      </c>
      <c r="E972" s="1">
        <v>35731.089999999997</v>
      </c>
      <c r="F972" s="41">
        <v>45559</v>
      </c>
      <c r="G972" s="41">
        <v>45924</v>
      </c>
      <c r="H972" s="1" t="s">
        <v>3570</v>
      </c>
      <c r="I972" s="1" t="s">
        <v>3320</v>
      </c>
      <c r="J972" t="str">
        <f>IF(ISNA(_xlfn.XLOOKUP(B972,customer_master!$A$2:$A$1649, customer_master!$A$2:$A$1649)), "Invalid", "Ok")</f>
        <v>Ok</v>
      </c>
      <c r="K972" t="str">
        <f>IF(ISNA(_xlfn.XLOOKUP(H972,agent_info!$A$2:$A$301, agent_info!$A$2:$A$301)), "Invalid", "Ok")</f>
        <v>Ok</v>
      </c>
    </row>
    <row r="973" spans="1:11" x14ac:dyDescent="0.3">
      <c r="A973" s="1" t="s">
        <v>4582</v>
      </c>
      <c r="B973" s="1" t="s">
        <v>682</v>
      </c>
      <c r="C973" s="1" t="s">
        <v>3314</v>
      </c>
      <c r="D973" s="1">
        <v>609697.38</v>
      </c>
      <c r="E973" s="1">
        <v>32150.13</v>
      </c>
      <c r="F973" s="41">
        <v>45605</v>
      </c>
      <c r="G973" s="41">
        <v>45970</v>
      </c>
      <c r="H973" s="1" t="s">
        <v>3846</v>
      </c>
      <c r="I973" s="1" t="s">
        <v>3324</v>
      </c>
      <c r="J973" t="str">
        <f>IF(ISNA(_xlfn.XLOOKUP(B973,customer_master!$A$2:$A$1649, customer_master!$A$2:$A$1649)), "Invalid", "Ok")</f>
        <v>Ok</v>
      </c>
      <c r="K973" t="str">
        <f>IF(ISNA(_xlfn.XLOOKUP(H973,agent_info!$A$2:$A$301, agent_info!$A$2:$A$301)), "Invalid", "Ok")</f>
        <v>Ok</v>
      </c>
    </row>
    <row r="974" spans="1:11" x14ac:dyDescent="0.3">
      <c r="A974" s="1" t="s">
        <v>4583</v>
      </c>
      <c r="B974" s="1" t="s">
        <v>927</v>
      </c>
      <c r="C974" s="1" t="s">
        <v>3331</v>
      </c>
      <c r="D974" s="1">
        <v>651682.01</v>
      </c>
      <c r="E974" s="1">
        <v>29527.95</v>
      </c>
      <c r="F974" s="41">
        <v>45491</v>
      </c>
      <c r="G974" s="41">
        <v>45856</v>
      </c>
      <c r="H974" s="1" t="s">
        <v>4438</v>
      </c>
      <c r="I974" s="1" t="s">
        <v>3316</v>
      </c>
      <c r="J974" t="str">
        <f>IF(ISNA(_xlfn.XLOOKUP(B974,customer_master!$A$2:$A$1649, customer_master!$A$2:$A$1649)), "Invalid", "Ok")</f>
        <v>Ok</v>
      </c>
      <c r="K974" t="str">
        <f>IF(ISNA(_xlfn.XLOOKUP(H974,agent_info!$A$2:$A$301, agent_info!$A$2:$A$301)), "Invalid", "Ok")</f>
        <v>Ok</v>
      </c>
    </row>
    <row r="975" spans="1:11" x14ac:dyDescent="0.3">
      <c r="A975" s="1" t="s">
        <v>4584</v>
      </c>
      <c r="B975" s="1" t="s">
        <v>1233</v>
      </c>
      <c r="C975" s="1" t="s">
        <v>3334</v>
      </c>
      <c r="D975" s="1">
        <v>645265.85</v>
      </c>
      <c r="E975" s="1">
        <v>34354.370000000003</v>
      </c>
      <c r="F975" s="41">
        <v>44649</v>
      </c>
      <c r="G975" s="41">
        <v>45014</v>
      </c>
      <c r="H975" s="1" t="s">
        <v>4220</v>
      </c>
      <c r="I975" s="1" t="s">
        <v>3324</v>
      </c>
      <c r="J975" t="str">
        <f>IF(ISNA(_xlfn.XLOOKUP(B975,customer_master!$A$2:$A$1649, customer_master!$A$2:$A$1649)), "Invalid", "Ok")</f>
        <v>Ok</v>
      </c>
      <c r="K975" t="str">
        <f>IF(ISNA(_xlfn.XLOOKUP(H975,agent_info!$A$2:$A$301, agent_info!$A$2:$A$301)), "Invalid", "Ok")</f>
        <v>Ok</v>
      </c>
    </row>
    <row r="976" spans="1:11" x14ac:dyDescent="0.3">
      <c r="A976" s="1" t="s">
        <v>4585</v>
      </c>
      <c r="B976" s="1" t="s">
        <v>2926</v>
      </c>
      <c r="C976" s="1" t="s">
        <v>3334</v>
      </c>
      <c r="D976" s="1">
        <v>536031.01</v>
      </c>
      <c r="E976" s="1">
        <v>27999.03</v>
      </c>
      <c r="F976" s="41">
        <v>45075</v>
      </c>
      <c r="G976" s="41">
        <v>45441</v>
      </c>
      <c r="H976" s="1" t="s">
        <v>4586</v>
      </c>
      <c r="I976" s="1" t="s">
        <v>3316</v>
      </c>
      <c r="J976" t="str">
        <f>IF(ISNA(_xlfn.XLOOKUP(B976,customer_master!$A$2:$A$1649, customer_master!$A$2:$A$1649)), "Invalid", "Ok")</f>
        <v>Ok</v>
      </c>
      <c r="K976" t="str">
        <f>IF(ISNA(_xlfn.XLOOKUP(H976,agent_info!$A$2:$A$301, agent_info!$A$2:$A$301)), "Invalid", "Ok")</f>
        <v>Ok</v>
      </c>
    </row>
    <row r="977" spans="1:11" x14ac:dyDescent="0.3">
      <c r="A977" s="1" t="s">
        <v>4587</v>
      </c>
      <c r="B977" s="1" t="s">
        <v>3082</v>
      </c>
      <c r="C977" s="1" t="s">
        <v>3331</v>
      </c>
      <c r="D977" s="1">
        <v>386849.04</v>
      </c>
      <c r="E977" s="1">
        <v>20876.759999999998</v>
      </c>
      <c r="F977" s="41">
        <v>45569</v>
      </c>
      <c r="G977" s="41">
        <v>45934</v>
      </c>
      <c r="H977" s="1" t="s">
        <v>3371</v>
      </c>
      <c r="I977" s="1" t="s">
        <v>3320</v>
      </c>
      <c r="J977" t="str">
        <f>IF(ISNA(_xlfn.XLOOKUP(B977,customer_master!$A$2:$A$1649, customer_master!$A$2:$A$1649)), "Invalid", "Ok")</f>
        <v>Ok</v>
      </c>
      <c r="K977" t="str">
        <f>IF(ISNA(_xlfn.XLOOKUP(H977,agent_info!$A$2:$A$301, agent_info!$A$2:$A$301)), "Invalid", "Ok")</f>
        <v>Ok</v>
      </c>
    </row>
    <row r="978" spans="1:11" x14ac:dyDescent="0.3">
      <c r="A978" s="1" t="s">
        <v>4588</v>
      </c>
      <c r="B978" s="1" t="s">
        <v>2655</v>
      </c>
      <c r="C978" s="1" t="s">
        <v>3318</v>
      </c>
      <c r="D978" s="1">
        <v>418453.85</v>
      </c>
      <c r="E978" s="1">
        <v>21497.88</v>
      </c>
      <c r="F978" s="41">
        <v>44634</v>
      </c>
      <c r="G978" s="41">
        <v>44999</v>
      </c>
      <c r="H978" s="1" t="s">
        <v>3627</v>
      </c>
      <c r="I978" s="1" t="s">
        <v>3324</v>
      </c>
      <c r="J978" t="str">
        <f>IF(ISNA(_xlfn.XLOOKUP(B978,customer_master!$A$2:$A$1649, customer_master!$A$2:$A$1649)), "Invalid", "Ok")</f>
        <v>Ok</v>
      </c>
      <c r="K978" t="str">
        <f>IF(ISNA(_xlfn.XLOOKUP(H978,agent_info!$A$2:$A$301, agent_info!$A$2:$A$301)), "Invalid", "Ok")</f>
        <v>Ok</v>
      </c>
    </row>
    <row r="979" spans="1:11" x14ac:dyDescent="0.3">
      <c r="A979" s="1" t="s">
        <v>4589</v>
      </c>
      <c r="B979" s="1" t="s">
        <v>933</v>
      </c>
      <c r="C979" s="1" t="s">
        <v>3331</v>
      </c>
      <c r="D979" s="1">
        <v>556535.43999999994</v>
      </c>
      <c r="E979" s="1">
        <v>30282.97</v>
      </c>
      <c r="F979" s="41">
        <v>45396</v>
      </c>
      <c r="G979" s="41">
        <v>45761</v>
      </c>
      <c r="H979" s="1" t="s">
        <v>4027</v>
      </c>
      <c r="I979" s="1" t="s">
        <v>3320</v>
      </c>
      <c r="J979" t="str">
        <f>IF(ISNA(_xlfn.XLOOKUP(B979,customer_master!$A$2:$A$1649, customer_master!$A$2:$A$1649)), "Invalid", "Ok")</f>
        <v>Ok</v>
      </c>
      <c r="K979" t="str">
        <f>IF(ISNA(_xlfn.XLOOKUP(H979,agent_info!$A$2:$A$301, agent_info!$A$2:$A$301)), "Invalid", "Ok")</f>
        <v>Ok</v>
      </c>
    </row>
    <row r="980" spans="1:11" x14ac:dyDescent="0.3">
      <c r="A980" s="1" t="s">
        <v>4590</v>
      </c>
      <c r="B980" s="1" t="s">
        <v>2947</v>
      </c>
      <c r="C980" s="1" t="s">
        <v>3314</v>
      </c>
      <c r="D980" s="1">
        <v>747398.49</v>
      </c>
      <c r="E980" s="1">
        <v>36546.720000000001</v>
      </c>
      <c r="F980" s="41">
        <v>46163</v>
      </c>
      <c r="G980" s="41">
        <v>46528</v>
      </c>
      <c r="H980" s="1" t="s">
        <v>3522</v>
      </c>
      <c r="I980" s="1" t="s">
        <v>3324</v>
      </c>
      <c r="J980" t="str">
        <f>IF(ISNA(_xlfn.XLOOKUP(B980,customer_master!$A$2:$A$1649, customer_master!$A$2:$A$1649)), "Invalid", "Ok")</f>
        <v>Ok</v>
      </c>
      <c r="K980" t="str">
        <f>IF(ISNA(_xlfn.XLOOKUP(H980,agent_info!$A$2:$A$301, agent_info!$A$2:$A$301)), "Invalid", "Ok")</f>
        <v>Ok</v>
      </c>
    </row>
    <row r="981" spans="1:11" x14ac:dyDescent="0.3">
      <c r="A981" s="1" t="s">
        <v>4591</v>
      </c>
      <c r="B981" s="1" t="s">
        <v>144</v>
      </c>
      <c r="C981" s="1" t="s">
        <v>3318</v>
      </c>
      <c r="D981" s="1">
        <v>472030.45</v>
      </c>
      <c r="E981" s="1">
        <v>24699.14</v>
      </c>
      <c r="F981" s="41">
        <v>45921</v>
      </c>
      <c r="G981" s="41">
        <v>46286</v>
      </c>
      <c r="H981" s="1" t="s">
        <v>4400</v>
      </c>
      <c r="I981" s="1" t="s">
        <v>3324</v>
      </c>
      <c r="J981" t="str">
        <f>IF(ISNA(_xlfn.XLOOKUP(B981,customer_master!$A$2:$A$1649, customer_master!$A$2:$A$1649)), "Invalid", "Ok")</f>
        <v>Ok</v>
      </c>
      <c r="K981" t="str">
        <f>IF(ISNA(_xlfn.XLOOKUP(H981,agent_info!$A$2:$A$301, agent_info!$A$2:$A$301)), "Invalid", "Ok")</f>
        <v>Ok</v>
      </c>
    </row>
    <row r="982" spans="1:11" x14ac:dyDescent="0.3">
      <c r="A982" s="1" t="s">
        <v>4592</v>
      </c>
      <c r="B982" s="1" t="s">
        <v>1429</v>
      </c>
      <c r="C982" s="1" t="s">
        <v>3318</v>
      </c>
      <c r="D982" s="1">
        <v>641964.48</v>
      </c>
      <c r="E982" s="1">
        <v>33546.269999999997</v>
      </c>
      <c r="F982" s="41">
        <v>44104</v>
      </c>
      <c r="G982" s="41">
        <v>44469</v>
      </c>
      <c r="H982" s="1" t="s">
        <v>3798</v>
      </c>
      <c r="I982" s="1" t="s">
        <v>3324</v>
      </c>
      <c r="J982" t="str">
        <f>IF(ISNA(_xlfn.XLOOKUP(B982,customer_master!$A$2:$A$1649, customer_master!$A$2:$A$1649)), "Invalid", "Ok")</f>
        <v>Ok</v>
      </c>
      <c r="K982" t="str">
        <f>IF(ISNA(_xlfn.XLOOKUP(H982,agent_info!$A$2:$A$301, agent_info!$A$2:$A$301)), "Invalid", "Ok")</f>
        <v>Ok</v>
      </c>
    </row>
    <row r="983" spans="1:11" x14ac:dyDescent="0.3">
      <c r="A983" s="1" t="s">
        <v>4593</v>
      </c>
      <c r="B983" s="1" t="s">
        <v>1287</v>
      </c>
      <c r="C983" s="1" t="s">
        <v>3318</v>
      </c>
      <c r="D983" s="1">
        <v>690453.23</v>
      </c>
      <c r="E983" s="1">
        <v>32925.01</v>
      </c>
      <c r="F983" s="41">
        <v>45766</v>
      </c>
      <c r="G983" s="41">
        <v>46131</v>
      </c>
      <c r="H983" s="1" t="s">
        <v>3492</v>
      </c>
      <c r="I983" s="1" t="s">
        <v>3316</v>
      </c>
      <c r="J983" t="str">
        <f>IF(ISNA(_xlfn.XLOOKUP(B983,customer_master!$A$2:$A$1649, customer_master!$A$2:$A$1649)), "Invalid", "Ok")</f>
        <v>Ok</v>
      </c>
      <c r="K983" t="str">
        <f>IF(ISNA(_xlfn.XLOOKUP(H983,agent_info!$A$2:$A$301, agent_info!$A$2:$A$301)), "Invalid", "Ok")</f>
        <v>Ok</v>
      </c>
    </row>
    <row r="984" spans="1:11" x14ac:dyDescent="0.3">
      <c r="A984" s="1" t="s">
        <v>4594</v>
      </c>
      <c r="B984" s="1" t="s">
        <v>1797</v>
      </c>
      <c r="C984" s="1" t="s">
        <v>3318</v>
      </c>
      <c r="D984" s="1">
        <v>720764.84</v>
      </c>
      <c r="E984" s="1">
        <v>39069.629999999997</v>
      </c>
      <c r="F984" s="41">
        <v>45489</v>
      </c>
      <c r="G984" s="41">
        <v>45854</v>
      </c>
      <c r="H984" s="1" t="s">
        <v>3541</v>
      </c>
      <c r="I984" s="1" t="s">
        <v>3324</v>
      </c>
      <c r="J984" t="str">
        <f>IF(ISNA(_xlfn.XLOOKUP(B984,customer_master!$A$2:$A$1649, customer_master!$A$2:$A$1649)), "Invalid", "Ok")</f>
        <v>Ok</v>
      </c>
      <c r="K984" t="str">
        <f>IF(ISNA(_xlfn.XLOOKUP(H984,agent_info!$A$2:$A$301, agent_info!$A$2:$A$301)), "Invalid", "Ok")</f>
        <v>Ok</v>
      </c>
    </row>
    <row r="985" spans="1:11" x14ac:dyDescent="0.3">
      <c r="A985" s="1" t="s">
        <v>4595</v>
      </c>
      <c r="B985" s="1" t="s">
        <v>1885</v>
      </c>
      <c r="C985" s="1" t="s">
        <v>3326</v>
      </c>
      <c r="D985" s="1">
        <v>452720.24</v>
      </c>
      <c r="E985" s="1">
        <v>23899.9</v>
      </c>
      <c r="F985" s="41">
        <v>46086</v>
      </c>
      <c r="G985" s="41">
        <v>46451</v>
      </c>
      <c r="H985" s="1" t="s">
        <v>4004</v>
      </c>
      <c r="I985" s="1" t="s">
        <v>3324</v>
      </c>
      <c r="J985" t="str">
        <f>IF(ISNA(_xlfn.XLOOKUP(B985,customer_master!$A$2:$A$1649, customer_master!$A$2:$A$1649)), "Invalid", "Ok")</f>
        <v>Ok</v>
      </c>
      <c r="K985" t="str">
        <f>IF(ISNA(_xlfn.XLOOKUP(H985,agent_info!$A$2:$A$301, agent_info!$A$2:$A$301)), "Invalid", "Ok")</f>
        <v>Ok</v>
      </c>
    </row>
    <row r="986" spans="1:11" x14ac:dyDescent="0.3">
      <c r="A986" s="1" t="s">
        <v>4596</v>
      </c>
      <c r="B986" s="1" t="s">
        <v>799</v>
      </c>
      <c r="C986" s="1" t="s">
        <v>3314</v>
      </c>
      <c r="D986" s="1">
        <v>743544.02</v>
      </c>
      <c r="E986" s="1">
        <v>39901.19</v>
      </c>
      <c r="F986" s="41">
        <v>44948</v>
      </c>
      <c r="G986" s="41">
        <v>45313</v>
      </c>
      <c r="H986" s="1" t="s">
        <v>3500</v>
      </c>
      <c r="I986" s="1" t="s">
        <v>3324</v>
      </c>
      <c r="J986" t="str">
        <f>IF(ISNA(_xlfn.XLOOKUP(B986,customer_master!$A$2:$A$1649, customer_master!$A$2:$A$1649)), "Invalid", "Ok")</f>
        <v>Ok</v>
      </c>
      <c r="K986" t="str">
        <f>IF(ISNA(_xlfn.XLOOKUP(H986,agent_info!$A$2:$A$301, agent_info!$A$2:$A$301)), "Invalid", "Ok")</f>
        <v>Ok</v>
      </c>
    </row>
    <row r="987" spans="1:11" x14ac:dyDescent="0.3">
      <c r="A987" s="1" t="s">
        <v>4597</v>
      </c>
      <c r="B987" s="1" t="s">
        <v>725</v>
      </c>
      <c r="C987" s="1" t="s">
        <v>3318</v>
      </c>
      <c r="D987" s="1">
        <v>607817.29</v>
      </c>
      <c r="E987" s="1">
        <v>29555.67</v>
      </c>
      <c r="F987" s="41">
        <v>45361</v>
      </c>
      <c r="G987" s="41">
        <v>45726</v>
      </c>
      <c r="H987" s="1" t="s">
        <v>3437</v>
      </c>
      <c r="I987" s="1" t="s">
        <v>3316</v>
      </c>
      <c r="J987" t="str">
        <f>IF(ISNA(_xlfn.XLOOKUP(B987,customer_master!$A$2:$A$1649, customer_master!$A$2:$A$1649)), "Invalid", "Ok")</f>
        <v>Ok</v>
      </c>
      <c r="K987" t="str">
        <f>IF(ISNA(_xlfn.XLOOKUP(H987,agent_info!$A$2:$A$301, agent_info!$A$2:$A$301)), "Invalid", "Ok")</f>
        <v>Ok</v>
      </c>
    </row>
    <row r="988" spans="1:11" x14ac:dyDescent="0.3">
      <c r="A988" s="1" t="s">
        <v>4598</v>
      </c>
      <c r="B988" s="1" t="s">
        <v>2661</v>
      </c>
      <c r="C988" s="1" t="s">
        <v>3334</v>
      </c>
      <c r="D988" s="1">
        <v>580736.61</v>
      </c>
      <c r="E988" s="1">
        <v>31018.62</v>
      </c>
      <c r="F988" s="41">
        <v>46051</v>
      </c>
      <c r="G988" s="41">
        <v>46416</v>
      </c>
      <c r="H988" s="1" t="s">
        <v>3581</v>
      </c>
      <c r="I988" s="1" t="s">
        <v>3316</v>
      </c>
      <c r="J988" t="str">
        <f>IF(ISNA(_xlfn.XLOOKUP(B988,customer_master!$A$2:$A$1649, customer_master!$A$2:$A$1649)), "Invalid", "Ok")</f>
        <v>Ok</v>
      </c>
      <c r="K988" t="str">
        <f>IF(ISNA(_xlfn.XLOOKUP(H988,agent_info!$A$2:$A$301, agent_info!$A$2:$A$301)), "Invalid", "Ok")</f>
        <v>Ok</v>
      </c>
    </row>
    <row r="989" spans="1:11" x14ac:dyDescent="0.3">
      <c r="A989" s="1" t="s">
        <v>4599</v>
      </c>
      <c r="B989" s="1" t="s">
        <v>290</v>
      </c>
      <c r="C989" s="1" t="s">
        <v>3318</v>
      </c>
      <c r="D989" s="1">
        <v>672232.41</v>
      </c>
      <c r="E989" s="1">
        <v>32367.83</v>
      </c>
      <c r="F989" s="41">
        <v>45213</v>
      </c>
      <c r="G989" s="41">
        <v>45579</v>
      </c>
      <c r="H989" s="1" t="s">
        <v>3545</v>
      </c>
      <c r="I989" s="1" t="s">
        <v>3320</v>
      </c>
      <c r="J989" t="str">
        <f>IF(ISNA(_xlfn.XLOOKUP(B989,customer_master!$A$2:$A$1649, customer_master!$A$2:$A$1649)), "Invalid", "Ok")</f>
        <v>Ok</v>
      </c>
      <c r="K989" t="str">
        <f>IF(ISNA(_xlfn.XLOOKUP(H989,agent_info!$A$2:$A$301, agent_info!$A$2:$A$301)), "Invalid", "Ok")</f>
        <v>Ok</v>
      </c>
    </row>
    <row r="990" spans="1:11" x14ac:dyDescent="0.3">
      <c r="A990" s="1" t="s">
        <v>4600</v>
      </c>
      <c r="B990" s="1" t="s">
        <v>1660</v>
      </c>
      <c r="C990" s="1" t="s">
        <v>3334</v>
      </c>
      <c r="D990" s="1">
        <v>476904.36</v>
      </c>
      <c r="E990" s="1">
        <v>26059.97</v>
      </c>
      <c r="F990" s="41">
        <v>44490</v>
      </c>
      <c r="G990" s="41">
        <v>44855</v>
      </c>
      <c r="H990" s="1" t="s">
        <v>3714</v>
      </c>
      <c r="I990" s="1" t="s">
        <v>3316</v>
      </c>
      <c r="J990" t="str">
        <f>IF(ISNA(_xlfn.XLOOKUP(B990,customer_master!$A$2:$A$1649, customer_master!$A$2:$A$1649)), "Invalid", "Ok")</f>
        <v>Ok</v>
      </c>
      <c r="K990" t="str">
        <f>IF(ISNA(_xlfn.XLOOKUP(H990,agent_info!$A$2:$A$301, agent_info!$A$2:$A$301)), "Invalid", "Ok")</f>
        <v>Ok</v>
      </c>
    </row>
    <row r="991" spans="1:11" x14ac:dyDescent="0.3">
      <c r="A991" s="1" t="s">
        <v>4601</v>
      </c>
      <c r="B991" s="1" t="s">
        <v>683</v>
      </c>
      <c r="C991" s="1" t="s">
        <v>3314</v>
      </c>
      <c r="D991" s="1">
        <v>697843.39</v>
      </c>
      <c r="E991" s="1">
        <v>31570.07</v>
      </c>
      <c r="F991" s="41">
        <v>45004</v>
      </c>
      <c r="G991" s="41">
        <v>45370</v>
      </c>
      <c r="H991" s="1" t="s">
        <v>3809</v>
      </c>
      <c r="I991" s="1" t="s">
        <v>3316</v>
      </c>
      <c r="J991" t="str">
        <f>IF(ISNA(_xlfn.XLOOKUP(B991,customer_master!$A$2:$A$1649, customer_master!$A$2:$A$1649)), "Invalid", "Ok")</f>
        <v>Ok</v>
      </c>
      <c r="K991" t="str">
        <f>IF(ISNA(_xlfn.XLOOKUP(H991,agent_info!$A$2:$A$301, agent_info!$A$2:$A$301)), "Invalid", "Ok")</f>
        <v>Ok</v>
      </c>
    </row>
    <row r="992" spans="1:11" x14ac:dyDescent="0.3">
      <c r="A992" s="1" t="s">
        <v>4602</v>
      </c>
      <c r="B992" s="1" t="s">
        <v>1079</v>
      </c>
      <c r="C992" s="1" t="s">
        <v>3331</v>
      </c>
      <c r="D992" s="1">
        <v>629460.77</v>
      </c>
      <c r="E992" s="1">
        <v>32223.279999999999</v>
      </c>
      <c r="F992" s="41">
        <v>45895</v>
      </c>
      <c r="G992" s="41">
        <v>46260</v>
      </c>
      <c r="H992" s="1" t="s">
        <v>3595</v>
      </c>
      <c r="I992" s="1" t="s">
        <v>3324</v>
      </c>
      <c r="J992" t="str">
        <f>IF(ISNA(_xlfn.XLOOKUP(B992,customer_master!$A$2:$A$1649, customer_master!$A$2:$A$1649)), "Invalid", "Ok")</f>
        <v>Ok</v>
      </c>
      <c r="K992" t="str">
        <f>IF(ISNA(_xlfn.XLOOKUP(H992,agent_info!$A$2:$A$301, agent_info!$A$2:$A$301)), "Invalid", "Ok")</f>
        <v>Ok</v>
      </c>
    </row>
    <row r="993" spans="1:11" x14ac:dyDescent="0.3">
      <c r="A993" s="1" t="s">
        <v>4603</v>
      </c>
      <c r="B993" s="1" t="s">
        <v>935</v>
      </c>
      <c r="C993" s="1" t="s">
        <v>3334</v>
      </c>
      <c r="D993" s="1">
        <v>692755.96</v>
      </c>
      <c r="E993" s="1">
        <v>31951.56</v>
      </c>
      <c r="F993" s="41">
        <v>44631</v>
      </c>
      <c r="G993" s="41">
        <v>44996</v>
      </c>
      <c r="H993" s="1" t="s">
        <v>4240</v>
      </c>
      <c r="I993" s="1" t="s">
        <v>3324</v>
      </c>
      <c r="J993" t="str">
        <f>IF(ISNA(_xlfn.XLOOKUP(B993,customer_master!$A$2:$A$1649, customer_master!$A$2:$A$1649)), "Invalid", "Ok")</f>
        <v>Ok</v>
      </c>
      <c r="K993" t="str">
        <f>IF(ISNA(_xlfn.XLOOKUP(H993,agent_info!$A$2:$A$301, agent_info!$A$2:$A$301)), "Invalid", "Ok")</f>
        <v>Ok</v>
      </c>
    </row>
    <row r="994" spans="1:11" x14ac:dyDescent="0.3">
      <c r="A994" s="1" t="s">
        <v>4604</v>
      </c>
      <c r="B994" s="1" t="s">
        <v>2368</v>
      </c>
      <c r="C994" s="1" t="s">
        <v>3331</v>
      </c>
      <c r="D994" s="1">
        <v>707958.02</v>
      </c>
      <c r="E994" s="1">
        <v>36946.44</v>
      </c>
      <c r="F994" s="41">
        <v>44739</v>
      </c>
      <c r="G994" s="41">
        <v>45104</v>
      </c>
      <c r="H994" s="1" t="s">
        <v>3500</v>
      </c>
      <c r="I994" s="1" t="s">
        <v>3320</v>
      </c>
      <c r="J994" t="str">
        <f>IF(ISNA(_xlfn.XLOOKUP(B994,customer_master!$A$2:$A$1649, customer_master!$A$2:$A$1649)), "Invalid", "Ok")</f>
        <v>Ok</v>
      </c>
      <c r="K994" t="str">
        <f>IF(ISNA(_xlfn.XLOOKUP(H994,agent_info!$A$2:$A$301, agent_info!$A$2:$A$301)), "Invalid", "Ok")</f>
        <v>Ok</v>
      </c>
    </row>
    <row r="995" spans="1:11" x14ac:dyDescent="0.3">
      <c r="A995" s="1" t="s">
        <v>4605</v>
      </c>
      <c r="B995" s="1" t="s">
        <v>1533</v>
      </c>
      <c r="C995" s="1" t="s">
        <v>3326</v>
      </c>
      <c r="D995" s="1">
        <v>566071.61</v>
      </c>
      <c r="E995" s="1">
        <v>27531.96</v>
      </c>
      <c r="F995" s="41">
        <v>46198</v>
      </c>
      <c r="G995" s="41">
        <v>46563</v>
      </c>
      <c r="H995" s="1" t="s">
        <v>3449</v>
      </c>
      <c r="I995" s="1" t="s">
        <v>3324</v>
      </c>
      <c r="J995" t="str">
        <f>IF(ISNA(_xlfn.XLOOKUP(B995,customer_master!$A$2:$A$1649, customer_master!$A$2:$A$1649)), "Invalid", "Ok")</f>
        <v>Ok</v>
      </c>
      <c r="K995" t="str">
        <f>IF(ISNA(_xlfn.XLOOKUP(H995,agent_info!$A$2:$A$301, agent_info!$A$2:$A$301)), "Invalid", "Ok")</f>
        <v>Ok</v>
      </c>
    </row>
    <row r="996" spans="1:11" x14ac:dyDescent="0.3">
      <c r="A996" s="1" t="s">
        <v>4606</v>
      </c>
      <c r="B996" s="1" t="s">
        <v>1012</v>
      </c>
      <c r="C996" s="1" t="s">
        <v>3314</v>
      </c>
      <c r="D996" s="1">
        <v>399143.02</v>
      </c>
      <c r="E996" s="1">
        <v>21436.54</v>
      </c>
      <c r="F996" s="41">
        <v>45520</v>
      </c>
      <c r="G996" s="41">
        <v>45885</v>
      </c>
      <c r="H996" s="1" t="s">
        <v>3725</v>
      </c>
      <c r="I996" s="1" t="s">
        <v>3316</v>
      </c>
      <c r="J996" t="str">
        <f>IF(ISNA(_xlfn.XLOOKUP(B996,customer_master!$A$2:$A$1649, customer_master!$A$2:$A$1649)), "Invalid", "Ok")</f>
        <v>Ok</v>
      </c>
      <c r="K996" t="str">
        <f>IF(ISNA(_xlfn.XLOOKUP(H996,agent_info!$A$2:$A$301, agent_info!$A$2:$A$301)), "Invalid", "Ok")</f>
        <v>Ok</v>
      </c>
    </row>
    <row r="997" spans="1:11" x14ac:dyDescent="0.3">
      <c r="A997" s="1" t="s">
        <v>4607</v>
      </c>
      <c r="B997" s="1" t="s">
        <v>2756</v>
      </c>
      <c r="C997" s="1" t="s">
        <v>3318</v>
      </c>
      <c r="D997" s="1">
        <v>490548.62</v>
      </c>
      <c r="E997" s="1">
        <v>26355.72</v>
      </c>
      <c r="F997" s="41">
        <v>44916</v>
      </c>
      <c r="G997" s="41">
        <v>45281</v>
      </c>
      <c r="H997" s="1" t="s">
        <v>3565</v>
      </c>
      <c r="I997" s="1" t="s">
        <v>3316</v>
      </c>
      <c r="J997" t="str">
        <f>IF(ISNA(_xlfn.XLOOKUP(B997,customer_master!$A$2:$A$1649, customer_master!$A$2:$A$1649)), "Invalid", "Ok")</f>
        <v>Ok</v>
      </c>
      <c r="K997" t="str">
        <f>IF(ISNA(_xlfn.XLOOKUP(H997,agent_info!$A$2:$A$301, agent_info!$A$2:$A$301)), "Invalid", "Ok")</f>
        <v>Ok</v>
      </c>
    </row>
    <row r="998" spans="1:11" x14ac:dyDescent="0.3">
      <c r="A998" s="1" t="s">
        <v>4608</v>
      </c>
      <c r="B998" s="1" t="s">
        <v>320</v>
      </c>
      <c r="C998" s="1" t="s">
        <v>3331</v>
      </c>
      <c r="D998" s="1">
        <v>716464.53</v>
      </c>
      <c r="E998" s="1">
        <v>34878.14</v>
      </c>
      <c r="F998" s="41">
        <v>44752</v>
      </c>
      <c r="G998" s="41">
        <v>45117</v>
      </c>
      <c r="H998" s="1" t="s">
        <v>4518</v>
      </c>
      <c r="I998" s="1" t="s">
        <v>3320</v>
      </c>
      <c r="J998" t="str">
        <f>IF(ISNA(_xlfn.XLOOKUP(B998,customer_master!$A$2:$A$1649, customer_master!$A$2:$A$1649)), "Invalid", "Ok")</f>
        <v>Ok</v>
      </c>
      <c r="K998" t="str">
        <f>IF(ISNA(_xlfn.XLOOKUP(H998,agent_info!$A$2:$A$301, agent_info!$A$2:$A$301)), "Invalid", "Ok")</f>
        <v>Ok</v>
      </c>
    </row>
    <row r="999" spans="1:11" x14ac:dyDescent="0.3">
      <c r="A999" s="1" t="s">
        <v>4609</v>
      </c>
      <c r="B999" s="1" t="s">
        <v>2551</v>
      </c>
      <c r="C999" s="1" t="s">
        <v>3331</v>
      </c>
      <c r="D999" s="1">
        <v>620683.91</v>
      </c>
      <c r="E999" s="1">
        <v>32958.199999999997</v>
      </c>
      <c r="F999" s="41">
        <v>44979</v>
      </c>
      <c r="G999" s="41">
        <v>45344</v>
      </c>
      <c r="H999" s="1" t="s">
        <v>3976</v>
      </c>
      <c r="I999" s="1" t="s">
        <v>3320</v>
      </c>
      <c r="J999" t="str">
        <f>IF(ISNA(_xlfn.XLOOKUP(B999,customer_master!$A$2:$A$1649, customer_master!$A$2:$A$1649)), "Invalid", "Ok")</f>
        <v>Ok</v>
      </c>
      <c r="K999" t="str">
        <f>IF(ISNA(_xlfn.XLOOKUP(H999,agent_info!$A$2:$A$301, agent_info!$A$2:$A$301)), "Invalid", "Ok")</f>
        <v>Ok</v>
      </c>
    </row>
    <row r="1000" spans="1:11" x14ac:dyDescent="0.3">
      <c r="A1000" s="1" t="s">
        <v>4610</v>
      </c>
      <c r="B1000" s="1" t="s">
        <v>857</v>
      </c>
      <c r="C1000" s="1" t="s">
        <v>3334</v>
      </c>
      <c r="D1000" s="1">
        <v>727671.7</v>
      </c>
      <c r="E1000" s="1">
        <v>37701.67</v>
      </c>
      <c r="F1000" s="41">
        <v>45998</v>
      </c>
      <c r="G1000" s="41">
        <v>46363</v>
      </c>
      <c r="H1000" s="1" t="s">
        <v>4004</v>
      </c>
      <c r="I1000" s="1" t="s">
        <v>3324</v>
      </c>
      <c r="J1000" t="str">
        <f>IF(ISNA(_xlfn.XLOOKUP(B1000,customer_master!$A$2:$A$1649, customer_master!$A$2:$A$1649)), "Invalid", "Ok")</f>
        <v>Ok</v>
      </c>
      <c r="K1000" t="str">
        <f>IF(ISNA(_xlfn.XLOOKUP(H1000,agent_info!$A$2:$A$301, agent_info!$A$2:$A$301)), "Invalid", "Ok")</f>
        <v>Ok</v>
      </c>
    </row>
    <row r="1001" spans="1:11" x14ac:dyDescent="0.3">
      <c r="A1001" s="1" t="s">
        <v>4611</v>
      </c>
      <c r="B1001" s="1" t="s">
        <v>3055</v>
      </c>
      <c r="C1001" s="1" t="s">
        <v>3331</v>
      </c>
      <c r="D1001" s="1">
        <v>528197.62</v>
      </c>
      <c r="E1001" s="1">
        <v>26022.01</v>
      </c>
      <c r="F1001" s="41">
        <v>45672</v>
      </c>
      <c r="G1001" s="41">
        <v>46037</v>
      </c>
      <c r="H1001" s="1" t="s">
        <v>4469</v>
      </c>
      <c r="I1001" s="1" t="s">
        <v>3316</v>
      </c>
      <c r="J1001" t="str">
        <f>IF(ISNA(_xlfn.XLOOKUP(B1001,customer_master!$A$2:$A$1649, customer_master!$A$2:$A$1649)), "Invalid", "Ok")</f>
        <v>Ok</v>
      </c>
      <c r="K1001" t="str">
        <f>IF(ISNA(_xlfn.XLOOKUP(H1001,agent_info!$A$2:$A$301, agent_info!$A$2:$A$301)), "Invalid", "Ok")</f>
        <v>Ok</v>
      </c>
    </row>
    <row r="1002" spans="1:11" x14ac:dyDescent="0.3">
      <c r="A1002" s="1" t="s">
        <v>4612</v>
      </c>
      <c r="B1002" s="1" t="s">
        <v>48</v>
      </c>
      <c r="C1002" s="1" t="s">
        <v>3334</v>
      </c>
      <c r="D1002" s="1">
        <v>579320.06999999995</v>
      </c>
      <c r="E1002" s="1">
        <v>28057.84</v>
      </c>
      <c r="F1002" s="41">
        <v>44271</v>
      </c>
      <c r="G1002" s="41">
        <v>44636</v>
      </c>
      <c r="H1002" s="1" t="s">
        <v>3729</v>
      </c>
      <c r="I1002" s="1" t="s">
        <v>3324</v>
      </c>
      <c r="J1002" t="str">
        <f>IF(ISNA(_xlfn.XLOOKUP(B1002,customer_master!$A$2:$A$1649, customer_master!$A$2:$A$1649)), "Invalid", "Ok")</f>
        <v>Ok</v>
      </c>
      <c r="K1002" t="str">
        <f>IF(ISNA(_xlfn.XLOOKUP(H1002,agent_info!$A$2:$A$301, agent_info!$A$2:$A$301)), "Invalid", "Ok")</f>
        <v>Ok</v>
      </c>
    </row>
    <row r="1003" spans="1:11" x14ac:dyDescent="0.3">
      <c r="A1003" s="1" t="s">
        <v>4613</v>
      </c>
      <c r="B1003" s="1" t="s">
        <v>1867</v>
      </c>
      <c r="C1003" s="1" t="s">
        <v>3331</v>
      </c>
      <c r="D1003" s="1">
        <v>710579.02</v>
      </c>
      <c r="E1003" s="1">
        <v>33470.44</v>
      </c>
      <c r="F1003" s="41">
        <v>45471</v>
      </c>
      <c r="G1003" s="41">
        <v>45836</v>
      </c>
      <c r="H1003" s="1" t="s">
        <v>3395</v>
      </c>
      <c r="I1003" s="1" t="s">
        <v>3324</v>
      </c>
      <c r="J1003" t="str">
        <f>IF(ISNA(_xlfn.XLOOKUP(B1003,customer_master!$A$2:$A$1649, customer_master!$A$2:$A$1649)), "Invalid", "Ok")</f>
        <v>Ok</v>
      </c>
      <c r="K1003" t="str">
        <f>IF(ISNA(_xlfn.XLOOKUP(H1003,agent_info!$A$2:$A$301, agent_info!$A$2:$A$301)), "Invalid", "Ok")</f>
        <v>Ok</v>
      </c>
    </row>
    <row r="1004" spans="1:11" x14ac:dyDescent="0.3">
      <c r="A1004" s="1" t="s">
        <v>4614</v>
      </c>
      <c r="B1004" s="1" t="s">
        <v>2099</v>
      </c>
      <c r="C1004" s="1" t="s">
        <v>3326</v>
      </c>
      <c r="D1004" s="1">
        <v>616710.98</v>
      </c>
      <c r="E1004" s="1">
        <v>28141.81</v>
      </c>
      <c r="F1004" s="41">
        <v>45779</v>
      </c>
      <c r="G1004" s="41">
        <v>46144</v>
      </c>
      <c r="H1004" s="1" t="s">
        <v>3885</v>
      </c>
      <c r="I1004" s="1" t="s">
        <v>3316</v>
      </c>
      <c r="J1004" t="str">
        <f>IF(ISNA(_xlfn.XLOOKUP(B1004,customer_master!$A$2:$A$1649, customer_master!$A$2:$A$1649)), "Invalid", "Ok")</f>
        <v>Ok</v>
      </c>
      <c r="K1004" t="str">
        <f>IF(ISNA(_xlfn.XLOOKUP(H1004,agent_info!$A$2:$A$301, agent_info!$A$2:$A$301)), "Invalid", "Ok")</f>
        <v>Ok</v>
      </c>
    </row>
    <row r="1005" spans="1:11" x14ac:dyDescent="0.3">
      <c r="A1005" s="1" t="s">
        <v>4615</v>
      </c>
      <c r="B1005" s="1" t="s">
        <v>1929</v>
      </c>
      <c r="C1005" s="1" t="s">
        <v>3326</v>
      </c>
      <c r="D1005" s="1">
        <v>482125.4</v>
      </c>
      <c r="E1005" s="1">
        <v>24189.96</v>
      </c>
      <c r="F1005" s="41">
        <v>44831</v>
      </c>
      <c r="G1005" s="41">
        <v>45196</v>
      </c>
      <c r="H1005" s="1" t="s">
        <v>3601</v>
      </c>
      <c r="I1005" s="1" t="s">
        <v>3324</v>
      </c>
      <c r="J1005" t="str">
        <f>IF(ISNA(_xlfn.XLOOKUP(B1005,customer_master!$A$2:$A$1649, customer_master!$A$2:$A$1649)), "Invalid", "Ok")</f>
        <v>Ok</v>
      </c>
      <c r="K1005" t="str">
        <f>IF(ISNA(_xlfn.XLOOKUP(H1005,agent_info!$A$2:$A$301, agent_info!$A$2:$A$301)), "Invalid", "Ok")</f>
        <v>Ok</v>
      </c>
    </row>
    <row r="1006" spans="1:11" x14ac:dyDescent="0.3">
      <c r="A1006" s="1" t="s">
        <v>4616</v>
      </c>
      <c r="B1006" s="1" t="s">
        <v>2706</v>
      </c>
      <c r="C1006" s="1" t="s">
        <v>3314</v>
      </c>
      <c r="D1006" s="1">
        <v>393712.66</v>
      </c>
      <c r="E1006" s="1">
        <v>19843.28</v>
      </c>
      <c r="F1006" s="41">
        <v>44389</v>
      </c>
      <c r="G1006" s="41">
        <v>44754</v>
      </c>
      <c r="H1006" s="1" t="s">
        <v>3518</v>
      </c>
      <c r="I1006" s="1" t="s">
        <v>3324</v>
      </c>
      <c r="J1006" t="str">
        <f>IF(ISNA(_xlfn.XLOOKUP(B1006,customer_master!$A$2:$A$1649, customer_master!$A$2:$A$1649)), "Invalid", "Ok")</f>
        <v>Ok</v>
      </c>
      <c r="K1006" t="str">
        <f>IF(ISNA(_xlfn.XLOOKUP(H1006,agent_info!$A$2:$A$301, agent_info!$A$2:$A$301)), "Invalid", "Ok")</f>
        <v>Ok</v>
      </c>
    </row>
    <row r="1007" spans="1:11" x14ac:dyDescent="0.3">
      <c r="A1007" s="1" t="s">
        <v>4617</v>
      </c>
      <c r="B1007" s="1" t="s">
        <v>399</v>
      </c>
      <c r="C1007" s="1" t="s">
        <v>3331</v>
      </c>
      <c r="D1007" s="1">
        <v>717349.54</v>
      </c>
      <c r="E1007" s="1">
        <v>35465.9</v>
      </c>
      <c r="F1007" s="41">
        <v>45718</v>
      </c>
      <c r="G1007" s="41">
        <v>46083</v>
      </c>
      <c r="H1007" s="1" t="s">
        <v>3610</v>
      </c>
      <c r="I1007" s="1" t="s">
        <v>3324</v>
      </c>
      <c r="J1007" t="str">
        <f>IF(ISNA(_xlfn.XLOOKUP(B1007,customer_master!$A$2:$A$1649, customer_master!$A$2:$A$1649)), "Invalid", "Ok")</f>
        <v>Ok</v>
      </c>
      <c r="K1007" t="str">
        <f>IF(ISNA(_xlfn.XLOOKUP(H1007,agent_info!$A$2:$A$301, agent_info!$A$2:$A$301)), "Invalid", "Ok")</f>
        <v>Ok</v>
      </c>
    </row>
    <row r="1008" spans="1:11" x14ac:dyDescent="0.3">
      <c r="A1008" s="1" t="s">
        <v>4618</v>
      </c>
      <c r="B1008" s="1" t="s">
        <v>1408</v>
      </c>
      <c r="C1008" s="1" t="s">
        <v>3326</v>
      </c>
      <c r="D1008" s="1">
        <v>625224.9</v>
      </c>
      <c r="E1008" s="1">
        <v>34078.49</v>
      </c>
      <c r="F1008" s="41">
        <v>46115</v>
      </c>
      <c r="G1008" s="41">
        <v>46480</v>
      </c>
      <c r="H1008" s="1" t="s">
        <v>3943</v>
      </c>
      <c r="I1008" s="1" t="s">
        <v>3316</v>
      </c>
      <c r="J1008" t="str">
        <f>IF(ISNA(_xlfn.XLOOKUP(B1008,customer_master!$A$2:$A$1649, customer_master!$A$2:$A$1649)), "Invalid", "Ok")</f>
        <v>Ok</v>
      </c>
      <c r="K1008" t="str">
        <f>IF(ISNA(_xlfn.XLOOKUP(H1008,agent_info!$A$2:$A$301, agent_info!$A$2:$A$301)), "Invalid", "Ok")</f>
        <v>Ok</v>
      </c>
    </row>
    <row r="1009" spans="1:11" x14ac:dyDescent="0.3">
      <c r="A1009" s="1" t="s">
        <v>4619</v>
      </c>
      <c r="B1009" s="1" t="s">
        <v>2869</v>
      </c>
      <c r="C1009" s="1" t="s">
        <v>3334</v>
      </c>
      <c r="D1009" s="1">
        <v>557926.92000000004</v>
      </c>
      <c r="E1009" s="1">
        <v>25183.09</v>
      </c>
      <c r="F1009" s="41">
        <v>44949</v>
      </c>
      <c r="G1009" s="41">
        <v>45314</v>
      </c>
      <c r="H1009" s="1" t="s">
        <v>3557</v>
      </c>
      <c r="I1009" s="1" t="s">
        <v>3324</v>
      </c>
      <c r="J1009" t="str">
        <f>IF(ISNA(_xlfn.XLOOKUP(B1009,customer_master!$A$2:$A$1649, customer_master!$A$2:$A$1649)), "Invalid", "Ok")</f>
        <v>Ok</v>
      </c>
      <c r="K1009" t="str">
        <f>IF(ISNA(_xlfn.XLOOKUP(H1009,agent_info!$A$2:$A$301, agent_info!$A$2:$A$301)), "Invalid", "Ok")</f>
        <v>Ok</v>
      </c>
    </row>
    <row r="1010" spans="1:11" x14ac:dyDescent="0.3">
      <c r="A1010" s="1" t="s">
        <v>4620</v>
      </c>
      <c r="B1010" s="1" t="s">
        <v>2955</v>
      </c>
      <c r="C1010" s="1" t="s">
        <v>3318</v>
      </c>
      <c r="D1010" s="1">
        <v>584478.9</v>
      </c>
      <c r="E1010" s="1">
        <v>31271.4</v>
      </c>
      <c r="F1010" s="41">
        <v>44752</v>
      </c>
      <c r="G1010" s="41">
        <v>45117</v>
      </c>
      <c r="H1010" s="1" t="s">
        <v>3819</v>
      </c>
      <c r="I1010" s="1" t="s">
        <v>3316</v>
      </c>
      <c r="J1010" t="str">
        <f>IF(ISNA(_xlfn.XLOOKUP(B1010,customer_master!$A$2:$A$1649, customer_master!$A$2:$A$1649)), "Invalid", "Ok")</f>
        <v>Ok</v>
      </c>
      <c r="K1010" t="str">
        <f>IF(ISNA(_xlfn.XLOOKUP(H1010,agent_info!$A$2:$A$301, agent_info!$A$2:$A$301)), "Invalid", "Ok")</f>
        <v>Ok</v>
      </c>
    </row>
    <row r="1011" spans="1:11" x14ac:dyDescent="0.3">
      <c r="A1011" s="1" t="s">
        <v>4621</v>
      </c>
      <c r="B1011" s="1" t="s">
        <v>1678</v>
      </c>
      <c r="C1011" s="1" t="s">
        <v>3326</v>
      </c>
      <c r="D1011" s="1">
        <v>421509.21</v>
      </c>
      <c r="E1011" s="1">
        <v>22343.45</v>
      </c>
      <c r="F1011" s="41">
        <v>46240</v>
      </c>
      <c r="G1011" s="41">
        <v>46605</v>
      </c>
      <c r="H1011" s="1" t="s">
        <v>3379</v>
      </c>
      <c r="I1011" s="1" t="s">
        <v>3316</v>
      </c>
      <c r="J1011" t="str">
        <f>IF(ISNA(_xlfn.XLOOKUP(B1011,customer_master!$A$2:$A$1649, customer_master!$A$2:$A$1649)), "Invalid", "Ok")</f>
        <v>Ok</v>
      </c>
      <c r="K1011" t="str">
        <f>IF(ISNA(_xlfn.XLOOKUP(H1011,agent_info!$A$2:$A$301, agent_info!$A$2:$A$301)), "Invalid", "Ok")</f>
        <v>Ok</v>
      </c>
    </row>
    <row r="1012" spans="1:11" x14ac:dyDescent="0.3">
      <c r="A1012" s="1" t="s">
        <v>4622</v>
      </c>
      <c r="B1012" s="1" t="s">
        <v>1873</v>
      </c>
      <c r="C1012" s="1" t="s">
        <v>3318</v>
      </c>
      <c r="D1012" s="1">
        <v>533774.21</v>
      </c>
      <c r="E1012" s="1">
        <v>28069.86</v>
      </c>
      <c r="F1012" s="41">
        <v>45866</v>
      </c>
      <c r="G1012" s="41">
        <v>46231</v>
      </c>
      <c r="H1012" s="1" t="s">
        <v>4311</v>
      </c>
      <c r="I1012" s="1" t="s">
        <v>3324</v>
      </c>
      <c r="J1012" t="str">
        <f>IF(ISNA(_xlfn.XLOOKUP(B1012,customer_master!$A$2:$A$1649, customer_master!$A$2:$A$1649)), "Invalid", "Ok")</f>
        <v>Ok</v>
      </c>
      <c r="K1012" t="str">
        <f>IF(ISNA(_xlfn.XLOOKUP(H1012,agent_info!$A$2:$A$301, agent_info!$A$2:$A$301)), "Invalid", "Ok")</f>
        <v>Ok</v>
      </c>
    </row>
    <row r="1013" spans="1:11" x14ac:dyDescent="0.3">
      <c r="A1013" s="1" t="s">
        <v>4623</v>
      </c>
      <c r="B1013" s="1" t="s">
        <v>2545</v>
      </c>
      <c r="C1013" s="1" t="s">
        <v>3334</v>
      </c>
      <c r="D1013" s="1">
        <v>447830.24</v>
      </c>
      <c r="E1013" s="1">
        <v>22503.09</v>
      </c>
      <c r="F1013" s="41">
        <v>44080</v>
      </c>
      <c r="G1013" s="41">
        <v>44445</v>
      </c>
      <c r="H1013" s="1" t="s">
        <v>3361</v>
      </c>
      <c r="I1013" s="1" t="s">
        <v>3320</v>
      </c>
      <c r="J1013" t="str">
        <f>IF(ISNA(_xlfn.XLOOKUP(B1013,customer_master!$A$2:$A$1649, customer_master!$A$2:$A$1649)), "Invalid", "Ok")</f>
        <v>Ok</v>
      </c>
      <c r="K1013" t="str">
        <f>IF(ISNA(_xlfn.XLOOKUP(H1013,agent_info!$A$2:$A$301, agent_info!$A$2:$A$301)), "Invalid", "Ok")</f>
        <v>Ok</v>
      </c>
    </row>
    <row r="1014" spans="1:11" x14ac:dyDescent="0.3">
      <c r="A1014" s="1" t="s">
        <v>4624</v>
      </c>
      <c r="B1014" s="1" t="s">
        <v>2591</v>
      </c>
      <c r="C1014" s="1" t="s">
        <v>3326</v>
      </c>
      <c r="D1014" s="1">
        <v>423699.35</v>
      </c>
      <c r="E1014" s="1">
        <v>19873.009999999998</v>
      </c>
      <c r="F1014" s="41">
        <v>44230</v>
      </c>
      <c r="G1014" s="41">
        <v>44595</v>
      </c>
      <c r="H1014" s="1" t="s">
        <v>4625</v>
      </c>
      <c r="I1014" s="1" t="s">
        <v>3324</v>
      </c>
      <c r="J1014" t="str">
        <f>IF(ISNA(_xlfn.XLOOKUP(B1014,customer_master!$A$2:$A$1649, customer_master!$A$2:$A$1649)), "Invalid", "Ok")</f>
        <v>Ok</v>
      </c>
      <c r="K1014" t="str">
        <f>IF(ISNA(_xlfn.XLOOKUP(H1014,agent_info!$A$2:$A$301, agent_info!$A$2:$A$301)), "Invalid", "Ok")</f>
        <v>Ok</v>
      </c>
    </row>
    <row r="1015" spans="1:11" x14ac:dyDescent="0.3">
      <c r="A1015" s="1" t="s">
        <v>4626</v>
      </c>
      <c r="B1015" s="1" t="s">
        <v>2953</v>
      </c>
      <c r="C1015" s="1" t="s">
        <v>3334</v>
      </c>
      <c r="D1015" s="1">
        <v>710852.25</v>
      </c>
      <c r="E1015" s="1">
        <v>38122.15</v>
      </c>
      <c r="F1015" s="41">
        <v>45603</v>
      </c>
      <c r="G1015" s="41">
        <v>45968</v>
      </c>
      <c r="H1015" s="1" t="s">
        <v>3694</v>
      </c>
      <c r="I1015" s="1" t="s">
        <v>3316</v>
      </c>
      <c r="J1015" t="str">
        <f>IF(ISNA(_xlfn.XLOOKUP(B1015,customer_master!$A$2:$A$1649, customer_master!$A$2:$A$1649)), "Invalid", "Ok")</f>
        <v>Ok</v>
      </c>
      <c r="K1015" t="str">
        <f>IF(ISNA(_xlfn.XLOOKUP(H1015,agent_info!$A$2:$A$301, agent_info!$A$2:$A$301)), "Invalid", "Ok")</f>
        <v>Ok</v>
      </c>
    </row>
    <row r="1016" spans="1:11" x14ac:dyDescent="0.3">
      <c r="A1016" s="1" t="s">
        <v>4627</v>
      </c>
      <c r="B1016" s="1" t="s">
        <v>2802</v>
      </c>
      <c r="C1016" s="1" t="s">
        <v>3334</v>
      </c>
      <c r="D1016" s="1">
        <v>524551.87</v>
      </c>
      <c r="E1016" s="1">
        <v>27510.62</v>
      </c>
      <c r="F1016" s="41">
        <v>45227</v>
      </c>
      <c r="G1016" s="41">
        <v>45593</v>
      </c>
      <c r="H1016" s="1" t="s">
        <v>3490</v>
      </c>
      <c r="I1016" s="1" t="s">
        <v>3324</v>
      </c>
      <c r="J1016" t="str">
        <f>IF(ISNA(_xlfn.XLOOKUP(B1016,customer_master!$A$2:$A$1649, customer_master!$A$2:$A$1649)), "Invalid", "Ok")</f>
        <v>Ok</v>
      </c>
      <c r="K1016" t="str">
        <f>IF(ISNA(_xlfn.XLOOKUP(H1016,agent_info!$A$2:$A$301, agent_info!$A$2:$A$301)), "Invalid", "Ok")</f>
        <v>Ok</v>
      </c>
    </row>
    <row r="1017" spans="1:11" x14ac:dyDescent="0.3">
      <c r="A1017" s="1" t="s">
        <v>4628</v>
      </c>
      <c r="B1017" s="1" t="s">
        <v>1404</v>
      </c>
      <c r="C1017" s="1" t="s">
        <v>3326</v>
      </c>
      <c r="D1017" s="1">
        <v>635153.16</v>
      </c>
      <c r="E1017" s="1">
        <v>33871.58</v>
      </c>
      <c r="F1017" s="41">
        <v>45511</v>
      </c>
      <c r="G1017" s="41">
        <v>45876</v>
      </c>
      <c r="H1017" s="1" t="s">
        <v>3579</v>
      </c>
      <c r="I1017" s="1" t="s">
        <v>3320</v>
      </c>
      <c r="J1017" t="str">
        <f>IF(ISNA(_xlfn.XLOOKUP(B1017,customer_master!$A$2:$A$1649, customer_master!$A$2:$A$1649)), "Invalid", "Ok")</f>
        <v>Ok</v>
      </c>
      <c r="K1017" t="str">
        <f>IF(ISNA(_xlfn.XLOOKUP(H1017,agent_info!$A$2:$A$301, agent_info!$A$2:$A$301)), "Invalid", "Ok")</f>
        <v>Ok</v>
      </c>
    </row>
    <row r="1018" spans="1:11" x14ac:dyDescent="0.3">
      <c r="A1018" s="1" t="s">
        <v>4629</v>
      </c>
      <c r="B1018" s="1" t="s">
        <v>2172</v>
      </c>
      <c r="C1018" s="1" t="s">
        <v>3331</v>
      </c>
      <c r="D1018" s="1">
        <v>562292.80000000005</v>
      </c>
      <c r="E1018" s="1">
        <v>26628.99</v>
      </c>
      <c r="F1018" s="41">
        <v>45683</v>
      </c>
      <c r="G1018" s="41">
        <v>46048</v>
      </c>
      <c r="H1018" s="1" t="s">
        <v>3714</v>
      </c>
      <c r="I1018" s="1" t="s">
        <v>3316</v>
      </c>
      <c r="J1018" t="str">
        <f>IF(ISNA(_xlfn.XLOOKUP(B1018,customer_master!$A$2:$A$1649, customer_master!$A$2:$A$1649)), "Invalid", "Ok")</f>
        <v>Ok</v>
      </c>
      <c r="K1018" t="str">
        <f>IF(ISNA(_xlfn.XLOOKUP(H1018,agent_info!$A$2:$A$301, agent_info!$A$2:$A$301)), "Invalid", "Ok")</f>
        <v>Ok</v>
      </c>
    </row>
    <row r="1019" spans="1:11" x14ac:dyDescent="0.3">
      <c r="A1019" s="1" t="s">
        <v>4630</v>
      </c>
      <c r="B1019" s="1" t="s">
        <v>1624</v>
      </c>
      <c r="C1019" s="1" t="s">
        <v>3334</v>
      </c>
      <c r="D1019" s="1">
        <v>412249.44</v>
      </c>
      <c r="E1019" s="1">
        <v>20836.63</v>
      </c>
      <c r="F1019" s="41">
        <v>44451</v>
      </c>
      <c r="G1019" s="41">
        <v>44816</v>
      </c>
      <c r="H1019" s="1" t="s">
        <v>3541</v>
      </c>
      <c r="I1019" s="1" t="s">
        <v>3324</v>
      </c>
      <c r="J1019" t="str">
        <f>IF(ISNA(_xlfn.XLOOKUP(B1019,customer_master!$A$2:$A$1649, customer_master!$A$2:$A$1649)), "Invalid", "Ok")</f>
        <v>Ok</v>
      </c>
      <c r="K1019" t="str">
        <f>IF(ISNA(_xlfn.XLOOKUP(H1019,agent_info!$A$2:$A$301, agent_info!$A$2:$A$301)), "Invalid", "Ok")</f>
        <v>Ok</v>
      </c>
    </row>
    <row r="1020" spans="1:11" x14ac:dyDescent="0.3">
      <c r="A1020" s="1" t="s">
        <v>4631</v>
      </c>
      <c r="B1020" s="1" t="s">
        <v>423</v>
      </c>
      <c r="C1020" s="1" t="s">
        <v>3326</v>
      </c>
      <c r="D1020" s="1">
        <v>476534.52</v>
      </c>
      <c r="E1020" s="1">
        <v>23426.240000000002</v>
      </c>
      <c r="F1020" s="41">
        <v>44898</v>
      </c>
      <c r="G1020" s="41">
        <v>45263</v>
      </c>
      <c r="H1020" s="1" t="s">
        <v>3629</v>
      </c>
      <c r="I1020" s="1" t="s">
        <v>3316</v>
      </c>
      <c r="J1020" t="str">
        <f>IF(ISNA(_xlfn.XLOOKUP(B1020,customer_master!$A$2:$A$1649, customer_master!$A$2:$A$1649)), "Invalid", "Ok")</f>
        <v>Ok</v>
      </c>
      <c r="K1020" t="str">
        <f>IF(ISNA(_xlfn.XLOOKUP(H1020,agent_info!$A$2:$A$301, agent_info!$A$2:$A$301)), "Invalid", "Ok")</f>
        <v>Ok</v>
      </c>
    </row>
    <row r="1021" spans="1:11" x14ac:dyDescent="0.3">
      <c r="A1021" s="1" t="s">
        <v>4632</v>
      </c>
      <c r="B1021" s="1" t="s">
        <v>2726</v>
      </c>
      <c r="C1021" s="1" t="s">
        <v>3326</v>
      </c>
      <c r="D1021" s="1">
        <v>405395.71</v>
      </c>
      <c r="E1021" s="1">
        <v>20836.009999999998</v>
      </c>
      <c r="F1021" s="41">
        <v>45620</v>
      </c>
      <c r="G1021" s="41">
        <v>45985</v>
      </c>
      <c r="H1021" s="1" t="s">
        <v>3943</v>
      </c>
      <c r="I1021" s="1" t="s">
        <v>3316</v>
      </c>
      <c r="J1021" t="str">
        <f>IF(ISNA(_xlfn.XLOOKUP(B1021,customer_master!$A$2:$A$1649, customer_master!$A$2:$A$1649)), "Invalid", "Ok")</f>
        <v>Ok</v>
      </c>
      <c r="K1021" t="str">
        <f>IF(ISNA(_xlfn.XLOOKUP(H1021,agent_info!$A$2:$A$301, agent_info!$A$2:$A$301)), "Invalid", "Ok")</f>
        <v>Ok</v>
      </c>
    </row>
    <row r="1022" spans="1:11" x14ac:dyDescent="0.3">
      <c r="A1022" s="1" t="s">
        <v>4633</v>
      </c>
      <c r="B1022" s="1" t="s">
        <v>2014</v>
      </c>
      <c r="C1022" s="1" t="s">
        <v>3314</v>
      </c>
      <c r="D1022" s="1">
        <v>652026.92000000004</v>
      </c>
      <c r="E1022" s="1">
        <v>34248.42</v>
      </c>
      <c r="F1022" s="41">
        <v>44511</v>
      </c>
      <c r="G1022" s="41">
        <v>44876</v>
      </c>
      <c r="H1022" s="1" t="s">
        <v>3447</v>
      </c>
      <c r="I1022" s="1" t="s">
        <v>3324</v>
      </c>
      <c r="J1022" t="str">
        <f>IF(ISNA(_xlfn.XLOOKUP(B1022,customer_master!$A$2:$A$1649, customer_master!$A$2:$A$1649)), "Invalid", "Ok")</f>
        <v>Ok</v>
      </c>
      <c r="K1022" t="str">
        <f>IF(ISNA(_xlfn.XLOOKUP(H1022,agent_info!$A$2:$A$301, agent_info!$A$2:$A$301)), "Invalid", "Ok")</f>
        <v>Ok</v>
      </c>
    </row>
    <row r="1023" spans="1:11" x14ac:dyDescent="0.3">
      <c r="A1023" s="1" t="s">
        <v>4634</v>
      </c>
      <c r="B1023" s="1" t="s">
        <v>228</v>
      </c>
      <c r="C1023" s="1" t="s">
        <v>3326</v>
      </c>
      <c r="D1023" s="1">
        <v>668987.92000000004</v>
      </c>
      <c r="E1023" s="1">
        <v>31266.59</v>
      </c>
      <c r="F1023" s="41">
        <v>44475</v>
      </c>
      <c r="G1023" s="41">
        <v>44840</v>
      </c>
      <c r="H1023" s="1" t="s">
        <v>3585</v>
      </c>
      <c r="I1023" s="1" t="s">
        <v>3324</v>
      </c>
      <c r="J1023" t="str">
        <f>IF(ISNA(_xlfn.XLOOKUP(B1023,customer_master!$A$2:$A$1649, customer_master!$A$2:$A$1649)), "Invalid", "Ok")</f>
        <v>Ok</v>
      </c>
      <c r="K1023" t="str">
        <f>IF(ISNA(_xlfn.XLOOKUP(H1023,agent_info!$A$2:$A$301, agent_info!$A$2:$A$301)), "Invalid", "Ok")</f>
        <v>Ok</v>
      </c>
    </row>
    <row r="1024" spans="1:11" x14ac:dyDescent="0.3">
      <c r="A1024" s="1" t="s">
        <v>4635</v>
      </c>
      <c r="B1024" s="1" t="s">
        <v>2262</v>
      </c>
      <c r="C1024" s="1" t="s">
        <v>3314</v>
      </c>
      <c r="D1024" s="1">
        <v>678784.09</v>
      </c>
      <c r="E1024" s="1">
        <v>31726.63</v>
      </c>
      <c r="F1024" s="41">
        <v>46156</v>
      </c>
      <c r="G1024" s="41">
        <v>46521</v>
      </c>
      <c r="H1024" s="1" t="s">
        <v>3507</v>
      </c>
      <c r="I1024" s="1" t="s">
        <v>3324</v>
      </c>
      <c r="J1024" t="str">
        <f>IF(ISNA(_xlfn.XLOOKUP(B1024,customer_master!$A$2:$A$1649, customer_master!$A$2:$A$1649)), "Invalid", "Ok")</f>
        <v>Ok</v>
      </c>
      <c r="K1024" t="str">
        <f>IF(ISNA(_xlfn.XLOOKUP(H1024,agent_info!$A$2:$A$301, agent_info!$A$2:$A$301)), "Invalid", "Ok")</f>
        <v>Ok</v>
      </c>
    </row>
    <row r="1025" spans="1:11" x14ac:dyDescent="0.3">
      <c r="A1025" s="1" t="s">
        <v>4636</v>
      </c>
      <c r="B1025" s="1" t="s">
        <v>958</v>
      </c>
      <c r="C1025" s="1" t="s">
        <v>3326</v>
      </c>
      <c r="D1025" s="1">
        <v>622453.16</v>
      </c>
      <c r="E1025" s="1">
        <v>28281.82</v>
      </c>
      <c r="F1025" s="41">
        <v>45064</v>
      </c>
      <c r="G1025" s="41">
        <v>45430</v>
      </c>
      <c r="H1025" s="1" t="s">
        <v>3785</v>
      </c>
      <c r="I1025" s="1" t="s">
        <v>3316</v>
      </c>
      <c r="J1025" t="str">
        <f>IF(ISNA(_xlfn.XLOOKUP(B1025,customer_master!$A$2:$A$1649, customer_master!$A$2:$A$1649)), "Invalid", "Ok")</f>
        <v>Ok</v>
      </c>
      <c r="K1025" t="str">
        <f>IF(ISNA(_xlfn.XLOOKUP(H1025,agent_info!$A$2:$A$301, agent_info!$A$2:$A$301)), "Invalid", "Ok")</f>
        <v>Ok</v>
      </c>
    </row>
    <row r="1026" spans="1:11" x14ac:dyDescent="0.3">
      <c r="A1026" s="1" t="s">
        <v>4637</v>
      </c>
      <c r="B1026" s="1" t="s">
        <v>264</v>
      </c>
      <c r="C1026" s="1" t="s">
        <v>3326</v>
      </c>
      <c r="D1026" s="1">
        <v>651653.29</v>
      </c>
      <c r="E1026" s="1">
        <v>30348.7</v>
      </c>
      <c r="F1026" s="41">
        <v>45862</v>
      </c>
      <c r="G1026" s="41">
        <v>46227</v>
      </c>
      <c r="H1026" s="1" t="s">
        <v>3483</v>
      </c>
      <c r="I1026" s="1" t="s">
        <v>3316</v>
      </c>
      <c r="J1026" t="str">
        <f>IF(ISNA(_xlfn.XLOOKUP(B1026,customer_master!$A$2:$A$1649, customer_master!$A$2:$A$1649)), "Invalid", "Ok")</f>
        <v>Ok</v>
      </c>
      <c r="K1026" t="str">
        <f>IF(ISNA(_xlfn.XLOOKUP(H1026,agent_info!$A$2:$A$301, agent_info!$A$2:$A$301)), "Invalid", "Ok")</f>
        <v>Ok</v>
      </c>
    </row>
    <row r="1027" spans="1:11" x14ac:dyDescent="0.3">
      <c r="A1027" s="1" t="s">
        <v>4638</v>
      </c>
      <c r="B1027" s="1" t="s">
        <v>2032</v>
      </c>
      <c r="C1027" s="1" t="s">
        <v>3318</v>
      </c>
      <c r="D1027" s="1">
        <v>671579.24</v>
      </c>
      <c r="E1027" s="1">
        <v>31834.02</v>
      </c>
      <c r="F1027" s="41">
        <v>44483</v>
      </c>
      <c r="G1027" s="41">
        <v>44848</v>
      </c>
      <c r="H1027" s="1" t="s">
        <v>4639</v>
      </c>
      <c r="I1027" s="1" t="s">
        <v>3324</v>
      </c>
      <c r="J1027" t="str">
        <f>IF(ISNA(_xlfn.XLOOKUP(B1027,customer_master!$A$2:$A$1649, customer_master!$A$2:$A$1649)), "Invalid", "Ok")</f>
        <v>Ok</v>
      </c>
      <c r="K1027" t="str">
        <f>IF(ISNA(_xlfn.XLOOKUP(H1027,agent_info!$A$2:$A$301, agent_info!$A$2:$A$301)), "Invalid", "Ok")</f>
        <v>Ok</v>
      </c>
    </row>
    <row r="1028" spans="1:11" x14ac:dyDescent="0.3">
      <c r="A1028" s="1" t="s">
        <v>4640</v>
      </c>
      <c r="B1028" s="1" t="s">
        <v>2446</v>
      </c>
      <c r="C1028" s="1" t="s">
        <v>3314</v>
      </c>
      <c r="D1028" s="1">
        <v>603900.69999999995</v>
      </c>
      <c r="E1028" s="1">
        <v>27613.47</v>
      </c>
      <c r="F1028" s="41">
        <v>44206</v>
      </c>
      <c r="G1028" s="41">
        <v>44571</v>
      </c>
      <c r="H1028" s="1" t="s">
        <v>4641</v>
      </c>
      <c r="I1028" s="1" t="s">
        <v>3324</v>
      </c>
      <c r="J1028" t="str">
        <f>IF(ISNA(_xlfn.XLOOKUP(B1028,customer_master!$A$2:$A$1649, customer_master!$A$2:$A$1649)), "Invalid", "Ok")</f>
        <v>Ok</v>
      </c>
      <c r="K1028" t="str">
        <f>IF(ISNA(_xlfn.XLOOKUP(H1028,agent_info!$A$2:$A$301, agent_info!$A$2:$A$301)), "Invalid", "Ok")</f>
        <v>Ok</v>
      </c>
    </row>
    <row r="1029" spans="1:11" x14ac:dyDescent="0.3">
      <c r="A1029" s="1" t="s">
        <v>4642</v>
      </c>
      <c r="B1029" s="1" t="s">
        <v>1737</v>
      </c>
      <c r="C1029" s="1" t="s">
        <v>3326</v>
      </c>
      <c r="D1029" s="1">
        <v>599996.69999999995</v>
      </c>
      <c r="E1029" s="1">
        <v>29133.99</v>
      </c>
      <c r="F1029" s="41">
        <v>44477</v>
      </c>
      <c r="G1029" s="41">
        <v>44842</v>
      </c>
      <c r="H1029" s="1" t="s">
        <v>3617</v>
      </c>
      <c r="I1029" s="1" t="s">
        <v>3324</v>
      </c>
      <c r="J1029" t="str">
        <f>IF(ISNA(_xlfn.XLOOKUP(B1029,customer_master!$A$2:$A$1649, customer_master!$A$2:$A$1649)), "Invalid", "Ok")</f>
        <v>Ok</v>
      </c>
      <c r="K1029" t="str">
        <f>IF(ISNA(_xlfn.XLOOKUP(H1029,agent_info!$A$2:$A$301, agent_info!$A$2:$A$301)), "Invalid", "Ok")</f>
        <v>Ok</v>
      </c>
    </row>
    <row r="1030" spans="1:11" x14ac:dyDescent="0.3">
      <c r="A1030" s="1" t="s">
        <v>4643</v>
      </c>
      <c r="B1030" s="1" t="s">
        <v>48</v>
      </c>
      <c r="C1030" s="1" t="s">
        <v>3334</v>
      </c>
      <c r="D1030" s="1">
        <v>545142.57999999996</v>
      </c>
      <c r="E1030" s="1">
        <v>28212.04</v>
      </c>
      <c r="F1030" s="41">
        <v>45741</v>
      </c>
      <c r="G1030" s="41">
        <v>46106</v>
      </c>
      <c r="H1030" s="1" t="s">
        <v>3391</v>
      </c>
      <c r="I1030" s="1" t="s">
        <v>3324</v>
      </c>
      <c r="J1030" t="str">
        <f>IF(ISNA(_xlfn.XLOOKUP(B1030,customer_master!$A$2:$A$1649, customer_master!$A$2:$A$1649)), "Invalid", "Ok")</f>
        <v>Ok</v>
      </c>
      <c r="K1030" t="str">
        <f>IF(ISNA(_xlfn.XLOOKUP(H1030,agent_info!$A$2:$A$301, agent_info!$A$2:$A$301)), "Invalid", "Ok")</f>
        <v>Ok</v>
      </c>
    </row>
    <row r="1031" spans="1:11" x14ac:dyDescent="0.3">
      <c r="A1031" s="1" t="s">
        <v>4644</v>
      </c>
      <c r="B1031" s="1" t="s">
        <v>1927</v>
      </c>
      <c r="C1031" s="1" t="s">
        <v>3331</v>
      </c>
      <c r="D1031" s="1">
        <v>408505.61</v>
      </c>
      <c r="E1031" s="1">
        <v>21622.5</v>
      </c>
      <c r="F1031" s="41">
        <v>44645</v>
      </c>
      <c r="G1031" s="41">
        <v>45010</v>
      </c>
      <c r="H1031" s="1" t="s">
        <v>3541</v>
      </c>
      <c r="I1031" s="1" t="s">
        <v>3324</v>
      </c>
      <c r="J1031" t="str">
        <f>IF(ISNA(_xlfn.XLOOKUP(B1031,customer_master!$A$2:$A$1649, customer_master!$A$2:$A$1649)), "Invalid", "Ok")</f>
        <v>Ok</v>
      </c>
      <c r="K1031" t="str">
        <f>IF(ISNA(_xlfn.XLOOKUP(H1031,agent_info!$A$2:$A$301, agent_info!$A$2:$A$301)), "Invalid", "Ok")</f>
        <v>Ok</v>
      </c>
    </row>
    <row r="1032" spans="1:11" x14ac:dyDescent="0.3">
      <c r="A1032" s="1" t="s">
        <v>4645</v>
      </c>
      <c r="B1032" s="1" t="s">
        <v>52</v>
      </c>
      <c r="C1032" s="1" t="s">
        <v>3326</v>
      </c>
      <c r="D1032" s="1">
        <v>596952.93000000005</v>
      </c>
      <c r="E1032" s="1">
        <v>28927.24</v>
      </c>
      <c r="F1032" s="41">
        <v>46054</v>
      </c>
      <c r="G1032" s="41">
        <v>46419</v>
      </c>
      <c r="H1032" s="1" t="s">
        <v>3587</v>
      </c>
      <c r="I1032" s="1" t="s">
        <v>3320</v>
      </c>
      <c r="J1032" t="str">
        <f>IF(ISNA(_xlfn.XLOOKUP(B1032,customer_master!$A$2:$A$1649, customer_master!$A$2:$A$1649)), "Invalid", "Ok")</f>
        <v>Ok</v>
      </c>
      <c r="K1032" t="str">
        <f>IF(ISNA(_xlfn.XLOOKUP(H1032,agent_info!$A$2:$A$301, agent_info!$A$2:$A$301)), "Invalid", "Ok")</f>
        <v>Ok</v>
      </c>
    </row>
    <row r="1033" spans="1:11" x14ac:dyDescent="0.3">
      <c r="A1033" s="1" t="s">
        <v>4646</v>
      </c>
      <c r="B1033" s="1" t="s">
        <v>3080</v>
      </c>
      <c r="C1033" s="1" t="s">
        <v>3326</v>
      </c>
      <c r="D1033" s="1">
        <v>602581.34</v>
      </c>
      <c r="E1033" s="1">
        <v>27621.27</v>
      </c>
      <c r="F1033" s="41">
        <v>44973</v>
      </c>
      <c r="G1033" s="41">
        <v>45338</v>
      </c>
      <c r="H1033" s="1" t="s">
        <v>3706</v>
      </c>
      <c r="I1033" s="1" t="s">
        <v>3324</v>
      </c>
      <c r="J1033" t="str">
        <f>IF(ISNA(_xlfn.XLOOKUP(B1033,customer_master!$A$2:$A$1649, customer_master!$A$2:$A$1649)), "Invalid", "Ok")</f>
        <v>Ok</v>
      </c>
      <c r="K1033" t="str">
        <f>IF(ISNA(_xlfn.XLOOKUP(H1033,agent_info!$A$2:$A$301, agent_info!$A$2:$A$301)), "Invalid", "Ok")</f>
        <v>Ok</v>
      </c>
    </row>
    <row r="1034" spans="1:11" x14ac:dyDescent="0.3">
      <c r="A1034" s="1" t="s">
        <v>4647</v>
      </c>
      <c r="B1034" s="1" t="s">
        <v>909</v>
      </c>
      <c r="C1034" s="1" t="s">
        <v>3334</v>
      </c>
      <c r="D1034" s="1">
        <v>471133.2</v>
      </c>
      <c r="E1034" s="1">
        <v>24778.65</v>
      </c>
      <c r="F1034" s="41">
        <v>45451</v>
      </c>
      <c r="G1034" s="41">
        <v>45816</v>
      </c>
      <c r="H1034" s="1" t="s">
        <v>3319</v>
      </c>
      <c r="I1034" s="1" t="s">
        <v>3324</v>
      </c>
      <c r="J1034" t="str">
        <f>IF(ISNA(_xlfn.XLOOKUP(B1034,customer_master!$A$2:$A$1649, customer_master!$A$2:$A$1649)), "Invalid", "Ok")</f>
        <v>Ok</v>
      </c>
      <c r="K1034" t="str">
        <f>IF(ISNA(_xlfn.XLOOKUP(H1034,agent_info!$A$2:$A$301, agent_info!$A$2:$A$301)), "Invalid", "Ok")</f>
        <v>Ok</v>
      </c>
    </row>
    <row r="1035" spans="1:11" x14ac:dyDescent="0.3">
      <c r="A1035" s="1" t="s">
        <v>4648</v>
      </c>
      <c r="B1035" s="1" t="s">
        <v>2895</v>
      </c>
      <c r="C1035" s="1" t="s">
        <v>3314</v>
      </c>
      <c r="D1035" s="1">
        <v>752267.5</v>
      </c>
      <c r="E1035" s="1">
        <v>36794.79</v>
      </c>
      <c r="F1035" s="41">
        <v>45445</v>
      </c>
      <c r="G1035" s="41">
        <v>45810</v>
      </c>
      <c r="H1035" s="1" t="s">
        <v>3672</v>
      </c>
      <c r="I1035" s="1" t="s">
        <v>3324</v>
      </c>
      <c r="J1035" t="str">
        <f>IF(ISNA(_xlfn.XLOOKUP(B1035,customer_master!$A$2:$A$1649, customer_master!$A$2:$A$1649)), "Invalid", "Ok")</f>
        <v>Ok</v>
      </c>
      <c r="K1035" t="str">
        <f>IF(ISNA(_xlfn.XLOOKUP(H1035,agent_info!$A$2:$A$301, agent_info!$A$2:$A$301)), "Invalid", "Ok")</f>
        <v>Ok</v>
      </c>
    </row>
    <row r="1036" spans="1:11" x14ac:dyDescent="0.3">
      <c r="A1036" s="1" t="s">
        <v>4649</v>
      </c>
      <c r="B1036" s="1" t="s">
        <v>73</v>
      </c>
      <c r="C1036" s="1" t="s">
        <v>3314</v>
      </c>
      <c r="D1036" s="1">
        <v>405216.9</v>
      </c>
      <c r="E1036" s="1">
        <v>19253.59</v>
      </c>
      <c r="F1036" s="41">
        <v>45980</v>
      </c>
      <c r="G1036" s="41">
        <v>46345</v>
      </c>
      <c r="H1036" s="1" t="s">
        <v>3725</v>
      </c>
      <c r="I1036" s="1" t="s">
        <v>3316</v>
      </c>
      <c r="J1036" t="str">
        <f>IF(ISNA(_xlfn.XLOOKUP(B1036,customer_master!$A$2:$A$1649, customer_master!$A$2:$A$1649)), "Invalid", "Ok")</f>
        <v>Ok</v>
      </c>
      <c r="K1036" t="str">
        <f>IF(ISNA(_xlfn.XLOOKUP(H1036,agent_info!$A$2:$A$301, agent_info!$A$2:$A$301)), "Invalid", "Ok")</f>
        <v>Ok</v>
      </c>
    </row>
    <row r="1037" spans="1:11" x14ac:dyDescent="0.3">
      <c r="A1037" s="1" t="s">
        <v>4650</v>
      </c>
      <c r="B1037" s="1" t="s">
        <v>354</v>
      </c>
      <c r="C1037" s="1" t="s">
        <v>3331</v>
      </c>
      <c r="D1037" s="1">
        <v>662268.38</v>
      </c>
      <c r="E1037" s="1">
        <v>32919.31</v>
      </c>
      <c r="F1037" s="41">
        <v>44441</v>
      </c>
      <c r="G1037" s="41">
        <v>44806</v>
      </c>
      <c r="H1037" s="1" t="s">
        <v>3445</v>
      </c>
      <c r="I1037" s="1" t="s">
        <v>3324</v>
      </c>
      <c r="J1037" t="str">
        <f>IF(ISNA(_xlfn.XLOOKUP(B1037,customer_master!$A$2:$A$1649, customer_master!$A$2:$A$1649)), "Invalid", "Ok")</f>
        <v>Ok</v>
      </c>
      <c r="K1037" t="str">
        <f>IF(ISNA(_xlfn.XLOOKUP(H1037,agent_info!$A$2:$A$301, agent_info!$A$2:$A$301)), "Invalid", "Ok")</f>
        <v>Ok</v>
      </c>
    </row>
    <row r="1038" spans="1:11" x14ac:dyDescent="0.3">
      <c r="A1038" s="1" t="s">
        <v>4651</v>
      </c>
      <c r="B1038" s="1" t="s">
        <v>1515</v>
      </c>
      <c r="C1038" s="1" t="s">
        <v>3331</v>
      </c>
      <c r="D1038" s="1">
        <v>750974.51</v>
      </c>
      <c r="E1038" s="1">
        <v>41077.29</v>
      </c>
      <c r="F1038" s="41">
        <v>44719</v>
      </c>
      <c r="G1038" s="41">
        <v>45084</v>
      </c>
      <c r="H1038" s="1" t="s">
        <v>3492</v>
      </c>
      <c r="I1038" s="1" t="s">
        <v>3316</v>
      </c>
      <c r="J1038" t="str">
        <f>IF(ISNA(_xlfn.XLOOKUP(B1038,customer_master!$A$2:$A$1649, customer_master!$A$2:$A$1649)), "Invalid", "Ok")</f>
        <v>Ok</v>
      </c>
      <c r="K1038" t="str">
        <f>IF(ISNA(_xlfn.XLOOKUP(H1038,agent_info!$A$2:$A$301, agent_info!$A$2:$A$301)), "Invalid", "Ok")</f>
        <v>Ok</v>
      </c>
    </row>
    <row r="1039" spans="1:11" x14ac:dyDescent="0.3">
      <c r="A1039" s="1" t="s">
        <v>4652</v>
      </c>
      <c r="B1039" s="1" t="s">
        <v>2527</v>
      </c>
      <c r="C1039" s="1" t="s">
        <v>3326</v>
      </c>
      <c r="D1039" s="1">
        <v>458202.42</v>
      </c>
      <c r="E1039" s="1">
        <v>22326.55</v>
      </c>
      <c r="F1039" s="41">
        <v>44904</v>
      </c>
      <c r="G1039" s="41">
        <v>45269</v>
      </c>
      <c r="H1039" s="1" t="s">
        <v>3678</v>
      </c>
      <c r="I1039" s="1" t="s">
        <v>3316</v>
      </c>
      <c r="J1039" t="str">
        <f>IF(ISNA(_xlfn.XLOOKUP(B1039,customer_master!$A$2:$A$1649, customer_master!$A$2:$A$1649)), "Invalid", "Ok")</f>
        <v>Ok</v>
      </c>
      <c r="K1039" t="str">
        <f>IF(ISNA(_xlfn.XLOOKUP(H1039,agent_info!$A$2:$A$301, agent_info!$A$2:$A$301)), "Invalid", "Ok")</f>
        <v>Ok</v>
      </c>
    </row>
    <row r="1040" spans="1:11" x14ac:dyDescent="0.3">
      <c r="A1040" s="1" t="s">
        <v>4653</v>
      </c>
      <c r="B1040" s="1" t="s">
        <v>3134</v>
      </c>
      <c r="C1040" s="1" t="s">
        <v>3334</v>
      </c>
      <c r="D1040" s="1">
        <v>736299.19</v>
      </c>
      <c r="E1040" s="1">
        <v>40197.910000000003</v>
      </c>
      <c r="F1040" s="41">
        <v>44683</v>
      </c>
      <c r="G1040" s="41">
        <v>45048</v>
      </c>
      <c r="H1040" s="1" t="s">
        <v>3751</v>
      </c>
      <c r="I1040" s="1" t="s">
        <v>3320</v>
      </c>
      <c r="J1040" t="str">
        <f>IF(ISNA(_xlfn.XLOOKUP(B1040,customer_master!$A$2:$A$1649, customer_master!$A$2:$A$1649)), "Invalid", "Ok")</f>
        <v>Ok</v>
      </c>
      <c r="K1040" t="str">
        <f>IF(ISNA(_xlfn.XLOOKUP(H1040,agent_info!$A$2:$A$301, agent_info!$A$2:$A$301)), "Invalid", "Ok")</f>
        <v>Ok</v>
      </c>
    </row>
    <row r="1041" spans="1:11" x14ac:dyDescent="0.3">
      <c r="A1041" s="1" t="s">
        <v>4654</v>
      </c>
      <c r="B1041" s="1" t="s">
        <v>1747</v>
      </c>
      <c r="C1041" s="1" t="s">
        <v>3314</v>
      </c>
      <c r="D1041" s="1">
        <v>703177.96</v>
      </c>
      <c r="E1041" s="1">
        <v>33423.24</v>
      </c>
      <c r="F1041" s="41">
        <v>44826</v>
      </c>
      <c r="G1041" s="41">
        <v>45191</v>
      </c>
      <c r="H1041" s="1" t="s">
        <v>4641</v>
      </c>
      <c r="I1041" s="1" t="s">
        <v>3316</v>
      </c>
      <c r="J1041" t="str">
        <f>IF(ISNA(_xlfn.XLOOKUP(B1041,customer_master!$A$2:$A$1649, customer_master!$A$2:$A$1649)), "Invalid", "Ok")</f>
        <v>Ok</v>
      </c>
      <c r="K1041" t="str">
        <f>IF(ISNA(_xlfn.XLOOKUP(H1041,agent_info!$A$2:$A$301, agent_info!$A$2:$A$301)), "Invalid", "Ok")</f>
        <v>Ok</v>
      </c>
    </row>
    <row r="1042" spans="1:11" x14ac:dyDescent="0.3">
      <c r="A1042" s="1" t="s">
        <v>4655</v>
      </c>
      <c r="B1042" s="1" t="s">
        <v>1205</v>
      </c>
      <c r="C1042" s="1" t="s">
        <v>3331</v>
      </c>
      <c r="D1042" s="1">
        <v>665377.76</v>
      </c>
      <c r="E1042" s="1">
        <v>30644.27</v>
      </c>
      <c r="F1042" s="41">
        <v>45360</v>
      </c>
      <c r="G1042" s="41">
        <v>45725</v>
      </c>
      <c r="H1042" s="1" t="s">
        <v>3754</v>
      </c>
      <c r="I1042" s="1" t="s">
        <v>3324</v>
      </c>
      <c r="J1042" t="str">
        <f>IF(ISNA(_xlfn.XLOOKUP(B1042,customer_master!$A$2:$A$1649, customer_master!$A$2:$A$1649)), "Invalid", "Ok")</f>
        <v>Ok</v>
      </c>
      <c r="K1042" t="str">
        <f>IF(ISNA(_xlfn.XLOOKUP(H1042,agent_info!$A$2:$A$301, agent_info!$A$2:$A$301)), "Invalid", "Ok")</f>
        <v>Ok</v>
      </c>
    </row>
    <row r="1043" spans="1:11" x14ac:dyDescent="0.3">
      <c r="A1043" s="1" t="s">
        <v>4656</v>
      </c>
      <c r="B1043" s="1" t="s">
        <v>184</v>
      </c>
      <c r="C1043" s="1" t="s">
        <v>3334</v>
      </c>
      <c r="D1043" s="1">
        <v>752209.75</v>
      </c>
      <c r="E1043" s="1">
        <v>35031.75</v>
      </c>
      <c r="F1043" s="41">
        <v>45124</v>
      </c>
      <c r="G1043" s="41">
        <v>45490</v>
      </c>
      <c r="H1043" s="1" t="s">
        <v>3581</v>
      </c>
      <c r="I1043" s="1" t="s">
        <v>3324</v>
      </c>
      <c r="J1043" t="str">
        <f>IF(ISNA(_xlfn.XLOOKUP(B1043,customer_master!$A$2:$A$1649, customer_master!$A$2:$A$1649)), "Invalid", "Ok")</f>
        <v>Ok</v>
      </c>
      <c r="K1043" t="str">
        <f>IF(ISNA(_xlfn.XLOOKUP(H1043,agent_info!$A$2:$A$301, agent_info!$A$2:$A$301)), "Invalid", "Ok")</f>
        <v>Ok</v>
      </c>
    </row>
    <row r="1044" spans="1:11" x14ac:dyDescent="0.3">
      <c r="A1044" s="1" t="s">
        <v>4657</v>
      </c>
      <c r="B1044" s="1" t="s">
        <v>1946</v>
      </c>
      <c r="C1044" s="1" t="s">
        <v>3331</v>
      </c>
      <c r="D1044" s="1">
        <v>631022.77</v>
      </c>
      <c r="E1044" s="1">
        <v>33278.76</v>
      </c>
      <c r="F1044" s="41">
        <v>45551</v>
      </c>
      <c r="G1044" s="41">
        <v>45916</v>
      </c>
      <c r="H1044" s="1" t="s">
        <v>3472</v>
      </c>
      <c r="I1044" s="1" t="s">
        <v>3324</v>
      </c>
      <c r="J1044" t="str">
        <f>IF(ISNA(_xlfn.XLOOKUP(B1044,customer_master!$A$2:$A$1649, customer_master!$A$2:$A$1649)), "Invalid", "Ok")</f>
        <v>Ok</v>
      </c>
      <c r="K1044" t="str">
        <f>IF(ISNA(_xlfn.XLOOKUP(H1044,agent_info!$A$2:$A$301, agent_info!$A$2:$A$301)), "Invalid", "Ok")</f>
        <v>Ok</v>
      </c>
    </row>
    <row r="1045" spans="1:11" x14ac:dyDescent="0.3">
      <c r="A1045" s="1" t="s">
        <v>4658</v>
      </c>
      <c r="B1045" s="1" t="s">
        <v>1291</v>
      </c>
      <c r="C1045" s="1" t="s">
        <v>3331</v>
      </c>
      <c r="D1045" s="1">
        <v>570296.97</v>
      </c>
      <c r="E1045" s="1">
        <v>28729.35</v>
      </c>
      <c r="F1045" s="41">
        <v>44297</v>
      </c>
      <c r="G1045" s="41">
        <v>44662</v>
      </c>
      <c r="H1045" s="1" t="s">
        <v>4087</v>
      </c>
      <c r="I1045" s="1" t="s">
        <v>3324</v>
      </c>
      <c r="J1045" t="str">
        <f>IF(ISNA(_xlfn.XLOOKUP(B1045,customer_master!$A$2:$A$1649, customer_master!$A$2:$A$1649)), "Invalid", "Ok")</f>
        <v>Ok</v>
      </c>
      <c r="K1045" t="str">
        <f>IF(ISNA(_xlfn.XLOOKUP(H1045,agent_info!$A$2:$A$301, agent_info!$A$2:$A$301)), "Invalid", "Ok")</f>
        <v>Ok</v>
      </c>
    </row>
    <row r="1046" spans="1:11" x14ac:dyDescent="0.3">
      <c r="A1046" s="1" t="s">
        <v>4659</v>
      </c>
      <c r="B1046" s="1" t="s">
        <v>3021</v>
      </c>
      <c r="C1046" s="1" t="s">
        <v>3331</v>
      </c>
      <c r="D1046" s="1">
        <v>639272.31000000006</v>
      </c>
      <c r="E1046" s="1">
        <v>32487.32</v>
      </c>
      <c r="F1046" s="41">
        <v>44210</v>
      </c>
      <c r="G1046" s="41">
        <v>44575</v>
      </c>
      <c r="H1046" s="1" t="s">
        <v>3343</v>
      </c>
      <c r="I1046" s="1" t="s">
        <v>3316</v>
      </c>
      <c r="J1046" t="str">
        <f>IF(ISNA(_xlfn.XLOOKUP(B1046,customer_master!$A$2:$A$1649, customer_master!$A$2:$A$1649)), "Invalid", "Ok")</f>
        <v>Ok</v>
      </c>
      <c r="K1046" t="str">
        <f>IF(ISNA(_xlfn.XLOOKUP(H1046,agent_info!$A$2:$A$301, agent_info!$A$2:$A$301)), "Invalid", "Ok")</f>
        <v>Ok</v>
      </c>
    </row>
    <row r="1047" spans="1:11" x14ac:dyDescent="0.3">
      <c r="A1047" s="1" t="s">
        <v>4660</v>
      </c>
      <c r="B1047" s="1" t="s">
        <v>1608</v>
      </c>
      <c r="C1047" s="1" t="s">
        <v>3314</v>
      </c>
      <c r="D1047" s="1">
        <v>543552.16</v>
      </c>
      <c r="E1047" s="1">
        <v>29719.85</v>
      </c>
      <c r="F1047" s="41">
        <v>45724</v>
      </c>
      <c r="G1047" s="41">
        <v>46089</v>
      </c>
      <c r="H1047" s="1" t="s">
        <v>3917</v>
      </c>
      <c r="I1047" s="1" t="s">
        <v>3320</v>
      </c>
      <c r="J1047" t="str">
        <f>IF(ISNA(_xlfn.XLOOKUP(B1047,customer_master!$A$2:$A$1649, customer_master!$A$2:$A$1649)), "Invalid", "Ok")</f>
        <v>Ok</v>
      </c>
      <c r="K1047" t="str">
        <f>IF(ISNA(_xlfn.XLOOKUP(H1047,agent_info!$A$2:$A$301, agent_info!$A$2:$A$301)), "Invalid", "Ok")</f>
        <v>Ok</v>
      </c>
    </row>
    <row r="1048" spans="1:11" x14ac:dyDescent="0.3">
      <c r="A1048" s="1" t="s">
        <v>4661</v>
      </c>
      <c r="B1048" s="1" t="s">
        <v>2549</v>
      </c>
      <c r="C1048" s="1" t="s">
        <v>3318</v>
      </c>
      <c r="D1048" s="1">
        <v>500807.35</v>
      </c>
      <c r="E1048" s="1">
        <v>25064.59</v>
      </c>
      <c r="F1048" s="41">
        <v>44092</v>
      </c>
      <c r="G1048" s="41">
        <v>44457</v>
      </c>
      <c r="H1048" s="1" t="s">
        <v>3429</v>
      </c>
      <c r="I1048" s="1" t="s">
        <v>3320</v>
      </c>
      <c r="J1048" t="str">
        <f>IF(ISNA(_xlfn.XLOOKUP(B1048,customer_master!$A$2:$A$1649, customer_master!$A$2:$A$1649)), "Invalid", "Ok")</f>
        <v>Ok</v>
      </c>
      <c r="K1048" t="str">
        <f>IF(ISNA(_xlfn.XLOOKUP(H1048,agent_info!$A$2:$A$301, agent_info!$A$2:$A$301)), "Invalid", "Ok")</f>
        <v>Ok</v>
      </c>
    </row>
    <row r="1049" spans="1:11" x14ac:dyDescent="0.3">
      <c r="A1049" s="1" t="s">
        <v>4662</v>
      </c>
      <c r="B1049" s="1" t="s">
        <v>2819</v>
      </c>
      <c r="C1049" s="1" t="s">
        <v>3326</v>
      </c>
      <c r="D1049" s="1">
        <v>378785.97</v>
      </c>
      <c r="E1049" s="1">
        <v>17488.63</v>
      </c>
      <c r="F1049" s="41">
        <v>45353</v>
      </c>
      <c r="G1049" s="41">
        <v>45718</v>
      </c>
      <c r="H1049" s="1" t="s">
        <v>4295</v>
      </c>
      <c r="I1049" s="1" t="s">
        <v>3324</v>
      </c>
      <c r="J1049" t="str">
        <f>IF(ISNA(_xlfn.XLOOKUP(B1049,customer_master!$A$2:$A$1649, customer_master!$A$2:$A$1649)), "Invalid", "Ok")</f>
        <v>Ok</v>
      </c>
      <c r="K1049" t="str">
        <f>IF(ISNA(_xlfn.XLOOKUP(H1049,agent_info!$A$2:$A$301, agent_info!$A$2:$A$301)), "Invalid", "Ok")</f>
        <v>Ok</v>
      </c>
    </row>
    <row r="1050" spans="1:11" x14ac:dyDescent="0.3">
      <c r="A1050" s="1" t="s">
        <v>4663</v>
      </c>
      <c r="B1050" s="1" t="s">
        <v>354</v>
      </c>
      <c r="C1050" s="1" t="s">
        <v>3314</v>
      </c>
      <c r="D1050" s="1">
        <v>530533.30000000005</v>
      </c>
      <c r="E1050" s="1">
        <v>27685.96</v>
      </c>
      <c r="F1050" s="41">
        <v>46241</v>
      </c>
      <c r="G1050" s="41">
        <v>46606</v>
      </c>
      <c r="H1050" s="1" t="s">
        <v>3643</v>
      </c>
      <c r="I1050" s="1" t="s">
        <v>3324</v>
      </c>
      <c r="J1050" t="str">
        <f>IF(ISNA(_xlfn.XLOOKUP(B1050,customer_master!$A$2:$A$1649, customer_master!$A$2:$A$1649)), "Invalid", "Ok")</f>
        <v>Ok</v>
      </c>
      <c r="K1050" t="str">
        <f>IF(ISNA(_xlfn.XLOOKUP(H1050,agent_info!$A$2:$A$301, agent_info!$A$2:$A$301)), "Invalid", "Ok")</f>
        <v>Ok</v>
      </c>
    </row>
    <row r="1051" spans="1:11" x14ac:dyDescent="0.3">
      <c r="A1051" s="1" t="s">
        <v>4664</v>
      </c>
      <c r="B1051" s="1" t="s">
        <v>1477</v>
      </c>
      <c r="C1051" s="1" t="s">
        <v>3326</v>
      </c>
      <c r="D1051" s="1">
        <v>631118.27</v>
      </c>
      <c r="E1051" s="1">
        <v>29712.11</v>
      </c>
      <c r="F1051" s="41">
        <v>44289</v>
      </c>
      <c r="G1051" s="41">
        <v>44654</v>
      </c>
      <c r="H1051" s="1" t="s">
        <v>3949</v>
      </c>
      <c r="I1051" s="1" t="s">
        <v>3316</v>
      </c>
      <c r="J1051" t="str">
        <f>IF(ISNA(_xlfn.XLOOKUP(B1051,customer_master!$A$2:$A$1649, customer_master!$A$2:$A$1649)), "Invalid", "Ok")</f>
        <v>Ok</v>
      </c>
      <c r="K1051" t="str">
        <f>IF(ISNA(_xlfn.XLOOKUP(H1051,agent_info!$A$2:$A$301, agent_info!$A$2:$A$301)), "Invalid", "Ok")</f>
        <v>Ok</v>
      </c>
    </row>
    <row r="1052" spans="1:11" x14ac:dyDescent="0.3">
      <c r="A1052" s="1" t="s">
        <v>4665</v>
      </c>
      <c r="B1052" s="1" t="s">
        <v>2971</v>
      </c>
      <c r="C1052" s="1" t="s">
        <v>3331</v>
      </c>
      <c r="D1052" s="1">
        <v>742183.75</v>
      </c>
      <c r="E1052" s="1">
        <v>37714.35</v>
      </c>
      <c r="F1052" s="41">
        <v>45221</v>
      </c>
      <c r="G1052" s="41">
        <v>45587</v>
      </c>
      <c r="H1052" s="1" t="s">
        <v>3678</v>
      </c>
      <c r="I1052" s="1" t="s">
        <v>3316</v>
      </c>
      <c r="J1052" t="str">
        <f>IF(ISNA(_xlfn.XLOOKUP(B1052,customer_master!$A$2:$A$1649, customer_master!$A$2:$A$1649)), "Invalid", "Ok")</f>
        <v>Ok</v>
      </c>
      <c r="K1052" t="str">
        <f>IF(ISNA(_xlfn.XLOOKUP(H1052,agent_info!$A$2:$A$301, agent_info!$A$2:$A$301)), "Invalid", "Ok")</f>
        <v>Ok</v>
      </c>
    </row>
    <row r="1053" spans="1:11" x14ac:dyDescent="0.3">
      <c r="A1053" s="1" t="s">
        <v>4666</v>
      </c>
      <c r="B1053" s="1" t="s">
        <v>1433</v>
      </c>
      <c r="C1053" s="1" t="s">
        <v>3331</v>
      </c>
      <c r="D1053" s="1">
        <v>753520.38</v>
      </c>
      <c r="E1053" s="1">
        <v>40346.339999999997</v>
      </c>
      <c r="F1053" s="41">
        <v>44092</v>
      </c>
      <c r="G1053" s="41">
        <v>44457</v>
      </c>
      <c r="H1053" s="1" t="s">
        <v>3882</v>
      </c>
      <c r="I1053" s="1" t="s">
        <v>3320</v>
      </c>
      <c r="J1053" t="str">
        <f>IF(ISNA(_xlfn.XLOOKUP(B1053,customer_master!$A$2:$A$1649, customer_master!$A$2:$A$1649)), "Invalid", "Ok")</f>
        <v>Ok</v>
      </c>
      <c r="K1053" t="str">
        <f>IF(ISNA(_xlfn.XLOOKUP(H1053,agent_info!$A$2:$A$301, agent_info!$A$2:$A$301)), "Invalid", "Ok")</f>
        <v>Ok</v>
      </c>
    </row>
    <row r="1054" spans="1:11" x14ac:dyDescent="0.3">
      <c r="A1054" s="1" t="s">
        <v>4667</v>
      </c>
      <c r="B1054" s="1" t="s">
        <v>1893</v>
      </c>
      <c r="C1054" s="1" t="s">
        <v>3326</v>
      </c>
      <c r="D1054" s="1">
        <v>422284.05</v>
      </c>
      <c r="E1054" s="1">
        <v>21017.42</v>
      </c>
      <c r="F1054" s="41">
        <v>45398</v>
      </c>
      <c r="G1054" s="41">
        <v>45763</v>
      </c>
      <c r="H1054" s="1" t="s">
        <v>3749</v>
      </c>
      <c r="I1054" s="1" t="s">
        <v>3324</v>
      </c>
      <c r="J1054" t="str">
        <f>IF(ISNA(_xlfn.XLOOKUP(B1054,customer_master!$A$2:$A$1649, customer_master!$A$2:$A$1649)), "Invalid", "Ok")</f>
        <v>Ok</v>
      </c>
      <c r="K1054" t="str">
        <f>IF(ISNA(_xlfn.XLOOKUP(H1054,agent_info!$A$2:$A$301, agent_info!$A$2:$A$301)), "Invalid", "Ok")</f>
        <v>Ok</v>
      </c>
    </row>
    <row r="1055" spans="1:11" x14ac:dyDescent="0.3">
      <c r="A1055" s="1" t="s">
        <v>4668</v>
      </c>
      <c r="B1055" s="1" t="s">
        <v>2901</v>
      </c>
      <c r="C1055" s="1" t="s">
        <v>3331</v>
      </c>
      <c r="D1055" s="1">
        <v>599501.22</v>
      </c>
      <c r="E1055" s="1">
        <v>28861.7</v>
      </c>
      <c r="F1055" s="41">
        <v>46240</v>
      </c>
      <c r="G1055" s="41">
        <v>46605</v>
      </c>
      <c r="H1055" s="1" t="s">
        <v>3762</v>
      </c>
      <c r="I1055" s="1" t="s">
        <v>3316</v>
      </c>
      <c r="J1055" t="str">
        <f>IF(ISNA(_xlfn.XLOOKUP(B1055,customer_master!$A$2:$A$1649, customer_master!$A$2:$A$1649)), "Invalid", "Ok")</f>
        <v>Ok</v>
      </c>
      <c r="K1055" t="str">
        <f>IF(ISNA(_xlfn.XLOOKUP(H1055,agent_info!$A$2:$A$301, agent_info!$A$2:$A$301)), "Invalid", "Ok")</f>
        <v>Ok</v>
      </c>
    </row>
    <row r="1056" spans="1:11" x14ac:dyDescent="0.3">
      <c r="A1056" s="1" t="s">
        <v>4669</v>
      </c>
      <c r="B1056" s="1" t="s">
        <v>815</v>
      </c>
      <c r="C1056" s="1" t="s">
        <v>3314</v>
      </c>
      <c r="D1056" s="1">
        <v>606663.04</v>
      </c>
      <c r="E1056" s="1">
        <v>30791.47</v>
      </c>
      <c r="F1056" s="41">
        <v>45745</v>
      </c>
      <c r="G1056" s="41">
        <v>46110</v>
      </c>
      <c r="H1056" s="1" t="s">
        <v>3464</v>
      </c>
      <c r="I1056" s="1" t="s">
        <v>3320</v>
      </c>
      <c r="J1056" t="str">
        <f>IF(ISNA(_xlfn.XLOOKUP(B1056,customer_master!$A$2:$A$1649, customer_master!$A$2:$A$1649)), "Invalid", "Ok")</f>
        <v>Ok</v>
      </c>
      <c r="K1056" t="str">
        <f>IF(ISNA(_xlfn.XLOOKUP(H1056,agent_info!$A$2:$A$301, agent_info!$A$2:$A$301)), "Invalid", "Ok")</f>
        <v>Ok</v>
      </c>
    </row>
    <row r="1057" spans="1:11" x14ac:dyDescent="0.3">
      <c r="A1057" s="1" t="s">
        <v>4670</v>
      </c>
      <c r="B1057" s="1" t="s">
        <v>2973</v>
      </c>
      <c r="C1057" s="1" t="s">
        <v>3331</v>
      </c>
      <c r="D1057" s="1">
        <v>448662.14</v>
      </c>
      <c r="E1057" s="1">
        <v>20759.38</v>
      </c>
      <c r="F1057" s="41">
        <v>46120</v>
      </c>
      <c r="G1057" s="41">
        <v>46485</v>
      </c>
      <c r="H1057" s="1" t="s">
        <v>4343</v>
      </c>
      <c r="I1057" s="1" t="s">
        <v>3316</v>
      </c>
      <c r="J1057" t="str">
        <f>IF(ISNA(_xlfn.XLOOKUP(B1057,customer_master!$A$2:$A$1649, customer_master!$A$2:$A$1649)), "Invalid", "Ok")</f>
        <v>Ok</v>
      </c>
      <c r="K1057" t="str">
        <f>IF(ISNA(_xlfn.XLOOKUP(H1057,agent_info!$A$2:$A$301, agent_info!$A$2:$A$301)), "Invalid", "Ok")</f>
        <v>Ok</v>
      </c>
    </row>
    <row r="1058" spans="1:11" x14ac:dyDescent="0.3">
      <c r="A1058" s="1" t="s">
        <v>4671</v>
      </c>
      <c r="B1058" s="1" t="s">
        <v>1356</v>
      </c>
      <c r="C1058" s="1" t="s">
        <v>3334</v>
      </c>
      <c r="D1058" s="1">
        <v>608926.86</v>
      </c>
      <c r="E1058" s="1">
        <v>29274.55</v>
      </c>
      <c r="F1058" s="41">
        <v>45114</v>
      </c>
      <c r="G1058" s="41">
        <v>45480</v>
      </c>
      <c r="H1058" s="1" t="s">
        <v>4175</v>
      </c>
      <c r="I1058" s="1" t="s">
        <v>3316</v>
      </c>
      <c r="J1058" t="str">
        <f>IF(ISNA(_xlfn.XLOOKUP(B1058,customer_master!$A$2:$A$1649, customer_master!$A$2:$A$1649)), "Invalid", "Ok")</f>
        <v>Ok</v>
      </c>
      <c r="K1058" t="str">
        <f>IF(ISNA(_xlfn.XLOOKUP(H1058,agent_info!$A$2:$A$301, agent_info!$A$2:$A$301)), "Invalid", "Ok")</f>
        <v>Ok</v>
      </c>
    </row>
    <row r="1059" spans="1:11" x14ac:dyDescent="0.3">
      <c r="A1059" s="1" t="s">
        <v>4672</v>
      </c>
      <c r="B1059" s="1" t="s">
        <v>1980</v>
      </c>
      <c r="C1059" s="1" t="s">
        <v>3334</v>
      </c>
      <c r="D1059" s="1">
        <v>524663.68999999994</v>
      </c>
      <c r="E1059" s="1">
        <v>26254.92</v>
      </c>
      <c r="F1059" s="41">
        <v>44815</v>
      </c>
      <c r="G1059" s="41">
        <v>45180</v>
      </c>
      <c r="H1059" s="1" t="s">
        <v>3598</v>
      </c>
      <c r="I1059" s="1" t="s">
        <v>3324</v>
      </c>
      <c r="J1059" t="str">
        <f>IF(ISNA(_xlfn.XLOOKUP(B1059,customer_master!$A$2:$A$1649, customer_master!$A$2:$A$1649)), "Invalid", "Ok")</f>
        <v>Ok</v>
      </c>
      <c r="K1059" t="str">
        <f>IF(ISNA(_xlfn.XLOOKUP(H1059,agent_info!$A$2:$A$301, agent_info!$A$2:$A$301)), "Invalid", "Ok")</f>
        <v>Ok</v>
      </c>
    </row>
    <row r="1060" spans="1:11" x14ac:dyDescent="0.3">
      <c r="A1060" s="1" t="s">
        <v>4673</v>
      </c>
      <c r="B1060" s="1" t="s">
        <v>1115</v>
      </c>
      <c r="C1060" s="1" t="s">
        <v>3331</v>
      </c>
      <c r="D1060" s="1">
        <v>741028.06</v>
      </c>
      <c r="E1060" s="1">
        <v>35229.589999999997</v>
      </c>
      <c r="F1060" s="41">
        <v>45018</v>
      </c>
      <c r="G1060" s="41">
        <v>45384</v>
      </c>
      <c r="H1060" s="1" t="s">
        <v>3653</v>
      </c>
      <c r="I1060" s="1" t="s">
        <v>3324</v>
      </c>
      <c r="J1060" t="str">
        <f>IF(ISNA(_xlfn.XLOOKUP(B1060,customer_master!$A$2:$A$1649, customer_master!$A$2:$A$1649)), "Invalid", "Ok")</f>
        <v>Ok</v>
      </c>
      <c r="K1060" t="str">
        <f>IF(ISNA(_xlfn.XLOOKUP(H1060,agent_info!$A$2:$A$301, agent_info!$A$2:$A$301)), "Invalid", "Ok")</f>
        <v>Ok</v>
      </c>
    </row>
    <row r="1061" spans="1:11" x14ac:dyDescent="0.3">
      <c r="A1061" s="1" t="s">
        <v>4674</v>
      </c>
      <c r="B1061" s="1" t="s">
        <v>1763</v>
      </c>
      <c r="C1061" s="1" t="s">
        <v>3326</v>
      </c>
      <c r="D1061" s="1">
        <v>439320.77</v>
      </c>
      <c r="E1061" s="1">
        <v>19941.900000000001</v>
      </c>
      <c r="F1061" s="41">
        <v>44889</v>
      </c>
      <c r="G1061" s="41">
        <v>45254</v>
      </c>
      <c r="H1061" s="1" t="s">
        <v>4175</v>
      </c>
      <c r="I1061" s="1" t="s">
        <v>3320</v>
      </c>
      <c r="J1061" t="str">
        <f>IF(ISNA(_xlfn.XLOOKUP(B1061,customer_master!$A$2:$A$1649, customer_master!$A$2:$A$1649)), "Invalid", "Ok")</f>
        <v>Ok</v>
      </c>
      <c r="K1061" t="str">
        <f>IF(ISNA(_xlfn.XLOOKUP(H1061,agent_info!$A$2:$A$301, agent_info!$A$2:$A$301)), "Invalid", "Ok")</f>
        <v>Ok</v>
      </c>
    </row>
    <row r="1062" spans="1:11" x14ac:dyDescent="0.3">
      <c r="A1062" s="1" t="s">
        <v>4675</v>
      </c>
      <c r="B1062" s="1" t="s">
        <v>198</v>
      </c>
      <c r="C1062" s="1" t="s">
        <v>3331</v>
      </c>
      <c r="D1062" s="1">
        <v>700037.7</v>
      </c>
      <c r="E1062" s="1">
        <v>35597.9</v>
      </c>
      <c r="F1062" s="41">
        <v>46028</v>
      </c>
      <c r="G1062" s="41">
        <v>46393</v>
      </c>
      <c r="H1062" s="1" t="s">
        <v>3947</v>
      </c>
      <c r="I1062" s="1" t="s">
        <v>3316</v>
      </c>
      <c r="J1062" t="str">
        <f>IF(ISNA(_xlfn.XLOOKUP(B1062,customer_master!$A$2:$A$1649, customer_master!$A$2:$A$1649)), "Invalid", "Ok")</f>
        <v>Ok</v>
      </c>
      <c r="K1062" t="str">
        <f>IF(ISNA(_xlfn.XLOOKUP(H1062,agent_info!$A$2:$A$301, agent_info!$A$2:$A$301)), "Invalid", "Ok")</f>
        <v>Ok</v>
      </c>
    </row>
    <row r="1063" spans="1:11" x14ac:dyDescent="0.3">
      <c r="A1063" s="1" t="s">
        <v>4676</v>
      </c>
      <c r="B1063" s="1" t="s">
        <v>250</v>
      </c>
      <c r="C1063" s="1" t="s">
        <v>3326</v>
      </c>
      <c r="D1063" s="1">
        <v>663899.47</v>
      </c>
      <c r="E1063" s="1">
        <v>32539.360000000001</v>
      </c>
      <c r="F1063" s="41">
        <v>46267</v>
      </c>
      <c r="G1063" s="41">
        <v>46632</v>
      </c>
      <c r="H1063" s="1" t="s">
        <v>3383</v>
      </c>
      <c r="I1063" s="1" t="s">
        <v>3324</v>
      </c>
      <c r="J1063" t="str">
        <f>IF(ISNA(_xlfn.XLOOKUP(B1063,customer_master!$A$2:$A$1649, customer_master!$A$2:$A$1649)), "Invalid", "Ok")</f>
        <v>Ok</v>
      </c>
      <c r="K1063" t="str">
        <f>IF(ISNA(_xlfn.XLOOKUP(H1063,agent_info!$A$2:$A$301, agent_info!$A$2:$A$301)), "Invalid", "Ok")</f>
        <v>Ok</v>
      </c>
    </row>
    <row r="1064" spans="1:11" x14ac:dyDescent="0.3">
      <c r="A1064" s="1" t="s">
        <v>4677</v>
      </c>
      <c r="B1064" s="1" t="s">
        <v>1406</v>
      </c>
      <c r="C1064" s="1" t="s">
        <v>3334</v>
      </c>
      <c r="D1064" s="1">
        <v>668310.81999999995</v>
      </c>
      <c r="E1064" s="1">
        <v>32684.48</v>
      </c>
      <c r="F1064" s="41">
        <v>45867</v>
      </c>
      <c r="G1064" s="41">
        <v>46232</v>
      </c>
      <c r="H1064" s="1" t="s">
        <v>4678</v>
      </c>
      <c r="I1064" s="1" t="s">
        <v>3324</v>
      </c>
      <c r="J1064" t="str">
        <f>IF(ISNA(_xlfn.XLOOKUP(B1064,customer_master!$A$2:$A$1649, customer_master!$A$2:$A$1649)), "Invalid", "Ok")</f>
        <v>Ok</v>
      </c>
      <c r="K1064" t="str">
        <f>IF(ISNA(_xlfn.XLOOKUP(H1064,agent_info!$A$2:$A$301, agent_info!$A$2:$A$301)), "Invalid", "Ok")</f>
        <v>Ok</v>
      </c>
    </row>
    <row r="1065" spans="1:11" x14ac:dyDescent="0.3">
      <c r="A1065" s="1" t="s">
        <v>4679</v>
      </c>
      <c r="B1065" s="1" t="s">
        <v>1137</v>
      </c>
      <c r="C1065" s="1" t="s">
        <v>3318</v>
      </c>
      <c r="D1065" s="1">
        <v>459148.01</v>
      </c>
      <c r="E1065" s="1">
        <v>25238.51</v>
      </c>
      <c r="F1065" s="41">
        <v>46139</v>
      </c>
      <c r="G1065" s="41">
        <v>46504</v>
      </c>
      <c r="H1065" s="1" t="s">
        <v>4524</v>
      </c>
      <c r="I1065" s="1" t="s">
        <v>3324</v>
      </c>
      <c r="J1065" t="str">
        <f>IF(ISNA(_xlfn.XLOOKUP(B1065,customer_master!$A$2:$A$1649, customer_master!$A$2:$A$1649)), "Invalid", "Ok")</f>
        <v>Ok</v>
      </c>
      <c r="K1065" t="str">
        <f>IF(ISNA(_xlfn.XLOOKUP(H1065,agent_info!$A$2:$A$301, agent_info!$A$2:$A$301)), "Invalid", "Ok")</f>
        <v>Ok</v>
      </c>
    </row>
    <row r="1066" spans="1:11" x14ac:dyDescent="0.3">
      <c r="A1066" s="1" t="s">
        <v>4680</v>
      </c>
      <c r="B1066" s="1" t="s">
        <v>2071</v>
      </c>
      <c r="C1066" s="1" t="s">
        <v>3326</v>
      </c>
      <c r="D1066" s="1">
        <v>441129.17</v>
      </c>
      <c r="E1066" s="1">
        <v>20343.919999999998</v>
      </c>
      <c r="F1066" s="41">
        <v>45534</v>
      </c>
      <c r="G1066" s="41">
        <v>45899</v>
      </c>
      <c r="H1066" s="1" t="s">
        <v>3437</v>
      </c>
      <c r="I1066" s="1" t="s">
        <v>3324</v>
      </c>
      <c r="J1066" t="str">
        <f>IF(ISNA(_xlfn.XLOOKUP(B1066,customer_master!$A$2:$A$1649, customer_master!$A$2:$A$1649)), "Invalid", "Ok")</f>
        <v>Ok</v>
      </c>
      <c r="K1066" t="str">
        <f>IF(ISNA(_xlfn.XLOOKUP(H1066,agent_info!$A$2:$A$301, agent_info!$A$2:$A$301)), "Invalid", "Ok")</f>
        <v>Ok</v>
      </c>
    </row>
    <row r="1067" spans="1:11" x14ac:dyDescent="0.3">
      <c r="A1067" s="1" t="s">
        <v>4681</v>
      </c>
      <c r="B1067" s="1" t="s">
        <v>158</v>
      </c>
      <c r="C1067" s="1" t="s">
        <v>3331</v>
      </c>
      <c r="D1067" s="1">
        <v>751981.47</v>
      </c>
      <c r="E1067" s="1">
        <v>34998.54</v>
      </c>
      <c r="F1067" s="41">
        <v>44906</v>
      </c>
      <c r="G1067" s="41">
        <v>45271</v>
      </c>
      <c r="H1067" s="1" t="s">
        <v>3351</v>
      </c>
      <c r="I1067" s="1" t="s">
        <v>3324</v>
      </c>
      <c r="J1067" t="str">
        <f>IF(ISNA(_xlfn.XLOOKUP(B1067,customer_master!$A$2:$A$1649, customer_master!$A$2:$A$1649)), "Invalid", "Ok")</f>
        <v>Ok</v>
      </c>
      <c r="K1067" t="str">
        <f>IF(ISNA(_xlfn.XLOOKUP(H1067,agent_info!$A$2:$A$301, agent_info!$A$2:$A$301)), "Invalid", "Ok")</f>
        <v>Ok</v>
      </c>
    </row>
    <row r="1068" spans="1:11" x14ac:dyDescent="0.3">
      <c r="A1068" s="1" t="s">
        <v>4682</v>
      </c>
      <c r="B1068" s="1" t="s">
        <v>592</v>
      </c>
      <c r="C1068" s="1" t="s">
        <v>3331</v>
      </c>
      <c r="D1068" s="1">
        <v>410428.79</v>
      </c>
      <c r="E1068" s="1">
        <v>22065.73</v>
      </c>
      <c r="F1068" s="41">
        <v>44202</v>
      </c>
      <c r="G1068" s="41">
        <v>44567</v>
      </c>
      <c r="H1068" s="1" t="s">
        <v>4273</v>
      </c>
      <c r="I1068" s="1" t="s">
        <v>3324</v>
      </c>
      <c r="J1068" t="str">
        <f>IF(ISNA(_xlfn.XLOOKUP(B1068,customer_master!$A$2:$A$1649, customer_master!$A$2:$A$1649)), "Invalid", "Ok")</f>
        <v>Ok</v>
      </c>
      <c r="K1068" t="str">
        <f>IF(ISNA(_xlfn.XLOOKUP(H1068,agent_info!$A$2:$A$301, agent_info!$A$2:$A$301)), "Invalid", "Ok")</f>
        <v>Ok</v>
      </c>
    </row>
    <row r="1069" spans="1:11" x14ac:dyDescent="0.3">
      <c r="A1069" s="1" t="s">
        <v>4683</v>
      </c>
      <c r="B1069" s="1" t="s">
        <v>745</v>
      </c>
      <c r="C1069" s="1" t="s">
        <v>3326</v>
      </c>
      <c r="D1069" s="1">
        <v>390980.07</v>
      </c>
      <c r="E1069" s="1">
        <v>18103.400000000001</v>
      </c>
      <c r="F1069" s="41">
        <v>44857</v>
      </c>
      <c r="G1069" s="41">
        <v>45222</v>
      </c>
      <c r="H1069" s="1" t="s">
        <v>4132</v>
      </c>
      <c r="I1069" s="1" t="s">
        <v>3316</v>
      </c>
      <c r="J1069" t="str">
        <f>IF(ISNA(_xlfn.XLOOKUP(B1069,customer_master!$A$2:$A$1649, customer_master!$A$2:$A$1649)), "Invalid", "Ok")</f>
        <v>Ok</v>
      </c>
      <c r="K1069" t="str">
        <f>IF(ISNA(_xlfn.XLOOKUP(H1069,agent_info!$A$2:$A$301, agent_info!$A$2:$A$301)), "Invalid", "Ok")</f>
        <v>Ok</v>
      </c>
    </row>
    <row r="1070" spans="1:11" x14ac:dyDescent="0.3">
      <c r="A1070" s="1" t="s">
        <v>4684</v>
      </c>
      <c r="B1070" s="1" t="s">
        <v>1477</v>
      </c>
      <c r="C1070" s="1" t="s">
        <v>3314</v>
      </c>
      <c r="D1070" s="1">
        <v>761749.35</v>
      </c>
      <c r="E1070" s="1">
        <v>41268.71</v>
      </c>
      <c r="F1070" s="41">
        <v>44800</v>
      </c>
      <c r="G1070" s="41">
        <v>45165</v>
      </c>
      <c r="H1070" s="1" t="s">
        <v>3729</v>
      </c>
      <c r="I1070" s="1" t="s">
        <v>3316</v>
      </c>
      <c r="J1070" t="str">
        <f>IF(ISNA(_xlfn.XLOOKUP(B1070,customer_master!$A$2:$A$1649, customer_master!$A$2:$A$1649)), "Invalid", "Ok")</f>
        <v>Ok</v>
      </c>
      <c r="K1070" t="str">
        <f>IF(ISNA(_xlfn.XLOOKUP(H1070,agent_info!$A$2:$A$301, agent_info!$A$2:$A$301)), "Invalid", "Ok")</f>
        <v>Ok</v>
      </c>
    </row>
    <row r="1071" spans="1:11" x14ac:dyDescent="0.3">
      <c r="A1071" s="1" t="s">
        <v>4685</v>
      </c>
      <c r="B1071" s="1" t="s">
        <v>853</v>
      </c>
      <c r="C1071" s="1" t="s">
        <v>3331</v>
      </c>
      <c r="D1071" s="1">
        <v>677885.36</v>
      </c>
      <c r="E1071" s="1">
        <v>35059.97</v>
      </c>
      <c r="F1071" s="41">
        <v>44296</v>
      </c>
      <c r="G1071" s="41">
        <v>44661</v>
      </c>
      <c r="H1071" s="1" t="s">
        <v>3840</v>
      </c>
      <c r="I1071" s="1" t="s">
        <v>3324</v>
      </c>
      <c r="J1071" t="str">
        <f>IF(ISNA(_xlfn.XLOOKUP(B1071,customer_master!$A$2:$A$1649, customer_master!$A$2:$A$1649)), "Invalid", "Ok")</f>
        <v>Ok</v>
      </c>
      <c r="K1071" t="str">
        <f>IF(ISNA(_xlfn.XLOOKUP(H1071,agent_info!$A$2:$A$301, agent_info!$A$2:$A$301)), "Invalid", "Ok")</f>
        <v>Ok</v>
      </c>
    </row>
    <row r="1072" spans="1:11" x14ac:dyDescent="0.3">
      <c r="A1072" s="1" t="s">
        <v>4686</v>
      </c>
      <c r="B1072" s="1" t="s">
        <v>487</v>
      </c>
      <c r="C1072" s="1" t="s">
        <v>3314</v>
      </c>
      <c r="D1072" s="1">
        <v>672357.78</v>
      </c>
      <c r="E1072" s="1">
        <v>33807.24</v>
      </c>
      <c r="F1072" s="41">
        <v>45078</v>
      </c>
      <c r="G1072" s="41">
        <v>45444</v>
      </c>
      <c r="H1072" s="1" t="s">
        <v>3415</v>
      </c>
      <c r="I1072" s="1" t="s">
        <v>3324</v>
      </c>
      <c r="J1072" t="str">
        <f>IF(ISNA(_xlfn.XLOOKUP(B1072,customer_master!$A$2:$A$1649, customer_master!$A$2:$A$1649)), "Invalid", "Ok")</f>
        <v>Ok</v>
      </c>
      <c r="K1072" t="str">
        <f>IF(ISNA(_xlfn.XLOOKUP(H1072,agent_info!$A$2:$A$301, agent_info!$A$2:$A$301)), "Invalid", "Ok")</f>
        <v>Ok</v>
      </c>
    </row>
    <row r="1073" spans="1:11" x14ac:dyDescent="0.3">
      <c r="A1073" s="1" t="s">
        <v>4687</v>
      </c>
      <c r="B1073" s="1" t="s">
        <v>1998</v>
      </c>
      <c r="C1073" s="1" t="s">
        <v>3331</v>
      </c>
      <c r="D1073" s="1">
        <v>442619.26</v>
      </c>
      <c r="E1073" s="1">
        <v>21150.12</v>
      </c>
      <c r="F1073" s="41">
        <v>45607</v>
      </c>
      <c r="G1073" s="41">
        <v>45972</v>
      </c>
      <c r="H1073" s="1" t="s">
        <v>3734</v>
      </c>
      <c r="I1073" s="1" t="s">
        <v>3316</v>
      </c>
      <c r="J1073" t="str">
        <f>IF(ISNA(_xlfn.XLOOKUP(B1073,customer_master!$A$2:$A$1649, customer_master!$A$2:$A$1649)), "Invalid", "Ok")</f>
        <v>Ok</v>
      </c>
      <c r="K1073" t="str">
        <f>IF(ISNA(_xlfn.XLOOKUP(H1073,agent_info!$A$2:$A$301, agent_info!$A$2:$A$301)), "Invalid", "Ok")</f>
        <v>Ok</v>
      </c>
    </row>
    <row r="1074" spans="1:11" x14ac:dyDescent="0.3">
      <c r="A1074" s="1" t="s">
        <v>4688</v>
      </c>
      <c r="B1074" s="1" t="s">
        <v>2478</v>
      </c>
      <c r="C1074" s="1" t="s">
        <v>3331</v>
      </c>
      <c r="D1074" s="1">
        <v>568030.16</v>
      </c>
      <c r="E1074" s="1">
        <v>27603.27</v>
      </c>
      <c r="F1074" s="41">
        <v>45666</v>
      </c>
      <c r="G1074" s="41">
        <v>46031</v>
      </c>
      <c r="H1074" s="1" t="s">
        <v>3550</v>
      </c>
      <c r="I1074" s="1" t="s">
        <v>3324</v>
      </c>
      <c r="J1074" t="str">
        <f>IF(ISNA(_xlfn.XLOOKUP(B1074,customer_master!$A$2:$A$1649, customer_master!$A$2:$A$1649)), "Invalid", "Ok")</f>
        <v>Ok</v>
      </c>
      <c r="K1074" t="str">
        <f>IF(ISNA(_xlfn.XLOOKUP(H1074,agent_info!$A$2:$A$301, agent_info!$A$2:$A$301)), "Invalid", "Ok")</f>
        <v>Ok</v>
      </c>
    </row>
    <row r="1075" spans="1:11" x14ac:dyDescent="0.3">
      <c r="A1075" s="1" t="s">
        <v>4689</v>
      </c>
      <c r="B1075" s="1" t="s">
        <v>2294</v>
      </c>
      <c r="C1075" s="1" t="s">
        <v>3334</v>
      </c>
      <c r="D1075" s="1">
        <v>708693.6</v>
      </c>
      <c r="E1075" s="1">
        <v>37744.699999999997</v>
      </c>
      <c r="F1075" s="41">
        <v>46023</v>
      </c>
      <c r="G1075" s="41">
        <v>46388</v>
      </c>
      <c r="H1075" s="1" t="s">
        <v>3536</v>
      </c>
      <c r="I1075" s="1" t="s">
        <v>3324</v>
      </c>
      <c r="J1075" t="str">
        <f>IF(ISNA(_xlfn.XLOOKUP(B1075,customer_master!$A$2:$A$1649, customer_master!$A$2:$A$1649)), "Invalid", "Ok")</f>
        <v>Ok</v>
      </c>
      <c r="K1075" t="str">
        <f>IF(ISNA(_xlfn.XLOOKUP(H1075,agent_info!$A$2:$A$301, agent_info!$A$2:$A$301)), "Invalid", "Ok")</f>
        <v>Ok</v>
      </c>
    </row>
    <row r="1076" spans="1:11" x14ac:dyDescent="0.3">
      <c r="A1076" s="1" t="s">
        <v>4690</v>
      </c>
      <c r="B1076" s="1" t="s">
        <v>935</v>
      </c>
      <c r="C1076" s="1" t="s">
        <v>3334</v>
      </c>
      <c r="D1076" s="1">
        <v>511615.22</v>
      </c>
      <c r="E1076" s="1">
        <v>23316.89</v>
      </c>
      <c r="F1076" s="41">
        <v>44381</v>
      </c>
      <c r="G1076" s="41">
        <v>44746</v>
      </c>
      <c r="H1076" s="1" t="s">
        <v>4625</v>
      </c>
      <c r="I1076" s="1" t="s">
        <v>3324</v>
      </c>
      <c r="J1076" t="str">
        <f>IF(ISNA(_xlfn.XLOOKUP(B1076,customer_master!$A$2:$A$1649, customer_master!$A$2:$A$1649)), "Invalid", "Ok")</f>
        <v>Ok</v>
      </c>
      <c r="K1076" t="str">
        <f>IF(ISNA(_xlfn.XLOOKUP(H1076,agent_info!$A$2:$A$301, agent_info!$A$2:$A$301)), "Invalid", "Ok")</f>
        <v>Ok</v>
      </c>
    </row>
    <row r="1077" spans="1:11" x14ac:dyDescent="0.3">
      <c r="A1077" s="1" t="s">
        <v>4691</v>
      </c>
      <c r="B1077" s="1" t="s">
        <v>2841</v>
      </c>
      <c r="C1077" s="1" t="s">
        <v>3334</v>
      </c>
      <c r="D1077" s="1">
        <v>459214.58</v>
      </c>
      <c r="E1077" s="1">
        <v>24193.94</v>
      </c>
      <c r="F1077" s="41">
        <v>45396</v>
      </c>
      <c r="G1077" s="41">
        <v>45761</v>
      </c>
      <c r="H1077" s="1" t="s">
        <v>3477</v>
      </c>
      <c r="I1077" s="1" t="s">
        <v>3324</v>
      </c>
      <c r="J1077" t="str">
        <f>IF(ISNA(_xlfn.XLOOKUP(B1077,customer_master!$A$2:$A$1649, customer_master!$A$2:$A$1649)), "Invalid", "Ok")</f>
        <v>Ok</v>
      </c>
      <c r="K1077" t="str">
        <f>IF(ISNA(_xlfn.XLOOKUP(H1077,agent_info!$A$2:$A$301, agent_info!$A$2:$A$301)), "Invalid", "Ok")</f>
        <v>Ok</v>
      </c>
    </row>
    <row r="1078" spans="1:11" x14ac:dyDescent="0.3">
      <c r="A1078" s="1" t="s">
        <v>4692</v>
      </c>
      <c r="B1078" s="1" t="s">
        <v>2054</v>
      </c>
      <c r="C1078" s="1" t="s">
        <v>3334</v>
      </c>
      <c r="D1078" s="1">
        <v>389213.95</v>
      </c>
      <c r="E1078" s="1">
        <v>20736.62</v>
      </c>
      <c r="F1078" s="41">
        <v>45981</v>
      </c>
      <c r="G1078" s="41">
        <v>46346</v>
      </c>
      <c r="H1078" s="1" t="s">
        <v>3377</v>
      </c>
      <c r="I1078" s="1" t="s">
        <v>3324</v>
      </c>
      <c r="J1078" t="str">
        <f>IF(ISNA(_xlfn.XLOOKUP(B1078,customer_master!$A$2:$A$1649, customer_master!$A$2:$A$1649)), "Invalid", "Ok")</f>
        <v>Ok</v>
      </c>
      <c r="K1078" t="str">
        <f>IF(ISNA(_xlfn.XLOOKUP(H1078,agent_info!$A$2:$A$301, agent_info!$A$2:$A$301)), "Invalid", "Ok")</f>
        <v>Ok</v>
      </c>
    </row>
    <row r="1079" spans="1:11" x14ac:dyDescent="0.3">
      <c r="A1079" s="1" t="s">
        <v>4693</v>
      </c>
      <c r="B1079" s="1" t="s">
        <v>2066</v>
      </c>
      <c r="C1079" s="1" t="s">
        <v>3334</v>
      </c>
      <c r="D1079" s="1">
        <v>624678.86</v>
      </c>
      <c r="E1079" s="1">
        <v>32520.57</v>
      </c>
      <c r="F1079" s="41">
        <v>44689</v>
      </c>
      <c r="G1079" s="41">
        <v>45054</v>
      </c>
      <c r="H1079" s="1" t="s">
        <v>3758</v>
      </c>
      <c r="I1079" s="1" t="s">
        <v>3324</v>
      </c>
      <c r="J1079" t="str">
        <f>IF(ISNA(_xlfn.XLOOKUP(B1079,customer_master!$A$2:$A$1649, customer_master!$A$2:$A$1649)), "Invalid", "Ok")</f>
        <v>Ok</v>
      </c>
      <c r="K1079" t="str">
        <f>IF(ISNA(_xlfn.XLOOKUP(H1079,agent_info!$A$2:$A$301, agent_info!$A$2:$A$301)), "Invalid", "Ok")</f>
        <v>Ok</v>
      </c>
    </row>
    <row r="1080" spans="1:11" x14ac:dyDescent="0.3">
      <c r="A1080" s="1" t="s">
        <v>4694</v>
      </c>
      <c r="B1080" s="1" t="s">
        <v>755</v>
      </c>
      <c r="C1080" s="1" t="s">
        <v>3331</v>
      </c>
      <c r="D1080" s="1">
        <v>493588.63</v>
      </c>
      <c r="E1080" s="1">
        <v>22480.52</v>
      </c>
      <c r="F1080" s="41">
        <v>45609</v>
      </c>
      <c r="G1080" s="41">
        <v>45974</v>
      </c>
      <c r="H1080" s="1" t="s">
        <v>3643</v>
      </c>
      <c r="I1080" s="1" t="s">
        <v>3324</v>
      </c>
      <c r="J1080" t="str">
        <f>IF(ISNA(_xlfn.XLOOKUP(B1080,customer_master!$A$2:$A$1649, customer_master!$A$2:$A$1649)), "Invalid", "Ok")</f>
        <v>Ok</v>
      </c>
      <c r="K1080" t="str">
        <f>IF(ISNA(_xlfn.XLOOKUP(H1080,agent_info!$A$2:$A$301, agent_info!$A$2:$A$301)), "Invalid", "Ok")</f>
        <v>Ok</v>
      </c>
    </row>
    <row r="1081" spans="1:11" x14ac:dyDescent="0.3">
      <c r="A1081" s="1" t="s">
        <v>4695</v>
      </c>
      <c r="B1081" s="1" t="s">
        <v>839</v>
      </c>
      <c r="C1081" s="1" t="s">
        <v>3318</v>
      </c>
      <c r="D1081" s="1">
        <v>704468.18</v>
      </c>
      <c r="E1081" s="1">
        <v>36932.839999999997</v>
      </c>
      <c r="F1081" s="41">
        <v>45863</v>
      </c>
      <c r="G1081" s="41">
        <v>46228</v>
      </c>
      <c r="H1081" s="1" t="s">
        <v>3433</v>
      </c>
      <c r="I1081" s="1" t="s">
        <v>3324</v>
      </c>
      <c r="J1081" t="str">
        <f>IF(ISNA(_xlfn.XLOOKUP(B1081,customer_master!$A$2:$A$1649, customer_master!$A$2:$A$1649)), "Invalid", "Ok")</f>
        <v>Ok</v>
      </c>
      <c r="K1081" t="str">
        <f>IF(ISNA(_xlfn.XLOOKUP(H1081,agent_info!$A$2:$A$301, agent_info!$A$2:$A$301)), "Invalid", "Ok")</f>
        <v>Ok</v>
      </c>
    </row>
    <row r="1082" spans="1:11" x14ac:dyDescent="0.3">
      <c r="A1082" s="1" t="s">
        <v>4696</v>
      </c>
      <c r="B1082" s="1" t="s">
        <v>1592</v>
      </c>
      <c r="C1082" s="1" t="s">
        <v>3318</v>
      </c>
      <c r="D1082" s="1">
        <v>485169.84</v>
      </c>
      <c r="E1082" s="1">
        <v>25341.22</v>
      </c>
      <c r="F1082" s="41">
        <v>44884</v>
      </c>
      <c r="G1082" s="41">
        <v>45249</v>
      </c>
      <c r="H1082" s="1" t="s">
        <v>3574</v>
      </c>
      <c r="I1082" s="1" t="s">
        <v>3324</v>
      </c>
      <c r="J1082" t="str">
        <f>IF(ISNA(_xlfn.XLOOKUP(B1082,customer_master!$A$2:$A$1649, customer_master!$A$2:$A$1649)), "Invalid", "Ok")</f>
        <v>Ok</v>
      </c>
      <c r="K1082" t="str">
        <f>IF(ISNA(_xlfn.XLOOKUP(H1082,agent_info!$A$2:$A$301, agent_info!$A$2:$A$301)), "Invalid", "Ok")</f>
        <v>Ok</v>
      </c>
    </row>
    <row r="1083" spans="1:11" x14ac:dyDescent="0.3">
      <c r="A1083" s="1" t="s">
        <v>4697</v>
      </c>
      <c r="B1083" s="1" t="s">
        <v>827</v>
      </c>
      <c r="C1083" s="1" t="s">
        <v>3331</v>
      </c>
      <c r="D1083" s="1">
        <v>439326.17</v>
      </c>
      <c r="E1083" s="1">
        <v>19827.2</v>
      </c>
      <c r="F1083" s="41">
        <v>45432</v>
      </c>
      <c r="G1083" s="41">
        <v>45797</v>
      </c>
      <c r="H1083" s="1" t="s">
        <v>3375</v>
      </c>
      <c r="I1083" s="1" t="s">
        <v>3324</v>
      </c>
      <c r="J1083" t="str">
        <f>IF(ISNA(_xlfn.XLOOKUP(B1083,customer_master!$A$2:$A$1649, customer_master!$A$2:$A$1649)), "Invalid", "Ok")</f>
        <v>Ok</v>
      </c>
      <c r="K1083" t="str">
        <f>IF(ISNA(_xlfn.XLOOKUP(H1083,agent_info!$A$2:$A$301, agent_info!$A$2:$A$301)), "Invalid", "Ok")</f>
        <v>Ok</v>
      </c>
    </row>
    <row r="1084" spans="1:11" x14ac:dyDescent="0.3">
      <c r="A1084" s="1" t="s">
        <v>4698</v>
      </c>
      <c r="B1084" s="1" t="s">
        <v>2300</v>
      </c>
      <c r="C1084" s="1" t="s">
        <v>3331</v>
      </c>
      <c r="D1084" s="1">
        <v>747910.73</v>
      </c>
      <c r="E1084" s="1">
        <v>40329.47</v>
      </c>
      <c r="F1084" s="41">
        <v>45521</v>
      </c>
      <c r="G1084" s="41">
        <v>45886</v>
      </c>
      <c r="H1084" s="1" t="s">
        <v>3658</v>
      </c>
      <c r="I1084" s="1" t="s">
        <v>3324</v>
      </c>
      <c r="J1084" t="str">
        <f>IF(ISNA(_xlfn.XLOOKUP(B1084,customer_master!$A$2:$A$1649, customer_master!$A$2:$A$1649)), "Invalid", "Ok")</f>
        <v>Ok</v>
      </c>
      <c r="K1084" t="str">
        <f>IF(ISNA(_xlfn.XLOOKUP(H1084,agent_info!$A$2:$A$301, agent_info!$A$2:$A$301)), "Invalid", "Ok")</f>
        <v>Ok</v>
      </c>
    </row>
    <row r="1085" spans="1:11" x14ac:dyDescent="0.3">
      <c r="A1085" s="1" t="s">
        <v>4699</v>
      </c>
      <c r="B1085" s="1" t="s">
        <v>1039</v>
      </c>
      <c r="C1085" s="1" t="s">
        <v>3314</v>
      </c>
      <c r="D1085" s="1">
        <v>756439.15</v>
      </c>
      <c r="E1085" s="1">
        <v>35039.74</v>
      </c>
      <c r="F1085" s="41">
        <v>45118</v>
      </c>
      <c r="G1085" s="41">
        <v>45484</v>
      </c>
      <c r="H1085" s="1" t="s">
        <v>4031</v>
      </c>
      <c r="I1085" s="1" t="s">
        <v>3324</v>
      </c>
      <c r="J1085" t="str">
        <f>IF(ISNA(_xlfn.XLOOKUP(B1085,customer_master!$A$2:$A$1649, customer_master!$A$2:$A$1649)), "Invalid", "Ok")</f>
        <v>Ok</v>
      </c>
      <c r="K1085" t="str">
        <f>IF(ISNA(_xlfn.XLOOKUP(H1085,agent_info!$A$2:$A$301, agent_info!$A$2:$A$301)), "Invalid", "Ok")</f>
        <v>Ok</v>
      </c>
    </row>
    <row r="1086" spans="1:11" x14ac:dyDescent="0.3">
      <c r="A1086" s="1" t="s">
        <v>4700</v>
      </c>
      <c r="B1086" s="1" t="s">
        <v>538</v>
      </c>
      <c r="C1086" s="1" t="s">
        <v>3334</v>
      </c>
      <c r="D1086" s="1">
        <v>648734.17000000004</v>
      </c>
      <c r="E1086" s="1">
        <v>35425.96</v>
      </c>
      <c r="F1086" s="41">
        <v>44982</v>
      </c>
      <c r="G1086" s="41">
        <v>45347</v>
      </c>
      <c r="H1086" s="1" t="s">
        <v>3545</v>
      </c>
      <c r="I1086" s="1" t="s">
        <v>3324</v>
      </c>
      <c r="J1086" t="str">
        <f>IF(ISNA(_xlfn.XLOOKUP(B1086,customer_master!$A$2:$A$1649, customer_master!$A$2:$A$1649)), "Invalid", "Ok")</f>
        <v>Ok</v>
      </c>
      <c r="K1086" t="str">
        <f>IF(ISNA(_xlfn.XLOOKUP(H1086,agent_info!$A$2:$A$301, agent_info!$A$2:$A$301)), "Invalid", "Ok")</f>
        <v>Ok</v>
      </c>
    </row>
    <row r="1087" spans="1:11" x14ac:dyDescent="0.3">
      <c r="A1087" s="1" t="s">
        <v>4701</v>
      </c>
      <c r="B1087" s="1" t="s">
        <v>536</v>
      </c>
      <c r="C1087" s="1" t="s">
        <v>3334</v>
      </c>
      <c r="D1087" s="1">
        <v>742428.5</v>
      </c>
      <c r="E1087" s="1">
        <v>33934.699999999997</v>
      </c>
      <c r="F1087" s="41">
        <v>44488</v>
      </c>
      <c r="G1087" s="41">
        <v>44853</v>
      </c>
      <c r="H1087" s="1" t="s">
        <v>4438</v>
      </c>
      <c r="I1087" s="1" t="s">
        <v>3324</v>
      </c>
      <c r="J1087" t="str">
        <f>IF(ISNA(_xlfn.XLOOKUP(B1087,customer_master!$A$2:$A$1649, customer_master!$A$2:$A$1649)), "Invalid", "Ok")</f>
        <v>Ok</v>
      </c>
      <c r="K1087" t="str">
        <f>IF(ISNA(_xlfn.XLOOKUP(H1087,agent_info!$A$2:$A$301, agent_info!$A$2:$A$301)), "Invalid", "Ok")</f>
        <v>Ok</v>
      </c>
    </row>
    <row r="1088" spans="1:11" x14ac:dyDescent="0.3">
      <c r="A1088" s="1" t="s">
        <v>4702</v>
      </c>
      <c r="B1088" s="1" t="s">
        <v>457</v>
      </c>
      <c r="C1088" s="1" t="s">
        <v>3326</v>
      </c>
      <c r="D1088" s="1">
        <v>406641.75</v>
      </c>
      <c r="E1088" s="1">
        <v>19266.89</v>
      </c>
      <c r="F1088" s="41">
        <v>46238</v>
      </c>
      <c r="G1088" s="41">
        <v>46603</v>
      </c>
      <c r="H1088" s="1" t="s">
        <v>4703</v>
      </c>
      <c r="I1088" s="1" t="s">
        <v>3324</v>
      </c>
      <c r="J1088" t="str">
        <f>IF(ISNA(_xlfn.XLOOKUP(B1088,customer_master!$A$2:$A$1649, customer_master!$A$2:$A$1649)), "Invalid", "Ok")</f>
        <v>Ok</v>
      </c>
      <c r="K1088" t="str">
        <f>IF(ISNA(_xlfn.XLOOKUP(H1088,agent_info!$A$2:$A$301, agent_info!$A$2:$A$301)), "Invalid", "Ok")</f>
        <v>Ok</v>
      </c>
    </row>
    <row r="1089" spans="1:11" x14ac:dyDescent="0.3">
      <c r="A1089" s="1" t="s">
        <v>4704</v>
      </c>
      <c r="B1089" s="1" t="s">
        <v>1471</v>
      </c>
      <c r="C1089" s="1" t="s">
        <v>3326</v>
      </c>
      <c r="D1089" s="1">
        <v>511119.3</v>
      </c>
      <c r="E1089" s="1">
        <v>26528.33</v>
      </c>
      <c r="F1089" s="41">
        <v>46175</v>
      </c>
      <c r="G1089" s="41">
        <v>46540</v>
      </c>
      <c r="H1089" s="1" t="s">
        <v>3439</v>
      </c>
      <c r="I1089" s="1" t="s">
        <v>3324</v>
      </c>
      <c r="J1089" t="str">
        <f>IF(ISNA(_xlfn.XLOOKUP(B1089,customer_master!$A$2:$A$1649, customer_master!$A$2:$A$1649)), "Invalid", "Ok")</f>
        <v>Ok</v>
      </c>
      <c r="K1089" t="str">
        <f>IF(ISNA(_xlfn.XLOOKUP(H1089,agent_info!$A$2:$A$301, agent_info!$A$2:$A$301)), "Invalid", "Ok")</f>
        <v>Ok</v>
      </c>
    </row>
    <row r="1090" spans="1:11" x14ac:dyDescent="0.3">
      <c r="A1090" s="1" t="s">
        <v>4705</v>
      </c>
      <c r="B1090" s="1" t="s">
        <v>39</v>
      </c>
      <c r="C1090" s="1" t="s">
        <v>3331</v>
      </c>
      <c r="D1090" s="1">
        <v>459386.62</v>
      </c>
      <c r="E1090" s="1">
        <v>21302.87</v>
      </c>
      <c r="F1090" s="41">
        <v>45858</v>
      </c>
      <c r="G1090" s="41">
        <v>46223</v>
      </c>
      <c r="H1090" s="1" t="s">
        <v>3729</v>
      </c>
      <c r="I1090" s="1" t="s">
        <v>3324</v>
      </c>
      <c r="J1090" t="str">
        <f>IF(ISNA(_xlfn.XLOOKUP(B1090,customer_master!$A$2:$A$1649, customer_master!$A$2:$A$1649)), "Invalid", "Ok")</f>
        <v>Ok</v>
      </c>
      <c r="K1090" t="str">
        <f>IF(ISNA(_xlfn.XLOOKUP(H1090,agent_info!$A$2:$A$301, agent_info!$A$2:$A$301)), "Invalid", "Ok")</f>
        <v>Ok</v>
      </c>
    </row>
    <row r="1091" spans="1:11" x14ac:dyDescent="0.3">
      <c r="A1091" s="1" t="s">
        <v>4706</v>
      </c>
      <c r="B1091" s="1" t="s">
        <v>1817</v>
      </c>
      <c r="C1091" s="1" t="s">
        <v>3314</v>
      </c>
      <c r="D1091" s="1">
        <v>569331.55000000005</v>
      </c>
      <c r="E1091" s="1">
        <v>26673</v>
      </c>
      <c r="F1091" s="41">
        <v>44113</v>
      </c>
      <c r="G1091" s="41">
        <v>44478</v>
      </c>
      <c r="H1091" s="1" t="s">
        <v>3389</v>
      </c>
      <c r="I1091" s="1" t="s">
        <v>3324</v>
      </c>
      <c r="J1091" t="str">
        <f>IF(ISNA(_xlfn.XLOOKUP(B1091,customer_master!$A$2:$A$1649, customer_master!$A$2:$A$1649)), "Invalid", "Ok")</f>
        <v>Ok</v>
      </c>
      <c r="K1091" t="str">
        <f>IF(ISNA(_xlfn.XLOOKUP(H1091,agent_info!$A$2:$A$301, agent_info!$A$2:$A$301)), "Invalid", "Ok")</f>
        <v>Ok</v>
      </c>
    </row>
    <row r="1092" spans="1:11" x14ac:dyDescent="0.3">
      <c r="A1092" s="1" t="s">
        <v>4707</v>
      </c>
      <c r="B1092" s="1" t="s">
        <v>1006</v>
      </c>
      <c r="C1092" s="1" t="s">
        <v>3331</v>
      </c>
      <c r="D1092" s="1">
        <v>683334.41</v>
      </c>
      <c r="E1092" s="1">
        <v>30826.39</v>
      </c>
      <c r="F1092" s="41">
        <v>44866</v>
      </c>
      <c r="G1092" s="41">
        <v>45231</v>
      </c>
      <c r="H1092" s="1" t="s">
        <v>4309</v>
      </c>
      <c r="I1092" s="1" t="s">
        <v>3316</v>
      </c>
      <c r="J1092" t="str">
        <f>IF(ISNA(_xlfn.XLOOKUP(B1092,customer_master!$A$2:$A$1649, customer_master!$A$2:$A$1649)), "Invalid", "Ok")</f>
        <v>Ok</v>
      </c>
      <c r="K1092" t="str">
        <f>IF(ISNA(_xlfn.XLOOKUP(H1092,agent_info!$A$2:$A$301, agent_info!$A$2:$A$301)), "Invalid", "Ok")</f>
        <v>Ok</v>
      </c>
    </row>
    <row r="1093" spans="1:11" x14ac:dyDescent="0.3">
      <c r="A1093" s="1" t="s">
        <v>4708</v>
      </c>
      <c r="B1093" s="1" t="s">
        <v>1847</v>
      </c>
      <c r="C1093" s="1" t="s">
        <v>3314</v>
      </c>
      <c r="D1093" s="1">
        <v>710297.22</v>
      </c>
      <c r="E1093" s="1">
        <v>37833.839999999997</v>
      </c>
      <c r="F1093" s="41">
        <v>44177</v>
      </c>
      <c r="G1093" s="41">
        <v>44542</v>
      </c>
      <c r="H1093" s="1" t="s">
        <v>3905</v>
      </c>
      <c r="I1093" s="1" t="s">
        <v>3324</v>
      </c>
      <c r="J1093" t="str">
        <f>IF(ISNA(_xlfn.XLOOKUP(B1093,customer_master!$A$2:$A$1649, customer_master!$A$2:$A$1649)), "Invalid", "Ok")</f>
        <v>Ok</v>
      </c>
      <c r="K1093" t="str">
        <f>IF(ISNA(_xlfn.XLOOKUP(H1093,agent_info!$A$2:$A$301, agent_info!$A$2:$A$301)), "Invalid", "Ok")</f>
        <v>Ok</v>
      </c>
    </row>
    <row r="1094" spans="1:11" x14ac:dyDescent="0.3">
      <c r="A1094" s="1" t="s">
        <v>4709</v>
      </c>
      <c r="B1094" s="1" t="s">
        <v>3110</v>
      </c>
      <c r="C1094" s="1" t="s">
        <v>3331</v>
      </c>
      <c r="D1094" s="1">
        <v>383088.72</v>
      </c>
      <c r="E1094" s="1">
        <v>17383.099999999999</v>
      </c>
      <c r="F1094" s="41">
        <v>45847</v>
      </c>
      <c r="G1094" s="41">
        <v>46212</v>
      </c>
      <c r="H1094" s="1" t="s">
        <v>3422</v>
      </c>
      <c r="I1094" s="1" t="s">
        <v>3316</v>
      </c>
      <c r="J1094" t="str">
        <f>IF(ISNA(_xlfn.XLOOKUP(B1094,customer_master!$A$2:$A$1649, customer_master!$A$2:$A$1649)), "Invalid", "Ok")</f>
        <v>Ok</v>
      </c>
      <c r="K1094" t="str">
        <f>IF(ISNA(_xlfn.XLOOKUP(H1094,agent_info!$A$2:$A$301, agent_info!$A$2:$A$301)), "Invalid", "Ok")</f>
        <v>Ok</v>
      </c>
    </row>
    <row r="1095" spans="1:11" x14ac:dyDescent="0.3">
      <c r="A1095" s="1" t="s">
        <v>4710</v>
      </c>
      <c r="B1095" s="1" t="s">
        <v>2889</v>
      </c>
      <c r="C1095" s="1" t="s">
        <v>3314</v>
      </c>
      <c r="D1095" s="1">
        <v>534958.81000000006</v>
      </c>
      <c r="E1095" s="1">
        <v>27457.15</v>
      </c>
      <c r="F1095" s="41">
        <v>44790</v>
      </c>
      <c r="G1095" s="41">
        <v>45155</v>
      </c>
      <c r="H1095" s="1" t="s">
        <v>3658</v>
      </c>
      <c r="I1095" s="1" t="s">
        <v>3316</v>
      </c>
      <c r="J1095" t="str">
        <f>IF(ISNA(_xlfn.XLOOKUP(B1095,customer_master!$A$2:$A$1649, customer_master!$A$2:$A$1649)), "Invalid", "Ok")</f>
        <v>Ok</v>
      </c>
      <c r="K1095" t="str">
        <f>IF(ISNA(_xlfn.XLOOKUP(H1095,agent_info!$A$2:$A$301, agent_info!$A$2:$A$301)), "Invalid", "Ok")</f>
        <v>Ok</v>
      </c>
    </row>
    <row r="1096" spans="1:11" x14ac:dyDescent="0.3">
      <c r="A1096" s="1" t="s">
        <v>4711</v>
      </c>
      <c r="B1096" s="1" t="s">
        <v>1925</v>
      </c>
      <c r="C1096" s="1" t="s">
        <v>3334</v>
      </c>
      <c r="D1096" s="1">
        <v>767716.44</v>
      </c>
      <c r="E1096" s="1">
        <v>39017.71</v>
      </c>
      <c r="F1096" s="41">
        <v>45050</v>
      </c>
      <c r="G1096" s="41">
        <v>45416</v>
      </c>
      <c r="H1096" s="1" t="s">
        <v>3337</v>
      </c>
      <c r="I1096" s="1" t="s">
        <v>3316</v>
      </c>
      <c r="J1096" t="str">
        <f>IF(ISNA(_xlfn.XLOOKUP(B1096,customer_master!$A$2:$A$1649, customer_master!$A$2:$A$1649)), "Invalid", "Ok")</f>
        <v>Ok</v>
      </c>
      <c r="K1096" t="str">
        <f>IF(ISNA(_xlfn.XLOOKUP(H1096,agent_info!$A$2:$A$301, agent_info!$A$2:$A$301)), "Invalid", "Ok")</f>
        <v>Ok</v>
      </c>
    </row>
    <row r="1097" spans="1:11" x14ac:dyDescent="0.3">
      <c r="A1097" s="1" t="s">
        <v>4712</v>
      </c>
      <c r="B1097" s="1" t="s">
        <v>1414</v>
      </c>
      <c r="C1097" s="1" t="s">
        <v>3334</v>
      </c>
      <c r="D1097" s="1">
        <v>611886.26</v>
      </c>
      <c r="E1097" s="1">
        <v>30663.09</v>
      </c>
      <c r="F1097" s="41">
        <v>45407</v>
      </c>
      <c r="G1097" s="41">
        <v>45772</v>
      </c>
      <c r="H1097" s="1" t="s">
        <v>3805</v>
      </c>
      <c r="I1097" s="1" t="s">
        <v>3324</v>
      </c>
      <c r="J1097" t="str">
        <f>IF(ISNA(_xlfn.XLOOKUP(B1097,customer_master!$A$2:$A$1649, customer_master!$A$2:$A$1649)), "Invalid", "Ok")</f>
        <v>Ok</v>
      </c>
      <c r="K1097" t="str">
        <f>IF(ISNA(_xlfn.XLOOKUP(H1097,agent_info!$A$2:$A$301, agent_info!$A$2:$A$301)), "Invalid", "Ok")</f>
        <v>Ok</v>
      </c>
    </row>
    <row r="1098" spans="1:11" x14ac:dyDescent="0.3">
      <c r="A1098" s="1" t="s">
        <v>4713</v>
      </c>
      <c r="B1098" s="1" t="s">
        <v>2331</v>
      </c>
      <c r="C1098" s="1" t="s">
        <v>3314</v>
      </c>
      <c r="D1098" s="1">
        <v>499035.43</v>
      </c>
      <c r="E1098" s="1">
        <v>24328.76</v>
      </c>
      <c r="F1098" s="41">
        <v>44954</v>
      </c>
      <c r="G1098" s="41">
        <v>45319</v>
      </c>
      <c r="H1098" s="1" t="s">
        <v>3481</v>
      </c>
      <c r="I1098" s="1" t="s">
        <v>3316</v>
      </c>
      <c r="J1098" t="str">
        <f>IF(ISNA(_xlfn.XLOOKUP(B1098,customer_master!$A$2:$A$1649, customer_master!$A$2:$A$1649)), "Invalid", "Ok")</f>
        <v>Ok</v>
      </c>
      <c r="K1098" t="str">
        <f>IF(ISNA(_xlfn.XLOOKUP(H1098,agent_info!$A$2:$A$301, agent_info!$A$2:$A$301)), "Invalid", "Ok")</f>
        <v>Ok</v>
      </c>
    </row>
    <row r="1099" spans="1:11" x14ac:dyDescent="0.3">
      <c r="A1099" s="1" t="s">
        <v>4714</v>
      </c>
      <c r="B1099" s="1" t="s">
        <v>3073</v>
      </c>
      <c r="C1099" s="1" t="s">
        <v>3331</v>
      </c>
      <c r="D1099" s="1">
        <v>529901.31000000006</v>
      </c>
      <c r="E1099" s="1">
        <v>25432.94</v>
      </c>
      <c r="F1099" s="41">
        <v>45419</v>
      </c>
      <c r="G1099" s="41">
        <v>45784</v>
      </c>
      <c r="H1099" s="1" t="s">
        <v>3984</v>
      </c>
      <c r="I1099" s="1" t="s">
        <v>3320</v>
      </c>
      <c r="J1099" t="str">
        <f>IF(ISNA(_xlfn.XLOOKUP(B1099,customer_master!$A$2:$A$1649, customer_master!$A$2:$A$1649)), "Invalid", "Ok")</f>
        <v>Ok</v>
      </c>
      <c r="K1099" t="str">
        <f>IF(ISNA(_xlfn.XLOOKUP(H1099,agent_info!$A$2:$A$301, agent_info!$A$2:$A$301)), "Invalid", "Ok")</f>
        <v>Ok</v>
      </c>
    </row>
    <row r="1100" spans="1:11" x14ac:dyDescent="0.3">
      <c r="A1100" s="1" t="s">
        <v>4715</v>
      </c>
      <c r="B1100" s="1" t="s">
        <v>1646</v>
      </c>
      <c r="C1100" s="1" t="s">
        <v>3318</v>
      </c>
      <c r="D1100" s="1">
        <v>499929.1</v>
      </c>
      <c r="E1100" s="1">
        <v>27280.87</v>
      </c>
      <c r="F1100" s="41">
        <v>44255</v>
      </c>
      <c r="G1100" s="41">
        <v>44620</v>
      </c>
      <c r="H1100" s="1" t="s">
        <v>4012</v>
      </c>
      <c r="I1100" s="1" t="s">
        <v>3324</v>
      </c>
      <c r="J1100" t="str">
        <f>IF(ISNA(_xlfn.XLOOKUP(B1100,customer_master!$A$2:$A$1649, customer_master!$A$2:$A$1649)), "Invalid", "Ok")</f>
        <v>Ok</v>
      </c>
      <c r="K1100" t="str">
        <f>IF(ISNA(_xlfn.XLOOKUP(H1100,agent_info!$A$2:$A$301, agent_info!$A$2:$A$301)), "Invalid", "Ok")</f>
        <v>Ok</v>
      </c>
    </row>
    <row r="1101" spans="1:11" x14ac:dyDescent="0.3">
      <c r="A1101" s="1" t="s">
        <v>4716</v>
      </c>
      <c r="B1101" s="1" t="s">
        <v>359</v>
      </c>
      <c r="C1101" s="1" t="s">
        <v>3314</v>
      </c>
      <c r="D1101" s="1">
        <v>557325.4</v>
      </c>
      <c r="E1101" s="1">
        <v>29456.639999999999</v>
      </c>
      <c r="F1101" s="41">
        <v>45014</v>
      </c>
      <c r="G1101" s="41">
        <v>45380</v>
      </c>
      <c r="H1101" s="1" t="s">
        <v>3367</v>
      </c>
      <c r="I1101" s="1" t="s">
        <v>3324</v>
      </c>
      <c r="J1101" t="str">
        <f>IF(ISNA(_xlfn.XLOOKUP(B1101,customer_master!$A$2:$A$1649, customer_master!$A$2:$A$1649)), "Invalid", "Ok")</f>
        <v>Ok</v>
      </c>
      <c r="K1101" t="str">
        <f>IF(ISNA(_xlfn.XLOOKUP(H1101,agent_info!$A$2:$A$301, agent_info!$A$2:$A$301)), "Invalid", "Ok")</f>
        <v>Ok</v>
      </c>
    </row>
    <row r="1102" spans="1:11" x14ac:dyDescent="0.3">
      <c r="A1102" s="1" t="s">
        <v>4717</v>
      </c>
      <c r="B1102" s="1" t="s">
        <v>2551</v>
      </c>
      <c r="C1102" s="1" t="s">
        <v>3331</v>
      </c>
      <c r="D1102" s="1">
        <v>551071.65</v>
      </c>
      <c r="E1102" s="1">
        <v>29883.14</v>
      </c>
      <c r="F1102" s="41">
        <v>46118</v>
      </c>
      <c r="G1102" s="41">
        <v>46483</v>
      </c>
      <c r="H1102" s="1" t="s">
        <v>3719</v>
      </c>
      <c r="I1102" s="1" t="s">
        <v>3324</v>
      </c>
      <c r="J1102" t="str">
        <f>IF(ISNA(_xlfn.XLOOKUP(B1102,customer_master!$A$2:$A$1649, customer_master!$A$2:$A$1649)), "Invalid", "Ok")</f>
        <v>Ok</v>
      </c>
      <c r="K1102" t="str">
        <f>IF(ISNA(_xlfn.XLOOKUP(H1102,agent_info!$A$2:$A$301, agent_info!$A$2:$A$301)), "Invalid", "Ok")</f>
        <v>Ok</v>
      </c>
    </row>
    <row r="1103" spans="1:11" x14ac:dyDescent="0.3">
      <c r="A1103" s="1" t="s">
        <v>4718</v>
      </c>
      <c r="B1103" s="1" t="s">
        <v>65</v>
      </c>
      <c r="C1103" s="1" t="s">
        <v>3334</v>
      </c>
      <c r="D1103" s="1">
        <v>580142.37</v>
      </c>
      <c r="E1103" s="1">
        <v>30364.06</v>
      </c>
      <c r="F1103" s="41">
        <v>46117</v>
      </c>
      <c r="G1103" s="41">
        <v>46482</v>
      </c>
      <c r="H1103" s="1" t="s">
        <v>3984</v>
      </c>
      <c r="I1103" s="1" t="s">
        <v>3324</v>
      </c>
      <c r="J1103" t="str">
        <f>IF(ISNA(_xlfn.XLOOKUP(B1103,customer_master!$A$2:$A$1649, customer_master!$A$2:$A$1649)), "Invalid", "Ok")</f>
        <v>Ok</v>
      </c>
      <c r="K1103" t="str">
        <f>IF(ISNA(_xlfn.XLOOKUP(H1103,agent_info!$A$2:$A$301, agent_info!$A$2:$A$301)), "Invalid", "Ok")</f>
        <v>Ok</v>
      </c>
    </row>
    <row r="1104" spans="1:11" x14ac:dyDescent="0.3">
      <c r="A1104" s="1" t="s">
        <v>4719</v>
      </c>
      <c r="B1104" s="1" t="s">
        <v>2547</v>
      </c>
      <c r="C1104" s="1" t="s">
        <v>3331</v>
      </c>
      <c r="D1104" s="1">
        <v>558709.04</v>
      </c>
      <c r="E1104" s="1">
        <v>29773.65</v>
      </c>
      <c r="F1104" s="41">
        <v>46240</v>
      </c>
      <c r="G1104" s="41">
        <v>46605</v>
      </c>
      <c r="H1104" s="1" t="s">
        <v>3570</v>
      </c>
      <c r="I1104" s="1" t="s">
        <v>3320</v>
      </c>
      <c r="J1104" t="str">
        <f>IF(ISNA(_xlfn.XLOOKUP(B1104,customer_master!$A$2:$A$1649, customer_master!$A$2:$A$1649)), "Invalid", "Ok")</f>
        <v>Ok</v>
      </c>
      <c r="K1104" t="str">
        <f>IF(ISNA(_xlfn.XLOOKUP(H1104,agent_info!$A$2:$A$301, agent_info!$A$2:$A$301)), "Invalid", "Ok")</f>
        <v>Ok</v>
      </c>
    </row>
    <row r="1105" spans="1:11" x14ac:dyDescent="0.3">
      <c r="A1105" s="1" t="s">
        <v>4720</v>
      </c>
      <c r="B1105" s="1" t="s">
        <v>318</v>
      </c>
      <c r="C1105" s="1" t="s">
        <v>3334</v>
      </c>
      <c r="D1105" s="1">
        <v>583703.77</v>
      </c>
      <c r="E1105" s="1">
        <v>31894.6</v>
      </c>
      <c r="F1105" s="41">
        <v>45955</v>
      </c>
      <c r="G1105" s="41">
        <v>46320</v>
      </c>
      <c r="H1105" s="1" t="s">
        <v>3610</v>
      </c>
      <c r="I1105" s="1" t="s">
        <v>3324</v>
      </c>
      <c r="J1105" t="str">
        <f>IF(ISNA(_xlfn.XLOOKUP(B1105,customer_master!$A$2:$A$1649, customer_master!$A$2:$A$1649)), "Invalid", "Ok")</f>
        <v>Ok</v>
      </c>
      <c r="K1105" t="str">
        <f>IF(ISNA(_xlfn.XLOOKUP(H1105,agent_info!$A$2:$A$301, agent_info!$A$2:$A$301)), "Invalid", "Ok")</f>
        <v>Ok</v>
      </c>
    </row>
    <row r="1106" spans="1:11" x14ac:dyDescent="0.3">
      <c r="A1106" s="1" t="s">
        <v>4721</v>
      </c>
      <c r="B1106" s="1" t="s">
        <v>385</v>
      </c>
      <c r="C1106" s="1" t="s">
        <v>3318</v>
      </c>
      <c r="D1106" s="1">
        <v>388579.82</v>
      </c>
      <c r="E1106" s="1">
        <v>19248.86</v>
      </c>
      <c r="F1106" s="41">
        <v>46061</v>
      </c>
      <c r="G1106" s="41">
        <v>46426</v>
      </c>
      <c r="H1106" s="1" t="s">
        <v>3581</v>
      </c>
      <c r="I1106" s="1" t="s">
        <v>3316</v>
      </c>
      <c r="J1106" t="str">
        <f>IF(ISNA(_xlfn.XLOOKUP(B1106,customer_master!$A$2:$A$1649, customer_master!$A$2:$A$1649)), "Invalid", "Ok")</f>
        <v>Ok</v>
      </c>
      <c r="K1106" t="str">
        <f>IF(ISNA(_xlfn.XLOOKUP(H1106,agent_info!$A$2:$A$301, agent_info!$A$2:$A$301)), "Invalid", "Ok")</f>
        <v>Ok</v>
      </c>
    </row>
    <row r="1107" spans="1:11" x14ac:dyDescent="0.3">
      <c r="A1107" s="1" t="s">
        <v>4722</v>
      </c>
      <c r="B1107" s="1" t="s">
        <v>2597</v>
      </c>
      <c r="C1107" s="1" t="s">
        <v>3314</v>
      </c>
      <c r="D1107" s="1">
        <v>405954.36</v>
      </c>
      <c r="E1107" s="1">
        <v>21949.53</v>
      </c>
      <c r="F1107" s="41">
        <v>45686</v>
      </c>
      <c r="G1107" s="41">
        <v>46051</v>
      </c>
      <c r="H1107" s="1" t="s">
        <v>3691</v>
      </c>
      <c r="I1107" s="1" t="s">
        <v>3324</v>
      </c>
      <c r="J1107" t="str">
        <f>IF(ISNA(_xlfn.XLOOKUP(B1107,customer_master!$A$2:$A$1649, customer_master!$A$2:$A$1649)), "Invalid", "Ok")</f>
        <v>Ok</v>
      </c>
      <c r="K1107" t="str">
        <f>IF(ISNA(_xlfn.XLOOKUP(H1107,agent_info!$A$2:$A$301, agent_info!$A$2:$A$301)), "Invalid", "Ok")</f>
        <v>Ok</v>
      </c>
    </row>
    <row r="1108" spans="1:11" x14ac:dyDescent="0.3">
      <c r="A1108" s="1" t="s">
        <v>4723</v>
      </c>
      <c r="B1108" s="1" t="s">
        <v>2304</v>
      </c>
      <c r="C1108" s="1" t="s">
        <v>3331</v>
      </c>
      <c r="D1108" s="1">
        <v>523091.43</v>
      </c>
      <c r="E1108" s="1">
        <v>23764.43</v>
      </c>
      <c r="F1108" s="41">
        <v>44721</v>
      </c>
      <c r="G1108" s="41">
        <v>45086</v>
      </c>
      <c r="H1108" s="1" t="s">
        <v>3943</v>
      </c>
      <c r="I1108" s="1" t="s">
        <v>3316</v>
      </c>
      <c r="J1108" t="str">
        <f>IF(ISNA(_xlfn.XLOOKUP(B1108,customer_master!$A$2:$A$1649, customer_master!$A$2:$A$1649)), "Invalid", "Ok")</f>
        <v>Ok</v>
      </c>
      <c r="K1108" t="str">
        <f>IF(ISNA(_xlfn.XLOOKUP(H1108,agent_info!$A$2:$A$301, agent_info!$A$2:$A$301)), "Invalid", "Ok")</f>
        <v>Ok</v>
      </c>
    </row>
    <row r="1109" spans="1:11" x14ac:dyDescent="0.3">
      <c r="A1109" s="1" t="s">
        <v>4724</v>
      </c>
      <c r="B1109" s="1" t="s">
        <v>1887</v>
      </c>
      <c r="C1109" s="1" t="s">
        <v>3326</v>
      </c>
      <c r="D1109" s="1">
        <v>659729.55000000005</v>
      </c>
      <c r="E1109" s="1">
        <v>30399.49</v>
      </c>
      <c r="F1109" s="41">
        <v>44504</v>
      </c>
      <c r="G1109" s="41">
        <v>44869</v>
      </c>
      <c r="H1109" s="1" t="s">
        <v>3617</v>
      </c>
      <c r="I1109" s="1" t="s">
        <v>3324</v>
      </c>
      <c r="J1109" t="str">
        <f>IF(ISNA(_xlfn.XLOOKUP(B1109,customer_master!$A$2:$A$1649, customer_master!$A$2:$A$1649)), "Invalid", "Ok")</f>
        <v>Ok</v>
      </c>
      <c r="K1109" t="str">
        <f>IF(ISNA(_xlfn.XLOOKUP(H1109,agent_info!$A$2:$A$301, agent_info!$A$2:$A$301)), "Invalid", "Ok")</f>
        <v>Ok</v>
      </c>
    </row>
    <row r="1110" spans="1:11" x14ac:dyDescent="0.3">
      <c r="A1110" s="1" t="s">
        <v>4725</v>
      </c>
      <c r="B1110" s="1" t="s">
        <v>2724</v>
      </c>
      <c r="C1110" s="1" t="s">
        <v>3318</v>
      </c>
      <c r="D1110" s="1">
        <v>676934.61</v>
      </c>
      <c r="E1110" s="1">
        <v>33781.57</v>
      </c>
      <c r="F1110" s="41">
        <v>44390</v>
      </c>
      <c r="G1110" s="41">
        <v>44755</v>
      </c>
      <c r="H1110" s="1" t="s">
        <v>3603</v>
      </c>
      <c r="I1110" s="1" t="s">
        <v>3324</v>
      </c>
      <c r="J1110" t="str">
        <f>IF(ISNA(_xlfn.XLOOKUP(B1110,customer_master!$A$2:$A$1649, customer_master!$A$2:$A$1649)), "Invalid", "Ok")</f>
        <v>Ok</v>
      </c>
      <c r="K1110" t="str">
        <f>IF(ISNA(_xlfn.XLOOKUP(H1110,agent_info!$A$2:$A$301, agent_info!$A$2:$A$301)), "Invalid", "Ok")</f>
        <v>Ok</v>
      </c>
    </row>
    <row r="1111" spans="1:11" x14ac:dyDescent="0.3">
      <c r="A1111" s="1" t="s">
        <v>4726</v>
      </c>
      <c r="B1111" s="1" t="s">
        <v>2829</v>
      </c>
      <c r="C1111" s="1" t="s">
        <v>3331</v>
      </c>
      <c r="D1111" s="1">
        <v>423523.61</v>
      </c>
      <c r="E1111" s="1">
        <v>20981.25</v>
      </c>
      <c r="F1111" s="41">
        <v>45216</v>
      </c>
      <c r="G1111" s="41">
        <v>45582</v>
      </c>
      <c r="H1111" s="1" t="s">
        <v>3393</v>
      </c>
      <c r="I1111" s="1" t="s">
        <v>3324</v>
      </c>
      <c r="J1111" t="str">
        <f>IF(ISNA(_xlfn.XLOOKUP(B1111,customer_master!$A$2:$A$1649, customer_master!$A$2:$A$1649)), "Invalid", "Ok")</f>
        <v>Ok</v>
      </c>
      <c r="K1111" t="str">
        <f>IF(ISNA(_xlfn.XLOOKUP(H1111,agent_info!$A$2:$A$301, agent_info!$A$2:$A$301)), "Invalid", "Ok")</f>
        <v>Ok</v>
      </c>
    </row>
    <row r="1112" spans="1:11" x14ac:dyDescent="0.3">
      <c r="A1112" s="1" t="s">
        <v>4727</v>
      </c>
      <c r="B1112" s="1" t="s">
        <v>1537</v>
      </c>
      <c r="C1112" s="1" t="s">
        <v>3318</v>
      </c>
      <c r="D1112" s="1">
        <v>565046.1</v>
      </c>
      <c r="E1112" s="1">
        <v>27903.18</v>
      </c>
      <c r="F1112" s="41">
        <v>45330</v>
      </c>
      <c r="G1112" s="41">
        <v>45696</v>
      </c>
      <c r="H1112" s="1" t="s">
        <v>3774</v>
      </c>
      <c r="I1112" s="1" t="s">
        <v>3316</v>
      </c>
      <c r="J1112" t="str">
        <f>IF(ISNA(_xlfn.XLOOKUP(B1112,customer_master!$A$2:$A$1649, customer_master!$A$2:$A$1649)), "Invalid", "Ok")</f>
        <v>Ok</v>
      </c>
      <c r="K1112" t="str">
        <f>IF(ISNA(_xlfn.XLOOKUP(H1112,agent_info!$A$2:$A$301, agent_info!$A$2:$A$301)), "Invalid", "Ok")</f>
        <v>Ok</v>
      </c>
    </row>
    <row r="1113" spans="1:11" x14ac:dyDescent="0.3">
      <c r="A1113" s="1" t="s">
        <v>4728</v>
      </c>
      <c r="B1113" s="1" t="s">
        <v>3297</v>
      </c>
      <c r="C1113" s="1" t="s">
        <v>3334</v>
      </c>
      <c r="D1113" s="1">
        <v>617766.1</v>
      </c>
      <c r="E1113" s="1">
        <v>31118.06</v>
      </c>
      <c r="F1113" s="41">
        <v>45955</v>
      </c>
      <c r="G1113" s="41">
        <v>46320</v>
      </c>
      <c r="H1113" s="1" t="s">
        <v>3443</v>
      </c>
      <c r="I1113" s="1" t="s">
        <v>3324</v>
      </c>
      <c r="J1113" t="str">
        <f>IF(ISNA(_xlfn.XLOOKUP(B1113,customer_master!$A$2:$A$1649, customer_master!$A$2:$A$1649)), "Invalid", "Ok")</f>
        <v>Ok</v>
      </c>
      <c r="K1113" t="str">
        <f>IF(ISNA(_xlfn.XLOOKUP(H1113,agent_info!$A$2:$A$301, agent_info!$A$2:$A$301)), "Invalid", "Ok")</f>
        <v>Ok</v>
      </c>
    </row>
    <row r="1114" spans="1:11" x14ac:dyDescent="0.3">
      <c r="A1114" s="1" t="s">
        <v>4729</v>
      </c>
      <c r="B1114" s="1" t="s">
        <v>1211</v>
      </c>
      <c r="C1114" s="1" t="s">
        <v>3331</v>
      </c>
      <c r="D1114" s="1">
        <v>565073.69999999995</v>
      </c>
      <c r="E1114" s="1">
        <v>28470.52</v>
      </c>
      <c r="F1114" s="41">
        <v>45183</v>
      </c>
      <c r="G1114" s="41">
        <v>45549</v>
      </c>
      <c r="H1114" s="1" t="s">
        <v>3631</v>
      </c>
      <c r="I1114" s="1" t="s">
        <v>3316</v>
      </c>
      <c r="J1114" t="str">
        <f>IF(ISNA(_xlfn.XLOOKUP(B1114,customer_master!$A$2:$A$1649, customer_master!$A$2:$A$1649)), "Invalid", "Ok")</f>
        <v>Ok</v>
      </c>
      <c r="K1114" t="str">
        <f>IF(ISNA(_xlfn.XLOOKUP(H1114,agent_info!$A$2:$A$301, agent_info!$A$2:$A$301)), "Invalid", "Ok")</f>
        <v>Ok</v>
      </c>
    </row>
    <row r="1115" spans="1:11" x14ac:dyDescent="0.3">
      <c r="A1115" s="1" t="s">
        <v>4730</v>
      </c>
      <c r="B1115" s="1" t="s">
        <v>606</v>
      </c>
      <c r="C1115" s="1" t="s">
        <v>3314</v>
      </c>
      <c r="D1115" s="1">
        <v>653563.16</v>
      </c>
      <c r="E1115" s="1">
        <v>35100.03</v>
      </c>
      <c r="F1115" s="41">
        <v>44357</v>
      </c>
      <c r="G1115" s="41">
        <v>44722</v>
      </c>
      <c r="H1115" s="1" t="s">
        <v>4058</v>
      </c>
      <c r="I1115" s="1" t="s">
        <v>3324</v>
      </c>
      <c r="J1115" t="str">
        <f>IF(ISNA(_xlfn.XLOOKUP(B1115,customer_master!$A$2:$A$1649, customer_master!$A$2:$A$1649)), "Invalid", "Ok")</f>
        <v>Ok</v>
      </c>
      <c r="K1115" t="str">
        <f>IF(ISNA(_xlfn.XLOOKUP(H1115,agent_info!$A$2:$A$301, agent_info!$A$2:$A$301)), "Invalid", "Ok")</f>
        <v>Ok</v>
      </c>
    </row>
    <row r="1116" spans="1:11" x14ac:dyDescent="0.3">
      <c r="A1116" s="1" t="s">
        <v>4731</v>
      </c>
      <c r="B1116" s="1" t="s">
        <v>2811</v>
      </c>
      <c r="C1116" s="1" t="s">
        <v>3326</v>
      </c>
      <c r="D1116" s="1">
        <v>699042.11</v>
      </c>
      <c r="E1116" s="1">
        <v>33874.97</v>
      </c>
      <c r="F1116" s="41">
        <v>45823</v>
      </c>
      <c r="G1116" s="41">
        <v>46188</v>
      </c>
      <c r="H1116" s="1" t="s">
        <v>4095</v>
      </c>
      <c r="I1116" s="1" t="s">
        <v>3320</v>
      </c>
      <c r="J1116" t="str">
        <f>IF(ISNA(_xlfn.XLOOKUP(B1116,customer_master!$A$2:$A$1649, customer_master!$A$2:$A$1649)), "Invalid", "Ok")</f>
        <v>Ok</v>
      </c>
      <c r="K1116" t="str">
        <f>IF(ISNA(_xlfn.XLOOKUP(H1116,agent_info!$A$2:$A$301, agent_info!$A$2:$A$301)), "Invalid", "Ok")</f>
        <v>Ok</v>
      </c>
    </row>
    <row r="1117" spans="1:11" x14ac:dyDescent="0.3">
      <c r="A1117" s="1" t="s">
        <v>4732</v>
      </c>
      <c r="B1117" s="1" t="s">
        <v>1408</v>
      </c>
      <c r="C1117" s="1" t="s">
        <v>3331</v>
      </c>
      <c r="D1117" s="1">
        <v>418304.88</v>
      </c>
      <c r="E1117" s="1">
        <v>20146.57</v>
      </c>
      <c r="F1117" s="41">
        <v>44737</v>
      </c>
      <c r="G1117" s="41">
        <v>45102</v>
      </c>
      <c r="H1117" s="1" t="s">
        <v>3838</v>
      </c>
      <c r="I1117" s="1" t="s">
        <v>3324</v>
      </c>
      <c r="J1117" t="str">
        <f>IF(ISNA(_xlfn.XLOOKUP(B1117,customer_master!$A$2:$A$1649, customer_master!$A$2:$A$1649)), "Invalid", "Ok")</f>
        <v>Ok</v>
      </c>
      <c r="K1117" t="str">
        <f>IF(ISNA(_xlfn.XLOOKUP(H1117,agent_info!$A$2:$A$301, agent_info!$A$2:$A$301)), "Invalid", "Ok")</f>
        <v>Ok</v>
      </c>
    </row>
    <row r="1118" spans="1:11" x14ac:dyDescent="0.3">
      <c r="A1118" s="1" t="s">
        <v>4733</v>
      </c>
      <c r="B1118" s="1" t="s">
        <v>2907</v>
      </c>
      <c r="C1118" s="1" t="s">
        <v>3314</v>
      </c>
      <c r="D1118" s="1">
        <v>583480.6</v>
      </c>
      <c r="E1118" s="1">
        <v>30352.05</v>
      </c>
      <c r="F1118" s="41">
        <v>45552</v>
      </c>
      <c r="G1118" s="41">
        <v>45917</v>
      </c>
      <c r="H1118" s="1" t="s">
        <v>4438</v>
      </c>
      <c r="I1118" s="1" t="s">
        <v>3324</v>
      </c>
      <c r="J1118" t="str">
        <f>IF(ISNA(_xlfn.XLOOKUP(B1118,customer_master!$A$2:$A$1649, customer_master!$A$2:$A$1649)), "Invalid", "Ok")</f>
        <v>Ok</v>
      </c>
      <c r="K1118" t="str">
        <f>IF(ISNA(_xlfn.XLOOKUP(H1118,agent_info!$A$2:$A$301, agent_info!$A$2:$A$301)), "Invalid", "Ok")</f>
        <v>Ok</v>
      </c>
    </row>
    <row r="1119" spans="1:11" x14ac:dyDescent="0.3">
      <c r="A1119" s="1" t="s">
        <v>4734</v>
      </c>
      <c r="B1119" s="1" t="s">
        <v>236</v>
      </c>
      <c r="C1119" s="1" t="s">
        <v>3318</v>
      </c>
      <c r="D1119" s="1">
        <v>571676.41</v>
      </c>
      <c r="E1119" s="1">
        <v>29432.63</v>
      </c>
      <c r="F1119" s="41">
        <v>45279</v>
      </c>
      <c r="G1119" s="41">
        <v>45645</v>
      </c>
      <c r="H1119" s="1" t="s">
        <v>3660</v>
      </c>
      <c r="I1119" s="1" t="s">
        <v>3324</v>
      </c>
      <c r="J1119" t="str">
        <f>IF(ISNA(_xlfn.XLOOKUP(B1119,customer_master!$A$2:$A$1649, customer_master!$A$2:$A$1649)), "Invalid", "Ok")</f>
        <v>Ok</v>
      </c>
      <c r="K1119" t="str">
        <f>IF(ISNA(_xlfn.XLOOKUP(H1119,agent_info!$A$2:$A$301, agent_info!$A$2:$A$301)), "Invalid", "Ok")</f>
        <v>Ok</v>
      </c>
    </row>
    <row r="1120" spans="1:11" x14ac:dyDescent="0.3">
      <c r="A1120" s="1" t="s">
        <v>4735</v>
      </c>
      <c r="B1120" s="1" t="s">
        <v>395</v>
      </c>
      <c r="C1120" s="1" t="s">
        <v>3334</v>
      </c>
      <c r="D1120" s="1">
        <v>601515.84</v>
      </c>
      <c r="E1120" s="1">
        <v>32059.87</v>
      </c>
      <c r="F1120" s="41">
        <v>45994</v>
      </c>
      <c r="G1120" s="41">
        <v>46359</v>
      </c>
      <c r="H1120" s="1" t="s">
        <v>3496</v>
      </c>
      <c r="I1120" s="1" t="s">
        <v>3324</v>
      </c>
      <c r="J1120" t="str">
        <f>IF(ISNA(_xlfn.XLOOKUP(B1120,customer_master!$A$2:$A$1649, customer_master!$A$2:$A$1649)), "Invalid", "Ok")</f>
        <v>Ok</v>
      </c>
      <c r="K1120" t="str">
        <f>IF(ISNA(_xlfn.XLOOKUP(H1120,agent_info!$A$2:$A$301, agent_info!$A$2:$A$301)), "Invalid", "Ok")</f>
        <v>Ok</v>
      </c>
    </row>
    <row r="1121" spans="1:11" x14ac:dyDescent="0.3">
      <c r="A1121" s="1" t="s">
        <v>4736</v>
      </c>
      <c r="B1121" s="1" t="s">
        <v>170</v>
      </c>
      <c r="C1121" s="1" t="s">
        <v>3334</v>
      </c>
      <c r="D1121" s="1">
        <v>449282.47</v>
      </c>
      <c r="E1121" s="1">
        <v>21607.24</v>
      </c>
      <c r="F1121" s="41">
        <v>44445</v>
      </c>
      <c r="G1121" s="41">
        <v>44810</v>
      </c>
      <c r="H1121" s="1" t="s">
        <v>3905</v>
      </c>
      <c r="I1121" s="1" t="s">
        <v>3324</v>
      </c>
      <c r="J1121" t="str">
        <f>IF(ISNA(_xlfn.XLOOKUP(B1121,customer_master!$A$2:$A$1649, customer_master!$A$2:$A$1649)), "Invalid", "Ok")</f>
        <v>Ok</v>
      </c>
      <c r="K1121" t="str">
        <f>IF(ISNA(_xlfn.XLOOKUP(H1121,agent_info!$A$2:$A$301, agent_info!$A$2:$A$301)), "Invalid", "Ok")</f>
        <v>Ok</v>
      </c>
    </row>
    <row r="1122" spans="1:11" x14ac:dyDescent="0.3">
      <c r="A1122" s="1" t="s">
        <v>4737</v>
      </c>
      <c r="B1122" s="1" t="s">
        <v>2016</v>
      </c>
      <c r="C1122" s="1" t="s">
        <v>3334</v>
      </c>
      <c r="D1122" s="1">
        <v>630767.75</v>
      </c>
      <c r="E1122" s="1">
        <v>28424.880000000001</v>
      </c>
      <c r="F1122" s="41">
        <v>45055</v>
      </c>
      <c r="G1122" s="41">
        <v>45421</v>
      </c>
      <c r="H1122" s="1" t="s">
        <v>3345</v>
      </c>
      <c r="I1122" s="1" t="s">
        <v>3316</v>
      </c>
      <c r="J1122" t="str">
        <f>IF(ISNA(_xlfn.XLOOKUP(B1122,customer_master!$A$2:$A$1649, customer_master!$A$2:$A$1649)), "Invalid", "Ok")</f>
        <v>Ok</v>
      </c>
      <c r="K1122" t="str">
        <f>IF(ISNA(_xlfn.XLOOKUP(H1122,agent_info!$A$2:$A$301, agent_info!$A$2:$A$301)), "Invalid", "Ok")</f>
        <v>Ok</v>
      </c>
    </row>
    <row r="1123" spans="1:11" x14ac:dyDescent="0.3">
      <c r="A1123" s="1" t="s">
        <v>4738</v>
      </c>
      <c r="B1123" s="1" t="s">
        <v>2758</v>
      </c>
      <c r="C1123" s="1" t="s">
        <v>3334</v>
      </c>
      <c r="D1123" s="1">
        <v>402071.26</v>
      </c>
      <c r="E1123" s="1">
        <v>21889.02</v>
      </c>
      <c r="F1123" s="41">
        <v>44330</v>
      </c>
      <c r="G1123" s="41">
        <v>44695</v>
      </c>
      <c r="H1123" s="1" t="s">
        <v>3838</v>
      </c>
      <c r="I1123" s="1" t="s">
        <v>3324</v>
      </c>
      <c r="J1123" t="str">
        <f>IF(ISNA(_xlfn.XLOOKUP(B1123,customer_master!$A$2:$A$1649, customer_master!$A$2:$A$1649)), "Invalid", "Ok")</f>
        <v>Ok</v>
      </c>
      <c r="K1123" t="str">
        <f>IF(ISNA(_xlfn.XLOOKUP(H1123,agent_info!$A$2:$A$301, agent_info!$A$2:$A$301)), "Invalid", "Ok")</f>
        <v>Ok</v>
      </c>
    </row>
    <row r="1124" spans="1:11" x14ac:dyDescent="0.3">
      <c r="A1124" s="1" t="s">
        <v>4739</v>
      </c>
      <c r="B1124" s="1" t="s">
        <v>1370</v>
      </c>
      <c r="C1124" s="1" t="s">
        <v>3331</v>
      </c>
      <c r="D1124" s="1">
        <v>664238.61</v>
      </c>
      <c r="E1124" s="1">
        <v>30184.5</v>
      </c>
      <c r="F1124" s="41">
        <v>45529</v>
      </c>
      <c r="G1124" s="41">
        <v>45894</v>
      </c>
      <c r="H1124" s="1" t="s">
        <v>3457</v>
      </c>
      <c r="I1124" s="1" t="s">
        <v>3320</v>
      </c>
      <c r="J1124" t="str">
        <f>IF(ISNA(_xlfn.XLOOKUP(B1124,customer_master!$A$2:$A$1649, customer_master!$A$2:$A$1649)), "Invalid", "Ok")</f>
        <v>Ok</v>
      </c>
      <c r="K1124" t="str">
        <f>IF(ISNA(_xlfn.XLOOKUP(H1124,agent_info!$A$2:$A$301, agent_info!$A$2:$A$301)), "Invalid", "Ok")</f>
        <v>Ok</v>
      </c>
    </row>
    <row r="1125" spans="1:11" x14ac:dyDescent="0.3">
      <c r="A1125" s="1" t="s">
        <v>4740</v>
      </c>
      <c r="B1125" s="1" t="s">
        <v>330</v>
      </c>
      <c r="C1125" s="1" t="s">
        <v>3326</v>
      </c>
      <c r="D1125" s="1">
        <v>582105.82999999996</v>
      </c>
      <c r="E1125" s="1">
        <v>30153.16</v>
      </c>
      <c r="F1125" s="41">
        <v>44605</v>
      </c>
      <c r="G1125" s="41">
        <v>44970</v>
      </c>
      <c r="H1125" s="1" t="s">
        <v>3734</v>
      </c>
      <c r="I1125" s="1" t="s">
        <v>3324</v>
      </c>
      <c r="J1125" t="str">
        <f>IF(ISNA(_xlfn.XLOOKUP(B1125,customer_master!$A$2:$A$1649, customer_master!$A$2:$A$1649)), "Invalid", "Ok")</f>
        <v>Ok</v>
      </c>
      <c r="K1125" t="str">
        <f>IF(ISNA(_xlfn.XLOOKUP(H1125,agent_info!$A$2:$A$301, agent_info!$A$2:$A$301)), "Invalid", "Ok")</f>
        <v>Ok</v>
      </c>
    </row>
    <row r="1126" spans="1:11" x14ac:dyDescent="0.3">
      <c r="A1126" s="1" t="s">
        <v>4741</v>
      </c>
      <c r="B1126" s="1" t="s">
        <v>1267</v>
      </c>
      <c r="C1126" s="1" t="s">
        <v>3334</v>
      </c>
      <c r="D1126" s="1">
        <v>512213.11</v>
      </c>
      <c r="E1126" s="1">
        <v>24698.06</v>
      </c>
      <c r="F1126" s="41">
        <v>44540</v>
      </c>
      <c r="G1126" s="41">
        <v>44905</v>
      </c>
      <c r="H1126" s="1" t="s">
        <v>4311</v>
      </c>
      <c r="I1126" s="1" t="s">
        <v>3316</v>
      </c>
      <c r="J1126" t="str">
        <f>IF(ISNA(_xlfn.XLOOKUP(B1126,customer_master!$A$2:$A$1649, customer_master!$A$2:$A$1649)), "Invalid", "Ok")</f>
        <v>Ok</v>
      </c>
      <c r="K1126" t="str">
        <f>IF(ISNA(_xlfn.XLOOKUP(H1126,agent_info!$A$2:$A$301, agent_info!$A$2:$A$301)), "Invalid", "Ok")</f>
        <v>Ok</v>
      </c>
    </row>
    <row r="1127" spans="1:11" x14ac:dyDescent="0.3">
      <c r="A1127" s="1" t="s">
        <v>4742</v>
      </c>
      <c r="B1127" s="1" t="s">
        <v>1181</v>
      </c>
      <c r="C1127" s="1" t="s">
        <v>3314</v>
      </c>
      <c r="D1127" s="1">
        <v>765760.9</v>
      </c>
      <c r="E1127" s="1">
        <v>37702.49</v>
      </c>
      <c r="F1127" s="41">
        <v>45728</v>
      </c>
      <c r="G1127" s="41">
        <v>46093</v>
      </c>
      <c r="H1127" s="1" t="s">
        <v>3319</v>
      </c>
      <c r="I1127" s="1" t="s">
        <v>3320</v>
      </c>
      <c r="J1127" t="str">
        <f>IF(ISNA(_xlfn.XLOOKUP(B1127,customer_master!$A$2:$A$1649, customer_master!$A$2:$A$1649)), "Invalid", "Ok")</f>
        <v>Ok</v>
      </c>
      <c r="K1127" t="str">
        <f>IF(ISNA(_xlfn.XLOOKUP(H1127,agent_info!$A$2:$A$301, agent_info!$A$2:$A$301)), "Invalid", "Ok")</f>
        <v>Ok</v>
      </c>
    </row>
    <row r="1128" spans="1:11" x14ac:dyDescent="0.3">
      <c r="A1128" s="1" t="s">
        <v>4743</v>
      </c>
      <c r="B1128" s="1" t="s">
        <v>2160</v>
      </c>
      <c r="C1128" s="1" t="s">
        <v>3314</v>
      </c>
      <c r="D1128" s="1">
        <v>704079.68</v>
      </c>
      <c r="E1128" s="1">
        <v>37584</v>
      </c>
      <c r="F1128" s="41">
        <v>45523</v>
      </c>
      <c r="G1128" s="41">
        <v>45888</v>
      </c>
      <c r="H1128" s="1" t="s">
        <v>3443</v>
      </c>
      <c r="I1128" s="1" t="s">
        <v>3324</v>
      </c>
      <c r="J1128" t="str">
        <f>IF(ISNA(_xlfn.XLOOKUP(B1128,customer_master!$A$2:$A$1649, customer_master!$A$2:$A$1649)), "Invalid", "Ok")</f>
        <v>Ok</v>
      </c>
      <c r="K1128" t="str">
        <f>IF(ISNA(_xlfn.XLOOKUP(H1128,agent_info!$A$2:$A$301, agent_info!$A$2:$A$301)), "Invalid", "Ok")</f>
        <v>Ok</v>
      </c>
    </row>
    <row r="1129" spans="1:11" x14ac:dyDescent="0.3">
      <c r="A1129" s="1" t="s">
        <v>4744</v>
      </c>
      <c r="B1129" s="1" t="s">
        <v>2180</v>
      </c>
      <c r="C1129" s="1" t="s">
        <v>3334</v>
      </c>
      <c r="D1129" s="1">
        <v>592721.22</v>
      </c>
      <c r="E1129" s="1">
        <v>29159.39</v>
      </c>
      <c r="F1129" s="41">
        <v>44273</v>
      </c>
      <c r="G1129" s="41">
        <v>44638</v>
      </c>
      <c r="H1129" s="1" t="s">
        <v>3719</v>
      </c>
      <c r="I1129" s="1" t="s">
        <v>3324</v>
      </c>
      <c r="J1129" t="str">
        <f>IF(ISNA(_xlfn.XLOOKUP(B1129,customer_master!$A$2:$A$1649, customer_master!$A$2:$A$1649)), "Invalid", "Ok")</f>
        <v>Ok</v>
      </c>
      <c r="K1129" t="str">
        <f>IF(ISNA(_xlfn.XLOOKUP(H1129,agent_info!$A$2:$A$301, agent_info!$A$2:$A$301)), "Invalid", "Ok")</f>
        <v>Ok</v>
      </c>
    </row>
    <row r="1130" spans="1:11" x14ac:dyDescent="0.3">
      <c r="A1130" s="1" t="s">
        <v>4745</v>
      </c>
      <c r="B1130" s="1" t="s">
        <v>369</v>
      </c>
      <c r="C1130" s="1" t="s">
        <v>3318</v>
      </c>
      <c r="D1130" s="1">
        <v>752412.93</v>
      </c>
      <c r="E1130" s="1">
        <v>34944.85</v>
      </c>
      <c r="F1130" s="41">
        <v>45030</v>
      </c>
      <c r="G1130" s="41">
        <v>45396</v>
      </c>
      <c r="H1130" s="1" t="s">
        <v>3785</v>
      </c>
      <c r="I1130" s="1" t="s">
        <v>3324</v>
      </c>
      <c r="J1130" t="str">
        <f>IF(ISNA(_xlfn.XLOOKUP(B1130,customer_master!$A$2:$A$1649, customer_master!$A$2:$A$1649)), "Invalid", "Ok")</f>
        <v>Ok</v>
      </c>
      <c r="K1130" t="str">
        <f>IF(ISNA(_xlfn.XLOOKUP(H1130,agent_info!$A$2:$A$301, agent_info!$A$2:$A$301)), "Invalid", "Ok")</f>
        <v>Ok</v>
      </c>
    </row>
    <row r="1131" spans="1:11" x14ac:dyDescent="0.3">
      <c r="A1131" s="1" t="s">
        <v>4746</v>
      </c>
      <c r="B1131" s="1" t="s">
        <v>1417</v>
      </c>
      <c r="C1131" s="1" t="s">
        <v>3318</v>
      </c>
      <c r="D1131" s="1">
        <v>691774.26</v>
      </c>
      <c r="E1131" s="1">
        <v>36348.83</v>
      </c>
      <c r="F1131" s="41">
        <v>45645</v>
      </c>
      <c r="G1131" s="41">
        <v>46010</v>
      </c>
      <c r="H1131" s="1" t="s">
        <v>3811</v>
      </c>
      <c r="I1131" s="1" t="s">
        <v>3324</v>
      </c>
      <c r="J1131" t="str">
        <f>IF(ISNA(_xlfn.XLOOKUP(B1131,customer_master!$A$2:$A$1649, customer_master!$A$2:$A$1649)), "Invalid", "Ok")</f>
        <v>Ok</v>
      </c>
      <c r="K1131" t="str">
        <f>IF(ISNA(_xlfn.XLOOKUP(H1131,agent_info!$A$2:$A$301, agent_info!$A$2:$A$301)), "Invalid", "Ok")</f>
        <v>Ok</v>
      </c>
    </row>
    <row r="1132" spans="1:11" x14ac:dyDescent="0.3">
      <c r="A1132" s="1" t="s">
        <v>4747</v>
      </c>
      <c r="B1132" s="1" t="s">
        <v>2156</v>
      </c>
      <c r="C1132" s="1" t="s">
        <v>3334</v>
      </c>
      <c r="D1132" s="1">
        <v>438121.25</v>
      </c>
      <c r="E1132" s="1">
        <v>19804.009999999998</v>
      </c>
      <c r="F1132" s="41">
        <v>44428</v>
      </c>
      <c r="G1132" s="41">
        <v>44793</v>
      </c>
      <c r="H1132" s="1" t="s">
        <v>4438</v>
      </c>
      <c r="I1132" s="1" t="s">
        <v>3316</v>
      </c>
      <c r="J1132" t="str">
        <f>IF(ISNA(_xlfn.XLOOKUP(B1132,customer_master!$A$2:$A$1649, customer_master!$A$2:$A$1649)), "Invalid", "Ok")</f>
        <v>Ok</v>
      </c>
      <c r="K1132" t="str">
        <f>IF(ISNA(_xlfn.XLOOKUP(H1132,agent_info!$A$2:$A$301, agent_info!$A$2:$A$301)), "Invalid", "Ok")</f>
        <v>Ok</v>
      </c>
    </row>
    <row r="1133" spans="1:11" x14ac:dyDescent="0.3">
      <c r="A1133" s="1" t="s">
        <v>4748</v>
      </c>
      <c r="B1133" s="1" t="s">
        <v>887</v>
      </c>
      <c r="C1133" s="1" t="s">
        <v>3326</v>
      </c>
      <c r="D1133" s="1">
        <v>556871.21</v>
      </c>
      <c r="E1133" s="1">
        <v>26589.11</v>
      </c>
      <c r="F1133" s="41">
        <v>46113</v>
      </c>
      <c r="G1133" s="41">
        <v>46478</v>
      </c>
      <c r="H1133" s="1" t="s">
        <v>4004</v>
      </c>
      <c r="I1133" s="1" t="s">
        <v>3324</v>
      </c>
      <c r="J1133" t="str">
        <f>IF(ISNA(_xlfn.XLOOKUP(B1133,customer_master!$A$2:$A$1649, customer_master!$A$2:$A$1649)), "Invalid", "Ok")</f>
        <v>Ok</v>
      </c>
      <c r="K1133" t="str">
        <f>IF(ISNA(_xlfn.XLOOKUP(H1133,agent_info!$A$2:$A$301, agent_info!$A$2:$A$301)), "Invalid", "Ok")</f>
        <v>Ok</v>
      </c>
    </row>
    <row r="1134" spans="1:11" x14ac:dyDescent="0.3">
      <c r="A1134" s="1" t="s">
        <v>4749</v>
      </c>
      <c r="B1134" s="1" t="s">
        <v>1384</v>
      </c>
      <c r="C1134" s="1" t="s">
        <v>3326</v>
      </c>
      <c r="D1134" s="1">
        <v>553300.17000000004</v>
      </c>
      <c r="E1134" s="1">
        <v>27875.67</v>
      </c>
      <c r="F1134" s="41">
        <v>46055</v>
      </c>
      <c r="G1134" s="41">
        <v>46420</v>
      </c>
      <c r="H1134" s="1" t="s">
        <v>3593</v>
      </c>
      <c r="I1134" s="1" t="s">
        <v>3316</v>
      </c>
      <c r="J1134" t="str">
        <f>IF(ISNA(_xlfn.XLOOKUP(B1134,customer_master!$A$2:$A$1649, customer_master!$A$2:$A$1649)), "Invalid", "Ok")</f>
        <v>Ok</v>
      </c>
      <c r="K1134" t="str">
        <f>IF(ISNA(_xlfn.XLOOKUP(H1134,agent_info!$A$2:$A$301, agent_info!$A$2:$A$301)), "Invalid", "Ok")</f>
        <v>Ok</v>
      </c>
    </row>
    <row r="1135" spans="1:11" x14ac:dyDescent="0.3">
      <c r="A1135" s="1" t="s">
        <v>4750</v>
      </c>
      <c r="B1135" s="1" t="s">
        <v>2062</v>
      </c>
      <c r="C1135" s="1" t="s">
        <v>3331</v>
      </c>
      <c r="D1135" s="1">
        <v>630598.57999999996</v>
      </c>
      <c r="E1135" s="1">
        <v>31137.47</v>
      </c>
      <c r="F1135" s="41">
        <v>45756</v>
      </c>
      <c r="G1135" s="41">
        <v>46121</v>
      </c>
      <c r="H1135" s="1" t="s">
        <v>4179</v>
      </c>
      <c r="I1135" s="1" t="s">
        <v>3324</v>
      </c>
      <c r="J1135" t="str">
        <f>IF(ISNA(_xlfn.XLOOKUP(B1135,customer_master!$A$2:$A$1649, customer_master!$A$2:$A$1649)), "Invalid", "Ok")</f>
        <v>Ok</v>
      </c>
      <c r="K1135" t="str">
        <f>IF(ISNA(_xlfn.XLOOKUP(H1135,agent_info!$A$2:$A$301, agent_info!$A$2:$A$301)), "Invalid", "Ok")</f>
        <v>Ok</v>
      </c>
    </row>
    <row r="1136" spans="1:11" x14ac:dyDescent="0.3">
      <c r="A1136" s="1" t="s">
        <v>4751</v>
      </c>
      <c r="B1136" s="1" t="s">
        <v>1370</v>
      </c>
      <c r="C1136" s="1" t="s">
        <v>3326</v>
      </c>
      <c r="D1136" s="1">
        <v>679264.81</v>
      </c>
      <c r="E1136" s="1">
        <v>34779.910000000003</v>
      </c>
      <c r="F1136" s="41">
        <v>44560</v>
      </c>
      <c r="G1136" s="41">
        <v>44925</v>
      </c>
      <c r="H1136" s="1" t="s">
        <v>3568</v>
      </c>
      <c r="I1136" s="1" t="s">
        <v>3316</v>
      </c>
      <c r="J1136" t="str">
        <f>IF(ISNA(_xlfn.XLOOKUP(B1136,customer_master!$A$2:$A$1649, customer_master!$A$2:$A$1649)), "Invalid", "Ok")</f>
        <v>Ok</v>
      </c>
      <c r="K1136" t="str">
        <f>IF(ISNA(_xlfn.XLOOKUP(H1136,agent_info!$A$2:$A$301, agent_info!$A$2:$A$301)), "Invalid", "Ok")</f>
        <v>Ok</v>
      </c>
    </row>
    <row r="1137" spans="1:11" x14ac:dyDescent="0.3">
      <c r="A1137" s="1" t="s">
        <v>4752</v>
      </c>
      <c r="B1137" s="1" t="s">
        <v>135</v>
      </c>
      <c r="C1137" s="1" t="s">
        <v>3331</v>
      </c>
      <c r="D1137" s="1">
        <v>569210.17000000004</v>
      </c>
      <c r="E1137" s="1">
        <v>27785.13</v>
      </c>
      <c r="F1137" s="41">
        <v>44641</v>
      </c>
      <c r="G1137" s="41">
        <v>45006</v>
      </c>
      <c r="H1137" s="1" t="s">
        <v>3439</v>
      </c>
      <c r="I1137" s="1" t="s">
        <v>3324</v>
      </c>
      <c r="J1137" t="str">
        <f>IF(ISNA(_xlfn.XLOOKUP(B1137,customer_master!$A$2:$A$1649, customer_master!$A$2:$A$1649)), "Invalid", "Ok")</f>
        <v>Ok</v>
      </c>
      <c r="K1137" t="str">
        <f>IF(ISNA(_xlfn.XLOOKUP(H1137,agent_info!$A$2:$A$301, agent_info!$A$2:$A$301)), "Invalid", "Ok")</f>
        <v>Ok</v>
      </c>
    </row>
    <row r="1138" spans="1:11" x14ac:dyDescent="0.3">
      <c r="A1138" s="1" t="s">
        <v>4753</v>
      </c>
      <c r="B1138" s="1" t="s">
        <v>787</v>
      </c>
      <c r="C1138" s="1" t="s">
        <v>3326</v>
      </c>
      <c r="D1138" s="1">
        <v>377083.51</v>
      </c>
      <c r="E1138" s="1">
        <v>18441.59</v>
      </c>
      <c r="F1138" s="41">
        <v>45121</v>
      </c>
      <c r="G1138" s="41">
        <v>45487</v>
      </c>
      <c r="H1138" s="1" t="s">
        <v>3658</v>
      </c>
      <c r="I1138" s="1" t="s">
        <v>3316</v>
      </c>
      <c r="J1138" t="str">
        <f>IF(ISNA(_xlfn.XLOOKUP(B1138,customer_master!$A$2:$A$1649, customer_master!$A$2:$A$1649)), "Invalid", "Ok")</f>
        <v>Ok</v>
      </c>
      <c r="K1138" t="str">
        <f>IF(ISNA(_xlfn.XLOOKUP(H1138,agent_info!$A$2:$A$301, agent_info!$A$2:$A$301)), "Invalid", "Ok")</f>
        <v>Ok</v>
      </c>
    </row>
    <row r="1139" spans="1:11" x14ac:dyDescent="0.3">
      <c r="A1139" s="1" t="s">
        <v>4754</v>
      </c>
      <c r="B1139" s="1" t="s">
        <v>2583</v>
      </c>
      <c r="C1139" s="1" t="s">
        <v>3326</v>
      </c>
      <c r="D1139" s="1">
        <v>517765.98</v>
      </c>
      <c r="E1139" s="1">
        <v>25104.7</v>
      </c>
      <c r="F1139" s="41">
        <v>46044</v>
      </c>
      <c r="G1139" s="41">
        <v>46409</v>
      </c>
      <c r="H1139" s="1" t="s">
        <v>3402</v>
      </c>
      <c r="I1139" s="1" t="s">
        <v>3316</v>
      </c>
      <c r="J1139" t="str">
        <f>IF(ISNA(_xlfn.XLOOKUP(B1139,customer_master!$A$2:$A$1649, customer_master!$A$2:$A$1649)), "Invalid", "Ok")</f>
        <v>Ok</v>
      </c>
      <c r="K1139" t="str">
        <f>IF(ISNA(_xlfn.XLOOKUP(H1139,agent_info!$A$2:$A$301, agent_info!$A$2:$A$301)), "Invalid", "Ok")</f>
        <v>Ok</v>
      </c>
    </row>
    <row r="1140" spans="1:11" x14ac:dyDescent="0.3">
      <c r="A1140" s="1" t="s">
        <v>4755</v>
      </c>
      <c r="B1140" s="1" t="s">
        <v>857</v>
      </c>
      <c r="C1140" s="1" t="s">
        <v>3326</v>
      </c>
      <c r="D1140" s="1">
        <v>625728.04</v>
      </c>
      <c r="E1140" s="1">
        <v>33709.660000000003</v>
      </c>
      <c r="F1140" s="41">
        <v>44346</v>
      </c>
      <c r="G1140" s="41">
        <v>44711</v>
      </c>
      <c r="H1140" s="1" t="s">
        <v>3353</v>
      </c>
      <c r="I1140" s="1" t="s">
        <v>3324</v>
      </c>
      <c r="J1140" t="str">
        <f>IF(ISNA(_xlfn.XLOOKUP(B1140,customer_master!$A$2:$A$1649, customer_master!$A$2:$A$1649)), "Invalid", "Ok")</f>
        <v>Ok</v>
      </c>
      <c r="K1140" t="str">
        <f>IF(ISNA(_xlfn.XLOOKUP(H1140,agent_info!$A$2:$A$301, agent_info!$A$2:$A$301)), "Invalid", "Ok")</f>
        <v>Ok</v>
      </c>
    </row>
    <row r="1141" spans="1:11" x14ac:dyDescent="0.3">
      <c r="A1141" s="1" t="s">
        <v>4756</v>
      </c>
      <c r="B1141" s="1" t="s">
        <v>2714</v>
      </c>
      <c r="C1141" s="1" t="s">
        <v>3334</v>
      </c>
      <c r="D1141" s="1">
        <v>523064.38</v>
      </c>
      <c r="E1141" s="1">
        <v>23628.37</v>
      </c>
      <c r="F1141" s="41">
        <v>44374</v>
      </c>
      <c r="G1141" s="41">
        <v>44739</v>
      </c>
      <c r="H1141" s="1" t="s">
        <v>3819</v>
      </c>
      <c r="I1141" s="1" t="s">
        <v>3316</v>
      </c>
      <c r="J1141" t="str">
        <f>IF(ISNA(_xlfn.XLOOKUP(B1141,customer_master!$A$2:$A$1649, customer_master!$A$2:$A$1649)), "Invalid", "Ok")</f>
        <v>Ok</v>
      </c>
      <c r="K1141" t="str">
        <f>IF(ISNA(_xlfn.XLOOKUP(H1141,agent_info!$A$2:$A$301, agent_info!$A$2:$A$301)), "Invalid", "Ok")</f>
        <v>Ok</v>
      </c>
    </row>
    <row r="1142" spans="1:11" x14ac:dyDescent="0.3">
      <c r="A1142" s="1" t="s">
        <v>4757</v>
      </c>
      <c r="B1142" s="1" t="s">
        <v>1566</v>
      </c>
      <c r="C1142" s="1" t="s">
        <v>3334</v>
      </c>
      <c r="D1142" s="1">
        <v>395435.39</v>
      </c>
      <c r="E1142" s="1">
        <v>21510.27</v>
      </c>
      <c r="F1142" s="41">
        <v>45248</v>
      </c>
      <c r="G1142" s="41">
        <v>45614</v>
      </c>
      <c r="H1142" s="1" t="s">
        <v>3347</v>
      </c>
      <c r="I1142" s="1" t="s">
        <v>3316</v>
      </c>
      <c r="J1142" t="str">
        <f>IF(ISNA(_xlfn.XLOOKUP(B1142,customer_master!$A$2:$A$1649, customer_master!$A$2:$A$1649)), "Invalid", "Ok")</f>
        <v>Ok</v>
      </c>
      <c r="K1142" t="str">
        <f>IF(ISNA(_xlfn.XLOOKUP(H1142,agent_info!$A$2:$A$301, agent_info!$A$2:$A$301)), "Invalid", "Ok")</f>
        <v>Ok</v>
      </c>
    </row>
    <row r="1143" spans="1:11" x14ac:dyDescent="0.3">
      <c r="A1143" s="1" t="s">
        <v>4758</v>
      </c>
      <c r="B1143" s="1" t="s">
        <v>1586</v>
      </c>
      <c r="C1143" s="1" t="s">
        <v>3334</v>
      </c>
      <c r="D1143" s="1">
        <v>501748.64</v>
      </c>
      <c r="E1143" s="1">
        <v>24376.06</v>
      </c>
      <c r="F1143" s="41">
        <v>45667</v>
      </c>
      <c r="G1143" s="41">
        <v>46032</v>
      </c>
      <c r="H1143" s="1" t="s">
        <v>3670</v>
      </c>
      <c r="I1143" s="1" t="s">
        <v>3324</v>
      </c>
      <c r="J1143" t="str">
        <f>IF(ISNA(_xlfn.XLOOKUP(B1143,customer_master!$A$2:$A$1649, customer_master!$A$2:$A$1649)), "Invalid", "Ok")</f>
        <v>Ok</v>
      </c>
      <c r="K1143" t="str">
        <f>IF(ISNA(_xlfn.XLOOKUP(H1143,agent_info!$A$2:$A$301, agent_info!$A$2:$A$301)), "Invalid", "Ok")</f>
        <v>Ok</v>
      </c>
    </row>
    <row r="1144" spans="1:11" x14ac:dyDescent="0.3">
      <c r="A1144" s="1" t="s">
        <v>4759</v>
      </c>
      <c r="B1144" s="1" t="s">
        <v>2567</v>
      </c>
      <c r="C1144" s="1" t="s">
        <v>3334</v>
      </c>
      <c r="D1144" s="1">
        <v>647627.73</v>
      </c>
      <c r="E1144" s="1">
        <v>31506.33</v>
      </c>
      <c r="F1144" s="41">
        <v>44275</v>
      </c>
      <c r="G1144" s="41">
        <v>44640</v>
      </c>
      <c r="H1144" s="1" t="s">
        <v>3522</v>
      </c>
      <c r="I1144" s="1" t="s">
        <v>3324</v>
      </c>
      <c r="J1144" t="str">
        <f>IF(ISNA(_xlfn.XLOOKUP(B1144,customer_master!$A$2:$A$1649, customer_master!$A$2:$A$1649)), "Invalid", "Ok")</f>
        <v>Ok</v>
      </c>
      <c r="K1144" t="str">
        <f>IF(ISNA(_xlfn.XLOOKUP(H1144,agent_info!$A$2:$A$301, agent_info!$A$2:$A$301)), "Invalid", "Ok")</f>
        <v>Ok</v>
      </c>
    </row>
    <row r="1145" spans="1:11" x14ac:dyDescent="0.3">
      <c r="A1145" s="1" t="s">
        <v>4760</v>
      </c>
      <c r="B1145" s="1" t="s">
        <v>1305</v>
      </c>
      <c r="C1145" s="1" t="s">
        <v>3314</v>
      </c>
      <c r="D1145" s="1">
        <v>418113.63</v>
      </c>
      <c r="E1145" s="1">
        <v>21850.17</v>
      </c>
      <c r="F1145" s="41">
        <v>45593</v>
      </c>
      <c r="G1145" s="41">
        <v>45958</v>
      </c>
      <c r="H1145" s="1" t="s">
        <v>3840</v>
      </c>
      <c r="I1145" s="1" t="s">
        <v>3324</v>
      </c>
      <c r="J1145" t="str">
        <f>IF(ISNA(_xlfn.XLOOKUP(B1145,customer_master!$A$2:$A$1649, customer_master!$A$2:$A$1649)), "Invalid", "Ok")</f>
        <v>Ok</v>
      </c>
      <c r="K1145" t="str">
        <f>IF(ISNA(_xlfn.XLOOKUP(H1145,agent_info!$A$2:$A$301, agent_info!$A$2:$A$301)), "Invalid", "Ok")</f>
        <v>Ok</v>
      </c>
    </row>
    <row r="1146" spans="1:11" x14ac:dyDescent="0.3">
      <c r="A1146" s="1" t="s">
        <v>4761</v>
      </c>
      <c r="B1146" s="1" t="s">
        <v>831</v>
      </c>
      <c r="C1146" s="1" t="s">
        <v>3318</v>
      </c>
      <c r="D1146" s="1">
        <v>520114.7</v>
      </c>
      <c r="E1146" s="1">
        <v>25424.65</v>
      </c>
      <c r="F1146" s="41">
        <v>45988</v>
      </c>
      <c r="G1146" s="41">
        <v>46353</v>
      </c>
      <c r="H1146" s="1" t="s">
        <v>3500</v>
      </c>
      <c r="I1146" s="1" t="s">
        <v>3324</v>
      </c>
      <c r="J1146" t="str">
        <f>IF(ISNA(_xlfn.XLOOKUP(B1146,customer_master!$A$2:$A$1649, customer_master!$A$2:$A$1649)), "Invalid", "Ok")</f>
        <v>Ok</v>
      </c>
      <c r="K1146" t="str">
        <f>IF(ISNA(_xlfn.XLOOKUP(H1146,agent_info!$A$2:$A$301, agent_info!$A$2:$A$301)), "Invalid", "Ok")</f>
        <v>Ok</v>
      </c>
    </row>
    <row r="1147" spans="1:11" x14ac:dyDescent="0.3">
      <c r="A1147" s="1" t="s">
        <v>4762</v>
      </c>
      <c r="B1147" s="1" t="s">
        <v>379</v>
      </c>
      <c r="C1147" s="1" t="s">
        <v>3314</v>
      </c>
      <c r="D1147" s="1">
        <v>436255.37</v>
      </c>
      <c r="E1147" s="1">
        <v>22321.64</v>
      </c>
      <c r="F1147" s="41">
        <v>46119</v>
      </c>
      <c r="G1147" s="41">
        <v>46484</v>
      </c>
      <c r="H1147" s="1" t="s">
        <v>3653</v>
      </c>
      <c r="I1147" s="1" t="s">
        <v>3316</v>
      </c>
      <c r="J1147" t="str">
        <f>IF(ISNA(_xlfn.XLOOKUP(B1147,customer_master!$A$2:$A$1649, customer_master!$A$2:$A$1649)), "Invalid", "Ok")</f>
        <v>Ok</v>
      </c>
      <c r="K1147" t="str">
        <f>IF(ISNA(_xlfn.XLOOKUP(H1147,agent_info!$A$2:$A$301, agent_info!$A$2:$A$301)), "Invalid", "Ok")</f>
        <v>Ok</v>
      </c>
    </row>
    <row r="1148" spans="1:11" x14ac:dyDescent="0.3">
      <c r="A1148" s="1" t="s">
        <v>4763</v>
      </c>
      <c r="B1148" s="1" t="s">
        <v>2244</v>
      </c>
      <c r="C1148" s="1" t="s">
        <v>3334</v>
      </c>
      <c r="D1148" s="1">
        <v>568232.51</v>
      </c>
      <c r="E1148" s="1">
        <v>30705.19</v>
      </c>
      <c r="F1148" s="41">
        <v>45756</v>
      </c>
      <c r="G1148" s="41">
        <v>46121</v>
      </c>
      <c r="H1148" s="1" t="s">
        <v>3897</v>
      </c>
      <c r="I1148" s="1" t="s">
        <v>3324</v>
      </c>
      <c r="J1148" t="str">
        <f>IF(ISNA(_xlfn.XLOOKUP(B1148,customer_master!$A$2:$A$1649, customer_master!$A$2:$A$1649)), "Invalid", "Ok")</f>
        <v>Ok</v>
      </c>
      <c r="K1148" t="str">
        <f>IF(ISNA(_xlfn.XLOOKUP(H1148,agent_info!$A$2:$A$301, agent_info!$A$2:$A$301)), "Invalid", "Ok")</f>
        <v>Ok</v>
      </c>
    </row>
    <row r="1149" spans="1:11" x14ac:dyDescent="0.3">
      <c r="A1149" s="1" t="s">
        <v>4764</v>
      </c>
      <c r="B1149" s="1" t="s">
        <v>1572</v>
      </c>
      <c r="C1149" s="1" t="s">
        <v>3318</v>
      </c>
      <c r="D1149" s="1">
        <v>431492.1</v>
      </c>
      <c r="E1149" s="1">
        <v>23068.42</v>
      </c>
      <c r="F1149" s="41">
        <v>45393</v>
      </c>
      <c r="G1149" s="41">
        <v>45758</v>
      </c>
      <c r="H1149" s="1" t="s">
        <v>3710</v>
      </c>
      <c r="I1149" s="1" t="s">
        <v>3316</v>
      </c>
      <c r="J1149" t="str">
        <f>IF(ISNA(_xlfn.XLOOKUP(B1149,customer_master!$A$2:$A$1649, customer_master!$A$2:$A$1649)), "Invalid", "Ok")</f>
        <v>Ok</v>
      </c>
      <c r="K1149" t="str">
        <f>IF(ISNA(_xlfn.XLOOKUP(H1149,agent_info!$A$2:$A$301, agent_info!$A$2:$A$301)), "Invalid", "Ok")</f>
        <v>Ok</v>
      </c>
    </row>
    <row r="1150" spans="1:11" x14ac:dyDescent="0.3">
      <c r="A1150" s="1" t="s">
        <v>4765</v>
      </c>
      <c r="B1150" s="1" t="s">
        <v>2682</v>
      </c>
      <c r="C1150" s="1" t="s">
        <v>3326</v>
      </c>
      <c r="D1150" s="1">
        <v>388162.94</v>
      </c>
      <c r="E1150" s="1">
        <v>19467.79</v>
      </c>
      <c r="F1150" s="41">
        <v>45488</v>
      </c>
      <c r="G1150" s="41">
        <v>45853</v>
      </c>
      <c r="H1150" s="1" t="s">
        <v>3559</v>
      </c>
      <c r="I1150" s="1" t="s">
        <v>3324</v>
      </c>
      <c r="J1150" t="str">
        <f>IF(ISNA(_xlfn.XLOOKUP(B1150,customer_master!$A$2:$A$1649, customer_master!$A$2:$A$1649)), "Invalid", "Ok")</f>
        <v>Ok</v>
      </c>
      <c r="K1150" t="str">
        <f>IF(ISNA(_xlfn.XLOOKUP(H1150,agent_info!$A$2:$A$301, agent_info!$A$2:$A$301)), "Invalid", "Ok")</f>
        <v>Ok</v>
      </c>
    </row>
    <row r="1151" spans="1:11" x14ac:dyDescent="0.3">
      <c r="A1151" s="1" t="s">
        <v>4766</v>
      </c>
      <c r="B1151" s="1" t="s">
        <v>1537</v>
      </c>
      <c r="C1151" s="1" t="s">
        <v>3334</v>
      </c>
      <c r="D1151" s="1">
        <v>653652.53</v>
      </c>
      <c r="E1151" s="1">
        <v>34098.78</v>
      </c>
      <c r="F1151" s="41">
        <v>44903</v>
      </c>
      <c r="G1151" s="41">
        <v>45268</v>
      </c>
      <c r="H1151" s="1" t="s">
        <v>3830</v>
      </c>
      <c r="I1151" s="1" t="s">
        <v>3324</v>
      </c>
      <c r="J1151" t="str">
        <f>IF(ISNA(_xlfn.XLOOKUP(B1151,customer_master!$A$2:$A$1649, customer_master!$A$2:$A$1649)), "Invalid", "Ok")</f>
        <v>Ok</v>
      </c>
      <c r="K1151" t="str">
        <f>IF(ISNA(_xlfn.XLOOKUP(H1151,agent_info!$A$2:$A$301, agent_info!$A$2:$A$301)), "Invalid", "Ok")</f>
        <v>Ok</v>
      </c>
    </row>
    <row r="1152" spans="1:11" x14ac:dyDescent="0.3">
      <c r="A1152" s="1" t="s">
        <v>4767</v>
      </c>
      <c r="B1152" s="1" t="s">
        <v>1408</v>
      </c>
      <c r="C1152" s="1" t="s">
        <v>3326</v>
      </c>
      <c r="D1152" s="1">
        <v>405300.56</v>
      </c>
      <c r="E1152" s="1">
        <v>19829.07</v>
      </c>
      <c r="F1152" s="41">
        <v>45649</v>
      </c>
      <c r="G1152" s="41">
        <v>46014</v>
      </c>
      <c r="H1152" s="1" t="s">
        <v>3704</v>
      </c>
      <c r="I1152" s="1" t="s">
        <v>3324</v>
      </c>
      <c r="J1152" t="str">
        <f>IF(ISNA(_xlfn.XLOOKUP(B1152,customer_master!$A$2:$A$1649, customer_master!$A$2:$A$1649)), "Invalid", "Ok")</f>
        <v>Ok</v>
      </c>
      <c r="K1152" t="str">
        <f>IF(ISNA(_xlfn.XLOOKUP(H1152,agent_info!$A$2:$A$301, agent_info!$A$2:$A$301)), "Invalid", "Ok")</f>
        <v>Ok</v>
      </c>
    </row>
    <row r="1153" spans="1:11" x14ac:dyDescent="0.3">
      <c r="A1153" s="1" t="s">
        <v>4768</v>
      </c>
      <c r="B1153" s="1" t="s">
        <v>1008</v>
      </c>
      <c r="C1153" s="1" t="s">
        <v>3326</v>
      </c>
      <c r="D1153" s="1">
        <v>404178.53</v>
      </c>
      <c r="E1153" s="1">
        <v>21324.639999999999</v>
      </c>
      <c r="F1153" s="41">
        <v>45690</v>
      </c>
      <c r="G1153" s="41">
        <v>46055</v>
      </c>
      <c r="H1153" s="1" t="s">
        <v>3641</v>
      </c>
      <c r="I1153" s="1" t="s">
        <v>3324</v>
      </c>
      <c r="J1153" t="str">
        <f>IF(ISNA(_xlfn.XLOOKUP(B1153,customer_master!$A$2:$A$1649, customer_master!$A$2:$A$1649)), "Invalid", "Ok")</f>
        <v>Ok</v>
      </c>
      <c r="K1153" t="str">
        <f>IF(ISNA(_xlfn.XLOOKUP(H1153,agent_info!$A$2:$A$301, agent_info!$A$2:$A$301)), "Invalid", "Ok")</f>
        <v>Ok</v>
      </c>
    </row>
    <row r="1154" spans="1:11" x14ac:dyDescent="0.3">
      <c r="A1154" s="1" t="s">
        <v>4769</v>
      </c>
      <c r="B1154" s="1" t="s">
        <v>709</v>
      </c>
      <c r="C1154" s="1" t="s">
        <v>3326</v>
      </c>
      <c r="D1154" s="1">
        <v>557381.71</v>
      </c>
      <c r="E1154" s="1">
        <v>26030.75</v>
      </c>
      <c r="F1154" s="41">
        <v>44913</v>
      </c>
      <c r="G1154" s="41">
        <v>45278</v>
      </c>
      <c r="H1154" s="1" t="s">
        <v>4343</v>
      </c>
      <c r="I1154" s="1" t="s">
        <v>3324</v>
      </c>
      <c r="J1154" t="str">
        <f>IF(ISNA(_xlfn.XLOOKUP(B1154,customer_master!$A$2:$A$1649, customer_master!$A$2:$A$1649)), "Invalid", "Ok")</f>
        <v>Ok</v>
      </c>
      <c r="K1154" t="str">
        <f>IF(ISNA(_xlfn.XLOOKUP(H1154,agent_info!$A$2:$A$301, agent_info!$A$2:$A$301)), "Invalid", "Ok")</f>
        <v>Ok</v>
      </c>
    </row>
    <row r="1155" spans="1:11" x14ac:dyDescent="0.3">
      <c r="A1155" s="1" t="s">
        <v>4770</v>
      </c>
      <c r="B1155" s="1" t="s">
        <v>2754</v>
      </c>
      <c r="C1155" s="1" t="s">
        <v>3326</v>
      </c>
      <c r="D1155" s="1">
        <v>365257.83</v>
      </c>
      <c r="E1155" s="1">
        <v>16603.28</v>
      </c>
      <c r="F1155" s="41">
        <v>45484</v>
      </c>
      <c r="G1155" s="41">
        <v>45849</v>
      </c>
      <c r="H1155" s="1" t="s">
        <v>4771</v>
      </c>
      <c r="I1155" s="1" t="s">
        <v>3324</v>
      </c>
      <c r="J1155" t="str">
        <f>IF(ISNA(_xlfn.XLOOKUP(B1155,customer_master!$A$2:$A$1649, customer_master!$A$2:$A$1649)), "Invalid", "Ok")</f>
        <v>Ok</v>
      </c>
      <c r="K1155" t="str">
        <f>IF(ISNA(_xlfn.XLOOKUP(H1155,agent_info!$A$2:$A$301, agent_info!$A$2:$A$301)), "Invalid", "Ok")</f>
        <v>Ok</v>
      </c>
    </row>
    <row r="1156" spans="1:11" x14ac:dyDescent="0.3">
      <c r="A1156" s="1" t="s">
        <v>4772</v>
      </c>
      <c r="B1156" s="1" t="s">
        <v>346</v>
      </c>
      <c r="C1156" s="1" t="s">
        <v>3334</v>
      </c>
      <c r="D1156" s="1">
        <v>397702.16</v>
      </c>
      <c r="E1156" s="1">
        <v>20047.099999999999</v>
      </c>
      <c r="F1156" s="41">
        <v>45308</v>
      </c>
      <c r="G1156" s="41">
        <v>45674</v>
      </c>
      <c r="H1156" s="1" t="s">
        <v>3383</v>
      </c>
      <c r="I1156" s="1" t="s">
        <v>3320</v>
      </c>
      <c r="J1156" t="str">
        <f>IF(ISNA(_xlfn.XLOOKUP(B1156,customer_master!$A$2:$A$1649, customer_master!$A$2:$A$1649)), "Invalid", "Ok")</f>
        <v>Ok</v>
      </c>
      <c r="K1156" t="str">
        <f>IF(ISNA(_xlfn.XLOOKUP(H1156,agent_info!$A$2:$A$301, agent_info!$A$2:$A$301)), "Invalid", "Ok")</f>
        <v>Ok</v>
      </c>
    </row>
    <row r="1157" spans="1:11" x14ac:dyDescent="0.3">
      <c r="A1157" s="1" t="s">
        <v>4773</v>
      </c>
      <c r="B1157" s="1" t="s">
        <v>2997</v>
      </c>
      <c r="C1157" s="1" t="s">
        <v>3331</v>
      </c>
      <c r="D1157" s="1">
        <v>546096.75</v>
      </c>
      <c r="E1157" s="1">
        <v>25750.31</v>
      </c>
      <c r="F1157" s="41">
        <v>45953</v>
      </c>
      <c r="G1157" s="41">
        <v>46318</v>
      </c>
      <c r="H1157" s="1" t="s">
        <v>3395</v>
      </c>
      <c r="I1157" s="1" t="s">
        <v>3316</v>
      </c>
      <c r="J1157" t="str">
        <f>IF(ISNA(_xlfn.XLOOKUP(B1157,customer_master!$A$2:$A$1649, customer_master!$A$2:$A$1649)), "Invalid", "Ok")</f>
        <v>Ok</v>
      </c>
      <c r="K1157" t="str">
        <f>IF(ISNA(_xlfn.XLOOKUP(H1157,agent_info!$A$2:$A$301, agent_info!$A$2:$A$301)), "Invalid", "Ok")</f>
        <v>Ok</v>
      </c>
    </row>
    <row r="1158" spans="1:11" x14ac:dyDescent="0.3">
      <c r="A1158" s="1" t="s">
        <v>4774</v>
      </c>
      <c r="B1158" s="1" t="s">
        <v>125</v>
      </c>
      <c r="C1158" s="1" t="s">
        <v>3326</v>
      </c>
      <c r="D1158" s="1">
        <v>477783.42</v>
      </c>
      <c r="E1158" s="1">
        <v>24981.99</v>
      </c>
      <c r="F1158" s="41">
        <v>45849</v>
      </c>
      <c r="G1158" s="41">
        <v>46214</v>
      </c>
      <c r="H1158" s="1" t="s">
        <v>3987</v>
      </c>
      <c r="I1158" s="1" t="s">
        <v>3324</v>
      </c>
      <c r="J1158" t="str">
        <f>IF(ISNA(_xlfn.XLOOKUP(B1158,customer_master!$A$2:$A$1649, customer_master!$A$2:$A$1649)), "Invalid", "Ok")</f>
        <v>Ok</v>
      </c>
      <c r="K1158" t="str">
        <f>IF(ISNA(_xlfn.XLOOKUP(H1158,agent_info!$A$2:$A$301, agent_info!$A$2:$A$301)), "Invalid", "Ok")</f>
        <v>Ok</v>
      </c>
    </row>
    <row r="1159" spans="1:11" x14ac:dyDescent="0.3">
      <c r="A1159" s="1" t="s">
        <v>4775</v>
      </c>
      <c r="B1159" s="1" t="s">
        <v>1751</v>
      </c>
      <c r="C1159" s="1" t="s">
        <v>3331</v>
      </c>
      <c r="D1159" s="1">
        <v>589272.30000000005</v>
      </c>
      <c r="E1159" s="1">
        <v>27114.32</v>
      </c>
      <c r="F1159" s="41">
        <v>44567</v>
      </c>
      <c r="G1159" s="41">
        <v>44932</v>
      </c>
      <c r="H1159" s="1" t="s">
        <v>4295</v>
      </c>
      <c r="I1159" s="1" t="s">
        <v>3316</v>
      </c>
      <c r="J1159" t="str">
        <f>IF(ISNA(_xlfn.XLOOKUP(B1159,customer_master!$A$2:$A$1649, customer_master!$A$2:$A$1649)), "Invalid", "Ok")</f>
        <v>Ok</v>
      </c>
      <c r="K1159" t="str">
        <f>IF(ISNA(_xlfn.XLOOKUP(H1159,agent_info!$A$2:$A$301, agent_info!$A$2:$A$301)), "Invalid", "Ok")</f>
        <v>Ok</v>
      </c>
    </row>
    <row r="1160" spans="1:11" x14ac:dyDescent="0.3">
      <c r="A1160" s="1" t="s">
        <v>4776</v>
      </c>
      <c r="B1160" s="1" t="s">
        <v>230</v>
      </c>
      <c r="C1160" s="1" t="s">
        <v>3334</v>
      </c>
      <c r="D1160" s="1">
        <v>767491.58</v>
      </c>
      <c r="E1160" s="1">
        <v>34602.32</v>
      </c>
      <c r="F1160" s="41">
        <v>44330</v>
      </c>
      <c r="G1160" s="41">
        <v>44695</v>
      </c>
      <c r="H1160" s="1" t="s">
        <v>3719</v>
      </c>
      <c r="I1160" s="1" t="s">
        <v>3316</v>
      </c>
      <c r="J1160" t="str">
        <f>IF(ISNA(_xlfn.XLOOKUP(B1160,customer_master!$A$2:$A$1649, customer_master!$A$2:$A$1649)), "Invalid", "Ok")</f>
        <v>Ok</v>
      </c>
      <c r="K1160" t="str">
        <f>IF(ISNA(_xlfn.XLOOKUP(H1160,agent_info!$A$2:$A$301, agent_info!$A$2:$A$301)), "Invalid", "Ok")</f>
        <v>Ok</v>
      </c>
    </row>
    <row r="1161" spans="1:11" x14ac:dyDescent="0.3">
      <c r="A1161" s="1" t="s">
        <v>4777</v>
      </c>
      <c r="B1161" s="1" t="s">
        <v>2591</v>
      </c>
      <c r="C1161" s="1" t="s">
        <v>3318</v>
      </c>
      <c r="D1161" s="1">
        <v>542319.06000000006</v>
      </c>
      <c r="E1161" s="1">
        <v>28068.83</v>
      </c>
      <c r="F1161" s="41">
        <v>44269</v>
      </c>
      <c r="G1161" s="41">
        <v>44634</v>
      </c>
      <c r="H1161" s="1" t="s">
        <v>3477</v>
      </c>
      <c r="I1161" s="1" t="s">
        <v>3324</v>
      </c>
      <c r="J1161" t="str">
        <f>IF(ISNA(_xlfn.XLOOKUP(B1161,customer_master!$A$2:$A$1649, customer_master!$A$2:$A$1649)), "Invalid", "Ok")</f>
        <v>Ok</v>
      </c>
      <c r="K1161" t="str">
        <f>IF(ISNA(_xlfn.XLOOKUP(H1161,agent_info!$A$2:$A$301, agent_info!$A$2:$A$301)), "Invalid", "Ok")</f>
        <v>Ok</v>
      </c>
    </row>
    <row r="1162" spans="1:11" x14ac:dyDescent="0.3">
      <c r="A1162" s="1" t="s">
        <v>4778</v>
      </c>
      <c r="B1162" s="1" t="s">
        <v>751</v>
      </c>
      <c r="C1162" s="1" t="s">
        <v>3314</v>
      </c>
      <c r="D1162" s="1">
        <v>606782.48</v>
      </c>
      <c r="E1162" s="1">
        <v>30343.97</v>
      </c>
      <c r="F1162" s="41">
        <v>44272</v>
      </c>
      <c r="G1162" s="41">
        <v>44637</v>
      </c>
      <c r="H1162" s="1" t="s">
        <v>3315</v>
      </c>
      <c r="I1162" s="1" t="s">
        <v>3316</v>
      </c>
      <c r="J1162" t="str">
        <f>IF(ISNA(_xlfn.XLOOKUP(B1162,customer_master!$A$2:$A$1649, customer_master!$A$2:$A$1649)), "Invalid", "Ok")</f>
        <v>Ok</v>
      </c>
      <c r="K1162" t="str">
        <f>IF(ISNA(_xlfn.XLOOKUP(H1162,agent_info!$A$2:$A$301, agent_info!$A$2:$A$301)), "Invalid", "Ok")</f>
        <v>Ok</v>
      </c>
    </row>
    <row r="1163" spans="1:11" x14ac:dyDescent="0.3">
      <c r="A1163" s="1" t="s">
        <v>4779</v>
      </c>
      <c r="B1163" s="1" t="s">
        <v>1895</v>
      </c>
      <c r="C1163" s="1" t="s">
        <v>3318</v>
      </c>
      <c r="D1163" s="1">
        <v>725474.09</v>
      </c>
      <c r="E1163" s="1">
        <v>39552.959999999999</v>
      </c>
      <c r="F1163" s="41">
        <v>45700</v>
      </c>
      <c r="G1163" s="41">
        <v>46065</v>
      </c>
      <c r="H1163" s="1" t="s">
        <v>3559</v>
      </c>
      <c r="I1163" s="1" t="s">
        <v>3320</v>
      </c>
      <c r="J1163" t="str">
        <f>IF(ISNA(_xlfn.XLOOKUP(B1163,customer_master!$A$2:$A$1649, customer_master!$A$2:$A$1649)), "Invalid", "Ok")</f>
        <v>Ok</v>
      </c>
      <c r="K1163" t="str">
        <f>IF(ISNA(_xlfn.XLOOKUP(H1163,agent_info!$A$2:$A$301, agent_info!$A$2:$A$301)), "Invalid", "Ok")</f>
        <v>Ok</v>
      </c>
    </row>
    <row r="1164" spans="1:11" x14ac:dyDescent="0.3">
      <c r="A1164" s="1" t="s">
        <v>4780</v>
      </c>
      <c r="B1164" s="1" t="s">
        <v>3047</v>
      </c>
      <c r="C1164" s="1" t="s">
        <v>3334</v>
      </c>
      <c r="D1164" s="1">
        <v>571023.94999999995</v>
      </c>
      <c r="E1164" s="1">
        <v>27109.279999999999</v>
      </c>
      <c r="F1164" s="41">
        <v>46131</v>
      </c>
      <c r="G1164" s="41">
        <v>46496</v>
      </c>
      <c r="H1164" s="1" t="s">
        <v>3682</v>
      </c>
      <c r="I1164" s="1" t="s">
        <v>3324</v>
      </c>
      <c r="J1164" t="str">
        <f>IF(ISNA(_xlfn.XLOOKUP(B1164,customer_master!$A$2:$A$1649, customer_master!$A$2:$A$1649)), "Invalid", "Ok")</f>
        <v>Ok</v>
      </c>
      <c r="K1164" t="str">
        <f>IF(ISNA(_xlfn.XLOOKUP(H1164,agent_info!$A$2:$A$301, agent_info!$A$2:$A$301)), "Invalid", "Ok")</f>
        <v>Ok</v>
      </c>
    </row>
    <row r="1165" spans="1:11" x14ac:dyDescent="0.3">
      <c r="A1165" s="1" t="s">
        <v>4781</v>
      </c>
      <c r="B1165" s="1" t="s">
        <v>2170</v>
      </c>
      <c r="C1165" s="1" t="s">
        <v>3334</v>
      </c>
      <c r="D1165" s="1">
        <v>685731.4</v>
      </c>
      <c r="E1165" s="1">
        <v>31703.119999999999</v>
      </c>
      <c r="F1165" s="41">
        <v>45709</v>
      </c>
      <c r="G1165" s="41">
        <v>46074</v>
      </c>
      <c r="H1165" s="1" t="s">
        <v>4472</v>
      </c>
      <c r="I1165" s="1" t="s">
        <v>3324</v>
      </c>
      <c r="J1165" t="str">
        <f>IF(ISNA(_xlfn.XLOOKUP(B1165,customer_master!$A$2:$A$1649, customer_master!$A$2:$A$1649)), "Invalid", "Ok")</f>
        <v>Ok</v>
      </c>
      <c r="K1165" t="str">
        <f>IF(ISNA(_xlfn.XLOOKUP(H1165,agent_info!$A$2:$A$301, agent_info!$A$2:$A$301)), "Invalid", "Ok")</f>
        <v>Ok</v>
      </c>
    </row>
    <row r="1166" spans="1:11" x14ac:dyDescent="0.3">
      <c r="A1166" s="1" t="s">
        <v>4782</v>
      </c>
      <c r="B1166" s="1" t="s">
        <v>632</v>
      </c>
      <c r="C1166" s="1" t="s">
        <v>3326</v>
      </c>
      <c r="D1166" s="1">
        <v>542028.39</v>
      </c>
      <c r="E1166" s="1">
        <v>24516.52</v>
      </c>
      <c r="F1166" s="41">
        <v>44331</v>
      </c>
      <c r="G1166" s="41">
        <v>44696</v>
      </c>
      <c r="H1166" s="1" t="s">
        <v>4027</v>
      </c>
      <c r="I1166" s="1" t="s">
        <v>3316</v>
      </c>
      <c r="J1166" t="str">
        <f>IF(ISNA(_xlfn.XLOOKUP(B1166,customer_master!$A$2:$A$1649, customer_master!$A$2:$A$1649)), "Invalid", "Ok")</f>
        <v>Ok</v>
      </c>
      <c r="K1166" t="str">
        <f>IF(ISNA(_xlfn.XLOOKUP(H1166,agent_info!$A$2:$A$301, agent_info!$A$2:$A$301)), "Invalid", "Ok")</f>
        <v>Ok</v>
      </c>
    </row>
    <row r="1167" spans="1:11" x14ac:dyDescent="0.3">
      <c r="A1167" s="1" t="s">
        <v>4783</v>
      </c>
      <c r="B1167" s="1" t="s">
        <v>2641</v>
      </c>
      <c r="C1167" s="1" t="s">
        <v>3314</v>
      </c>
      <c r="D1167" s="1">
        <v>630324.79</v>
      </c>
      <c r="E1167" s="1">
        <v>31164.82</v>
      </c>
      <c r="F1167" s="41">
        <v>44883</v>
      </c>
      <c r="G1167" s="41">
        <v>45248</v>
      </c>
      <c r="H1167" s="1" t="s">
        <v>4031</v>
      </c>
      <c r="I1167" s="1" t="s">
        <v>3324</v>
      </c>
      <c r="J1167" t="str">
        <f>IF(ISNA(_xlfn.XLOOKUP(B1167,customer_master!$A$2:$A$1649, customer_master!$A$2:$A$1649)), "Invalid", "Ok")</f>
        <v>Ok</v>
      </c>
      <c r="K1167" t="str">
        <f>IF(ISNA(_xlfn.XLOOKUP(H1167,agent_info!$A$2:$A$301, agent_info!$A$2:$A$301)), "Invalid", "Ok")</f>
        <v>Ok</v>
      </c>
    </row>
    <row r="1168" spans="1:11" x14ac:dyDescent="0.3">
      <c r="A1168" s="1" t="s">
        <v>4784</v>
      </c>
      <c r="B1168" s="1" t="s">
        <v>1481</v>
      </c>
      <c r="C1168" s="1" t="s">
        <v>3331</v>
      </c>
      <c r="D1168" s="1">
        <v>737249.68</v>
      </c>
      <c r="E1168" s="1">
        <v>33919.51</v>
      </c>
      <c r="F1168" s="41">
        <v>45947</v>
      </c>
      <c r="G1168" s="41">
        <v>46312</v>
      </c>
      <c r="H1168" s="1" t="s">
        <v>3589</v>
      </c>
      <c r="I1168" s="1" t="s">
        <v>3316</v>
      </c>
      <c r="J1168" t="str">
        <f>IF(ISNA(_xlfn.XLOOKUP(B1168,customer_master!$A$2:$A$1649, customer_master!$A$2:$A$1649)), "Invalid", "Ok")</f>
        <v>Ok</v>
      </c>
      <c r="K1168" t="str">
        <f>IF(ISNA(_xlfn.XLOOKUP(H1168,agent_info!$A$2:$A$301, agent_info!$A$2:$A$301)), "Invalid", "Ok")</f>
        <v>Ok</v>
      </c>
    </row>
    <row r="1169" spans="1:11" x14ac:dyDescent="0.3">
      <c r="A1169" s="1" t="s">
        <v>4785</v>
      </c>
      <c r="B1169" s="1" t="s">
        <v>79</v>
      </c>
      <c r="C1169" s="1" t="s">
        <v>3334</v>
      </c>
      <c r="D1169" s="1">
        <v>385270.95</v>
      </c>
      <c r="E1169" s="1">
        <v>20325.52</v>
      </c>
      <c r="F1169" s="41">
        <v>46168</v>
      </c>
      <c r="G1169" s="41">
        <v>46533</v>
      </c>
      <c r="H1169" s="1" t="s">
        <v>3359</v>
      </c>
      <c r="I1169" s="1" t="s">
        <v>3324</v>
      </c>
      <c r="J1169" t="str">
        <f>IF(ISNA(_xlfn.XLOOKUP(B1169,customer_master!$A$2:$A$1649, customer_master!$A$2:$A$1649)), "Invalid", "Ok")</f>
        <v>Ok</v>
      </c>
      <c r="K1169" t="str">
        <f>IF(ISNA(_xlfn.XLOOKUP(H1169,agent_info!$A$2:$A$301, agent_info!$A$2:$A$301)), "Invalid", "Ok")</f>
        <v>Ok</v>
      </c>
    </row>
    <row r="1170" spans="1:11" x14ac:dyDescent="0.3">
      <c r="A1170" s="1" t="s">
        <v>4786</v>
      </c>
      <c r="B1170" s="1" t="s">
        <v>1636</v>
      </c>
      <c r="C1170" s="1" t="s">
        <v>3318</v>
      </c>
      <c r="D1170" s="1">
        <v>718555.28</v>
      </c>
      <c r="E1170" s="1">
        <v>32852.25</v>
      </c>
      <c r="F1170" s="41">
        <v>45341</v>
      </c>
      <c r="G1170" s="41">
        <v>45707</v>
      </c>
      <c r="H1170" s="1" t="s">
        <v>3672</v>
      </c>
      <c r="I1170" s="1" t="s">
        <v>3324</v>
      </c>
      <c r="J1170" t="str">
        <f>IF(ISNA(_xlfn.XLOOKUP(B1170,customer_master!$A$2:$A$1649, customer_master!$A$2:$A$1649)), "Invalid", "Ok")</f>
        <v>Ok</v>
      </c>
      <c r="K1170" t="str">
        <f>IF(ISNA(_xlfn.XLOOKUP(H1170,agent_info!$A$2:$A$301, agent_info!$A$2:$A$301)), "Invalid", "Ok")</f>
        <v>Ok</v>
      </c>
    </row>
    <row r="1171" spans="1:11" x14ac:dyDescent="0.3">
      <c r="A1171" s="1" t="s">
        <v>4787</v>
      </c>
      <c r="B1171" s="1" t="s">
        <v>2696</v>
      </c>
      <c r="C1171" s="1" t="s">
        <v>3318</v>
      </c>
      <c r="D1171" s="1">
        <v>566127.57999999996</v>
      </c>
      <c r="E1171" s="1">
        <v>30688.39</v>
      </c>
      <c r="F1171" s="41">
        <v>44080</v>
      </c>
      <c r="G1171" s="41">
        <v>44445</v>
      </c>
      <c r="H1171" s="1" t="s">
        <v>3329</v>
      </c>
      <c r="I1171" s="1" t="s">
        <v>3324</v>
      </c>
      <c r="J1171" t="str">
        <f>IF(ISNA(_xlfn.XLOOKUP(B1171,customer_master!$A$2:$A$1649, customer_master!$A$2:$A$1649)), "Invalid", "Ok")</f>
        <v>Ok</v>
      </c>
      <c r="K1171" t="str">
        <f>IF(ISNA(_xlfn.XLOOKUP(H1171,agent_info!$A$2:$A$301, agent_info!$A$2:$A$301)), "Invalid", "Ok")</f>
        <v>Ok</v>
      </c>
    </row>
    <row r="1172" spans="1:11" x14ac:dyDescent="0.3">
      <c r="A1172" s="1" t="s">
        <v>4788</v>
      </c>
      <c r="B1172" s="1" t="s">
        <v>1447</v>
      </c>
      <c r="C1172" s="1" t="s">
        <v>3326</v>
      </c>
      <c r="D1172" s="1">
        <v>562367.53</v>
      </c>
      <c r="E1172" s="1">
        <v>28348.13</v>
      </c>
      <c r="F1172" s="41">
        <v>44212</v>
      </c>
      <c r="G1172" s="41">
        <v>44577</v>
      </c>
      <c r="H1172" s="1" t="s">
        <v>3796</v>
      </c>
      <c r="I1172" s="1" t="s">
        <v>3324</v>
      </c>
      <c r="J1172" t="str">
        <f>IF(ISNA(_xlfn.XLOOKUP(B1172,customer_master!$A$2:$A$1649, customer_master!$A$2:$A$1649)), "Invalid", "Ok")</f>
        <v>Ok</v>
      </c>
      <c r="K1172" t="str">
        <f>IF(ISNA(_xlfn.XLOOKUP(H1172,agent_info!$A$2:$A$301, agent_info!$A$2:$A$301)), "Invalid", "Ok")</f>
        <v>Ok</v>
      </c>
    </row>
    <row r="1173" spans="1:11" x14ac:dyDescent="0.3">
      <c r="A1173" s="1" t="s">
        <v>4789</v>
      </c>
      <c r="B1173" s="1" t="s">
        <v>2527</v>
      </c>
      <c r="C1173" s="1" t="s">
        <v>3314</v>
      </c>
      <c r="D1173" s="1">
        <v>558272.31999999995</v>
      </c>
      <c r="E1173" s="1">
        <v>29009.91</v>
      </c>
      <c r="F1173" s="41">
        <v>45251</v>
      </c>
      <c r="G1173" s="41">
        <v>45617</v>
      </c>
      <c r="H1173" s="1" t="s">
        <v>3351</v>
      </c>
      <c r="I1173" s="1" t="s">
        <v>3324</v>
      </c>
      <c r="J1173" t="str">
        <f>IF(ISNA(_xlfn.XLOOKUP(B1173,customer_master!$A$2:$A$1649, customer_master!$A$2:$A$1649)), "Invalid", "Ok")</f>
        <v>Ok</v>
      </c>
      <c r="K1173" t="str">
        <f>IF(ISNA(_xlfn.XLOOKUP(H1173,agent_info!$A$2:$A$301, agent_info!$A$2:$A$301)), "Invalid", "Ok")</f>
        <v>Ok</v>
      </c>
    </row>
    <row r="1174" spans="1:11" x14ac:dyDescent="0.3">
      <c r="A1174" s="1" t="s">
        <v>4790</v>
      </c>
      <c r="B1174" s="1" t="s">
        <v>2358</v>
      </c>
      <c r="C1174" s="1" t="s">
        <v>3331</v>
      </c>
      <c r="D1174" s="1">
        <v>481040.46</v>
      </c>
      <c r="E1174" s="1">
        <v>22276.58</v>
      </c>
      <c r="F1174" s="41">
        <v>45933</v>
      </c>
      <c r="G1174" s="41">
        <v>46298</v>
      </c>
      <c r="H1174" s="1" t="s">
        <v>3920</v>
      </c>
      <c r="I1174" s="1" t="s">
        <v>3320</v>
      </c>
      <c r="J1174" t="str">
        <f>IF(ISNA(_xlfn.XLOOKUP(B1174,customer_master!$A$2:$A$1649, customer_master!$A$2:$A$1649)), "Invalid", "Ok")</f>
        <v>Ok</v>
      </c>
      <c r="K1174" t="str">
        <f>IF(ISNA(_xlfn.XLOOKUP(H1174,agent_info!$A$2:$A$301, agent_info!$A$2:$A$301)), "Invalid", "Ok")</f>
        <v>Ok</v>
      </c>
    </row>
    <row r="1175" spans="1:11" x14ac:dyDescent="0.3">
      <c r="A1175" s="1" t="s">
        <v>4791</v>
      </c>
      <c r="B1175" s="1" t="s">
        <v>1533</v>
      </c>
      <c r="C1175" s="1" t="s">
        <v>3318</v>
      </c>
      <c r="D1175" s="1">
        <v>402950.72</v>
      </c>
      <c r="E1175" s="1">
        <v>18493.439999999999</v>
      </c>
      <c r="F1175" s="41">
        <v>46224</v>
      </c>
      <c r="G1175" s="41">
        <v>46589</v>
      </c>
      <c r="H1175" s="1" t="s">
        <v>3365</v>
      </c>
      <c r="I1175" s="1" t="s">
        <v>3320</v>
      </c>
      <c r="J1175" t="str">
        <f>IF(ISNA(_xlfn.XLOOKUP(B1175,customer_master!$A$2:$A$1649, customer_master!$A$2:$A$1649)), "Invalid", "Ok")</f>
        <v>Ok</v>
      </c>
      <c r="K1175" t="str">
        <f>IF(ISNA(_xlfn.XLOOKUP(H1175,agent_info!$A$2:$A$301, agent_info!$A$2:$A$301)), "Invalid", "Ok")</f>
        <v>Ok</v>
      </c>
    </row>
    <row r="1176" spans="1:11" x14ac:dyDescent="0.3">
      <c r="A1176" s="1" t="s">
        <v>4792</v>
      </c>
      <c r="B1176" s="1" t="s">
        <v>1091</v>
      </c>
      <c r="C1176" s="1" t="s">
        <v>3331</v>
      </c>
      <c r="D1176" s="1">
        <v>742065.46</v>
      </c>
      <c r="E1176" s="1">
        <v>36017.51</v>
      </c>
      <c r="F1176" s="41">
        <v>44777</v>
      </c>
      <c r="G1176" s="41">
        <v>45142</v>
      </c>
      <c r="H1176" s="1" t="s">
        <v>4025</v>
      </c>
      <c r="I1176" s="1" t="s">
        <v>3324</v>
      </c>
      <c r="J1176" t="str">
        <f>IF(ISNA(_xlfn.XLOOKUP(B1176,customer_master!$A$2:$A$1649, customer_master!$A$2:$A$1649)), "Invalid", "Ok")</f>
        <v>Ok</v>
      </c>
      <c r="K1176" t="str">
        <f>IF(ISNA(_xlfn.XLOOKUP(H1176,agent_info!$A$2:$A$301, agent_info!$A$2:$A$301)), "Invalid", "Ok")</f>
        <v>Ok</v>
      </c>
    </row>
    <row r="1177" spans="1:11" x14ac:dyDescent="0.3">
      <c r="A1177" s="1" t="s">
        <v>4793</v>
      </c>
      <c r="B1177" s="1" t="s">
        <v>2432</v>
      </c>
      <c r="C1177" s="1" t="s">
        <v>3326</v>
      </c>
      <c r="D1177" s="1">
        <v>568356.67000000004</v>
      </c>
      <c r="E1177" s="1">
        <v>28533.97</v>
      </c>
      <c r="F1177" s="41">
        <v>44877</v>
      </c>
      <c r="G1177" s="41">
        <v>45242</v>
      </c>
      <c r="H1177" s="1" t="s">
        <v>3747</v>
      </c>
      <c r="I1177" s="1" t="s">
        <v>3324</v>
      </c>
      <c r="J1177" t="str">
        <f>IF(ISNA(_xlfn.XLOOKUP(B1177,customer_master!$A$2:$A$1649, customer_master!$A$2:$A$1649)), "Invalid", "Ok")</f>
        <v>Ok</v>
      </c>
      <c r="K1177" t="str">
        <f>IF(ISNA(_xlfn.XLOOKUP(H1177,agent_info!$A$2:$A$301, agent_info!$A$2:$A$301)), "Invalid", "Ok")</f>
        <v>Ok</v>
      </c>
    </row>
    <row r="1178" spans="1:11" x14ac:dyDescent="0.3">
      <c r="A1178" s="1" t="s">
        <v>4794</v>
      </c>
      <c r="B1178" s="1" t="s">
        <v>1247</v>
      </c>
      <c r="C1178" s="1" t="s">
        <v>3314</v>
      </c>
      <c r="D1178" s="1">
        <v>721286.23</v>
      </c>
      <c r="E1178" s="1">
        <v>36608.9</v>
      </c>
      <c r="F1178" s="41">
        <v>45566</v>
      </c>
      <c r="G1178" s="41">
        <v>45931</v>
      </c>
      <c r="H1178" s="1" t="s">
        <v>3417</v>
      </c>
      <c r="I1178" s="1" t="s">
        <v>3324</v>
      </c>
      <c r="J1178" t="str">
        <f>IF(ISNA(_xlfn.XLOOKUP(B1178,customer_master!$A$2:$A$1649, customer_master!$A$2:$A$1649)), "Invalid", "Ok")</f>
        <v>Ok</v>
      </c>
      <c r="K1178" t="str">
        <f>IF(ISNA(_xlfn.XLOOKUP(H1178,agent_info!$A$2:$A$301, agent_info!$A$2:$A$301)), "Invalid", "Ok")</f>
        <v>Ok</v>
      </c>
    </row>
    <row r="1179" spans="1:11" x14ac:dyDescent="0.3">
      <c r="A1179" s="1" t="s">
        <v>4795</v>
      </c>
      <c r="B1179" s="1" t="s">
        <v>598</v>
      </c>
      <c r="C1179" s="1" t="s">
        <v>3331</v>
      </c>
      <c r="D1179" s="1">
        <v>492443.36</v>
      </c>
      <c r="E1179" s="1">
        <v>23783.97</v>
      </c>
      <c r="F1179" s="41">
        <v>45823</v>
      </c>
      <c r="G1179" s="41">
        <v>46188</v>
      </c>
      <c r="H1179" s="1" t="s">
        <v>4175</v>
      </c>
      <c r="I1179" s="1" t="s">
        <v>3324</v>
      </c>
      <c r="J1179" t="str">
        <f>IF(ISNA(_xlfn.XLOOKUP(B1179,customer_master!$A$2:$A$1649, customer_master!$A$2:$A$1649)), "Invalid", "Ok")</f>
        <v>Ok</v>
      </c>
      <c r="K1179" t="str">
        <f>IF(ISNA(_xlfn.XLOOKUP(H1179,agent_info!$A$2:$A$301, agent_info!$A$2:$A$301)), "Invalid", "Ok")</f>
        <v>Ok</v>
      </c>
    </row>
    <row r="1180" spans="1:11" x14ac:dyDescent="0.3">
      <c r="A1180" s="1" t="s">
        <v>4796</v>
      </c>
      <c r="B1180" s="1" t="s">
        <v>1085</v>
      </c>
      <c r="C1180" s="1" t="s">
        <v>3314</v>
      </c>
      <c r="D1180" s="1">
        <v>492029.6</v>
      </c>
      <c r="E1180" s="1">
        <v>23482.91</v>
      </c>
      <c r="F1180" s="41">
        <v>45216</v>
      </c>
      <c r="G1180" s="41">
        <v>45582</v>
      </c>
      <c r="H1180" s="1" t="s">
        <v>3627</v>
      </c>
      <c r="I1180" s="1" t="s">
        <v>3316</v>
      </c>
      <c r="J1180" t="str">
        <f>IF(ISNA(_xlfn.XLOOKUP(B1180,customer_master!$A$2:$A$1649, customer_master!$A$2:$A$1649)), "Invalid", "Ok")</f>
        <v>Ok</v>
      </c>
      <c r="K1180" t="str">
        <f>IF(ISNA(_xlfn.XLOOKUP(H1180,agent_info!$A$2:$A$301, agent_info!$A$2:$A$301)), "Invalid", "Ok")</f>
        <v>Ok</v>
      </c>
    </row>
    <row r="1181" spans="1:11" x14ac:dyDescent="0.3">
      <c r="A1181" s="1" t="s">
        <v>4797</v>
      </c>
      <c r="B1181" s="1" t="s">
        <v>2916</v>
      </c>
      <c r="C1181" s="1" t="s">
        <v>3314</v>
      </c>
      <c r="D1181" s="1">
        <v>514277.01</v>
      </c>
      <c r="E1181" s="1">
        <v>28189.63</v>
      </c>
      <c r="F1181" s="41">
        <v>45395</v>
      </c>
      <c r="G1181" s="41">
        <v>45760</v>
      </c>
      <c r="H1181" s="1" t="s">
        <v>3319</v>
      </c>
      <c r="I1181" s="1" t="s">
        <v>3324</v>
      </c>
      <c r="J1181" t="str">
        <f>IF(ISNA(_xlfn.XLOOKUP(B1181,customer_master!$A$2:$A$1649, customer_master!$A$2:$A$1649)), "Invalid", "Ok")</f>
        <v>Ok</v>
      </c>
      <c r="K1181" t="str">
        <f>IF(ISNA(_xlfn.XLOOKUP(H1181,agent_info!$A$2:$A$301, agent_info!$A$2:$A$301)), "Invalid", "Ok")</f>
        <v>Ok</v>
      </c>
    </row>
    <row r="1182" spans="1:11" x14ac:dyDescent="0.3">
      <c r="A1182" s="1" t="s">
        <v>4798</v>
      </c>
      <c r="B1182" s="1" t="s">
        <v>958</v>
      </c>
      <c r="C1182" s="1" t="s">
        <v>3318</v>
      </c>
      <c r="D1182" s="1">
        <v>465332.45</v>
      </c>
      <c r="E1182" s="1">
        <v>22208.74</v>
      </c>
      <c r="F1182" s="41">
        <v>44563</v>
      </c>
      <c r="G1182" s="41">
        <v>44928</v>
      </c>
      <c r="H1182" s="1" t="s">
        <v>3917</v>
      </c>
      <c r="I1182" s="1" t="s">
        <v>3324</v>
      </c>
      <c r="J1182" t="str">
        <f>IF(ISNA(_xlfn.XLOOKUP(B1182,customer_master!$A$2:$A$1649, customer_master!$A$2:$A$1649)), "Invalid", "Ok")</f>
        <v>Ok</v>
      </c>
      <c r="K1182" t="str">
        <f>IF(ISNA(_xlfn.XLOOKUP(H1182,agent_info!$A$2:$A$301, agent_info!$A$2:$A$301)), "Invalid", "Ok")</f>
        <v>Ok</v>
      </c>
    </row>
    <row r="1183" spans="1:11" x14ac:dyDescent="0.3">
      <c r="A1183" s="1" t="s">
        <v>4799</v>
      </c>
      <c r="B1183" s="1" t="s">
        <v>821</v>
      </c>
      <c r="C1183" s="1" t="s">
        <v>3334</v>
      </c>
      <c r="D1183" s="1">
        <v>576718.72</v>
      </c>
      <c r="E1183" s="1">
        <v>26747.78</v>
      </c>
      <c r="F1183" s="41">
        <v>44943</v>
      </c>
      <c r="G1183" s="41">
        <v>45308</v>
      </c>
      <c r="H1183" s="1" t="s">
        <v>3530</v>
      </c>
      <c r="I1183" s="1" t="s">
        <v>3320</v>
      </c>
      <c r="J1183" t="str">
        <f>IF(ISNA(_xlfn.XLOOKUP(B1183,customer_master!$A$2:$A$1649, customer_master!$A$2:$A$1649)), "Invalid", "Ok")</f>
        <v>Ok</v>
      </c>
      <c r="K1183" t="str">
        <f>IF(ISNA(_xlfn.XLOOKUP(H1183,agent_info!$A$2:$A$301, agent_info!$A$2:$A$301)), "Invalid", "Ok")</f>
        <v>Ok</v>
      </c>
    </row>
    <row r="1184" spans="1:11" x14ac:dyDescent="0.3">
      <c r="A1184" s="1" t="s">
        <v>4800</v>
      </c>
      <c r="B1184" s="1" t="s">
        <v>475</v>
      </c>
      <c r="C1184" s="1" t="s">
        <v>3331</v>
      </c>
      <c r="D1184" s="1">
        <v>738676.15</v>
      </c>
      <c r="E1184" s="1">
        <v>35895.67</v>
      </c>
      <c r="F1184" s="41">
        <v>45256</v>
      </c>
      <c r="G1184" s="41">
        <v>45622</v>
      </c>
      <c r="H1184" s="1" t="s">
        <v>3527</v>
      </c>
      <c r="I1184" s="1" t="s">
        <v>3324</v>
      </c>
      <c r="J1184" t="str">
        <f>IF(ISNA(_xlfn.XLOOKUP(B1184,customer_master!$A$2:$A$1649, customer_master!$A$2:$A$1649)), "Invalid", "Ok")</f>
        <v>Ok</v>
      </c>
      <c r="K1184" t="str">
        <f>IF(ISNA(_xlfn.XLOOKUP(H1184,agent_info!$A$2:$A$301, agent_info!$A$2:$A$301)), "Invalid", "Ok")</f>
        <v>Ok</v>
      </c>
    </row>
    <row r="1185" spans="1:11" x14ac:dyDescent="0.3">
      <c r="A1185" s="1" t="s">
        <v>4801</v>
      </c>
      <c r="B1185" s="1" t="s">
        <v>218</v>
      </c>
      <c r="C1185" s="1" t="s">
        <v>3318</v>
      </c>
      <c r="D1185" s="1">
        <v>709151.69</v>
      </c>
      <c r="E1185" s="1">
        <v>34066.730000000003</v>
      </c>
      <c r="F1185" s="41">
        <v>45086</v>
      </c>
      <c r="G1185" s="41">
        <v>45452</v>
      </c>
      <c r="H1185" s="1" t="s">
        <v>3453</v>
      </c>
      <c r="I1185" s="1" t="s">
        <v>3324</v>
      </c>
      <c r="J1185" t="str">
        <f>IF(ISNA(_xlfn.XLOOKUP(B1185,customer_master!$A$2:$A$1649, customer_master!$A$2:$A$1649)), "Invalid", "Ok")</f>
        <v>Ok</v>
      </c>
      <c r="K1185" t="str">
        <f>IF(ISNA(_xlfn.XLOOKUP(H1185,agent_info!$A$2:$A$301, agent_info!$A$2:$A$301)), "Invalid", "Ok")</f>
        <v>Ok</v>
      </c>
    </row>
    <row r="1186" spans="1:11" x14ac:dyDescent="0.3">
      <c r="A1186" s="1" t="s">
        <v>4802</v>
      </c>
      <c r="B1186" s="1" t="s">
        <v>3234</v>
      </c>
      <c r="C1186" s="1" t="s">
        <v>3318</v>
      </c>
      <c r="D1186" s="1">
        <v>565147.97</v>
      </c>
      <c r="E1186" s="1">
        <v>27815.09</v>
      </c>
      <c r="F1186" s="41">
        <v>44394</v>
      </c>
      <c r="G1186" s="41">
        <v>44759</v>
      </c>
      <c r="H1186" s="1" t="s">
        <v>3712</v>
      </c>
      <c r="I1186" s="1" t="s">
        <v>3324</v>
      </c>
      <c r="J1186" t="str">
        <f>IF(ISNA(_xlfn.XLOOKUP(B1186,customer_master!$A$2:$A$1649, customer_master!$A$2:$A$1649)), "Invalid", "Ok")</f>
        <v>Ok</v>
      </c>
      <c r="K1186" t="str">
        <f>IF(ISNA(_xlfn.XLOOKUP(H1186,agent_info!$A$2:$A$301, agent_info!$A$2:$A$301)), "Invalid", "Ok")</f>
        <v>Ok</v>
      </c>
    </row>
    <row r="1187" spans="1:11" x14ac:dyDescent="0.3">
      <c r="A1187" s="1" t="s">
        <v>4803</v>
      </c>
      <c r="B1187" s="1" t="s">
        <v>1801</v>
      </c>
      <c r="C1187" s="1" t="s">
        <v>3331</v>
      </c>
      <c r="D1187" s="1">
        <v>514552.88</v>
      </c>
      <c r="E1187" s="1">
        <v>26364.22</v>
      </c>
      <c r="F1187" s="41">
        <v>46143</v>
      </c>
      <c r="G1187" s="41">
        <v>46508</v>
      </c>
      <c r="H1187" s="1" t="s">
        <v>3598</v>
      </c>
      <c r="I1187" s="1" t="s">
        <v>3324</v>
      </c>
      <c r="J1187" t="str">
        <f>IF(ISNA(_xlfn.XLOOKUP(B1187,customer_master!$A$2:$A$1649, customer_master!$A$2:$A$1649)), "Invalid", "Ok")</f>
        <v>Ok</v>
      </c>
      <c r="K1187" t="str">
        <f>IF(ISNA(_xlfn.XLOOKUP(H1187,agent_info!$A$2:$A$301, agent_info!$A$2:$A$301)), "Invalid", "Ok")</f>
        <v>Ok</v>
      </c>
    </row>
    <row r="1188" spans="1:11" x14ac:dyDescent="0.3">
      <c r="A1188" s="1" t="s">
        <v>4804</v>
      </c>
      <c r="B1188" s="1" t="s">
        <v>2442</v>
      </c>
      <c r="C1188" s="1" t="s">
        <v>3314</v>
      </c>
      <c r="D1188" s="1">
        <v>620499.80000000005</v>
      </c>
      <c r="E1188" s="1">
        <v>31665.02</v>
      </c>
      <c r="F1188" s="41">
        <v>45912</v>
      </c>
      <c r="G1188" s="41">
        <v>46277</v>
      </c>
      <c r="H1188" s="1" t="s">
        <v>3939</v>
      </c>
      <c r="I1188" s="1" t="s">
        <v>3320</v>
      </c>
      <c r="J1188" t="str">
        <f>IF(ISNA(_xlfn.XLOOKUP(B1188,customer_master!$A$2:$A$1649, customer_master!$A$2:$A$1649)), "Invalid", "Ok")</f>
        <v>Ok</v>
      </c>
      <c r="K1188" t="str">
        <f>IF(ISNA(_xlfn.XLOOKUP(H1188,agent_info!$A$2:$A$301, agent_info!$A$2:$A$301)), "Invalid", "Ok")</f>
        <v>Ok</v>
      </c>
    </row>
    <row r="1189" spans="1:11" x14ac:dyDescent="0.3">
      <c r="A1189" s="1" t="s">
        <v>4805</v>
      </c>
      <c r="B1189" s="1" t="s">
        <v>2573</v>
      </c>
      <c r="C1189" s="1" t="s">
        <v>3326</v>
      </c>
      <c r="D1189" s="1">
        <v>564290.35</v>
      </c>
      <c r="E1189" s="1">
        <v>29333.45</v>
      </c>
      <c r="F1189" s="41">
        <v>45172</v>
      </c>
      <c r="G1189" s="41">
        <v>45538</v>
      </c>
      <c r="H1189" s="1" t="s">
        <v>3375</v>
      </c>
      <c r="I1189" s="1" t="s">
        <v>3324</v>
      </c>
      <c r="J1189" t="str">
        <f>IF(ISNA(_xlfn.XLOOKUP(B1189,customer_master!$A$2:$A$1649, customer_master!$A$2:$A$1649)), "Invalid", "Ok")</f>
        <v>Ok</v>
      </c>
      <c r="K1189" t="str">
        <f>IF(ISNA(_xlfn.XLOOKUP(H1189,agent_info!$A$2:$A$301, agent_info!$A$2:$A$301)), "Invalid", "Ok")</f>
        <v>Ok</v>
      </c>
    </row>
    <row r="1190" spans="1:11" x14ac:dyDescent="0.3">
      <c r="A1190" s="1" t="s">
        <v>4806</v>
      </c>
      <c r="B1190" s="1" t="s">
        <v>1191</v>
      </c>
      <c r="C1190" s="1" t="s">
        <v>3318</v>
      </c>
      <c r="D1190" s="1">
        <v>636462.82999999996</v>
      </c>
      <c r="E1190" s="1">
        <v>29638.07</v>
      </c>
      <c r="F1190" s="41">
        <v>45076</v>
      </c>
      <c r="G1190" s="41">
        <v>45442</v>
      </c>
      <c r="H1190" s="1" t="s">
        <v>3772</v>
      </c>
      <c r="I1190" s="1" t="s">
        <v>3316</v>
      </c>
      <c r="J1190" t="str">
        <f>IF(ISNA(_xlfn.XLOOKUP(B1190,customer_master!$A$2:$A$1649, customer_master!$A$2:$A$1649)), "Invalid", "Ok")</f>
        <v>Ok</v>
      </c>
      <c r="K1190" t="str">
        <f>IF(ISNA(_xlfn.XLOOKUP(H1190,agent_info!$A$2:$A$301, agent_info!$A$2:$A$301)), "Invalid", "Ok")</f>
        <v>Ok</v>
      </c>
    </row>
    <row r="1191" spans="1:11" x14ac:dyDescent="0.3">
      <c r="A1191" s="1" t="s">
        <v>4807</v>
      </c>
      <c r="B1191" s="1" t="s">
        <v>2647</v>
      </c>
      <c r="C1191" s="1" t="s">
        <v>3331</v>
      </c>
      <c r="D1191" s="1">
        <v>585831.41</v>
      </c>
      <c r="E1191" s="1">
        <v>26631.57</v>
      </c>
      <c r="F1191" s="41">
        <v>45395</v>
      </c>
      <c r="G1191" s="41">
        <v>45760</v>
      </c>
      <c r="H1191" s="1" t="s">
        <v>3920</v>
      </c>
      <c r="I1191" s="1" t="s">
        <v>3324</v>
      </c>
      <c r="J1191" t="str">
        <f>IF(ISNA(_xlfn.XLOOKUP(B1191,customer_master!$A$2:$A$1649, customer_master!$A$2:$A$1649)), "Invalid", "Ok")</f>
        <v>Ok</v>
      </c>
      <c r="K1191" t="str">
        <f>IF(ISNA(_xlfn.XLOOKUP(H1191,agent_info!$A$2:$A$301, agent_info!$A$2:$A$301)), "Invalid", "Ok")</f>
        <v>Ok</v>
      </c>
    </row>
    <row r="1192" spans="1:11" x14ac:dyDescent="0.3">
      <c r="A1192" s="1" t="s">
        <v>4808</v>
      </c>
      <c r="B1192" s="1" t="s">
        <v>3190</v>
      </c>
      <c r="C1192" s="1" t="s">
        <v>3334</v>
      </c>
      <c r="D1192" s="1">
        <v>395300.78</v>
      </c>
      <c r="E1192" s="1">
        <v>20914.61</v>
      </c>
      <c r="F1192" s="41">
        <v>44396</v>
      </c>
      <c r="G1192" s="41">
        <v>44761</v>
      </c>
      <c r="H1192" s="1" t="s">
        <v>3555</v>
      </c>
      <c r="I1192" s="1" t="s">
        <v>3316</v>
      </c>
      <c r="J1192" t="str">
        <f>IF(ISNA(_xlfn.XLOOKUP(B1192,customer_master!$A$2:$A$1649, customer_master!$A$2:$A$1649)), "Invalid", "Ok")</f>
        <v>Ok</v>
      </c>
      <c r="K1192" t="str">
        <f>IF(ISNA(_xlfn.XLOOKUP(H1192,agent_info!$A$2:$A$301, agent_info!$A$2:$A$301)), "Invalid", "Ok")</f>
        <v>Ok</v>
      </c>
    </row>
    <row r="1193" spans="1:11" x14ac:dyDescent="0.3">
      <c r="A1193" s="1" t="s">
        <v>4809</v>
      </c>
      <c r="B1193" s="1" t="s">
        <v>2468</v>
      </c>
      <c r="C1193" s="1" t="s">
        <v>3334</v>
      </c>
      <c r="D1193" s="1">
        <v>414277.91</v>
      </c>
      <c r="E1193" s="1">
        <v>19542.12</v>
      </c>
      <c r="F1193" s="41">
        <v>45535</v>
      </c>
      <c r="G1193" s="41">
        <v>45900</v>
      </c>
      <c r="H1193" s="1" t="s">
        <v>3706</v>
      </c>
      <c r="I1193" s="1" t="s">
        <v>3324</v>
      </c>
      <c r="J1193" t="str">
        <f>IF(ISNA(_xlfn.XLOOKUP(B1193,customer_master!$A$2:$A$1649, customer_master!$A$2:$A$1649)), "Invalid", "Ok")</f>
        <v>Ok</v>
      </c>
      <c r="K1193" t="str">
        <f>IF(ISNA(_xlfn.XLOOKUP(H1193,agent_info!$A$2:$A$301, agent_info!$A$2:$A$301)), "Invalid", "Ok")</f>
        <v>Ok</v>
      </c>
    </row>
    <row r="1194" spans="1:11" x14ac:dyDescent="0.3">
      <c r="A1194" s="1" t="s">
        <v>4810</v>
      </c>
      <c r="B1194" s="1" t="s">
        <v>2380</v>
      </c>
      <c r="C1194" s="1" t="s">
        <v>3326</v>
      </c>
      <c r="D1194" s="1">
        <v>690821.24</v>
      </c>
      <c r="E1194" s="1">
        <v>33267.64</v>
      </c>
      <c r="F1194" s="41">
        <v>45833</v>
      </c>
      <c r="G1194" s="41">
        <v>46198</v>
      </c>
      <c r="H1194" s="1" t="s">
        <v>3655</v>
      </c>
      <c r="I1194" s="1" t="s">
        <v>3324</v>
      </c>
      <c r="J1194" t="str">
        <f>IF(ISNA(_xlfn.XLOOKUP(B1194,customer_master!$A$2:$A$1649, customer_master!$A$2:$A$1649)), "Invalid", "Ok")</f>
        <v>Ok</v>
      </c>
      <c r="K1194" t="str">
        <f>IF(ISNA(_xlfn.XLOOKUP(H1194,agent_info!$A$2:$A$301, agent_info!$A$2:$A$301)), "Invalid", "Ok")</f>
        <v>Ok</v>
      </c>
    </row>
    <row r="1195" spans="1:11" x14ac:dyDescent="0.3">
      <c r="A1195" s="1" t="s">
        <v>4811</v>
      </c>
      <c r="B1195" s="1" t="s">
        <v>1453</v>
      </c>
      <c r="C1195" s="1" t="s">
        <v>3334</v>
      </c>
      <c r="D1195" s="1">
        <v>672300.59</v>
      </c>
      <c r="E1195" s="1">
        <v>33317.06</v>
      </c>
      <c r="F1195" s="41">
        <v>45617</v>
      </c>
      <c r="G1195" s="41">
        <v>45982</v>
      </c>
      <c r="H1195" s="1" t="s">
        <v>3686</v>
      </c>
      <c r="I1195" s="1" t="s">
        <v>3316</v>
      </c>
      <c r="J1195" t="str">
        <f>IF(ISNA(_xlfn.XLOOKUP(B1195,customer_master!$A$2:$A$1649, customer_master!$A$2:$A$1649)), "Invalid", "Ok")</f>
        <v>Ok</v>
      </c>
      <c r="K1195" t="str">
        <f>IF(ISNA(_xlfn.XLOOKUP(H1195,agent_info!$A$2:$A$301, agent_info!$A$2:$A$301)), "Invalid", "Ok")</f>
        <v>Ok</v>
      </c>
    </row>
    <row r="1196" spans="1:11" x14ac:dyDescent="0.3">
      <c r="A1196" s="1" t="s">
        <v>4812</v>
      </c>
      <c r="B1196" s="1" t="s">
        <v>2796</v>
      </c>
      <c r="C1196" s="1" t="s">
        <v>3318</v>
      </c>
      <c r="D1196" s="1">
        <v>736437.33</v>
      </c>
      <c r="E1196" s="1">
        <v>38414.83</v>
      </c>
      <c r="F1196" s="41">
        <v>45389</v>
      </c>
      <c r="G1196" s="41">
        <v>45754</v>
      </c>
      <c r="H1196" s="1" t="s">
        <v>4230</v>
      </c>
      <c r="I1196" s="1" t="s">
        <v>3320</v>
      </c>
      <c r="J1196" t="str">
        <f>IF(ISNA(_xlfn.XLOOKUP(B1196,customer_master!$A$2:$A$1649, customer_master!$A$2:$A$1649)), "Invalid", "Ok")</f>
        <v>Ok</v>
      </c>
      <c r="K1196" t="str">
        <f>IF(ISNA(_xlfn.XLOOKUP(H1196,agent_info!$A$2:$A$301, agent_info!$A$2:$A$301)), "Invalid", "Ok")</f>
        <v>Ok</v>
      </c>
    </row>
    <row r="1197" spans="1:11" x14ac:dyDescent="0.3">
      <c r="A1197" s="1" t="s">
        <v>4813</v>
      </c>
      <c r="B1197" s="1" t="s">
        <v>326</v>
      </c>
      <c r="C1197" s="1" t="s">
        <v>3314</v>
      </c>
      <c r="D1197" s="1">
        <v>515717.36</v>
      </c>
      <c r="E1197" s="1">
        <v>24050.91</v>
      </c>
      <c r="F1197" s="41">
        <v>44754</v>
      </c>
      <c r="G1197" s="41">
        <v>45119</v>
      </c>
      <c r="H1197" s="1" t="s">
        <v>3974</v>
      </c>
      <c r="I1197" s="1" t="s">
        <v>3320</v>
      </c>
      <c r="J1197" t="str">
        <f>IF(ISNA(_xlfn.XLOOKUP(B1197,customer_master!$A$2:$A$1649, customer_master!$A$2:$A$1649)), "Invalid", "Ok")</f>
        <v>Ok</v>
      </c>
      <c r="K1197" t="str">
        <f>IF(ISNA(_xlfn.XLOOKUP(H1197,agent_info!$A$2:$A$301, agent_info!$A$2:$A$301)), "Invalid", "Ok")</f>
        <v>Ok</v>
      </c>
    </row>
    <row r="1198" spans="1:11" x14ac:dyDescent="0.3">
      <c r="A1198" s="1" t="s">
        <v>4814</v>
      </c>
      <c r="B1198" s="1" t="s">
        <v>2496</v>
      </c>
      <c r="C1198" s="1" t="s">
        <v>3318</v>
      </c>
      <c r="D1198" s="1">
        <v>580210.88</v>
      </c>
      <c r="E1198" s="1">
        <v>31345.33</v>
      </c>
      <c r="F1198" s="41">
        <v>46247</v>
      </c>
      <c r="G1198" s="41">
        <v>46612</v>
      </c>
      <c r="H1198" s="1" t="s">
        <v>3406</v>
      </c>
      <c r="I1198" s="1" t="s">
        <v>3324</v>
      </c>
      <c r="J1198" t="str">
        <f>IF(ISNA(_xlfn.XLOOKUP(B1198,customer_master!$A$2:$A$1649, customer_master!$A$2:$A$1649)), "Invalid", "Ok")</f>
        <v>Ok</v>
      </c>
      <c r="K1198" t="str">
        <f>IF(ISNA(_xlfn.XLOOKUP(H1198,agent_info!$A$2:$A$301, agent_info!$A$2:$A$301)), "Invalid", "Ok")</f>
        <v>Ok</v>
      </c>
    </row>
    <row r="1199" spans="1:11" x14ac:dyDescent="0.3">
      <c r="A1199" s="1" t="s">
        <v>4815</v>
      </c>
      <c r="B1199" s="1" t="s">
        <v>1223</v>
      </c>
      <c r="C1199" s="1" t="s">
        <v>3334</v>
      </c>
      <c r="D1199" s="1">
        <v>508951.49</v>
      </c>
      <c r="E1199" s="1">
        <v>24539.24</v>
      </c>
      <c r="F1199" s="41">
        <v>44347</v>
      </c>
      <c r="G1199" s="41">
        <v>44712</v>
      </c>
      <c r="H1199" s="1" t="s">
        <v>3595</v>
      </c>
      <c r="I1199" s="1" t="s">
        <v>3324</v>
      </c>
      <c r="J1199" t="str">
        <f>IF(ISNA(_xlfn.XLOOKUP(B1199,customer_master!$A$2:$A$1649, customer_master!$A$2:$A$1649)), "Invalid", "Ok")</f>
        <v>Ok</v>
      </c>
      <c r="K1199" t="str">
        <f>IF(ISNA(_xlfn.XLOOKUP(H1199,agent_info!$A$2:$A$301, agent_info!$A$2:$A$301)), "Invalid", "Ok")</f>
        <v>Ok</v>
      </c>
    </row>
    <row r="1200" spans="1:11" x14ac:dyDescent="0.3">
      <c r="A1200" s="1" t="s">
        <v>4816</v>
      </c>
      <c r="B1200" s="1" t="s">
        <v>1895</v>
      </c>
      <c r="C1200" s="1" t="s">
        <v>3314</v>
      </c>
      <c r="D1200" s="1">
        <v>734939.99</v>
      </c>
      <c r="E1200" s="1">
        <v>40294.28</v>
      </c>
      <c r="F1200" s="41">
        <v>46262</v>
      </c>
      <c r="G1200" s="41">
        <v>46627</v>
      </c>
      <c r="H1200" s="1" t="s">
        <v>3601</v>
      </c>
      <c r="I1200" s="1" t="s">
        <v>3316</v>
      </c>
      <c r="J1200" t="str">
        <f>IF(ISNA(_xlfn.XLOOKUP(B1200,customer_master!$A$2:$A$1649, customer_master!$A$2:$A$1649)), "Invalid", "Ok")</f>
        <v>Ok</v>
      </c>
      <c r="K1200" t="str">
        <f>IF(ISNA(_xlfn.XLOOKUP(H1200,agent_info!$A$2:$A$301, agent_info!$A$2:$A$301)), "Invalid", "Ok")</f>
        <v>Ok</v>
      </c>
    </row>
    <row r="1201" spans="1:11" x14ac:dyDescent="0.3">
      <c r="A1201" s="1" t="s">
        <v>4817</v>
      </c>
      <c r="B1201" s="1" t="s">
        <v>2969</v>
      </c>
      <c r="C1201" s="1" t="s">
        <v>3326</v>
      </c>
      <c r="D1201" s="1">
        <v>450706.68</v>
      </c>
      <c r="E1201" s="1">
        <v>21568.17</v>
      </c>
      <c r="F1201" s="41">
        <v>45625</v>
      </c>
      <c r="G1201" s="41">
        <v>45990</v>
      </c>
      <c r="H1201" s="1" t="s">
        <v>3562</v>
      </c>
      <c r="I1201" s="1" t="s">
        <v>3324</v>
      </c>
      <c r="J1201" t="str">
        <f>IF(ISNA(_xlfn.XLOOKUP(B1201,customer_master!$A$2:$A$1649, customer_master!$A$2:$A$1649)), "Invalid", "Ok")</f>
        <v>Ok</v>
      </c>
      <c r="K1201" t="str">
        <f>IF(ISNA(_xlfn.XLOOKUP(H1201,agent_info!$A$2:$A$301, agent_info!$A$2:$A$301)), "Invalid", "Ok")</f>
        <v>Ok</v>
      </c>
    </row>
    <row r="1202" spans="1:11" x14ac:dyDescent="0.3">
      <c r="A1202" s="1" t="s">
        <v>4818</v>
      </c>
      <c r="B1202" s="1" t="s">
        <v>2024</v>
      </c>
      <c r="C1202" s="1" t="s">
        <v>3326</v>
      </c>
      <c r="D1202" s="1">
        <v>592833.96</v>
      </c>
      <c r="E1202" s="1">
        <v>30979.45</v>
      </c>
      <c r="F1202" s="41">
        <v>45125</v>
      </c>
      <c r="G1202" s="41">
        <v>45491</v>
      </c>
      <c r="H1202" s="1" t="s">
        <v>3660</v>
      </c>
      <c r="I1202" s="1" t="s">
        <v>3316</v>
      </c>
      <c r="J1202" t="str">
        <f>IF(ISNA(_xlfn.XLOOKUP(B1202,customer_master!$A$2:$A$1649, customer_master!$A$2:$A$1649)), "Invalid", "Ok")</f>
        <v>Ok</v>
      </c>
      <c r="K1202" t="str">
        <f>IF(ISNA(_xlfn.XLOOKUP(H1202,agent_info!$A$2:$A$301, agent_info!$A$2:$A$301)), "Invalid", "Ok")</f>
        <v>Ok</v>
      </c>
    </row>
    <row r="1203" spans="1:11" x14ac:dyDescent="0.3">
      <c r="A1203" s="1" t="s">
        <v>4819</v>
      </c>
      <c r="B1203" s="1" t="s">
        <v>119</v>
      </c>
      <c r="C1203" s="1" t="s">
        <v>3318</v>
      </c>
      <c r="D1203" s="1">
        <v>444171.01</v>
      </c>
      <c r="E1203" s="1">
        <v>21660.75</v>
      </c>
      <c r="F1203" s="41">
        <v>45893</v>
      </c>
      <c r="G1203" s="41">
        <v>46258</v>
      </c>
      <c r="H1203" s="1" t="s">
        <v>3509</v>
      </c>
      <c r="I1203" s="1" t="s">
        <v>3316</v>
      </c>
      <c r="J1203" t="str">
        <f>IF(ISNA(_xlfn.XLOOKUP(B1203,customer_master!$A$2:$A$1649, customer_master!$A$2:$A$1649)), "Invalid", "Ok")</f>
        <v>Ok</v>
      </c>
      <c r="K1203" t="str">
        <f>IF(ISNA(_xlfn.XLOOKUP(H1203,agent_info!$A$2:$A$301, agent_info!$A$2:$A$301)), "Invalid", "Ok")</f>
        <v>Ok</v>
      </c>
    </row>
    <row r="1204" spans="1:11" x14ac:dyDescent="0.3">
      <c r="A1204" s="1" t="s">
        <v>4820</v>
      </c>
      <c r="B1204" s="1" t="s">
        <v>2418</v>
      </c>
      <c r="C1204" s="1" t="s">
        <v>3314</v>
      </c>
      <c r="D1204" s="1">
        <v>425521.81</v>
      </c>
      <c r="E1204" s="1">
        <v>22708.34</v>
      </c>
      <c r="F1204" s="41">
        <v>45162</v>
      </c>
      <c r="G1204" s="41">
        <v>45528</v>
      </c>
      <c r="H1204" s="1" t="s">
        <v>4309</v>
      </c>
      <c r="I1204" s="1" t="s">
        <v>3316</v>
      </c>
      <c r="J1204" t="str">
        <f>IF(ISNA(_xlfn.XLOOKUP(B1204,customer_master!$A$2:$A$1649, customer_master!$A$2:$A$1649)), "Invalid", "Ok")</f>
        <v>Ok</v>
      </c>
      <c r="K1204" t="str">
        <f>IF(ISNA(_xlfn.XLOOKUP(H1204,agent_info!$A$2:$A$301, agent_info!$A$2:$A$301)), "Invalid", "Ok")</f>
        <v>Ok</v>
      </c>
    </row>
    <row r="1205" spans="1:11" x14ac:dyDescent="0.3">
      <c r="A1205" s="1" t="s">
        <v>4821</v>
      </c>
      <c r="B1205" s="1" t="s">
        <v>3088</v>
      </c>
      <c r="C1205" s="1" t="s">
        <v>3334</v>
      </c>
      <c r="D1205" s="1">
        <v>444919.31</v>
      </c>
      <c r="E1205" s="1">
        <v>22078.71</v>
      </c>
      <c r="F1205" s="41">
        <v>45620</v>
      </c>
      <c r="G1205" s="41">
        <v>45985</v>
      </c>
      <c r="H1205" s="1" t="s">
        <v>4822</v>
      </c>
      <c r="I1205" s="1" t="s">
        <v>3324</v>
      </c>
      <c r="J1205" t="str">
        <f>IF(ISNA(_xlfn.XLOOKUP(B1205,customer_master!$A$2:$A$1649, customer_master!$A$2:$A$1649)), "Invalid", "Ok")</f>
        <v>Ok</v>
      </c>
      <c r="K1205" t="str">
        <f>IF(ISNA(_xlfn.XLOOKUP(H1205,agent_info!$A$2:$A$301, agent_info!$A$2:$A$301)), "Invalid", "Ok")</f>
        <v>Ok</v>
      </c>
    </row>
    <row r="1206" spans="1:11" x14ac:dyDescent="0.3">
      <c r="A1206" s="1" t="s">
        <v>4823</v>
      </c>
      <c r="B1206" s="1" t="s">
        <v>2156</v>
      </c>
      <c r="C1206" s="1" t="s">
        <v>3326</v>
      </c>
      <c r="D1206" s="1">
        <v>535309.34</v>
      </c>
      <c r="E1206" s="1">
        <v>28748.959999999999</v>
      </c>
      <c r="F1206" s="41">
        <v>44902</v>
      </c>
      <c r="G1206" s="41">
        <v>45267</v>
      </c>
      <c r="H1206" s="1" t="s">
        <v>3729</v>
      </c>
      <c r="I1206" s="1" t="s">
        <v>3324</v>
      </c>
      <c r="J1206" t="str">
        <f>IF(ISNA(_xlfn.XLOOKUP(B1206,customer_master!$A$2:$A$1649, customer_master!$A$2:$A$1649)), "Invalid", "Ok")</f>
        <v>Ok</v>
      </c>
      <c r="K1206" t="str">
        <f>IF(ISNA(_xlfn.XLOOKUP(H1206,agent_info!$A$2:$A$301, agent_info!$A$2:$A$301)), "Invalid", "Ok")</f>
        <v>Ok</v>
      </c>
    </row>
    <row r="1207" spans="1:11" x14ac:dyDescent="0.3">
      <c r="A1207" s="1" t="s">
        <v>4824</v>
      </c>
      <c r="B1207" s="1" t="s">
        <v>2863</v>
      </c>
      <c r="C1207" s="1" t="s">
        <v>3331</v>
      </c>
      <c r="D1207" s="1">
        <v>703692.41</v>
      </c>
      <c r="E1207" s="1">
        <v>36971.57</v>
      </c>
      <c r="F1207" s="41">
        <v>46227</v>
      </c>
      <c r="G1207" s="41">
        <v>46592</v>
      </c>
      <c r="H1207" s="1" t="s">
        <v>3439</v>
      </c>
      <c r="I1207" s="1" t="s">
        <v>3324</v>
      </c>
      <c r="J1207" t="str">
        <f>IF(ISNA(_xlfn.XLOOKUP(B1207,customer_master!$A$2:$A$1649, customer_master!$A$2:$A$1649)), "Invalid", "Ok")</f>
        <v>Ok</v>
      </c>
      <c r="K1207" t="str">
        <f>IF(ISNA(_xlfn.XLOOKUP(H1207,agent_info!$A$2:$A$301, agent_info!$A$2:$A$301)), "Invalid", "Ok")</f>
        <v>Ok</v>
      </c>
    </row>
    <row r="1208" spans="1:11" x14ac:dyDescent="0.3">
      <c r="A1208" s="1" t="s">
        <v>4825</v>
      </c>
      <c r="B1208" s="1" t="s">
        <v>2738</v>
      </c>
      <c r="C1208" s="1" t="s">
        <v>3318</v>
      </c>
      <c r="D1208" s="1">
        <v>755727.74</v>
      </c>
      <c r="E1208" s="1">
        <v>38436.53</v>
      </c>
      <c r="F1208" s="41">
        <v>44807</v>
      </c>
      <c r="G1208" s="41">
        <v>45172</v>
      </c>
      <c r="H1208" s="1" t="s">
        <v>4306</v>
      </c>
      <c r="I1208" s="1" t="s">
        <v>3320</v>
      </c>
      <c r="J1208" t="str">
        <f>IF(ISNA(_xlfn.XLOOKUP(B1208,customer_master!$A$2:$A$1649, customer_master!$A$2:$A$1649)), "Invalid", "Ok")</f>
        <v>Ok</v>
      </c>
      <c r="K1208" t="str">
        <f>IF(ISNA(_xlfn.XLOOKUP(H1208,agent_info!$A$2:$A$301, agent_info!$A$2:$A$301)), "Invalid", "Ok")</f>
        <v>Ok</v>
      </c>
    </row>
    <row r="1209" spans="1:11" x14ac:dyDescent="0.3">
      <c r="A1209" s="1" t="s">
        <v>4826</v>
      </c>
      <c r="B1209" s="1" t="s">
        <v>2863</v>
      </c>
      <c r="C1209" s="1" t="s">
        <v>3331</v>
      </c>
      <c r="D1209" s="1">
        <v>619053.57999999996</v>
      </c>
      <c r="E1209" s="1">
        <v>29404.98</v>
      </c>
      <c r="F1209" s="41">
        <v>45891</v>
      </c>
      <c r="G1209" s="41">
        <v>46256</v>
      </c>
      <c r="H1209" s="1" t="s">
        <v>4007</v>
      </c>
      <c r="I1209" s="1" t="s">
        <v>3320</v>
      </c>
      <c r="J1209" t="str">
        <f>IF(ISNA(_xlfn.XLOOKUP(B1209,customer_master!$A$2:$A$1649, customer_master!$A$2:$A$1649)), "Invalid", "Ok")</f>
        <v>Ok</v>
      </c>
      <c r="K1209" t="str">
        <f>IF(ISNA(_xlfn.XLOOKUP(H1209,agent_info!$A$2:$A$301, agent_info!$A$2:$A$301)), "Invalid", "Ok")</f>
        <v>Ok</v>
      </c>
    </row>
    <row r="1210" spans="1:11" x14ac:dyDescent="0.3">
      <c r="A1210" s="1" t="s">
        <v>4827</v>
      </c>
      <c r="B1210" s="1" t="s">
        <v>1167</v>
      </c>
      <c r="C1210" s="1" t="s">
        <v>3334</v>
      </c>
      <c r="D1210" s="1">
        <v>590437.36</v>
      </c>
      <c r="E1210" s="1">
        <v>28104.04</v>
      </c>
      <c r="F1210" s="41">
        <v>44538</v>
      </c>
      <c r="G1210" s="41">
        <v>44903</v>
      </c>
      <c r="H1210" s="1" t="s">
        <v>4045</v>
      </c>
      <c r="I1210" s="1" t="s">
        <v>3316</v>
      </c>
      <c r="J1210" t="str">
        <f>IF(ISNA(_xlfn.XLOOKUP(B1210,customer_master!$A$2:$A$1649, customer_master!$A$2:$A$1649)), "Invalid", "Ok")</f>
        <v>Ok</v>
      </c>
      <c r="K1210" t="str">
        <f>IF(ISNA(_xlfn.XLOOKUP(H1210,agent_info!$A$2:$A$301, agent_info!$A$2:$A$301)), "Invalid", "Ok")</f>
        <v>Ok</v>
      </c>
    </row>
    <row r="1211" spans="1:11" x14ac:dyDescent="0.3">
      <c r="A1211" s="1" t="s">
        <v>4828</v>
      </c>
      <c r="B1211" s="1" t="s">
        <v>1590</v>
      </c>
      <c r="C1211" s="1" t="s">
        <v>3326</v>
      </c>
      <c r="D1211" s="1">
        <v>625408.91</v>
      </c>
      <c r="E1211" s="1">
        <v>34343.839999999997</v>
      </c>
      <c r="F1211" s="41">
        <v>45682</v>
      </c>
      <c r="G1211" s="41">
        <v>46047</v>
      </c>
      <c r="H1211" s="1" t="s">
        <v>3548</v>
      </c>
      <c r="I1211" s="1" t="s">
        <v>3324</v>
      </c>
      <c r="J1211" t="str">
        <f>IF(ISNA(_xlfn.XLOOKUP(B1211,customer_master!$A$2:$A$1649, customer_master!$A$2:$A$1649)), "Invalid", "Ok")</f>
        <v>Ok</v>
      </c>
      <c r="K1211" t="str">
        <f>IF(ISNA(_xlfn.XLOOKUP(H1211,agent_info!$A$2:$A$301, agent_info!$A$2:$A$301)), "Invalid", "Ok")</f>
        <v>Ok</v>
      </c>
    </row>
    <row r="1212" spans="1:11" x14ac:dyDescent="0.3">
      <c r="A1212" s="1" t="s">
        <v>4829</v>
      </c>
      <c r="B1212" s="1" t="s">
        <v>2819</v>
      </c>
      <c r="C1212" s="1" t="s">
        <v>3334</v>
      </c>
      <c r="D1212" s="1">
        <v>409541.52</v>
      </c>
      <c r="E1212" s="1">
        <v>22219.22</v>
      </c>
      <c r="F1212" s="41">
        <v>45853</v>
      </c>
      <c r="G1212" s="41">
        <v>46218</v>
      </c>
      <c r="H1212" s="1" t="s">
        <v>3485</v>
      </c>
      <c r="I1212" s="1" t="s">
        <v>3316</v>
      </c>
      <c r="J1212" t="str">
        <f>IF(ISNA(_xlfn.XLOOKUP(B1212,customer_master!$A$2:$A$1649, customer_master!$A$2:$A$1649)), "Invalid", "Ok")</f>
        <v>Ok</v>
      </c>
      <c r="K1212" t="str">
        <f>IF(ISNA(_xlfn.XLOOKUP(H1212,agent_info!$A$2:$A$301, agent_info!$A$2:$A$301)), "Invalid", "Ok")</f>
        <v>Ok</v>
      </c>
    </row>
    <row r="1213" spans="1:11" x14ac:dyDescent="0.3">
      <c r="A1213" s="1" t="s">
        <v>4830</v>
      </c>
      <c r="B1213" s="1" t="s">
        <v>3027</v>
      </c>
      <c r="C1213" s="1" t="s">
        <v>3318</v>
      </c>
      <c r="D1213" s="1">
        <v>683952.15</v>
      </c>
      <c r="E1213" s="1">
        <v>31724.560000000001</v>
      </c>
      <c r="F1213" s="41">
        <v>45612</v>
      </c>
      <c r="G1213" s="41">
        <v>45977</v>
      </c>
      <c r="H1213" s="1" t="s">
        <v>3427</v>
      </c>
      <c r="I1213" s="1" t="s">
        <v>3316</v>
      </c>
      <c r="J1213" t="str">
        <f>IF(ISNA(_xlfn.XLOOKUP(B1213,customer_master!$A$2:$A$1649, customer_master!$A$2:$A$1649)), "Invalid", "Ok")</f>
        <v>Ok</v>
      </c>
      <c r="K1213" t="str">
        <f>IF(ISNA(_xlfn.XLOOKUP(H1213,agent_info!$A$2:$A$301, agent_info!$A$2:$A$301)), "Invalid", "Ok")</f>
        <v>Ok</v>
      </c>
    </row>
    <row r="1214" spans="1:11" x14ac:dyDescent="0.3">
      <c r="A1214" s="1" t="s">
        <v>4831</v>
      </c>
      <c r="B1214" s="1" t="s">
        <v>521</v>
      </c>
      <c r="C1214" s="1" t="s">
        <v>3318</v>
      </c>
      <c r="D1214" s="1">
        <v>664667.47</v>
      </c>
      <c r="E1214" s="1">
        <v>31266.39</v>
      </c>
      <c r="F1214" s="41">
        <v>44192</v>
      </c>
      <c r="G1214" s="41">
        <v>44557</v>
      </c>
      <c r="H1214" s="1" t="s">
        <v>4012</v>
      </c>
      <c r="I1214" s="1" t="s">
        <v>3324</v>
      </c>
      <c r="J1214" t="str">
        <f>IF(ISNA(_xlfn.XLOOKUP(B1214,customer_master!$A$2:$A$1649, customer_master!$A$2:$A$1649)), "Invalid", "Ok")</f>
        <v>Ok</v>
      </c>
      <c r="K1214" t="str">
        <f>IF(ISNA(_xlfn.XLOOKUP(H1214,agent_info!$A$2:$A$301, agent_info!$A$2:$A$301)), "Invalid", "Ok")</f>
        <v>Ok</v>
      </c>
    </row>
    <row r="1215" spans="1:11" x14ac:dyDescent="0.3">
      <c r="A1215" s="1" t="s">
        <v>4832</v>
      </c>
      <c r="B1215" s="1" t="s">
        <v>644</v>
      </c>
      <c r="C1215" s="1" t="s">
        <v>3314</v>
      </c>
      <c r="D1215" s="1">
        <v>588873.49</v>
      </c>
      <c r="E1215" s="1">
        <v>27128.31</v>
      </c>
      <c r="F1215" s="41">
        <v>45974</v>
      </c>
      <c r="G1215" s="41">
        <v>46339</v>
      </c>
      <c r="H1215" s="1" t="s">
        <v>3581</v>
      </c>
      <c r="I1215" s="1" t="s">
        <v>3316</v>
      </c>
      <c r="J1215" t="str">
        <f>IF(ISNA(_xlfn.XLOOKUP(B1215,customer_master!$A$2:$A$1649, customer_master!$A$2:$A$1649)), "Invalid", "Ok")</f>
        <v>Ok</v>
      </c>
      <c r="K1215" t="str">
        <f>IF(ISNA(_xlfn.XLOOKUP(H1215,agent_info!$A$2:$A$301, agent_info!$A$2:$A$301)), "Invalid", "Ok")</f>
        <v>Ok</v>
      </c>
    </row>
    <row r="1216" spans="1:11" x14ac:dyDescent="0.3">
      <c r="A1216" s="1" t="s">
        <v>4833</v>
      </c>
      <c r="B1216" s="1" t="s">
        <v>1177</v>
      </c>
      <c r="C1216" s="1" t="s">
        <v>3334</v>
      </c>
      <c r="D1216" s="1">
        <v>393849.99</v>
      </c>
      <c r="E1216" s="1">
        <v>18516.22</v>
      </c>
      <c r="F1216" s="41">
        <v>44469</v>
      </c>
      <c r="G1216" s="41">
        <v>44834</v>
      </c>
      <c r="H1216" s="1" t="s">
        <v>3751</v>
      </c>
      <c r="I1216" s="1" t="s">
        <v>3324</v>
      </c>
      <c r="J1216" t="str">
        <f>IF(ISNA(_xlfn.XLOOKUP(B1216,customer_master!$A$2:$A$1649, customer_master!$A$2:$A$1649)), "Invalid", "Ok")</f>
        <v>Ok</v>
      </c>
      <c r="K1216" t="str">
        <f>IF(ISNA(_xlfn.XLOOKUP(H1216,agent_info!$A$2:$A$301, agent_info!$A$2:$A$301)), "Invalid", "Ok")</f>
        <v>Ok</v>
      </c>
    </row>
    <row r="1217" spans="1:11" x14ac:dyDescent="0.3">
      <c r="A1217" s="1" t="s">
        <v>4834</v>
      </c>
      <c r="B1217" s="1" t="s">
        <v>2567</v>
      </c>
      <c r="C1217" s="1" t="s">
        <v>3334</v>
      </c>
      <c r="D1217" s="1">
        <v>462845.84</v>
      </c>
      <c r="E1217" s="1">
        <v>22171.42</v>
      </c>
      <c r="F1217" s="41">
        <v>45145</v>
      </c>
      <c r="G1217" s="41">
        <v>45511</v>
      </c>
      <c r="H1217" s="1" t="s">
        <v>4835</v>
      </c>
      <c r="I1217" s="1" t="s">
        <v>3324</v>
      </c>
      <c r="J1217" t="str">
        <f>IF(ISNA(_xlfn.XLOOKUP(B1217,customer_master!$A$2:$A$1649, customer_master!$A$2:$A$1649)), "Invalid", "Ok")</f>
        <v>Ok</v>
      </c>
      <c r="K1217" t="str">
        <f>IF(ISNA(_xlfn.XLOOKUP(H1217,agent_info!$A$2:$A$301, agent_info!$A$2:$A$301)), "Invalid", "Ok")</f>
        <v>Ok</v>
      </c>
    </row>
    <row r="1218" spans="1:11" x14ac:dyDescent="0.3">
      <c r="A1218" s="1" t="s">
        <v>4836</v>
      </c>
      <c r="B1218" s="1" t="s">
        <v>2907</v>
      </c>
      <c r="C1218" s="1" t="s">
        <v>3326</v>
      </c>
      <c r="D1218" s="1">
        <v>479399.41</v>
      </c>
      <c r="E1218" s="1">
        <v>25588.55</v>
      </c>
      <c r="F1218" s="41">
        <v>44935</v>
      </c>
      <c r="G1218" s="41">
        <v>45300</v>
      </c>
      <c r="H1218" s="1" t="s">
        <v>3329</v>
      </c>
      <c r="I1218" s="1" t="s">
        <v>3324</v>
      </c>
      <c r="J1218" t="str">
        <f>IF(ISNA(_xlfn.XLOOKUP(B1218,customer_master!$A$2:$A$1649, customer_master!$A$2:$A$1649)), "Invalid", "Ok")</f>
        <v>Ok</v>
      </c>
      <c r="K1218" t="str">
        <f>IF(ISNA(_xlfn.XLOOKUP(H1218,agent_info!$A$2:$A$301, agent_info!$A$2:$A$301)), "Invalid", "Ok")</f>
        <v>Ok</v>
      </c>
    </row>
    <row r="1219" spans="1:11" x14ac:dyDescent="0.3">
      <c r="A1219" s="1" t="s">
        <v>4837</v>
      </c>
      <c r="B1219" s="1" t="s">
        <v>1936</v>
      </c>
      <c r="C1219" s="1" t="s">
        <v>3318</v>
      </c>
      <c r="D1219" s="1">
        <v>733782</v>
      </c>
      <c r="E1219" s="1">
        <v>33718.620000000003</v>
      </c>
      <c r="F1219" s="41">
        <v>46234</v>
      </c>
      <c r="G1219" s="41">
        <v>46599</v>
      </c>
      <c r="H1219" s="1" t="s">
        <v>3509</v>
      </c>
      <c r="I1219" s="1" t="s">
        <v>3324</v>
      </c>
      <c r="J1219" t="str">
        <f>IF(ISNA(_xlfn.XLOOKUP(B1219,customer_master!$A$2:$A$1649, customer_master!$A$2:$A$1649)), "Invalid", "Ok")</f>
        <v>Ok</v>
      </c>
      <c r="K1219" t="str">
        <f>IF(ISNA(_xlfn.XLOOKUP(H1219,agent_info!$A$2:$A$301, agent_info!$A$2:$A$301)), "Invalid", "Ok")</f>
        <v>Ok</v>
      </c>
    </row>
    <row r="1220" spans="1:11" x14ac:dyDescent="0.3">
      <c r="A1220" s="1" t="s">
        <v>4838</v>
      </c>
      <c r="B1220" s="1" t="s">
        <v>405</v>
      </c>
      <c r="C1220" s="1" t="s">
        <v>3314</v>
      </c>
      <c r="D1220" s="1">
        <v>630818.19999999995</v>
      </c>
      <c r="E1220" s="1">
        <v>33951.4</v>
      </c>
      <c r="F1220" s="41">
        <v>45522</v>
      </c>
      <c r="G1220" s="41">
        <v>45887</v>
      </c>
      <c r="H1220" s="1" t="s">
        <v>4004</v>
      </c>
      <c r="I1220" s="1" t="s">
        <v>3324</v>
      </c>
      <c r="J1220" t="str">
        <f>IF(ISNA(_xlfn.XLOOKUP(B1220,customer_master!$A$2:$A$1649, customer_master!$A$2:$A$1649)), "Invalid", "Ok")</f>
        <v>Ok</v>
      </c>
      <c r="K1220" t="str">
        <f>IF(ISNA(_xlfn.XLOOKUP(H1220,agent_info!$A$2:$A$301, agent_info!$A$2:$A$301)), "Invalid", "Ok")</f>
        <v>Ok</v>
      </c>
    </row>
    <row r="1221" spans="1:11" x14ac:dyDescent="0.3">
      <c r="A1221" s="1" t="s">
        <v>4839</v>
      </c>
      <c r="B1221" s="1" t="s">
        <v>1021</v>
      </c>
      <c r="C1221" s="1" t="s">
        <v>3314</v>
      </c>
      <c r="D1221" s="1">
        <v>581385.66</v>
      </c>
      <c r="E1221" s="1">
        <v>31813.02</v>
      </c>
      <c r="F1221" s="41">
        <v>45936</v>
      </c>
      <c r="G1221" s="41">
        <v>46301</v>
      </c>
      <c r="H1221" s="1" t="s">
        <v>3617</v>
      </c>
      <c r="I1221" s="1" t="s">
        <v>3320</v>
      </c>
      <c r="J1221" t="str">
        <f>IF(ISNA(_xlfn.XLOOKUP(B1221,customer_master!$A$2:$A$1649, customer_master!$A$2:$A$1649)), "Invalid", "Ok")</f>
        <v>Ok</v>
      </c>
      <c r="K1221" t="str">
        <f>IF(ISNA(_xlfn.XLOOKUP(H1221,agent_info!$A$2:$A$301, agent_info!$A$2:$A$301)), "Invalid", "Ok")</f>
        <v>Ok</v>
      </c>
    </row>
    <row r="1222" spans="1:11" x14ac:dyDescent="0.3">
      <c r="A1222" s="1" t="s">
        <v>4840</v>
      </c>
      <c r="B1222" s="1" t="s">
        <v>2849</v>
      </c>
      <c r="C1222" s="1" t="s">
        <v>3334</v>
      </c>
      <c r="D1222" s="1">
        <v>573044.17000000004</v>
      </c>
      <c r="E1222" s="1">
        <v>27401.48</v>
      </c>
      <c r="F1222" s="41">
        <v>46249</v>
      </c>
      <c r="G1222" s="41">
        <v>46614</v>
      </c>
      <c r="H1222" s="1" t="s">
        <v>3367</v>
      </c>
      <c r="I1222" s="1" t="s">
        <v>3316</v>
      </c>
      <c r="J1222" t="str">
        <f>IF(ISNA(_xlfn.XLOOKUP(B1222,customer_master!$A$2:$A$1649, customer_master!$A$2:$A$1649)), "Invalid", "Ok")</f>
        <v>Ok</v>
      </c>
      <c r="K1222" t="str">
        <f>IF(ISNA(_xlfn.XLOOKUP(H1222,agent_info!$A$2:$A$301, agent_info!$A$2:$A$301)), "Invalid", "Ok")</f>
        <v>Ok</v>
      </c>
    </row>
    <row r="1223" spans="1:11" x14ac:dyDescent="0.3">
      <c r="A1223" s="1" t="s">
        <v>4841</v>
      </c>
      <c r="B1223" s="1" t="s">
        <v>1179</v>
      </c>
      <c r="C1223" s="1" t="s">
        <v>3318</v>
      </c>
      <c r="D1223" s="1">
        <v>672830.83</v>
      </c>
      <c r="E1223" s="1">
        <v>33347.07</v>
      </c>
      <c r="F1223" s="41">
        <v>45278</v>
      </c>
      <c r="G1223" s="41">
        <v>45644</v>
      </c>
      <c r="H1223" s="1" t="s">
        <v>3375</v>
      </c>
      <c r="I1223" s="1" t="s">
        <v>3320</v>
      </c>
      <c r="J1223" t="str">
        <f>IF(ISNA(_xlfn.XLOOKUP(B1223,customer_master!$A$2:$A$1649, customer_master!$A$2:$A$1649)), "Invalid", "Ok")</f>
        <v>Ok</v>
      </c>
      <c r="K1223" t="str">
        <f>IF(ISNA(_xlfn.XLOOKUP(H1223,agent_info!$A$2:$A$301, agent_info!$A$2:$A$301)), "Invalid", "Ok")</f>
        <v>Ok</v>
      </c>
    </row>
    <row r="1224" spans="1:11" x14ac:dyDescent="0.3">
      <c r="A1224" s="1" t="s">
        <v>4842</v>
      </c>
      <c r="B1224" s="1" t="s">
        <v>369</v>
      </c>
      <c r="C1224" s="1" t="s">
        <v>3331</v>
      </c>
      <c r="D1224" s="1">
        <v>504964.94</v>
      </c>
      <c r="E1224" s="1">
        <v>25396.35</v>
      </c>
      <c r="F1224" s="41">
        <v>44816</v>
      </c>
      <c r="G1224" s="41">
        <v>45181</v>
      </c>
      <c r="H1224" s="1" t="s">
        <v>3357</v>
      </c>
      <c r="I1224" s="1" t="s">
        <v>3316</v>
      </c>
      <c r="J1224" t="str">
        <f>IF(ISNA(_xlfn.XLOOKUP(B1224,customer_master!$A$2:$A$1649, customer_master!$A$2:$A$1649)), "Invalid", "Ok")</f>
        <v>Ok</v>
      </c>
      <c r="K1224" t="str">
        <f>IF(ISNA(_xlfn.XLOOKUP(H1224,agent_info!$A$2:$A$301, agent_info!$A$2:$A$301)), "Invalid", "Ok")</f>
        <v>Ok</v>
      </c>
    </row>
    <row r="1225" spans="1:11" x14ac:dyDescent="0.3">
      <c r="A1225" s="1" t="s">
        <v>4843</v>
      </c>
      <c r="B1225" s="1" t="s">
        <v>1019</v>
      </c>
      <c r="C1225" s="1" t="s">
        <v>3326</v>
      </c>
      <c r="D1225" s="1">
        <v>383083.68</v>
      </c>
      <c r="E1225" s="1">
        <v>18026.73</v>
      </c>
      <c r="F1225" s="41">
        <v>45562</v>
      </c>
      <c r="G1225" s="41">
        <v>45927</v>
      </c>
      <c r="H1225" s="1" t="s">
        <v>3751</v>
      </c>
      <c r="I1225" s="1" t="s">
        <v>3324</v>
      </c>
      <c r="J1225" t="str">
        <f>IF(ISNA(_xlfn.XLOOKUP(B1225,customer_master!$A$2:$A$1649, customer_master!$A$2:$A$1649)), "Invalid", "Ok")</f>
        <v>Ok</v>
      </c>
      <c r="K1225" t="str">
        <f>IF(ISNA(_xlfn.XLOOKUP(H1225,agent_info!$A$2:$A$301, agent_info!$A$2:$A$301)), "Invalid", "Ok")</f>
        <v>Ok</v>
      </c>
    </row>
    <row r="1226" spans="1:11" x14ac:dyDescent="0.3">
      <c r="A1226" s="1" t="s">
        <v>4844</v>
      </c>
      <c r="B1226" s="1" t="s">
        <v>2672</v>
      </c>
      <c r="C1226" s="1" t="s">
        <v>3331</v>
      </c>
      <c r="D1226" s="1">
        <v>639792.02</v>
      </c>
      <c r="E1226" s="1">
        <v>33471.21</v>
      </c>
      <c r="F1226" s="41">
        <v>46247</v>
      </c>
      <c r="G1226" s="41">
        <v>46612</v>
      </c>
      <c r="H1226" s="1" t="s">
        <v>4309</v>
      </c>
      <c r="I1226" s="1" t="s">
        <v>3324</v>
      </c>
      <c r="J1226" t="str">
        <f>IF(ISNA(_xlfn.XLOOKUP(B1226,customer_master!$A$2:$A$1649, customer_master!$A$2:$A$1649)), "Invalid", "Ok")</f>
        <v>Ok</v>
      </c>
      <c r="K1226" t="str">
        <f>IF(ISNA(_xlfn.XLOOKUP(H1226,agent_info!$A$2:$A$301, agent_info!$A$2:$A$301)), "Invalid", "Ok")</f>
        <v>Ok</v>
      </c>
    </row>
    <row r="1227" spans="1:11" x14ac:dyDescent="0.3">
      <c r="A1227" s="1" t="s">
        <v>4845</v>
      </c>
      <c r="B1227" s="1" t="s">
        <v>1660</v>
      </c>
      <c r="C1227" s="1" t="s">
        <v>3326</v>
      </c>
      <c r="D1227" s="1">
        <v>465155.6</v>
      </c>
      <c r="E1227" s="1">
        <v>23629.9</v>
      </c>
      <c r="F1227" s="41">
        <v>45737</v>
      </c>
      <c r="G1227" s="41">
        <v>46102</v>
      </c>
      <c r="H1227" s="1" t="s">
        <v>3367</v>
      </c>
      <c r="I1227" s="1" t="s">
        <v>3324</v>
      </c>
      <c r="J1227" t="str">
        <f>IF(ISNA(_xlfn.XLOOKUP(B1227,customer_master!$A$2:$A$1649, customer_master!$A$2:$A$1649)), "Invalid", "Ok")</f>
        <v>Ok</v>
      </c>
      <c r="K1227" t="str">
        <f>IF(ISNA(_xlfn.XLOOKUP(H1227,agent_info!$A$2:$A$301, agent_info!$A$2:$A$301)), "Invalid", "Ok")</f>
        <v>Ok</v>
      </c>
    </row>
    <row r="1228" spans="1:11" x14ac:dyDescent="0.3">
      <c r="A1228" s="1" t="s">
        <v>4846</v>
      </c>
      <c r="B1228" s="1" t="s">
        <v>606</v>
      </c>
      <c r="C1228" s="1" t="s">
        <v>3326</v>
      </c>
      <c r="D1228" s="1">
        <v>463957.49</v>
      </c>
      <c r="E1228" s="1">
        <v>21398.54</v>
      </c>
      <c r="F1228" s="41">
        <v>44934</v>
      </c>
      <c r="G1228" s="41">
        <v>45299</v>
      </c>
      <c r="H1228" s="1" t="s">
        <v>3872</v>
      </c>
      <c r="I1228" s="1" t="s">
        <v>3316</v>
      </c>
      <c r="J1228" t="str">
        <f>IF(ISNA(_xlfn.XLOOKUP(B1228,customer_master!$A$2:$A$1649, customer_master!$A$2:$A$1649)), "Invalid", "Ok")</f>
        <v>Ok</v>
      </c>
      <c r="K1228" t="str">
        <f>IF(ISNA(_xlfn.XLOOKUP(H1228,agent_info!$A$2:$A$301, agent_info!$A$2:$A$301)), "Invalid", "Ok")</f>
        <v>Ok</v>
      </c>
    </row>
    <row r="1229" spans="1:11" x14ac:dyDescent="0.3">
      <c r="A1229" s="1" t="s">
        <v>4847</v>
      </c>
      <c r="B1229" s="1" t="s">
        <v>1059</v>
      </c>
      <c r="C1229" s="1" t="s">
        <v>3326</v>
      </c>
      <c r="D1229" s="1">
        <v>509150.33</v>
      </c>
      <c r="E1229" s="1">
        <v>27473.66</v>
      </c>
      <c r="F1229" s="41">
        <v>45234</v>
      </c>
      <c r="G1229" s="41">
        <v>45600</v>
      </c>
      <c r="H1229" s="1" t="s">
        <v>3764</v>
      </c>
      <c r="I1229" s="1" t="s">
        <v>3316</v>
      </c>
      <c r="J1229" t="str">
        <f>IF(ISNA(_xlfn.XLOOKUP(B1229,customer_master!$A$2:$A$1649, customer_master!$A$2:$A$1649)), "Invalid", "Ok")</f>
        <v>Ok</v>
      </c>
      <c r="K1229" t="str">
        <f>IF(ISNA(_xlfn.XLOOKUP(H1229,agent_info!$A$2:$A$301, agent_info!$A$2:$A$301)), "Invalid", "Ok")</f>
        <v>Ok</v>
      </c>
    </row>
    <row r="1230" spans="1:11" x14ac:dyDescent="0.3">
      <c r="A1230" s="1" t="s">
        <v>4848</v>
      </c>
      <c r="B1230" s="1" t="s">
        <v>3164</v>
      </c>
      <c r="C1230" s="1" t="s">
        <v>3314</v>
      </c>
      <c r="D1230" s="1">
        <v>478452.6</v>
      </c>
      <c r="E1230" s="1">
        <v>22976.22</v>
      </c>
      <c r="F1230" s="41">
        <v>44697</v>
      </c>
      <c r="G1230" s="41">
        <v>45062</v>
      </c>
      <c r="H1230" s="1" t="s">
        <v>4045</v>
      </c>
      <c r="I1230" s="1" t="s">
        <v>3316</v>
      </c>
      <c r="J1230" t="str">
        <f>IF(ISNA(_xlfn.XLOOKUP(B1230,customer_master!$A$2:$A$1649, customer_master!$A$2:$A$1649)), "Invalid", "Ok")</f>
        <v>Ok</v>
      </c>
      <c r="K1230" t="str">
        <f>IF(ISNA(_xlfn.XLOOKUP(H1230,agent_info!$A$2:$A$301, agent_info!$A$2:$A$301)), "Invalid", "Ok")</f>
        <v>Ok</v>
      </c>
    </row>
    <row r="1231" spans="1:11" x14ac:dyDescent="0.3">
      <c r="A1231" s="1" t="s">
        <v>4849</v>
      </c>
      <c r="B1231" s="1" t="s">
        <v>1451</v>
      </c>
      <c r="C1231" s="1" t="s">
        <v>3331</v>
      </c>
      <c r="D1231" s="1">
        <v>733129.52</v>
      </c>
      <c r="E1231" s="1">
        <v>34136.32</v>
      </c>
      <c r="F1231" s="41">
        <v>45603</v>
      </c>
      <c r="G1231" s="41">
        <v>45968</v>
      </c>
      <c r="H1231" s="1" t="s">
        <v>3341</v>
      </c>
      <c r="I1231" s="1" t="s">
        <v>3324</v>
      </c>
      <c r="J1231" t="str">
        <f>IF(ISNA(_xlfn.XLOOKUP(B1231,customer_master!$A$2:$A$1649, customer_master!$A$2:$A$1649)), "Invalid", "Ok")</f>
        <v>Ok</v>
      </c>
      <c r="K1231" t="str">
        <f>IF(ISNA(_xlfn.XLOOKUP(H1231,agent_info!$A$2:$A$301, agent_info!$A$2:$A$301)), "Invalid", "Ok")</f>
        <v>Ok</v>
      </c>
    </row>
    <row r="1232" spans="1:11" x14ac:dyDescent="0.3">
      <c r="A1232" s="1" t="s">
        <v>4850</v>
      </c>
      <c r="B1232" s="1" t="s">
        <v>1481</v>
      </c>
      <c r="C1232" s="1" t="s">
        <v>3331</v>
      </c>
      <c r="D1232" s="1">
        <v>704619.22</v>
      </c>
      <c r="E1232" s="1">
        <v>38626.199999999997</v>
      </c>
      <c r="F1232" s="41">
        <v>44504</v>
      </c>
      <c r="G1232" s="41">
        <v>44869</v>
      </c>
      <c r="H1232" s="1" t="s">
        <v>3798</v>
      </c>
      <c r="I1232" s="1" t="s">
        <v>3316</v>
      </c>
      <c r="J1232" t="str">
        <f>IF(ISNA(_xlfn.XLOOKUP(B1232,customer_master!$A$2:$A$1649, customer_master!$A$2:$A$1649)), "Invalid", "Ok")</f>
        <v>Ok</v>
      </c>
      <c r="K1232" t="str">
        <f>IF(ISNA(_xlfn.XLOOKUP(H1232,agent_info!$A$2:$A$301, agent_info!$A$2:$A$301)), "Invalid", "Ok")</f>
        <v>Ok</v>
      </c>
    </row>
    <row r="1233" spans="1:11" x14ac:dyDescent="0.3">
      <c r="A1233" s="1" t="s">
        <v>4851</v>
      </c>
      <c r="B1233" s="1" t="s">
        <v>540</v>
      </c>
      <c r="C1233" s="1" t="s">
        <v>3331</v>
      </c>
      <c r="D1233" s="1">
        <v>759600.2</v>
      </c>
      <c r="E1233" s="1">
        <v>34963.71</v>
      </c>
      <c r="F1233" s="41">
        <v>45953</v>
      </c>
      <c r="G1233" s="41">
        <v>46318</v>
      </c>
      <c r="H1233" s="1" t="s">
        <v>3788</v>
      </c>
      <c r="I1233" s="1" t="s">
        <v>3320</v>
      </c>
      <c r="J1233" t="str">
        <f>IF(ISNA(_xlfn.XLOOKUP(B1233,customer_master!$A$2:$A$1649, customer_master!$A$2:$A$1649)), "Invalid", "Ok")</f>
        <v>Ok</v>
      </c>
      <c r="K1233" t="str">
        <f>IF(ISNA(_xlfn.XLOOKUP(H1233,agent_info!$A$2:$A$301, agent_info!$A$2:$A$301)), "Invalid", "Ok")</f>
        <v>Ok</v>
      </c>
    </row>
    <row r="1234" spans="1:11" x14ac:dyDescent="0.3">
      <c r="A1234" s="1" t="s">
        <v>4852</v>
      </c>
      <c r="B1234" s="1" t="s">
        <v>1027</v>
      </c>
      <c r="C1234" s="1" t="s">
        <v>3331</v>
      </c>
      <c r="D1234" s="1">
        <v>749475.37</v>
      </c>
      <c r="E1234" s="1">
        <v>34173.800000000003</v>
      </c>
      <c r="F1234" s="41">
        <v>44940</v>
      </c>
      <c r="G1234" s="41">
        <v>45305</v>
      </c>
      <c r="H1234" s="1" t="s">
        <v>3809</v>
      </c>
      <c r="I1234" s="1" t="s">
        <v>3316</v>
      </c>
      <c r="J1234" t="str">
        <f>IF(ISNA(_xlfn.XLOOKUP(B1234,customer_master!$A$2:$A$1649, customer_master!$A$2:$A$1649)), "Invalid", "Ok")</f>
        <v>Ok</v>
      </c>
      <c r="K1234" t="str">
        <f>IF(ISNA(_xlfn.XLOOKUP(H1234,agent_info!$A$2:$A$301, agent_info!$A$2:$A$301)), "Invalid", "Ok")</f>
        <v>Ok</v>
      </c>
    </row>
    <row r="1235" spans="1:11" x14ac:dyDescent="0.3">
      <c r="A1235" s="1" t="s">
        <v>4853</v>
      </c>
      <c r="B1235" s="1" t="s">
        <v>2704</v>
      </c>
      <c r="C1235" s="1" t="s">
        <v>3318</v>
      </c>
      <c r="D1235" s="1">
        <v>496864.12</v>
      </c>
      <c r="E1235" s="1">
        <v>23539.200000000001</v>
      </c>
      <c r="F1235" s="41">
        <v>44363</v>
      </c>
      <c r="G1235" s="41">
        <v>44728</v>
      </c>
      <c r="H1235" s="1" t="s">
        <v>3872</v>
      </c>
      <c r="I1235" s="1" t="s">
        <v>3324</v>
      </c>
      <c r="J1235" t="str">
        <f>IF(ISNA(_xlfn.XLOOKUP(B1235,customer_master!$A$2:$A$1649, customer_master!$A$2:$A$1649)), "Invalid", "Ok")</f>
        <v>Ok</v>
      </c>
      <c r="K1235" t="str">
        <f>IF(ISNA(_xlfn.XLOOKUP(H1235,agent_info!$A$2:$A$301, agent_info!$A$2:$A$301)), "Invalid", "Ok")</f>
        <v>Ok</v>
      </c>
    </row>
    <row r="1236" spans="1:11" x14ac:dyDescent="0.3">
      <c r="A1236" s="1" t="s">
        <v>4854</v>
      </c>
      <c r="B1236" s="1" t="s">
        <v>2605</v>
      </c>
      <c r="C1236" s="1" t="s">
        <v>3314</v>
      </c>
      <c r="D1236" s="1">
        <v>531530.21</v>
      </c>
      <c r="E1236" s="1">
        <v>25615.85</v>
      </c>
      <c r="F1236" s="41">
        <v>45725</v>
      </c>
      <c r="G1236" s="41">
        <v>46090</v>
      </c>
      <c r="H1236" s="1" t="s">
        <v>3400</v>
      </c>
      <c r="I1236" s="1" t="s">
        <v>3324</v>
      </c>
      <c r="J1236" t="str">
        <f>IF(ISNA(_xlfn.XLOOKUP(B1236,customer_master!$A$2:$A$1649, customer_master!$A$2:$A$1649)), "Invalid", "Ok")</f>
        <v>Ok</v>
      </c>
      <c r="K1236" t="str">
        <f>IF(ISNA(_xlfn.XLOOKUP(H1236,agent_info!$A$2:$A$301, agent_info!$A$2:$A$301)), "Invalid", "Ok")</f>
        <v>Ok</v>
      </c>
    </row>
    <row r="1237" spans="1:11" x14ac:dyDescent="0.3">
      <c r="A1237" s="1" t="s">
        <v>4855</v>
      </c>
      <c r="B1237" s="1" t="s">
        <v>1457</v>
      </c>
      <c r="C1237" s="1" t="s">
        <v>3326</v>
      </c>
      <c r="D1237" s="1">
        <v>594390.30000000005</v>
      </c>
      <c r="E1237" s="1">
        <v>29326.04</v>
      </c>
      <c r="F1237" s="41">
        <v>45349</v>
      </c>
      <c r="G1237" s="41">
        <v>45715</v>
      </c>
      <c r="H1237" s="1" t="s">
        <v>3607</v>
      </c>
      <c r="I1237" s="1" t="s">
        <v>3316</v>
      </c>
      <c r="J1237" t="str">
        <f>IF(ISNA(_xlfn.XLOOKUP(B1237,customer_master!$A$2:$A$1649, customer_master!$A$2:$A$1649)), "Invalid", "Ok")</f>
        <v>Ok</v>
      </c>
      <c r="K1237" t="str">
        <f>IF(ISNA(_xlfn.XLOOKUP(H1237,agent_info!$A$2:$A$301, agent_info!$A$2:$A$301)), "Invalid", "Ok")</f>
        <v>Ok</v>
      </c>
    </row>
    <row r="1238" spans="1:11" x14ac:dyDescent="0.3">
      <c r="A1238" s="1" t="s">
        <v>4856</v>
      </c>
      <c r="B1238" s="1" t="s">
        <v>2971</v>
      </c>
      <c r="C1238" s="1" t="s">
        <v>3318</v>
      </c>
      <c r="D1238" s="1">
        <v>383989.75</v>
      </c>
      <c r="E1238" s="1">
        <v>19910.52</v>
      </c>
      <c r="F1238" s="41">
        <v>45841</v>
      </c>
      <c r="G1238" s="41">
        <v>46206</v>
      </c>
      <c r="H1238" s="1" t="s">
        <v>3402</v>
      </c>
      <c r="I1238" s="1" t="s">
        <v>3324</v>
      </c>
      <c r="J1238" t="str">
        <f>IF(ISNA(_xlfn.XLOOKUP(B1238,customer_master!$A$2:$A$1649, customer_master!$A$2:$A$1649)), "Invalid", "Ok")</f>
        <v>Ok</v>
      </c>
      <c r="K1238" t="str">
        <f>IF(ISNA(_xlfn.XLOOKUP(H1238,agent_info!$A$2:$A$301, agent_info!$A$2:$A$301)), "Invalid", "Ok")</f>
        <v>Ok</v>
      </c>
    </row>
    <row r="1239" spans="1:11" x14ac:dyDescent="0.3">
      <c r="A1239" s="1" t="s">
        <v>4857</v>
      </c>
      <c r="B1239" s="1" t="s">
        <v>1293</v>
      </c>
      <c r="C1239" s="1" t="s">
        <v>3331</v>
      </c>
      <c r="D1239" s="1">
        <v>760668.61</v>
      </c>
      <c r="E1239" s="1">
        <v>37011.949999999997</v>
      </c>
      <c r="F1239" s="41">
        <v>45939</v>
      </c>
      <c r="G1239" s="41">
        <v>46304</v>
      </c>
      <c r="H1239" s="1" t="s">
        <v>4067</v>
      </c>
      <c r="I1239" s="1" t="s">
        <v>3324</v>
      </c>
      <c r="J1239" t="str">
        <f>IF(ISNA(_xlfn.XLOOKUP(B1239,customer_master!$A$2:$A$1649, customer_master!$A$2:$A$1649)), "Invalid", "Ok")</f>
        <v>Ok</v>
      </c>
      <c r="K1239" t="str">
        <f>IF(ISNA(_xlfn.XLOOKUP(H1239,agent_info!$A$2:$A$301, agent_info!$A$2:$A$301)), "Invalid", "Ok")</f>
        <v>Ok</v>
      </c>
    </row>
    <row r="1240" spans="1:11" x14ac:dyDescent="0.3">
      <c r="A1240" s="1" t="s">
        <v>4858</v>
      </c>
      <c r="B1240" s="1" t="s">
        <v>2871</v>
      </c>
      <c r="C1240" s="1" t="s">
        <v>3314</v>
      </c>
      <c r="D1240" s="1">
        <v>389174.59</v>
      </c>
      <c r="E1240" s="1">
        <v>19689.64</v>
      </c>
      <c r="F1240" s="41">
        <v>45632</v>
      </c>
      <c r="G1240" s="41">
        <v>45997</v>
      </c>
      <c r="H1240" s="1" t="s">
        <v>3475</v>
      </c>
      <c r="I1240" s="1" t="s">
        <v>3324</v>
      </c>
      <c r="J1240" t="str">
        <f>IF(ISNA(_xlfn.XLOOKUP(B1240,customer_master!$A$2:$A$1649, customer_master!$A$2:$A$1649)), "Invalid", "Ok")</f>
        <v>Ok</v>
      </c>
      <c r="K1240" t="str">
        <f>IF(ISNA(_xlfn.XLOOKUP(H1240,agent_info!$A$2:$A$301, agent_info!$A$2:$A$301)), "Invalid", "Ok")</f>
        <v>Ok</v>
      </c>
    </row>
    <row r="1241" spans="1:11" x14ac:dyDescent="0.3">
      <c r="A1241" s="1" t="s">
        <v>4859</v>
      </c>
      <c r="B1241" s="1" t="s">
        <v>137</v>
      </c>
      <c r="C1241" s="1" t="s">
        <v>3334</v>
      </c>
      <c r="D1241" s="1">
        <v>589622.07999999996</v>
      </c>
      <c r="E1241" s="1">
        <v>26567.26</v>
      </c>
      <c r="F1241" s="41">
        <v>45079</v>
      </c>
      <c r="G1241" s="41">
        <v>45445</v>
      </c>
      <c r="H1241" s="1" t="s">
        <v>3431</v>
      </c>
      <c r="I1241" s="1" t="s">
        <v>3324</v>
      </c>
      <c r="J1241" t="str">
        <f>IF(ISNA(_xlfn.XLOOKUP(B1241,customer_master!$A$2:$A$1649, customer_master!$A$2:$A$1649)), "Invalid", "Ok")</f>
        <v>Ok</v>
      </c>
      <c r="K1241" t="str">
        <f>IF(ISNA(_xlfn.XLOOKUP(H1241,agent_info!$A$2:$A$301, agent_info!$A$2:$A$301)), "Invalid", "Ok")</f>
        <v>Ok</v>
      </c>
    </row>
    <row r="1242" spans="1:11" x14ac:dyDescent="0.3">
      <c r="A1242" s="1" t="s">
        <v>4860</v>
      </c>
      <c r="B1242" s="1" t="s">
        <v>1177</v>
      </c>
      <c r="C1242" s="1" t="s">
        <v>3326</v>
      </c>
      <c r="D1242" s="1">
        <v>584045.11</v>
      </c>
      <c r="E1242" s="1">
        <v>28530.02</v>
      </c>
      <c r="F1242" s="41">
        <v>44435</v>
      </c>
      <c r="G1242" s="41">
        <v>44800</v>
      </c>
      <c r="H1242" s="1" t="s">
        <v>3431</v>
      </c>
      <c r="I1242" s="1" t="s">
        <v>3324</v>
      </c>
      <c r="J1242" t="str">
        <f>IF(ISNA(_xlfn.XLOOKUP(B1242,customer_master!$A$2:$A$1649, customer_master!$A$2:$A$1649)), "Invalid", "Ok")</f>
        <v>Ok</v>
      </c>
      <c r="K1242" t="str">
        <f>IF(ISNA(_xlfn.XLOOKUP(H1242,agent_info!$A$2:$A$301, agent_info!$A$2:$A$301)), "Invalid", "Ok")</f>
        <v>Ok</v>
      </c>
    </row>
    <row r="1243" spans="1:11" x14ac:dyDescent="0.3">
      <c r="A1243" s="1" t="s">
        <v>4861</v>
      </c>
      <c r="B1243" s="1" t="s">
        <v>2841</v>
      </c>
      <c r="C1243" s="1" t="s">
        <v>3331</v>
      </c>
      <c r="D1243" s="1">
        <v>730246.82</v>
      </c>
      <c r="E1243" s="1">
        <v>39761.71</v>
      </c>
      <c r="F1243" s="41">
        <v>44378</v>
      </c>
      <c r="G1243" s="41">
        <v>44743</v>
      </c>
      <c r="H1243" s="1" t="s">
        <v>3339</v>
      </c>
      <c r="I1243" s="1" t="s">
        <v>3324</v>
      </c>
      <c r="J1243" t="str">
        <f>IF(ISNA(_xlfn.XLOOKUP(B1243,customer_master!$A$2:$A$1649, customer_master!$A$2:$A$1649)), "Invalid", "Ok")</f>
        <v>Ok</v>
      </c>
      <c r="K1243" t="str">
        <f>IF(ISNA(_xlfn.XLOOKUP(H1243,agent_info!$A$2:$A$301, agent_info!$A$2:$A$301)), "Invalid", "Ok")</f>
        <v>Ok</v>
      </c>
    </row>
    <row r="1244" spans="1:11" x14ac:dyDescent="0.3">
      <c r="A1244" s="1" t="s">
        <v>4862</v>
      </c>
      <c r="B1244" s="1" t="s">
        <v>2993</v>
      </c>
      <c r="C1244" s="1" t="s">
        <v>3326</v>
      </c>
      <c r="D1244" s="1">
        <v>575447.71</v>
      </c>
      <c r="E1244" s="1">
        <v>30353.98</v>
      </c>
      <c r="F1244" s="41">
        <v>45602</v>
      </c>
      <c r="G1244" s="41">
        <v>45967</v>
      </c>
      <c r="H1244" s="1" t="s">
        <v>3686</v>
      </c>
      <c r="I1244" s="1" t="s">
        <v>3324</v>
      </c>
      <c r="J1244" t="str">
        <f>IF(ISNA(_xlfn.XLOOKUP(B1244,customer_master!$A$2:$A$1649, customer_master!$A$2:$A$1649)), "Invalid", "Ok")</f>
        <v>Ok</v>
      </c>
      <c r="K1244" t="str">
        <f>IF(ISNA(_xlfn.XLOOKUP(H1244,agent_info!$A$2:$A$301, agent_info!$A$2:$A$301)), "Invalid", "Ok")</f>
        <v>Ok</v>
      </c>
    </row>
    <row r="1245" spans="1:11" x14ac:dyDescent="0.3">
      <c r="A1245" s="1" t="s">
        <v>4863</v>
      </c>
      <c r="B1245" s="1" t="s">
        <v>2523</v>
      </c>
      <c r="C1245" s="1" t="s">
        <v>3331</v>
      </c>
      <c r="D1245" s="1">
        <v>609243.6</v>
      </c>
      <c r="E1245" s="1">
        <v>31929.24</v>
      </c>
      <c r="F1245" s="41">
        <v>44715</v>
      </c>
      <c r="G1245" s="41">
        <v>45080</v>
      </c>
      <c r="H1245" s="1" t="s">
        <v>3610</v>
      </c>
      <c r="I1245" s="1" t="s">
        <v>3324</v>
      </c>
      <c r="J1245" t="str">
        <f>IF(ISNA(_xlfn.XLOOKUP(B1245,customer_master!$A$2:$A$1649, customer_master!$A$2:$A$1649)), "Invalid", "Ok")</f>
        <v>Ok</v>
      </c>
      <c r="K1245" t="str">
        <f>IF(ISNA(_xlfn.XLOOKUP(H1245,agent_info!$A$2:$A$301, agent_info!$A$2:$A$301)), "Invalid", "Ok")</f>
        <v>Ok</v>
      </c>
    </row>
    <row r="1246" spans="1:11" x14ac:dyDescent="0.3">
      <c r="A1246" s="1" t="s">
        <v>4864</v>
      </c>
      <c r="B1246" s="1" t="s">
        <v>2236</v>
      </c>
      <c r="C1246" s="1" t="s">
        <v>3331</v>
      </c>
      <c r="D1246" s="1">
        <v>496087.07</v>
      </c>
      <c r="E1246" s="1">
        <v>23834.58</v>
      </c>
      <c r="F1246" s="41">
        <v>44394</v>
      </c>
      <c r="G1246" s="41">
        <v>44759</v>
      </c>
      <c r="H1246" s="1" t="s">
        <v>3821</v>
      </c>
      <c r="I1246" s="1" t="s">
        <v>3324</v>
      </c>
      <c r="J1246" t="str">
        <f>IF(ISNA(_xlfn.XLOOKUP(B1246,customer_master!$A$2:$A$1649, customer_master!$A$2:$A$1649)), "Invalid", "Ok")</f>
        <v>Ok</v>
      </c>
      <c r="K1246" t="str">
        <f>IF(ISNA(_xlfn.XLOOKUP(H1246,agent_info!$A$2:$A$301, agent_info!$A$2:$A$301)), "Invalid", "Ok")</f>
        <v>Ok</v>
      </c>
    </row>
    <row r="1247" spans="1:11" x14ac:dyDescent="0.3">
      <c r="A1247" s="1" t="s">
        <v>4865</v>
      </c>
      <c r="B1247" s="1" t="s">
        <v>2706</v>
      </c>
      <c r="C1247" s="1" t="s">
        <v>3331</v>
      </c>
      <c r="D1247" s="1">
        <v>606936.51</v>
      </c>
      <c r="E1247" s="1">
        <v>30275.06</v>
      </c>
      <c r="F1247" s="41">
        <v>44555</v>
      </c>
      <c r="G1247" s="41">
        <v>44920</v>
      </c>
      <c r="H1247" s="1" t="s">
        <v>3658</v>
      </c>
      <c r="I1247" s="1" t="s">
        <v>3324</v>
      </c>
      <c r="J1247" t="str">
        <f>IF(ISNA(_xlfn.XLOOKUP(B1247,customer_master!$A$2:$A$1649, customer_master!$A$2:$A$1649)), "Invalid", "Ok")</f>
        <v>Ok</v>
      </c>
      <c r="K1247" t="str">
        <f>IF(ISNA(_xlfn.XLOOKUP(H1247,agent_info!$A$2:$A$301, agent_info!$A$2:$A$301)), "Invalid", "Ok")</f>
        <v>Ok</v>
      </c>
    </row>
    <row r="1248" spans="1:11" x14ac:dyDescent="0.3">
      <c r="A1248" s="1" t="s">
        <v>4866</v>
      </c>
      <c r="B1248" s="1" t="s">
        <v>2364</v>
      </c>
      <c r="C1248" s="1" t="s">
        <v>3334</v>
      </c>
      <c r="D1248" s="1">
        <v>673635.08</v>
      </c>
      <c r="E1248" s="1">
        <v>36002.589999999997</v>
      </c>
      <c r="F1248" s="41">
        <v>45717</v>
      </c>
      <c r="G1248" s="41">
        <v>46082</v>
      </c>
      <c r="H1248" s="1" t="s">
        <v>3603</v>
      </c>
      <c r="I1248" s="1" t="s">
        <v>3324</v>
      </c>
      <c r="J1248" t="str">
        <f>IF(ISNA(_xlfn.XLOOKUP(B1248,customer_master!$A$2:$A$1649, customer_master!$A$2:$A$1649)), "Invalid", "Ok")</f>
        <v>Ok</v>
      </c>
      <c r="K1248" t="str">
        <f>IF(ISNA(_xlfn.XLOOKUP(H1248,agent_info!$A$2:$A$301, agent_info!$A$2:$A$301)), "Invalid", "Ok")</f>
        <v>Ok</v>
      </c>
    </row>
    <row r="1249" spans="1:11" x14ac:dyDescent="0.3">
      <c r="A1249" s="1" t="s">
        <v>4867</v>
      </c>
      <c r="B1249" s="1" t="s">
        <v>873</v>
      </c>
      <c r="C1249" s="1" t="s">
        <v>3326</v>
      </c>
      <c r="D1249" s="1">
        <v>530457.09</v>
      </c>
      <c r="E1249" s="1">
        <v>28539.42</v>
      </c>
      <c r="F1249" s="41">
        <v>45688</v>
      </c>
      <c r="G1249" s="41">
        <v>46053</v>
      </c>
      <c r="H1249" s="1" t="s">
        <v>3745</v>
      </c>
      <c r="I1249" s="1" t="s">
        <v>3324</v>
      </c>
      <c r="J1249" t="str">
        <f>IF(ISNA(_xlfn.XLOOKUP(B1249,customer_master!$A$2:$A$1649, customer_master!$A$2:$A$1649)), "Invalid", "Ok")</f>
        <v>Ok</v>
      </c>
      <c r="K1249" t="str">
        <f>IF(ISNA(_xlfn.XLOOKUP(H1249,agent_info!$A$2:$A$301, agent_info!$A$2:$A$301)), "Invalid", "Ok")</f>
        <v>Ok</v>
      </c>
    </row>
    <row r="1250" spans="1:11" x14ac:dyDescent="0.3">
      <c r="A1250" s="1" t="s">
        <v>4868</v>
      </c>
      <c r="B1250" s="1" t="s">
        <v>1562</v>
      </c>
      <c r="C1250" s="1" t="s">
        <v>3331</v>
      </c>
      <c r="D1250" s="1">
        <v>678930.87</v>
      </c>
      <c r="E1250" s="1">
        <v>35375.99</v>
      </c>
      <c r="F1250" s="41">
        <v>44097</v>
      </c>
      <c r="G1250" s="41">
        <v>44462</v>
      </c>
      <c r="H1250" s="1" t="s">
        <v>3585</v>
      </c>
      <c r="I1250" s="1" t="s">
        <v>3324</v>
      </c>
      <c r="J1250" t="str">
        <f>IF(ISNA(_xlfn.XLOOKUP(B1250,customer_master!$A$2:$A$1649, customer_master!$A$2:$A$1649)), "Invalid", "Ok")</f>
        <v>Ok</v>
      </c>
      <c r="K1250" t="str">
        <f>IF(ISNA(_xlfn.XLOOKUP(H1250,agent_info!$A$2:$A$301, agent_info!$A$2:$A$301)), "Invalid", "Ok")</f>
        <v>Ok</v>
      </c>
    </row>
    <row r="1251" spans="1:11" x14ac:dyDescent="0.3">
      <c r="A1251" s="1" t="s">
        <v>4869</v>
      </c>
      <c r="B1251" s="1" t="s">
        <v>2204</v>
      </c>
      <c r="C1251" s="1" t="s">
        <v>3334</v>
      </c>
      <c r="D1251" s="1">
        <v>411801.02</v>
      </c>
      <c r="E1251" s="1">
        <v>20411.09</v>
      </c>
      <c r="F1251" s="41">
        <v>45668</v>
      </c>
      <c r="G1251" s="41">
        <v>46033</v>
      </c>
      <c r="H1251" s="1" t="s">
        <v>3391</v>
      </c>
      <c r="I1251" s="1" t="s">
        <v>3324</v>
      </c>
      <c r="J1251" t="str">
        <f>IF(ISNA(_xlfn.XLOOKUP(B1251,customer_master!$A$2:$A$1649, customer_master!$A$2:$A$1649)), "Invalid", "Ok")</f>
        <v>Ok</v>
      </c>
      <c r="K1251" t="str">
        <f>IF(ISNA(_xlfn.XLOOKUP(H1251,agent_info!$A$2:$A$301, agent_info!$A$2:$A$301)), "Invalid", "Ok")</f>
        <v>Ok</v>
      </c>
    </row>
    <row r="1252" spans="1:11" x14ac:dyDescent="0.3">
      <c r="A1252" s="1" t="s">
        <v>4870</v>
      </c>
      <c r="B1252" s="1" t="s">
        <v>1964</v>
      </c>
      <c r="C1252" s="1" t="s">
        <v>3334</v>
      </c>
      <c r="D1252" s="1">
        <v>514120.32</v>
      </c>
      <c r="E1252" s="1">
        <v>23511.57</v>
      </c>
      <c r="F1252" s="41">
        <v>45338</v>
      </c>
      <c r="G1252" s="41">
        <v>45704</v>
      </c>
      <c r="H1252" s="1" t="s">
        <v>4524</v>
      </c>
      <c r="I1252" s="1" t="s">
        <v>3324</v>
      </c>
      <c r="J1252" t="str">
        <f>IF(ISNA(_xlfn.XLOOKUP(B1252,customer_master!$A$2:$A$1649, customer_master!$A$2:$A$1649)), "Invalid", "Ok")</f>
        <v>Ok</v>
      </c>
      <c r="K1252" t="str">
        <f>IF(ISNA(_xlfn.XLOOKUP(H1252,agent_info!$A$2:$A$301, agent_info!$A$2:$A$301)), "Invalid", "Ok")</f>
        <v>Ok</v>
      </c>
    </row>
    <row r="1253" spans="1:11" x14ac:dyDescent="0.3">
      <c r="A1253" s="1" t="s">
        <v>4871</v>
      </c>
      <c r="B1253" s="1" t="s">
        <v>2941</v>
      </c>
      <c r="C1253" s="1" t="s">
        <v>3326</v>
      </c>
      <c r="D1253" s="1">
        <v>685934.88</v>
      </c>
      <c r="E1253" s="1">
        <v>31685.759999999998</v>
      </c>
      <c r="F1253" s="41">
        <v>45563</v>
      </c>
      <c r="G1253" s="41">
        <v>45928</v>
      </c>
      <c r="H1253" s="1" t="s">
        <v>3562</v>
      </c>
      <c r="I1253" s="1" t="s">
        <v>3316</v>
      </c>
      <c r="J1253" t="str">
        <f>IF(ISNA(_xlfn.XLOOKUP(B1253,customer_master!$A$2:$A$1649, customer_master!$A$2:$A$1649)), "Invalid", "Ok")</f>
        <v>Ok</v>
      </c>
      <c r="K1253" t="str">
        <f>IF(ISNA(_xlfn.XLOOKUP(H1253,agent_info!$A$2:$A$301, agent_info!$A$2:$A$301)), "Invalid", "Ok")</f>
        <v>Ok</v>
      </c>
    </row>
    <row r="1254" spans="1:11" x14ac:dyDescent="0.3">
      <c r="A1254" s="1" t="s">
        <v>4872</v>
      </c>
      <c r="B1254" s="1" t="s">
        <v>1588</v>
      </c>
      <c r="C1254" s="1" t="s">
        <v>3334</v>
      </c>
      <c r="D1254" s="1">
        <v>509526.1</v>
      </c>
      <c r="E1254" s="1">
        <v>22930.17</v>
      </c>
      <c r="F1254" s="41">
        <v>46243</v>
      </c>
      <c r="G1254" s="41">
        <v>46608</v>
      </c>
      <c r="H1254" s="1" t="s">
        <v>3758</v>
      </c>
      <c r="I1254" s="1" t="s">
        <v>3324</v>
      </c>
      <c r="J1254" t="str">
        <f>IF(ISNA(_xlfn.XLOOKUP(B1254,customer_master!$A$2:$A$1649, customer_master!$A$2:$A$1649)), "Invalid", "Ok")</f>
        <v>Ok</v>
      </c>
      <c r="K1254" t="str">
        <f>IF(ISNA(_xlfn.XLOOKUP(H1254,agent_info!$A$2:$A$301, agent_info!$A$2:$A$301)), "Invalid", "Ok")</f>
        <v>Ok</v>
      </c>
    </row>
    <row r="1255" spans="1:11" x14ac:dyDescent="0.3">
      <c r="A1255" s="1" t="s">
        <v>4873</v>
      </c>
      <c r="B1255" s="1" t="s">
        <v>632</v>
      </c>
      <c r="C1255" s="1" t="s">
        <v>3314</v>
      </c>
      <c r="D1255" s="1">
        <v>624414.29</v>
      </c>
      <c r="E1255" s="1">
        <v>30341.54</v>
      </c>
      <c r="F1255" s="41">
        <v>44400</v>
      </c>
      <c r="G1255" s="41">
        <v>44765</v>
      </c>
      <c r="H1255" s="1" t="s">
        <v>3389</v>
      </c>
      <c r="I1255" s="1" t="s">
        <v>3324</v>
      </c>
      <c r="J1255" t="str">
        <f>IF(ISNA(_xlfn.XLOOKUP(B1255,customer_master!$A$2:$A$1649, customer_master!$A$2:$A$1649)), "Invalid", "Ok")</f>
        <v>Ok</v>
      </c>
      <c r="K1255" t="str">
        <f>IF(ISNA(_xlfn.XLOOKUP(H1255,agent_info!$A$2:$A$301, agent_info!$A$2:$A$301)), "Invalid", "Ok")</f>
        <v>Ok</v>
      </c>
    </row>
    <row r="1256" spans="1:11" x14ac:dyDescent="0.3">
      <c r="A1256" s="1" t="s">
        <v>4874</v>
      </c>
      <c r="B1256" s="1" t="s">
        <v>757</v>
      </c>
      <c r="C1256" s="1" t="s">
        <v>3314</v>
      </c>
      <c r="D1256" s="1">
        <v>585155.63</v>
      </c>
      <c r="E1256" s="1">
        <v>26468.84</v>
      </c>
      <c r="F1256" s="41">
        <v>46160</v>
      </c>
      <c r="G1256" s="41">
        <v>46525</v>
      </c>
      <c r="H1256" s="1" t="s">
        <v>3522</v>
      </c>
      <c r="I1256" s="1" t="s">
        <v>3324</v>
      </c>
      <c r="J1256" t="str">
        <f>IF(ISNA(_xlfn.XLOOKUP(B1256,customer_master!$A$2:$A$1649, customer_master!$A$2:$A$1649)), "Invalid", "Ok")</f>
        <v>Ok</v>
      </c>
      <c r="K1256" t="str">
        <f>IF(ISNA(_xlfn.XLOOKUP(H1256,agent_info!$A$2:$A$301, agent_info!$A$2:$A$301)), "Invalid", "Ok")</f>
        <v>Ok</v>
      </c>
    </row>
    <row r="1257" spans="1:11" x14ac:dyDescent="0.3">
      <c r="A1257" s="1" t="s">
        <v>4875</v>
      </c>
      <c r="B1257" s="1" t="s">
        <v>2811</v>
      </c>
      <c r="C1257" s="1" t="s">
        <v>3334</v>
      </c>
      <c r="D1257" s="1">
        <v>745600.25</v>
      </c>
      <c r="E1257" s="1">
        <v>36795.53</v>
      </c>
      <c r="F1257" s="41">
        <v>45013</v>
      </c>
      <c r="G1257" s="41">
        <v>45379</v>
      </c>
      <c r="H1257" s="1" t="s">
        <v>3620</v>
      </c>
      <c r="I1257" s="1" t="s">
        <v>3324</v>
      </c>
      <c r="J1257" t="str">
        <f>IF(ISNA(_xlfn.XLOOKUP(B1257,customer_master!$A$2:$A$1649, customer_master!$A$2:$A$1649)), "Invalid", "Ok")</f>
        <v>Ok</v>
      </c>
      <c r="K1257" t="str">
        <f>IF(ISNA(_xlfn.XLOOKUP(H1257,agent_info!$A$2:$A$301, agent_info!$A$2:$A$301)), "Invalid", "Ok")</f>
        <v>Ok</v>
      </c>
    </row>
    <row r="1258" spans="1:11" x14ac:dyDescent="0.3">
      <c r="A1258" s="1" t="s">
        <v>4876</v>
      </c>
      <c r="B1258" s="1" t="s">
        <v>58</v>
      </c>
      <c r="C1258" s="1" t="s">
        <v>3326</v>
      </c>
      <c r="D1258" s="1">
        <v>406970.16</v>
      </c>
      <c r="E1258" s="1">
        <v>20745.47</v>
      </c>
      <c r="F1258" s="41">
        <v>45921</v>
      </c>
      <c r="G1258" s="41">
        <v>46286</v>
      </c>
      <c r="H1258" s="1" t="s">
        <v>3511</v>
      </c>
      <c r="I1258" s="1" t="s">
        <v>3316</v>
      </c>
      <c r="J1258" t="str">
        <f>IF(ISNA(_xlfn.XLOOKUP(B1258,customer_master!$A$2:$A$1649, customer_master!$A$2:$A$1649)), "Invalid", "Ok")</f>
        <v>Ok</v>
      </c>
      <c r="K1258" t="str">
        <f>IF(ISNA(_xlfn.XLOOKUP(H1258,agent_info!$A$2:$A$301, agent_info!$A$2:$A$301)), "Invalid", "Ok")</f>
        <v>Ok</v>
      </c>
    </row>
    <row r="1259" spans="1:11" x14ac:dyDescent="0.3">
      <c r="A1259" s="1" t="s">
        <v>4877</v>
      </c>
      <c r="B1259" s="1" t="s">
        <v>2891</v>
      </c>
      <c r="C1259" s="1" t="s">
        <v>3314</v>
      </c>
      <c r="D1259" s="1">
        <v>454785.83</v>
      </c>
      <c r="E1259" s="1">
        <v>23175.34</v>
      </c>
      <c r="F1259" s="41">
        <v>46106</v>
      </c>
      <c r="G1259" s="41">
        <v>46471</v>
      </c>
      <c r="H1259" s="1" t="s">
        <v>4639</v>
      </c>
      <c r="I1259" s="1" t="s">
        <v>3324</v>
      </c>
      <c r="J1259" t="str">
        <f>IF(ISNA(_xlfn.XLOOKUP(B1259,customer_master!$A$2:$A$1649, customer_master!$A$2:$A$1649)), "Invalid", "Ok")</f>
        <v>Ok</v>
      </c>
      <c r="K1259" t="str">
        <f>IF(ISNA(_xlfn.XLOOKUP(H1259,agent_info!$A$2:$A$301, agent_info!$A$2:$A$301)), "Invalid", "Ok")</f>
        <v>Ok</v>
      </c>
    </row>
    <row r="1260" spans="1:11" x14ac:dyDescent="0.3">
      <c r="A1260" s="1" t="s">
        <v>4878</v>
      </c>
      <c r="B1260" s="1" t="s">
        <v>218</v>
      </c>
      <c r="C1260" s="1" t="s">
        <v>3326</v>
      </c>
      <c r="D1260" s="1">
        <v>651832.06000000006</v>
      </c>
      <c r="E1260" s="1">
        <v>32952.050000000003</v>
      </c>
      <c r="F1260" s="41">
        <v>44287</v>
      </c>
      <c r="G1260" s="41">
        <v>44652</v>
      </c>
      <c r="H1260" s="1" t="s">
        <v>3555</v>
      </c>
      <c r="I1260" s="1" t="s">
        <v>3316</v>
      </c>
      <c r="J1260" t="str">
        <f>IF(ISNA(_xlfn.XLOOKUP(B1260,customer_master!$A$2:$A$1649, customer_master!$A$2:$A$1649)), "Invalid", "Ok")</f>
        <v>Ok</v>
      </c>
      <c r="K1260" t="str">
        <f>IF(ISNA(_xlfn.XLOOKUP(H1260,agent_info!$A$2:$A$301, agent_info!$A$2:$A$301)), "Invalid", "Ok")</f>
        <v>Ok</v>
      </c>
    </row>
    <row r="1261" spans="1:11" x14ac:dyDescent="0.3">
      <c r="A1261" s="1" t="s">
        <v>4879</v>
      </c>
      <c r="B1261" s="1" t="s">
        <v>1339</v>
      </c>
      <c r="C1261" s="1" t="s">
        <v>3326</v>
      </c>
      <c r="D1261" s="1">
        <v>583170.89</v>
      </c>
      <c r="E1261" s="1">
        <v>27561.65</v>
      </c>
      <c r="F1261" s="41">
        <v>46212</v>
      </c>
      <c r="G1261" s="41">
        <v>46577</v>
      </c>
      <c r="H1261" s="1" t="s">
        <v>3397</v>
      </c>
      <c r="I1261" s="1" t="s">
        <v>3316</v>
      </c>
      <c r="J1261" t="str">
        <f>IF(ISNA(_xlfn.XLOOKUP(B1261,customer_master!$A$2:$A$1649, customer_master!$A$2:$A$1649)), "Invalid", "Ok")</f>
        <v>Ok</v>
      </c>
      <c r="K1261" t="str">
        <f>IF(ISNA(_xlfn.XLOOKUP(H1261,agent_info!$A$2:$A$301, agent_info!$A$2:$A$301)), "Invalid", "Ok")</f>
        <v>Ok</v>
      </c>
    </row>
    <row r="1262" spans="1:11" x14ac:dyDescent="0.3">
      <c r="A1262" s="1" t="s">
        <v>4880</v>
      </c>
      <c r="B1262" s="1" t="s">
        <v>2649</v>
      </c>
      <c r="C1262" s="1" t="s">
        <v>3331</v>
      </c>
      <c r="D1262" s="1">
        <v>588673.32999999996</v>
      </c>
      <c r="E1262" s="1">
        <v>29546.63</v>
      </c>
      <c r="F1262" s="41">
        <v>44470</v>
      </c>
      <c r="G1262" s="41">
        <v>44835</v>
      </c>
      <c r="H1262" s="1" t="s">
        <v>3548</v>
      </c>
      <c r="I1262" s="1" t="s">
        <v>3324</v>
      </c>
      <c r="J1262" t="str">
        <f>IF(ISNA(_xlfn.XLOOKUP(B1262,customer_master!$A$2:$A$1649, customer_master!$A$2:$A$1649)), "Invalid", "Ok")</f>
        <v>Ok</v>
      </c>
      <c r="K1262" t="str">
        <f>IF(ISNA(_xlfn.XLOOKUP(H1262,agent_info!$A$2:$A$301, agent_info!$A$2:$A$301)), "Invalid", "Ok")</f>
        <v>Ok</v>
      </c>
    </row>
    <row r="1263" spans="1:11" x14ac:dyDescent="0.3">
      <c r="A1263" s="1" t="s">
        <v>4881</v>
      </c>
      <c r="B1263" s="1" t="s">
        <v>1386</v>
      </c>
      <c r="C1263" s="1" t="s">
        <v>3331</v>
      </c>
      <c r="D1263" s="1">
        <v>532154.5</v>
      </c>
      <c r="E1263" s="1">
        <v>29161.19</v>
      </c>
      <c r="F1263" s="41">
        <v>44192</v>
      </c>
      <c r="G1263" s="41">
        <v>44557</v>
      </c>
      <c r="H1263" s="1" t="s">
        <v>3734</v>
      </c>
      <c r="I1263" s="1" t="s">
        <v>3316</v>
      </c>
      <c r="J1263" t="str">
        <f>IF(ISNA(_xlfn.XLOOKUP(B1263,customer_master!$A$2:$A$1649, customer_master!$A$2:$A$1649)), "Invalid", "Ok")</f>
        <v>Ok</v>
      </c>
      <c r="K1263" t="str">
        <f>IF(ISNA(_xlfn.XLOOKUP(H1263,agent_info!$A$2:$A$301, agent_info!$A$2:$A$301)), "Invalid", "Ok")</f>
        <v>Ok</v>
      </c>
    </row>
    <row r="1264" spans="1:11" x14ac:dyDescent="0.3">
      <c r="A1264" s="1" t="s">
        <v>4882</v>
      </c>
      <c r="B1264" s="1" t="s">
        <v>2726</v>
      </c>
      <c r="C1264" s="1" t="s">
        <v>3331</v>
      </c>
      <c r="D1264" s="1">
        <v>538416.84</v>
      </c>
      <c r="E1264" s="1">
        <v>26622.65</v>
      </c>
      <c r="F1264" s="41">
        <v>46225</v>
      </c>
      <c r="G1264" s="41">
        <v>46590</v>
      </c>
      <c r="H1264" s="1" t="s">
        <v>3511</v>
      </c>
      <c r="I1264" s="1" t="s">
        <v>3324</v>
      </c>
      <c r="J1264" t="str">
        <f>IF(ISNA(_xlfn.XLOOKUP(B1264,customer_master!$A$2:$A$1649, customer_master!$A$2:$A$1649)), "Invalid", "Ok")</f>
        <v>Ok</v>
      </c>
      <c r="K1264" t="str">
        <f>IF(ISNA(_xlfn.XLOOKUP(H1264,agent_info!$A$2:$A$301, agent_info!$A$2:$A$301)), "Invalid", "Ok")</f>
        <v>Ok</v>
      </c>
    </row>
    <row r="1265" spans="1:11" x14ac:dyDescent="0.3">
      <c r="A1265" s="1" t="s">
        <v>4883</v>
      </c>
      <c r="B1265" s="1" t="s">
        <v>361</v>
      </c>
      <c r="C1265" s="1" t="s">
        <v>3334</v>
      </c>
      <c r="D1265" s="1">
        <v>744945.23</v>
      </c>
      <c r="E1265" s="1">
        <v>40037.019999999997</v>
      </c>
      <c r="F1265" s="41">
        <v>45502</v>
      </c>
      <c r="G1265" s="41">
        <v>45867</v>
      </c>
      <c r="H1265" s="1" t="s">
        <v>4012</v>
      </c>
      <c r="I1265" s="1" t="s">
        <v>3324</v>
      </c>
      <c r="J1265" t="str">
        <f>IF(ISNA(_xlfn.XLOOKUP(B1265,customer_master!$A$2:$A$1649, customer_master!$A$2:$A$1649)), "Invalid", "Ok")</f>
        <v>Ok</v>
      </c>
      <c r="K1265" t="str">
        <f>IF(ISNA(_xlfn.XLOOKUP(H1265,agent_info!$A$2:$A$301, agent_info!$A$2:$A$301)), "Invalid", "Ok")</f>
        <v>Ok</v>
      </c>
    </row>
    <row r="1266" spans="1:11" x14ac:dyDescent="0.3">
      <c r="A1266" s="1" t="s">
        <v>4884</v>
      </c>
      <c r="B1266" s="1" t="s">
        <v>1719</v>
      </c>
      <c r="C1266" s="1" t="s">
        <v>3314</v>
      </c>
      <c r="D1266" s="1">
        <v>643364.11</v>
      </c>
      <c r="E1266" s="1">
        <v>31405.21</v>
      </c>
      <c r="F1266" s="41">
        <v>45377</v>
      </c>
      <c r="G1266" s="41">
        <v>45742</v>
      </c>
      <c r="H1266" s="1" t="s">
        <v>4001</v>
      </c>
      <c r="I1266" s="1" t="s">
        <v>3320</v>
      </c>
      <c r="J1266" t="str">
        <f>IF(ISNA(_xlfn.XLOOKUP(B1266,customer_master!$A$2:$A$1649, customer_master!$A$2:$A$1649)), "Invalid", "Ok")</f>
        <v>Ok</v>
      </c>
      <c r="K1266" t="str">
        <f>IF(ISNA(_xlfn.XLOOKUP(H1266,agent_info!$A$2:$A$301, agent_info!$A$2:$A$301)), "Invalid", "Ok")</f>
        <v>Ok</v>
      </c>
    </row>
    <row r="1267" spans="1:11" x14ac:dyDescent="0.3">
      <c r="A1267" s="1" t="s">
        <v>4885</v>
      </c>
      <c r="B1267" s="1" t="s">
        <v>1940</v>
      </c>
      <c r="C1267" s="1" t="s">
        <v>3326</v>
      </c>
      <c r="D1267" s="1">
        <v>675184.44</v>
      </c>
      <c r="E1267" s="1">
        <v>34590</v>
      </c>
      <c r="F1267" s="41">
        <v>46202</v>
      </c>
      <c r="G1267" s="41">
        <v>46567</v>
      </c>
      <c r="H1267" s="1" t="s">
        <v>4625</v>
      </c>
      <c r="I1267" s="1" t="s">
        <v>3324</v>
      </c>
      <c r="J1267" t="str">
        <f>IF(ISNA(_xlfn.XLOOKUP(B1267,customer_master!$A$2:$A$1649, customer_master!$A$2:$A$1649)), "Invalid", "Ok")</f>
        <v>Ok</v>
      </c>
      <c r="K1267" t="str">
        <f>IF(ISNA(_xlfn.XLOOKUP(H1267,agent_info!$A$2:$A$301, agent_info!$A$2:$A$301)), "Invalid", "Ok")</f>
        <v>Ok</v>
      </c>
    </row>
    <row r="1268" spans="1:11" x14ac:dyDescent="0.3">
      <c r="A1268" s="1" t="s">
        <v>4886</v>
      </c>
      <c r="B1268" s="1" t="s">
        <v>2961</v>
      </c>
      <c r="C1268" s="1" t="s">
        <v>3334</v>
      </c>
      <c r="D1268" s="1">
        <v>759291.65</v>
      </c>
      <c r="E1268" s="1">
        <v>37826.69</v>
      </c>
      <c r="F1268" s="41">
        <v>45451</v>
      </c>
      <c r="G1268" s="41">
        <v>45816</v>
      </c>
      <c r="H1268" s="1" t="s">
        <v>3393</v>
      </c>
      <c r="I1268" s="1" t="s">
        <v>3316</v>
      </c>
      <c r="J1268" t="str">
        <f>IF(ISNA(_xlfn.XLOOKUP(B1268,customer_master!$A$2:$A$1649, customer_master!$A$2:$A$1649)), "Invalid", "Ok")</f>
        <v>Ok</v>
      </c>
      <c r="K1268" t="str">
        <f>IF(ISNA(_xlfn.XLOOKUP(H1268,agent_info!$A$2:$A$301, agent_info!$A$2:$A$301)), "Invalid", "Ok")</f>
        <v>Ok</v>
      </c>
    </row>
    <row r="1269" spans="1:11" x14ac:dyDescent="0.3">
      <c r="A1269" s="1" t="s">
        <v>4887</v>
      </c>
      <c r="B1269" s="1" t="s">
        <v>342</v>
      </c>
      <c r="C1269" s="1" t="s">
        <v>3314</v>
      </c>
      <c r="D1269" s="1">
        <v>595598.07999999996</v>
      </c>
      <c r="E1269" s="1">
        <v>30903.34</v>
      </c>
      <c r="F1269" s="41">
        <v>44962</v>
      </c>
      <c r="G1269" s="41">
        <v>45327</v>
      </c>
      <c r="H1269" s="1" t="s">
        <v>3379</v>
      </c>
      <c r="I1269" s="1" t="s">
        <v>3324</v>
      </c>
      <c r="J1269" t="str">
        <f>IF(ISNA(_xlfn.XLOOKUP(B1269,customer_master!$A$2:$A$1649, customer_master!$A$2:$A$1649)), "Invalid", "Ok")</f>
        <v>Ok</v>
      </c>
      <c r="K1269" t="str">
        <f>IF(ISNA(_xlfn.XLOOKUP(H1269,agent_info!$A$2:$A$301, agent_info!$A$2:$A$301)), "Invalid", "Ok")</f>
        <v>Ok</v>
      </c>
    </row>
    <row r="1270" spans="1:11" x14ac:dyDescent="0.3">
      <c r="A1270" s="1" t="s">
        <v>4888</v>
      </c>
      <c r="B1270" s="1" t="s">
        <v>1145</v>
      </c>
      <c r="C1270" s="1" t="s">
        <v>3314</v>
      </c>
      <c r="D1270" s="1">
        <v>619807.24</v>
      </c>
      <c r="E1270" s="1">
        <v>33453.339999999997</v>
      </c>
      <c r="F1270" s="41">
        <v>44151</v>
      </c>
      <c r="G1270" s="41">
        <v>44516</v>
      </c>
      <c r="H1270" s="1" t="s">
        <v>3457</v>
      </c>
      <c r="I1270" s="1" t="s">
        <v>3324</v>
      </c>
      <c r="J1270" t="str">
        <f>IF(ISNA(_xlfn.XLOOKUP(B1270,customer_master!$A$2:$A$1649, customer_master!$A$2:$A$1649)), "Invalid", "Ok")</f>
        <v>Ok</v>
      </c>
      <c r="K1270" t="str">
        <f>IF(ISNA(_xlfn.XLOOKUP(H1270,agent_info!$A$2:$A$301, agent_info!$A$2:$A$301)), "Invalid", "Ok")</f>
        <v>Ok</v>
      </c>
    </row>
    <row r="1271" spans="1:11" x14ac:dyDescent="0.3">
      <c r="A1271" s="1" t="s">
        <v>4889</v>
      </c>
      <c r="B1271" s="1" t="s">
        <v>2198</v>
      </c>
      <c r="C1271" s="1" t="s">
        <v>3318</v>
      </c>
      <c r="D1271" s="1">
        <v>626105.93999999994</v>
      </c>
      <c r="E1271" s="1">
        <v>30935.27</v>
      </c>
      <c r="F1271" s="41">
        <v>44604</v>
      </c>
      <c r="G1271" s="41">
        <v>44969</v>
      </c>
      <c r="H1271" s="1" t="s">
        <v>3406</v>
      </c>
      <c r="I1271" s="1" t="s">
        <v>3324</v>
      </c>
      <c r="J1271" t="str">
        <f>IF(ISNA(_xlfn.XLOOKUP(B1271,customer_master!$A$2:$A$1649, customer_master!$A$2:$A$1649)), "Invalid", "Ok")</f>
        <v>Ok</v>
      </c>
      <c r="K1271" t="str">
        <f>IF(ISNA(_xlfn.XLOOKUP(H1271,agent_info!$A$2:$A$301, agent_info!$A$2:$A$301)), "Invalid", "Ok")</f>
        <v>Ok</v>
      </c>
    </row>
    <row r="1272" spans="1:11" x14ac:dyDescent="0.3">
      <c r="A1272" s="1" t="s">
        <v>4890</v>
      </c>
      <c r="B1272" s="1" t="s">
        <v>3245</v>
      </c>
      <c r="C1272" s="1" t="s">
        <v>3331</v>
      </c>
      <c r="D1272" s="1">
        <v>701642.97</v>
      </c>
      <c r="E1272" s="1">
        <v>36888.17</v>
      </c>
      <c r="F1272" s="41">
        <v>45148</v>
      </c>
      <c r="G1272" s="41">
        <v>45514</v>
      </c>
      <c r="H1272" s="1" t="s">
        <v>3807</v>
      </c>
      <c r="I1272" s="1" t="s">
        <v>3324</v>
      </c>
      <c r="J1272" t="str">
        <f>IF(ISNA(_xlfn.XLOOKUP(B1272,customer_master!$A$2:$A$1649, customer_master!$A$2:$A$1649)), "Invalid", "Ok")</f>
        <v>Ok</v>
      </c>
      <c r="K1272" t="str">
        <f>IF(ISNA(_xlfn.XLOOKUP(H1272,agent_info!$A$2:$A$301, agent_info!$A$2:$A$301)), "Invalid", "Ok")</f>
        <v>Ok</v>
      </c>
    </row>
    <row r="1273" spans="1:11" x14ac:dyDescent="0.3">
      <c r="A1273" s="1" t="s">
        <v>4891</v>
      </c>
      <c r="B1273" s="1" t="s">
        <v>2819</v>
      </c>
      <c r="C1273" s="1" t="s">
        <v>3331</v>
      </c>
      <c r="D1273" s="1">
        <v>632935.86</v>
      </c>
      <c r="E1273" s="1">
        <v>34068.019999999997</v>
      </c>
      <c r="F1273" s="41">
        <v>45585</v>
      </c>
      <c r="G1273" s="41">
        <v>45950</v>
      </c>
      <c r="H1273" s="1" t="s">
        <v>4093</v>
      </c>
      <c r="I1273" s="1" t="s">
        <v>3324</v>
      </c>
      <c r="J1273" t="str">
        <f>IF(ISNA(_xlfn.XLOOKUP(B1273,customer_master!$A$2:$A$1649, customer_master!$A$2:$A$1649)), "Invalid", "Ok")</f>
        <v>Ok</v>
      </c>
      <c r="K1273" t="str">
        <f>IF(ISNA(_xlfn.XLOOKUP(H1273,agent_info!$A$2:$A$301, agent_info!$A$2:$A$301)), "Invalid", "Ok")</f>
        <v>Ok</v>
      </c>
    </row>
    <row r="1274" spans="1:11" x14ac:dyDescent="0.3">
      <c r="A1274" s="1" t="s">
        <v>4892</v>
      </c>
      <c r="B1274" s="1" t="s">
        <v>2815</v>
      </c>
      <c r="C1274" s="1" t="s">
        <v>3314</v>
      </c>
      <c r="D1274" s="1">
        <v>429139.26</v>
      </c>
      <c r="E1274" s="1">
        <v>22699.51</v>
      </c>
      <c r="F1274" s="41">
        <v>46169</v>
      </c>
      <c r="G1274" s="41">
        <v>46534</v>
      </c>
      <c r="H1274" s="1" t="s">
        <v>3408</v>
      </c>
      <c r="I1274" s="1" t="s">
        <v>3320</v>
      </c>
      <c r="J1274" t="str">
        <f>IF(ISNA(_xlfn.XLOOKUP(B1274,customer_master!$A$2:$A$1649, customer_master!$A$2:$A$1649)), "Invalid", "Ok")</f>
        <v>Ok</v>
      </c>
      <c r="K1274" t="str">
        <f>IF(ISNA(_xlfn.XLOOKUP(H1274,agent_info!$A$2:$A$301, agent_info!$A$2:$A$301)), "Invalid", "Ok")</f>
        <v>Ok</v>
      </c>
    </row>
    <row r="1275" spans="1:11" x14ac:dyDescent="0.3">
      <c r="A1275" s="1" t="s">
        <v>4893</v>
      </c>
      <c r="B1275" s="1" t="s">
        <v>1737</v>
      </c>
      <c r="C1275" s="1" t="s">
        <v>3334</v>
      </c>
      <c r="D1275" s="1">
        <v>747835.59</v>
      </c>
      <c r="E1275" s="1">
        <v>33836.239999999998</v>
      </c>
      <c r="F1275" s="41">
        <v>45507</v>
      </c>
      <c r="G1275" s="41">
        <v>45872</v>
      </c>
      <c r="H1275" s="1" t="s">
        <v>3429</v>
      </c>
      <c r="I1275" s="1" t="s">
        <v>3324</v>
      </c>
      <c r="J1275" t="str">
        <f>IF(ISNA(_xlfn.XLOOKUP(B1275,customer_master!$A$2:$A$1649, customer_master!$A$2:$A$1649)), "Invalid", "Ok")</f>
        <v>Ok</v>
      </c>
      <c r="K1275" t="str">
        <f>IF(ISNA(_xlfn.XLOOKUP(H1275,agent_info!$A$2:$A$301, agent_info!$A$2:$A$301)), "Invalid", "Ok")</f>
        <v>Ok</v>
      </c>
    </row>
    <row r="1276" spans="1:11" x14ac:dyDescent="0.3">
      <c r="A1276" s="1" t="s">
        <v>4894</v>
      </c>
      <c r="B1276" s="1" t="s">
        <v>1891</v>
      </c>
      <c r="C1276" s="1" t="s">
        <v>3326</v>
      </c>
      <c r="D1276" s="1">
        <v>581327.03</v>
      </c>
      <c r="E1276" s="1">
        <v>26160.82</v>
      </c>
      <c r="F1276" s="41">
        <v>44899</v>
      </c>
      <c r="G1276" s="41">
        <v>45264</v>
      </c>
      <c r="H1276" s="1" t="s">
        <v>3655</v>
      </c>
      <c r="I1276" s="1" t="s">
        <v>3324</v>
      </c>
      <c r="J1276" t="str">
        <f>IF(ISNA(_xlfn.XLOOKUP(B1276,customer_master!$A$2:$A$1649, customer_master!$A$2:$A$1649)), "Invalid", "Ok")</f>
        <v>Ok</v>
      </c>
      <c r="K1276" t="str">
        <f>IF(ISNA(_xlfn.XLOOKUP(H1276,agent_info!$A$2:$A$301, agent_info!$A$2:$A$301)), "Invalid", "Ok")</f>
        <v>Ok</v>
      </c>
    </row>
    <row r="1277" spans="1:11" x14ac:dyDescent="0.3">
      <c r="A1277" s="1" t="s">
        <v>4895</v>
      </c>
      <c r="B1277" s="1" t="s">
        <v>2855</v>
      </c>
      <c r="C1277" s="1" t="s">
        <v>3326</v>
      </c>
      <c r="D1277" s="1">
        <v>654471.05000000005</v>
      </c>
      <c r="E1277" s="1">
        <v>35229.910000000003</v>
      </c>
      <c r="F1277" s="41">
        <v>45593</v>
      </c>
      <c r="G1277" s="41">
        <v>45958</v>
      </c>
      <c r="H1277" s="1" t="s">
        <v>3643</v>
      </c>
      <c r="I1277" s="1" t="s">
        <v>3324</v>
      </c>
      <c r="J1277" t="str">
        <f>IF(ISNA(_xlfn.XLOOKUP(B1277,customer_master!$A$2:$A$1649, customer_master!$A$2:$A$1649)), "Invalid", "Ok")</f>
        <v>Ok</v>
      </c>
      <c r="K1277" t="str">
        <f>IF(ISNA(_xlfn.XLOOKUP(H1277,agent_info!$A$2:$A$301, agent_info!$A$2:$A$301)), "Invalid", "Ok")</f>
        <v>Ok</v>
      </c>
    </row>
    <row r="1278" spans="1:11" x14ac:dyDescent="0.3">
      <c r="A1278" s="1" t="s">
        <v>4896</v>
      </c>
      <c r="B1278" s="1" t="s">
        <v>2891</v>
      </c>
      <c r="C1278" s="1" t="s">
        <v>3334</v>
      </c>
      <c r="D1278" s="1">
        <v>548524.03</v>
      </c>
      <c r="E1278" s="1">
        <v>28684.04</v>
      </c>
      <c r="F1278" s="41">
        <v>45820</v>
      </c>
      <c r="G1278" s="41">
        <v>46185</v>
      </c>
      <c r="H1278" s="1" t="s">
        <v>3762</v>
      </c>
      <c r="I1278" s="1" t="s">
        <v>3324</v>
      </c>
      <c r="J1278" t="str">
        <f>IF(ISNA(_xlfn.XLOOKUP(B1278,customer_master!$A$2:$A$1649, customer_master!$A$2:$A$1649)), "Invalid", "Ok")</f>
        <v>Ok</v>
      </c>
      <c r="K1278" t="str">
        <f>IF(ISNA(_xlfn.XLOOKUP(H1278,agent_info!$A$2:$A$301, agent_info!$A$2:$A$301)), "Invalid", "Ok")</f>
        <v>Ok</v>
      </c>
    </row>
    <row r="1279" spans="1:11" x14ac:dyDescent="0.3">
      <c r="A1279" s="1" t="s">
        <v>4897</v>
      </c>
      <c r="B1279" s="1" t="s">
        <v>2655</v>
      </c>
      <c r="C1279" s="1" t="s">
        <v>3334</v>
      </c>
      <c r="D1279" s="1">
        <v>567765.80000000005</v>
      </c>
      <c r="E1279" s="1">
        <v>30989.41</v>
      </c>
      <c r="F1279" s="41">
        <v>45520</v>
      </c>
      <c r="G1279" s="41">
        <v>45885</v>
      </c>
      <c r="H1279" s="1" t="s">
        <v>3710</v>
      </c>
      <c r="I1279" s="1" t="s">
        <v>3316</v>
      </c>
      <c r="J1279" t="str">
        <f>IF(ISNA(_xlfn.XLOOKUP(B1279,customer_master!$A$2:$A$1649, customer_master!$A$2:$A$1649)), "Invalid", "Ok")</f>
        <v>Ok</v>
      </c>
      <c r="K1279" t="str">
        <f>IF(ISNA(_xlfn.XLOOKUP(H1279,agent_info!$A$2:$A$301, agent_info!$A$2:$A$301)), "Invalid", "Ok")</f>
        <v>Ok</v>
      </c>
    </row>
    <row r="1280" spans="1:11" x14ac:dyDescent="0.3">
      <c r="A1280" s="1" t="s">
        <v>4898</v>
      </c>
      <c r="B1280" s="1" t="s">
        <v>2716</v>
      </c>
      <c r="C1280" s="1" t="s">
        <v>3318</v>
      </c>
      <c r="D1280" s="1">
        <v>638387.69999999995</v>
      </c>
      <c r="E1280" s="1">
        <v>30594.62</v>
      </c>
      <c r="F1280" s="41">
        <v>45781</v>
      </c>
      <c r="G1280" s="41">
        <v>46146</v>
      </c>
      <c r="H1280" s="1" t="s">
        <v>3367</v>
      </c>
      <c r="I1280" s="1" t="s">
        <v>3316</v>
      </c>
      <c r="J1280" t="str">
        <f>IF(ISNA(_xlfn.XLOOKUP(B1280,customer_master!$A$2:$A$1649, customer_master!$A$2:$A$1649)), "Invalid", "Ok")</f>
        <v>Ok</v>
      </c>
      <c r="K1280" t="str">
        <f>IF(ISNA(_xlfn.XLOOKUP(H1280,agent_info!$A$2:$A$301, agent_info!$A$2:$A$301)), "Invalid", "Ok")</f>
        <v>Ok</v>
      </c>
    </row>
    <row r="1281" spans="1:11" x14ac:dyDescent="0.3">
      <c r="A1281" s="1" t="s">
        <v>4899</v>
      </c>
      <c r="B1281" s="1" t="s">
        <v>2926</v>
      </c>
      <c r="C1281" s="1" t="s">
        <v>3326</v>
      </c>
      <c r="D1281" s="1">
        <v>621741.4</v>
      </c>
      <c r="E1281" s="1">
        <v>32877.49</v>
      </c>
      <c r="F1281" s="41">
        <v>45972</v>
      </c>
      <c r="G1281" s="41">
        <v>46337</v>
      </c>
      <c r="H1281" s="1" t="s">
        <v>3472</v>
      </c>
      <c r="I1281" s="1" t="s">
        <v>3324</v>
      </c>
      <c r="J1281" t="str">
        <f>IF(ISNA(_xlfn.XLOOKUP(B1281,customer_master!$A$2:$A$1649, customer_master!$A$2:$A$1649)), "Invalid", "Ok")</f>
        <v>Ok</v>
      </c>
      <c r="K1281" t="str">
        <f>IF(ISNA(_xlfn.XLOOKUP(H1281,agent_info!$A$2:$A$301, agent_info!$A$2:$A$301)), "Invalid", "Ok")</f>
        <v>Ok</v>
      </c>
    </row>
    <row r="1282" spans="1:11" x14ac:dyDescent="0.3">
      <c r="A1282" s="1" t="s">
        <v>4900</v>
      </c>
      <c r="B1282" s="1" t="s">
        <v>405</v>
      </c>
      <c r="C1282" s="1" t="s">
        <v>3318</v>
      </c>
      <c r="D1282" s="1">
        <v>407657.39</v>
      </c>
      <c r="E1282" s="1">
        <v>21612.05</v>
      </c>
      <c r="F1282" s="41">
        <v>45502</v>
      </c>
      <c r="G1282" s="41">
        <v>45867</v>
      </c>
      <c r="H1282" s="1" t="s">
        <v>4309</v>
      </c>
      <c r="I1282" s="1" t="s">
        <v>3316</v>
      </c>
      <c r="J1282" t="str">
        <f>IF(ISNA(_xlfn.XLOOKUP(B1282,customer_master!$A$2:$A$1649, customer_master!$A$2:$A$1649)), "Invalid", "Ok")</f>
        <v>Ok</v>
      </c>
      <c r="K1282" t="str">
        <f>IF(ISNA(_xlfn.XLOOKUP(H1282,agent_info!$A$2:$A$301, agent_info!$A$2:$A$301)), "Invalid", "Ok")</f>
        <v>Ok</v>
      </c>
    </row>
    <row r="1283" spans="1:11" x14ac:dyDescent="0.3">
      <c r="A1283" s="1" t="s">
        <v>4901</v>
      </c>
      <c r="B1283" s="1" t="s">
        <v>986</v>
      </c>
      <c r="C1283" s="1" t="s">
        <v>3331</v>
      </c>
      <c r="D1283" s="1">
        <v>536901.29</v>
      </c>
      <c r="E1283" s="1">
        <v>28763.56</v>
      </c>
      <c r="F1283" s="41">
        <v>44680</v>
      </c>
      <c r="G1283" s="41">
        <v>45045</v>
      </c>
      <c r="H1283" s="1" t="s">
        <v>4295</v>
      </c>
      <c r="I1283" s="1" t="s">
        <v>3324</v>
      </c>
      <c r="J1283" t="str">
        <f>IF(ISNA(_xlfn.XLOOKUP(B1283,customer_master!$A$2:$A$1649, customer_master!$A$2:$A$1649)), "Invalid", "Ok")</f>
        <v>Ok</v>
      </c>
      <c r="K1283" t="str">
        <f>IF(ISNA(_xlfn.XLOOKUP(H1283,agent_info!$A$2:$A$301, agent_info!$A$2:$A$301)), "Invalid", "Ok")</f>
        <v>Ok</v>
      </c>
    </row>
    <row r="1284" spans="1:11" x14ac:dyDescent="0.3">
      <c r="A1284" s="1" t="s">
        <v>4902</v>
      </c>
      <c r="B1284" s="1" t="s">
        <v>3234</v>
      </c>
      <c r="C1284" s="1" t="s">
        <v>3326</v>
      </c>
      <c r="D1284" s="1">
        <v>619449.73</v>
      </c>
      <c r="E1284" s="1">
        <v>32162</v>
      </c>
      <c r="F1284" s="41">
        <v>45508</v>
      </c>
      <c r="G1284" s="41">
        <v>45873</v>
      </c>
      <c r="H1284" s="1" t="s">
        <v>3532</v>
      </c>
      <c r="I1284" s="1" t="s">
        <v>3324</v>
      </c>
      <c r="J1284" t="str">
        <f>IF(ISNA(_xlfn.XLOOKUP(B1284,customer_master!$A$2:$A$1649, customer_master!$A$2:$A$1649)), "Invalid", "Ok")</f>
        <v>Ok</v>
      </c>
      <c r="K1284" t="str">
        <f>IF(ISNA(_xlfn.XLOOKUP(H1284,agent_info!$A$2:$A$301, agent_info!$A$2:$A$301)), "Invalid", "Ok")</f>
        <v>Ok</v>
      </c>
    </row>
    <row r="1285" spans="1:11" x14ac:dyDescent="0.3">
      <c r="A1285" s="1" t="s">
        <v>4903</v>
      </c>
      <c r="B1285" s="1" t="s">
        <v>1819</v>
      </c>
      <c r="C1285" s="1" t="s">
        <v>3334</v>
      </c>
      <c r="D1285" s="1">
        <v>767010.83</v>
      </c>
      <c r="E1285" s="1">
        <v>35576.32</v>
      </c>
      <c r="F1285" s="41">
        <v>44882</v>
      </c>
      <c r="G1285" s="41">
        <v>45247</v>
      </c>
      <c r="H1285" s="1" t="s">
        <v>3585</v>
      </c>
      <c r="I1285" s="1" t="s">
        <v>3324</v>
      </c>
      <c r="J1285" t="str">
        <f>IF(ISNA(_xlfn.XLOOKUP(B1285,customer_master!$A$2:$A$1649, customer_master!$A$2:$A$1649)), "Invalid", "Ok")</f>
        <v>Ok</v>
      </c>
      <c r="K1285" t="str">
        <f>IF(ISNA(_xlfn.XLOOKUP(H1285,agent_info!$A$2:$A$301, agent_info!$A$2:$A$301)), "Invalid", "Ok")</f>
        <v>Ok</v>
      </c>
    </row>
    <row r="1286" spans="1:11" x14ac:dyDescent="0.3">
      <c r="A1286" s="1" t="s">
        <v>4904</v>
      </c>
      <c r="B1286" s="1" t="s">
        <v>626</v>
      </c>
      <c r="C1286" s="1" t="s">
        <v>3318</v>
      </c>
      <c r="D1286" s="1">
        <v>382400.85</v>
      </c>
      <c r="E1286" s="1">
        <v>19811.97</v>
      </c>
      <c r="F1286" s="41">
        <v>44340</v>
      </c>
      <c r="G1286" s="41">
        <v>44705</v>
      </c>
      <c r="H1286" s="1" t="s">
        <v>3353</v>
      </c>
      <c r="I1286" s="1" t="s">
        <v>3316</v>
      </c>
      <c r="J1286" t="str">
        <f>IF(ISNA(_xlfn.XLOOKUP(B1286,customer_master!$A$2:$A$1649, customer_master!$A$2:$A$1649)), "Invalid", "Ok")</f>
        <v>Ok</v>
      </c>
      <c r="K1286" t="str">
        <f>IF(ISNA(_xlfn.XLOOKUP(H1286,agent_info!$A$2:$A$301, agent_info!$A$2:$A$301)), "Invalid", "Ok")</f>
        <v>Ok</v>
      </c>
    </row>
    <row r="1287" spans="1:11" x14ac:dyDescent="0.3">
      <c r="A1287" s="1" t="s">
        <v>4905</v>
      </c>
      <c r="B1287" s="1" t="s">
        <v>1688</v>
      </c>
      <c r="C1287" s="1" t="s">
        <v>3326</v>
      </c>
      <c r="D1287" s="1">
        <v>442682.88</v>
      </c>
      <c r="E1287" s="1">
        <v>22596.68</v>
      </c>
      <c r="F1287" s="41">
        <v>44258</v>
      </c>
      <c r="G1287" s="41">
        <v>44623</v>
      </c>
      <c r="H1287" s="1" t="s">
        <v>3375</v>
      </c>
      <c r="I1287" s="1" t="s">
        <v>3324</v>
      </c>
      <c r="J1287" t="str">
        <f>IF(ISNA(_xlfn.XLOOKUP(B1287,customer_master!$A$2:$A$1649, customer_master!$A$2:$A$1649)), "Invalid", "Ok")</f>
        <v>Ok</v>
      </c>
      <c r="K1287" t="str">
        <f>IF(ISNA(_xlfn.XLOOKUP(H1287,agent_info!$A$2:$A$301, agent_info!$A$2:$A$301)), "Invalid", "Ok")</f>
        <v>Ok</v>
      </c>
    </row>
    <row r="1288" spans="1:11" x14ac:dyDescent="0.3">
      <c r="A1288" s="1" t="s">
        <v>4906</v>
      </c>
      <c r="B1288" s="1" t="s">
        <v>2162</v>
      </c>
      <c r="C1288" s="1" t="s">
        <v>3331</v>
      </c>
      <c r="D1288" s="1">
        <v>558839.73</v>
      </c>
      <c r="E1288" s="1">
        <v>27012.48</v>
      </c>
      <c r="F1288" s="41">
        <v>45149</v>
      </c>
      <c r="G1288" s="41">
        <v>45515</v>
      </c>
      <c r="H1288" s="1" t="s">
        <v>3494</v>
      </c>
      <c r="I1288" s="1" t="s">
        <v>3324</v>
      </c>
      <c r="J1288" t="str">
        <f>IF(ISNA(_xlfn.XLOOKUP(B1288,customer_master!$A$2:$A$1649, customer_master!$A$2:$A$1649)), "Invalid", "Ok")</f>
        <v>Ok</v>
      </c>
      <c r="K1288" t="str">
        <f>IF(ISNA(_xlfn.XLOOKUP(H1288,agent_info!$A$2:$A$301, agent_info!$A$2:$A$301)), "Invalid", "Ok")</f>
        <v>Ok</v>
      </c>
    </row>
    <row r="1289" spans="1:11" x14ac:dyDescent="0.3">
      <c r="A1289" s="1" t="s">
        <v>4907</v>
      </c>
      <c r="B1289" s="1" t="s">
        <v>2746</v>
      </c>
      <c r="C1289" s="1" t="s">
        <v>3331</v>
      </c>
      <c r="D1289" s="1">
        <v>466552.26</v>
      </c>
      <c r="E1289" s="1">
        <v>21968.14</v>
      </c>
      <c r="F1289" s="41">
        <v>45542</v>
      </c>
      <c r="G1289" s="41">
        <v>45907</v>
      </c>
      <c r="H1289" s="1" t="s">
        <v>3402</v>
      </c>
      <c r="I1289" s="1" t="s">
        <v>3324</v>
      </c>
      <c r="J1289" t="str">
        <f>IF(ISNA(_xlfn.XLOOKUP(B1289,customer_master!$A$2:$A$1649, customer_master!$A$2:$A$1649)), "Invalid", "Ok")</f>
        <v>Ok</v>
      </c>
      <c r="K1289" t="str">
        <f>IF(ISNA(_xlfn.XLOOKUP(H1289,agent_info!$A$2:$A$301, agent_info!$A$2:$A$301)), "Invalid", "Ok")</f>
        <v>Ok</v>
      </c>
    </row>
    <row r="1290" spans="1:11" x14ac:dyDescent="0.3">
      <c r="A1290" s="1" t="s">
        <v>4908</v>
      </c>
      <c r="B1290" s="1" t="s">
        <v>2694</v>
      </c>
      <c r="C1290" s="1" t="s">
        <v>3334</v>
      </c>
      <c r="D1290" s="1">
        <v>395365.05</v>
      </c>
      <c r="E1290" s="1">
        <v>21290.799999999999</v>
      </c>
      <c r="F1290" s="41">
        <v>45194</v>
      </c>
      <c r="G1290" s="41">
        <v>45560</v>
      </c>
      <c r="H1290" s="1" t="s">
        <v>3774</v>
      </c>
      <c r="I1290" s="1" t="s">
        <v>3324</v>
      </c>
      <c r="J1290" t="str">
        <f>IF(ISNA(_xlfn.XLOOKUP(B1290,customer_master!$A$2:$A$1649, customer_master!$A$2:$A$1649)), "Invalid", "Ok")</f>
        <v>Ok</v>
      </c>
      <c r="K1290" t="str">
        <f>IF(ISNA(_xlfn.XLOOKUP(H1290,agent_info!$A$2:$A$301, agent_info!$A$2:$A$301)), "Invalid", "Ok")</f>
        <v>Ok</v>
      </c>
    </row>
    <row r="1291" spans="1:11" x14ac:dyDescent="0.3">
      <c r="A1291" s="1" t="s">
        <v>4909</v>
      </c>
      <c r="B1291" s="1" t="s">
        <v>198</v>
      </c>
      <c r="C1291" s="1" t="s">
        <v>3326</v>
      </c>
      <c r="D1291" s="1">
        <v>538840.06000000006</v>
      </c>
      <c r="E1291" s="1">
        <v>25012.67</v>
      </c>
      <c r="F1291" s="41">
        <v>44127</v>
      </c>
      <c r="G1291" s="41">
        <v>44492</v>
      </c>
      <c r="H1291" s="1" t="s">
        <v>3634</v>
      </c>
      <c r="I1291" s="1" t="s">
        <v>3324</v>
      </c>
      <c r="J1291" t="str">
        <f>IF(ISNA(_xlfn.XLOOKUP(B1291,customer_master!$A$2:$A$1649, customer_master!$A$2:$A$1649)), "Invalid", "Ok")</f>
        <v>Ok</v>
      </c>
      <c r="K1291" t="str">
        <f>IF(ISNA(_xlfn.XLOOKUP(H1291,agent_info!$A$2:$A$301, agent_info!$A$2:$A$301)), "Invalid", "Ok")</f>
        <v>Ok</v>
      </c>
    </row>
    <row r="1292" spans="1:11" x14ac:dyDescent="0.3">
      <c r="A1292" s="1" t="s">
        <v>4910</v>
      </c>
      <c r="B1292" s="1" t="s">
        <v>1523</v>
      </c>
      <c r="C1292" s="1" t="s">
        <v>3318</v>
      </c>
      <c r="D1292" s="1">
        <v>623472.67000000004</v>
      </c>
      <c r="E1292" s="1">
        <v>30688.560000000001</v>
      </c>
      <c r="F1292" s="41">
        <v>45332</v>
      </c>
      <c r="G1292" s="41">
        <v>45698</v>
      </c>
      <c r="H1292" s="1" t="s">
        <v>3627</v>
      </c>
      <c r="I1292" s="1" t="s">
        <v>3316</v>
      </c>
      <c r="J1292" t="str">
        <f>IF(ISNA(_xlfn.XLOOKUP(B1292,customer_master!$A$2:$A$1649, customer_master!$A$2:$A$1649)), "Invalid", "Ok")</f>
        <v>Ok</v>
      </c>
      <c r="K1292" t="str">
        <f>IF(ISNA(_xlfn.XLOOKUP(H1292,agent_info!$A$2:$A$301, agent_info!$A$2:$A$301)), "Invalid", "Ok")</f>
        <v>Ok</v>
      </c>
    </row>
    <row r="1293" spans="1:11" x14ac:dyDescent="0.3">
      <c r="A1293" s="1" t="s">
        <v>4911</v>
      </c>
      <c r="B1293" s="1" t="s">
        <v>105</v>
      </c>
      <c r="C1293" s="1" t="s">
        <v>3314</v>
      </c>
      <c r="D1293" s="1">
        <v>545183.89</v>
      </c>
      <c r="E1293" s="1">
        <v>27928.67</v>
      </c>
      <c r="F1293" s="41">
        <v>45332</v>
      </c>
      <c r="G1293" s="41">
        <v>45698</v>
      </c>
      <c r="H1293" s="1" t="s">
        <v>3984</v>
      </c>
      <c r="I1293" s="1" t="s">
        <v>3324</v>
      </c>
      <c r="J1293" t="str">
        <f>IF(ISNA(_xlfn.XLOOKUP(B1293,customer_master!$A$2:$A$1649, customer_master!$A$2:$A$1649)), "Invalid", "Ok")</f>
        <v>Ok</v>
      </c>
      <c r="K1293" t="str">
        <f>IF(ISNA(_xlfn.XLOOKUP(H1293,agent_info!$A$2:$A$301, agent_info!$A$2:$A$301)), "Invalid", "Ok")</f>
        <v>Ok</v>
      </c>
    </row>
    <row r="1294" spans="1:11" x14ac:dyDescent="0.3">
      <c r="A1294" s="1" t="s">
        <v>4912</v>
      </c>
      <c r="B1294" s="1" t="s">
        <v>2953</v>
      </c>
      <c r="C1294" s="1" t="s">
        <v>3334</v>
      </c>
      <c r="D1294" s="1">
        <v>527403.06000000006</v>
      </c>
      <c r="E1294" s="1">
        <v>28858.42</v>
      </c>
      <c r="F1294" s="41">
        <v>44677</v>
      </c>
      <c r="G1294" s="41">
        <v>45042</v>
      </c>
      <c r="H1294" s="1" t="s">
        <v>3481</v>
      </c>
      <c r="I1294" s="1" t="s">
        <v>3324</v>
      </c>
      <c r="J1294" t="str">
        <f>IF(ISNA(_xlfn.XLOOKUP(B1294,customer_master!$A$2:$A$1649, customer_master!$A$2:$A$1649)), "Invalid", "Ok")</f>
        <v>Ok</v>
      </c>
      <c r="K1294" t="str">
        <f>IF(ISNA(_xlfn.XLOOKUP(H1294,agent_info!$A$2:$A$301, agent_info!$A$2:$A$301)), "Invalid", "Ok")</f>
        <v>Ok</v>
      </c>
    </row>
    <row r="1295" spans="1:11" x14ac:dyDescent="0.3">
      <c r="A1295" s="1" t="s">
        <v>4913</v>
      </c>
      <c r="B1295" s="1" t="s">
        <v>618</v>
      </c>
      <c r="C1295" s="1" t="s">
        <v>3314</v>
      </c>
      <c r="D1295" s="1">
        <v>764460.07</v>
      </c>
      <c r="E1295" s="1">
        <v>39530.050000000003</v>
      </c>
      <c r="F1295" s="41">
        <v>45710</v>
      </c>
      <c r="G1295" s="41">
        <v>46075</v>
      </c>
      <c r="H1295" s="1" t="s">
        <v>4306</v>
      </c>
      <c r="I1295" s="1" t="s">
        <v>3324</v>
      </c>
      <c r="J1295" t="str">
        <f>IF(ISNA(_xlfn.XLOOKUP(B1295,customer_master!$A$2:$A$1649, customer_master!$A$2:$A$1649)), "Invalid", "Ok")</f>
        <v>Ok</v>
      </c>
      <c r="K1295" t="str">
        <f>IF(ISNA(_xlfn.XLOOKUP(H1295,agent_info!$A$2:$A$301, agent_info!$A$2:$A$301)), "Invalid", "Ok")</f>
        <v>Ok</v>
      </c>
    </row>
    <row r="1296" spans="1:11" x14ac:dyDescent="0.3">
      <c r="A1296" s="1" t="s">
        <v>4914</v>
      </c>
      <c r="B1296" s="1" t="s">
        <v>2105</v>
      </c>
      <c r="C1296" s="1" t="s">
        <v>3314</v>
      </c>
      <c r="D1296" s="1">
        <v>568848.48</v>
      </c>
      <c r="E1296" s="1">
        <v>27332.48</v>
      </c>
      <c r="F1296" s="41">
        <v>45818</v>
      </c>
      <c r="G1296" s="41">
        <v>46183</v>
      </c>
      <c r="H1296" s="1" t="s">
        <v>3329</v>
      </c>
      <c r="I1296" s="1" t="s">
        <v>3324</v>
      </c>
      <c r="J1296" t="str">
        <f>IF(ISNA(_xlfn.XLOOKUP(B1296,customer_master!$A$2:$A$1649, customer_master!$A$2:$A$1649)), "Invalid", "Ok")</f>
        <v>Ok</v>
      </c>
      <c r="K1296" t="str">
        <f>IF(ISNA(_xlfn.XLOOKUP(H1296,agent_info!$A$2:$A$301, agent_info!$A$2:$A$301)), "Invalid", "Ok")</f>
        <v>Ok</v>
      </c>
    </row>
    <row r="1297" spans="1:11" x14ac:dyDescent="0.3">
      <c r="A1297" s="1" t="s">
        <v>4915</v>
      </c>
      <c r="B1297" s="1" t="s">
        <v>1907</v>
      </c>
      <c r="C1297" s="1" t="s">
        <v>3334</v>
      </c>
      <c r="D1297" s="1">
        <v>692256.74</v>
      </c>
      <c r="E1297" s="1">
        <v>31571.49</v>
      </c>
      <c r="F1297" s="41">
        <v>44473</v>
      </c>
      <c r="G1297" s="41">
        <v>44838</v>
      </c>
      <c r="H1297" s="1" t="s">
        <v>3792</v>
      </c>
      <c r="I1297" s="1" t="s">
        <v>3324</v>
      </c>
      <c r="J1297" t="str">
        <f>IF(ISNA(_xlfn.XLOOKUP(B1297,customer_master!$A$2:$A$1649, customer_master!$A$2:$A$1649)), "Invalid", "Ok")</f>
        <v>Ok</v>
      </c>
      <c r="K1297" t="str">
        <f>IF(ISNA(_xlfn.XLOOKUP(H1297,agent_info!$A$2:$A$301, agent_info!$A$2:$A$301)), "Invalid", "Ok")</f>
        <v>Ok</v>
      </c>
    </row>
    <row r="1298" spans="1:11" x14ac:dyDescent="0.3">
      <c r="A1298" s="1" t="s">
        <v>4916</v>
      </c>
      <c r="B1298" s="1" t="s">
        <v>2107</v>
      </c>
      <c r="C1298" s="1" t="s">
        <v>3318</v>
      </c>
      <c r="D1298" s="1">
        <v>486551.84</v>
      </c>
      <c r="E1298" s="1">
        <v>23440.62</v>
      </c>
      <c r="F1298" s="41">
        <v>45138</v>
      </c>
      <c r="G1298" s="41">
        <v>45504</v>
      </c>
      <c r="H1298" s="1" t="s">
        <v>3377</v>
      </c>
      <c r="I1298" s="1" t="s">
        <v>3324</v>
      </c>
      <c r="J1298" t="str">
        <f>IF(ISNA(_xlfn.XLOOKUP(B1298,customer_master!$A$2:$A$1649, customer_master!$A$2:$A$1649)), "Invalid", "Ok")</f>
        <v>Ok</v>
      </c>
      <c r="K1298" t="str">
        <f>IF(ISNA(_xlfn.XLOOKUP(H1298,agent_info!$A$2:$A$301, agent_info!$A$2:$A$301)), "Invalid", "Ok")</f>
        <v>Ok</v>
      </c>
    </row>
    <row r="1299" spans="1:11" x14ac:dyDescent="0.3">
      <c r="A1299" s="1" t="s">
        <v>4917</v>
      </c>
      <c r="B1299" s="1" t="s">
        <v>1889</v>
      </c>
      <c r="C1299" s="1" t="s">
        <v>3326</v>
      </c>
      <c r="D1299" s="1">
        <v>640565.89</v>
      </c>
      <c r="E1299" s="1">
        <v>30700.959999999999</v>
      </c>
      <c r="F1299" s="41">
        <v>45489</v>
      </c>
      <c r="G1299" s="41">
        <v>45854</v>
      </c>
      <c r="H1299" s="1" t="s">
        <v>3439</v>
      </c>
      <c r="I1299" s="1" t="s">
        <v>3324</v>
      </c>
      <c r="J1299" t="str">
        <f>IF(ISNA(_xlfn.XLOOKUP(B1299,customer_master!$A$2:$A$1649, customer_master!$A$2:$A$1649)), "Invalid", "Ok")</f>
        <v>Ok</v>
      </c>
      <c r="K1299" t="str">
        <f>IF(ISNA(_xlfn.XLOOKUP(H1299,agent_info!$A$2:$A$301, agent_info!$A$2:$A$301)), "Invalid", "Ok")</f>
        <v>Ok</v>
      </c>
    </row>
    <row r="1300" spans="1:11" x14ac:dyDescent="0.3">
      <c r="A1300" s="1" t="s">
        <v>4918</v>
      </c>
      <c r="B1300" s="1" t="s">
        <v>2394</v>
      </c>
      <c r="C1300" s="1" t="s">
        <v>3318</v>
      </c>
      <c r="D1300" s="1">
        <v>689358.48</v>
      </c>
      <c r="E1300" s="1">
        <v>36667.53</v>
      </c>
      <c r="F1300" s="41">
        <v>45027</v>
      </c>
      <c r="G1300" s="41">
        <v>45393</v>
      </c>
      <c r="H1300" s="1" t="s">
        <v>3538</v>
      </c>
      <c r="I1300" s="1" t="s">
        <v>3324</v>
      </c>
      <c r="J1300" t="str">
        <f>IF(ISNA(_xlfn.XLOOKUP(B1300,customer_master!$A$2:$A$1649, customer_master!$A$2:$A$1649)), "Invalid", "Ok")</f>
        <v>Ok</v>
      </c>
      <c r="K1300" t="str">
        <f>IF(ISNA(_xlfn.XLOOKUP(H1300,agent_info!$A$2:$A$301, agent_info!$A$2:$A$301)), "Invalid", "Ok")</f>
        <v>Ok</v>
      </c>
    </row>
    <row r="1301" spans="1:11" x14ac:dyDescent="0.3">
      <c r="A1301" s="1" t="s">
        <v>4919</v>
      </c>
      <c r="B1301" s="1" t="s">
        <v>2107</v>
      </c>
      <c r="C1301" s="1" t="s">
        <v>3314</v>
      </c>
      <c r="D1301" s="1">
        <v>488065.32</v>
      </c>
      <c r="E1301" s="1">
        <v>23800.92</v>
      </c>
      <c r="F1301" s="41">
        <v>45329</v>
      </c>
      <c r="G1301" s="41">
        <v>45695</v>
      </c>
      <c r="H1301" s="1" t="s">
        <v>3607</v>
      </c>
      <c r="I1301" s="1" t="s">
        <v>3324</v>
      </c>
      <c r="J1301" t="str">
        <f>IF(ISNA(_xlfn.XLOOKUP(B1301,customer_master!$A$2:$A$1649, customer_master!$A$2:$A$1649)), "Invalid", "Ok")</f>
        <v>Ok</v>
      </c>
      <c r="K1301" t="str">
        <f>IF(ISNA(_xlfn.XLOOKUP(H1301,agent_info!$A$2:$A$301, agent_info!$A$2:$A$301)), "Invalid", "Ok")</f>
        <v>Ok</v>
      </c>
    </row>
    <row r="1302" spans="1:11" x14ac:dyDescent="0.3">
      <c r="A1302" s="1" t="s">
        <v>4920</v>
      </c>
      <c r="B1302" s="1" t="s">
        <v>330</v>
      </c>
      <c r="C1302" s="1" t="s">
        <v>3314</v>
      </c>
      <c r="D1302" s="1">
        <v>637504.16</v>
      </c>
      <c r="E1302" s="1">
        <v>29315.3</v>
      </c>
      <c r="F1302" s="41">
        <v>44294</v>
      </c>
      <c r="G1302" s="41">
        <v>44659</v>
      </c>
      <c r="H1302" s="1" t="s">
        <v>3459</v>
      </c>
      <c r="I1302" s="1" t="s">
        <v>3324</v>
      </c>
      <c r="J1302" t="str">
        <f>IF(ISNA(_xlfn.XLOOKUP(B1302,customer_master!$A$2:$A$1649, customer_master!$A$2:$A$1649)), "Invalid", "Ok")</f>
        <v>Ok</v>
      </c>
      <c r="K1302" t="str">
        <f>IF(ISNA(_xlfn.XLOOKUP(H1302,agent_info!$A$2:$A$301, agent_info!$A$2:$A$301)), "Invalid", "Ok")</f>
        <v>Ok</v>
      </c>
    </row>
    <row r="1303" spans="1:11" x14ac:dyDescent="0.3">
      <c r="A1303" s="1" t="s">
        <v>4921</v>
      </c>
      <c r="B1303" s="1" t="s">
        <v>1243</v>
      </c>
      <c r="C1303" s="1" t="s">
        <v>3326</v>
      </c>
      <c r="D1303" s="1">
        <v>588705.24</v>
      </c>
      <c r="E1303" s="1">
        <v>31613.34</v>
      </c>
      <c r="F1303" s="41">
        <v>44216</v>
      </c>
      <c r="G1303" s="41">
        <v>44581</v>
      </c>
      <c r="H1303" s="1" t="s">
        <v>3670</v>
      </c>
      <c r="I1303" s="1" t="s">
        <v>3324</v>
      </c>
      <c r="J1303" t="str">
        <f>IF(ISNA(_xlfn.XLOOKUP(B1303,customer_master!$A$2:$A$1649, customer_master!$A$2:$A$1649)), "Invalid", "Ok")</f>
        <v>Ok</v>
      </c>
      <c r="K1303" t="str">
        <f>IF(ISNA(_xlfn.XLOOKUP(H1303,agent_info!$A$2:$A$301, agent_info!$A$2:$A$301)), "Invalid", "Ok")</f>
        <v>Ok</v>
      </c>
    </row>
    <row r="1304" spans="1:11" x14ac:dyDescent="0.3">
      <c r="A1304" s="1" t="s">
        <v>4922</v>
      </c>
      <c r="B1304" s="1" t="s">
        <v>1827</v>
      </c>
      <c r="C1304" s="1" t="s">
        <v>3331</v>
      </c>
      <c r="D1304" s="1">
        <v>550357.81999999995</v>
      </c>
      <c r="E1304" s="1">
        <v>24865.46</v>
      </c>
      <c r="F1304" s="41">
        <v>46069</v>
      </c>
      <c r="G1304" s="41">
        <v>46434</v>
      </c>
      <c r="H1304" s="1" t="s">
        <v>3315</v>
      </c>
      <c r="I1304" s="1" t="s">
        <v>3324</v>
      </c>
      <c r="J1304" t="str">
        <f>IF(ISNA(_xlfn.XLOOKUP(B1304,customer_master!$A$2:$A$1649, customer_master!$A$2:$A$1649)), "Invalid", "Ok")</f>
        <v>Ok</v>
      </c>
      <c r="K1304" t="str">
        <f>IF(ISNA(_xlfn.XLOOKUP(H1304,agent_info!$A$2:$A$301, agent_info!$A$2:$A$301)), "Invalid", "Ok")</f>
        <v>Ok</v>
      </c>
    </row>
    <row r="1305" spans="1:11" x14ac:dyDescent="0.3">
      <c r="A1305" s="1" t="s">
        <v>4923</v>
      </c>
      <c r="B1305" s="1" t="s">
        <v>1101</v>
      </c>
      <c r="C1305" s="1" t="s">
        <v>3326</v>
      </c>
      <c r="D1305" s="1">
        <v>620823.02</v>
      </c>
      <c r="E1305" s="1">
        <v>27955.72</v>
      </c>
      <c r="F1305" s="41">
        <v>45820</v>
      </c>
      <c r="G1305" s="41">
        <v>46185</v>
      </c>
      <c r="H1305" s="1" t="s">
        <v>3824</v>
      </c>
      <c r="I1305" s="1" t="s">
        <v>3324</v>
      </c>
      <c r="J1305" t="str">
        <f>IF(ISNA(_xlfn.XLOOKUP(B1305,customer_master!$A$2:$A$1649, customer_master!$A$2:$A$1649)), "Invalid", "Ok")</f>
        <v>Ok</v>
      </c>
      <c r="K1305" t="str">
        <f>IF(ISNA(_xlfn.XLOOKUP(H1305,agent_info!$A$2:$A$301, agent_info!$A$2:$A$301)), "Invalid", "Ok")</f>
        <v>Ok</v>
      </c>
    </row>
    <row r="1306" spans="1:11" x14ac:dyDescent="0.3">
      <c r="A1306" s="1" t="s">
        <v>4924</v>
      </c>
      <c r="B1306" s="1" t="s">
        <v>2535</v>
      </c>
      <c r="C1306" s="1" t="s">
        <v>3334</v>
      </c>
      <c r="D1306" s="1">
        <v>503150.83</v>
      </c>
      <c r="E1306" s="1">
        <v>25030.51</v>
      </c>
      <c r="F1306" s="41">
        <v>44482</v>
      </c>
      <c r="G1306" s="41">
        <v>44847</v>
      </c>
      <c r="H1306" s="1" t="s">
        <v>3341</v>
      </c>
      <c r="I1306" s="1" t="s">
        <v>3324</v>
      </c>
      <c r="J1306" t="str">
        <f>IF(ISNA(_xlfn.XLOOKUP(B1306,customer_master!$A$2:$A$1649, customer_master!$A$2:$A$1649)), "Invalid", "Ok")</f>
        <v>Ok</v>
      </c>
      <c r="K1306" t="str">
        <f>IF(ISNA(_xlfn.XLOOKUP(H1306,agent_info!$A$2:$A$301, agent_info!$A$2:$A$301)), "Invalid", "Ok")</f>
        <v>Ok</v>
      </c>
    </row>
    <row r="1307" spans="1:11" x14ac:dyDescent="0.3">
      <c r="A1307" s="1" t="s">
        <v>4925</v>
      </c>
      <c r="B1307" s="1" t="s">
        <v>1075</v>
      </c>
      <c r="C1307" s="1" t="s">
        <v>3314</v>
      </c>
      <c r="D1307" s="1">
        <v>571444.66</v>
      </c>
      <c r="E1307" s="1">
        <v>26110.57</v>
      </c>
      <c r="F1307" s="41">
        <v>45858</v>
      </c>
      <c r="G1307" s="41">
        <v>46223</v>
      </c>
      <c r="H1307" s="1" t="s">
        <v>3527</v>
      </c>
      <c r="I1307" s="1" t="s">
        <v>3324</v>
      </c>
      <c r="J1307" t="str">
        <f>IF(ISNA(_xlfn.XLOOKUP(B1307,customer_master!$A$2:$A$1649, customer_master!$A$2:$A$1649)), "Invalid", "Ok")</f>
        <v>Ok</v>
      </c>
      <c r="K1307" t="str">
        <f>IF(ISNA(_xlfn.XLOOKUP(H1307,agent_info!$A$2:$A$301, agent_info!$A$2:$A$301)), "Invalid", "Ok")</f>
        <v>Ok</v>
      </c>
    </row>
    <row r="1308" spans="1:11" x14ac:dyDescent="0.3">
      <c r="A1308" s="1" t="s">
        <v>4926</v>
      </c>
      <c r="B1308" s="1" t="s">
        <v>2748</v>
      </c>
      <c r="C1308" s="1" t="s">
        <v>3331</v>
      </c>
      <c r="D1308" s="1">
        <v>759242.88</v>
      </c>
      <c r="E1308" s="1">
        <v>35510.559999999998</v>
      </c>
      <c r="F1308" s="41">
        <v>44120</v>
      </c>
      <c r="G1308" s="41">
        <v>44485</v>
      </c>
      <c r="H1308" s="1" t="s">
        <v>3803</v>
      </c>
      <c r="I1308" s="1" t="s">
        <v>3324</v>
      </c>
      <c r="J1308" t="str">
        <f>IF(ISNA(_xlfn.XLOOKUP(B1308,customer_master!$A$2:$A$1649, customer_master!$A$2:$A$1649)), "Invalid", "Ok")</f>
        <v>Ok</v>
      </c>
      <c r="K1308" t="str">
        <f>IF(ISNA(_xlfn.XLOOKUP(H1308,agent_info!$A$2:$A$301, agent_info!$A$2:$A$301)), "Invalid", "Ok")</f>
        <v>Ok</v>
      </c>
    </row>
    <row r="1309" spans="1:11" x14ac:dyDescent="0.3">
      <c r="A1309" s="1" t="s">
        <v>4927</v>
      </c>
      <c r="B1309" s="1" t="s">
        <v>521</v>
      </c>
      <c r="C1309" s="1" t="s">
        <v>3334</v>
      </c>
      <c r="D1309" s="1">
        <v>453790.13</v>
      </c>
      <c r="E1309" s="1">
        <v>24891.68</v>
      </c>
      <c r="F1309" s="41">
        <v>45295</v>
      </c>
      <c r="G1309" s="41">
        <v>45661</v>
      </c>
      <c r="H1309" s="1" t="s">
        <v>4052</v>
      </c>
      <c r="I1309" s="1" t="s">
        <v>3324</v>
      </c>
      <c r="J1309" t="str">
        <f>IF(ISNA(_xlfn.XLOOKUP(B1309,customer_master!$A$2:$A$1649, customer_master!$A$2:$A$1649)), "Invalid", "Ok")</f>
        <v>Ok</v>
      </c>
      <c r="K1309" t="str">
        <f>IF(ISNA(_xlfn.XLOOKUP(H1309,agent_info!$A$2:$A$301, agent_info!$A$2:$A$301)), "Invalid", "Ok")</f>
        <v>Ok</v>
      </c>
    </row>
    <row r="1310" spans="1:11" x14ac:dyDescent="0.3">
      <c r="A1310" s="1" t="s">
        <v>4928</v>
      </c>
      <c r="B1310" s="1" t="s">
        <v>2565</v>
      </c>
      <c r="C1310" s="1" t="s">
        <v>3314</v>
      </c>
      <c r="D1310" s="1">
        <v>441896.35</v>
      </c>
      <c r="E1310" s="1">
        <v>23616.55</v>
      </c>
      <c r="F1310" s="41">
        <v>45252</v>
      </c>
      <c r="G1310" s="41">
        <v>45618</v>
      </c>
      <c r="H1310" s="1" t="s">
        <v>3369</v>
      </c>
      <c r="I1310" s="1" t="s">
        <v>3320</v>
      </c>
      <c r="J1310" t="str">
        <f>IF(ISNA(_xlfn.XLOOKUP(B1310,customer_master!$A$2:$A$1649, customer_master!$A$2:$A$1649)), "Invalid", "Ok")</f>
        <v>Ok</v>
      </c>
      <c r="K1310" t="str">
        <f>IF(ISNA(_xlfn.XLOOKUP(H1310,agent_info!$A$2:$A$301, agent_info!$A$2:$A$301)), "Invalid", "Ok")</f>
        <v>Ok</v>
      </c>
    </row>
    <row r="1311" spans="1:11" x14ac:dyDescent="0.3">
      <c r="A1311" s="1" t="s">
        <v>4929</v>
      </c>
      <c r="B1311" s="1" t="s">
        <v>650</v>
      </c>
      <c r="C1311" s="1" t="s">
        <v>3331</v>
      </c>
      <c r="D1311" s="1">
        <v>435748.8</v>
      </c>
      <c r="E1311" s="1">
        <v>22937.98</v>
      </c>
      <c r="F1311" s="41">
        <v>45857</v>
      </c>
      <c r="G1311" s="41">
        <v>46222</v>
      </c>
      <c r="H1311" s="1" t="s">
        <v>4004</v>
      </c>
      <c r="I1311" s="1" t="s">
        <v>3324</v>
      </c>
      <c r="J1311" t="str">
        <f>IF(ISNA(_xlfn.XLOOKUP(B1311,customer_master!$A$2:$A$1649, customer_master!$A$2:$A$1649)), "Invalid", "Ok")</f>
        <v>Ok</v>
      </c>
      <c r="K1311" t="str">
        <f>IF(ISNA(_xlfn.XLOOKUP(H1311,agent_info!$A$2:$A$301, agent_info!$A$2:$A$301)), "Invalid", "Ok")</f>
        <v>Ok</v>
      </c>
    </row>
    <row r="1312" spans="1:11" x14ac:dyDescent="0.3">
      <c r="A1312" s="1" t="s">
        <v>4930</v>
      </c>
      <c r="B1312" s="1" t="s">
        <v>1765</v>
      </c>
      <c r="C1312" s="1" t="s">
        <v>3326</v>
      </c>
      <c r="D1312" s="1">
        <v>699338.25</v>
      </c>
      <c r="E1312" s="1">
        <v>36161.33</v>
      </c>
      <c r="F1312" s="41">
        <v>45147</v>
      </c>
      <c r="G1312" s="41">
        <v>45513</v>
      </c>
      <c r="H1312" s="1" t="s">
        <v>3367</v>
      </c>
      <c r="I1312" s="1" t="s">
        <v>3324</v>
      </c>
      <c r="J1312" t="str">
        <f>IF(ISNA(_xlfn.XLOOKUP(B1312,customer_master!$A$2:$A$1649, customer_master!$A$2:$A$1649)), "Invalid", "Ok")</f>
        <v>Ok</v>
      </c>
      <c r="K1312" t="str">
        <f>IF(ISNA(_xlfn.XLOOKUP(H1312,agent_info!$A$2:$A$301, agent_info!$A$2:$A$301)), "Invalid", "Ok")</f>
        <v>Ok</v>
      </c>
    </row>
    <row r="1313" spans="1:11" x14ac:dyDescent="0.3">
      <c r="A1313" s="1" t="s">
        <v>4931</v>
      </c>
      <c r="B1313" s="1" t="s">
        <v>1083</v>
      </c>
      <c r="C1313" s="1" t="s">
        <v>3326</v>
      </c>
      <c r="D1313" s="1">
        <v>405969.65</v>
      </c>
      <c r="E1313" s="1">
        <v>18462.75</v>
      </c>
      <c r="F1313" s="41">
        <v>45214</v>
      </c>
      <c r="G1313" s="41">
        <v>45580</v>
      </c>
      <c r="H1313" s="1" t="s">
        <v>3568</v>
      </c>
      <c r="I1313" s="1" t="s">
        <v>3324</v>
      </c>
      <c r="J1313" t="str">
        <f>IF(ISNA(_xlfn.XLOOKUP(B1313,customer_master!$A$2:$A$1649, customer_master!$A$2:$A$1649)), "Invalid", "Ok")</f>
        <v>Ok</v>
      </c>
      <c r="K1313" t="str">
        <f>IF(ISNA(_xlfn.XLOOKUP(H1313,agent_info!$A$2:$A$301, agent_info!$A$2:$A$301)), "Invalid", "Ok")</f>
        <v>Ok</v>
      </c>
    </row>
    <row r="1314" spans="1:11" x14ac:dyDescent="0.3">
      <c r="A1314" s="1" t="s">
        <v>4932</v>
      </c>
      <c r="B1314" s="1" t="s">
        <v>2143</v>
      </c>
      <c r="C1314" s="1" t="s">
        <v>3331</v>
      </c>
      <c r="D1314" s="1">
        <v>454076.27</v>
      </c>
      <c r="E1314" s="1">
        <v>24229.1</v>
      </c>
      <c r="F1314" s="41">
        <v>45358</v>
      </c>
      <c r="G1314" s="41">
        <v>45723</v>
      </c>
      <c r="H1314" s="1" t="s">
        <v>3345</v>
      </c>
      <c r="I1314" s="1" t="s">
        <v>3324</v>
      </c>
      <c r="J1314" t="str">
        <f>IF(ISNA(_xlfn.XLOOKUP(B1314,customer_master!$A$2:$A$1649, customer_master!$A$2:$A$1649)), "Invalid", "Ok")</f>
        <v>Ok</v>
      </c>
      <c r="K1314" t="str">
        <f>IF(ISNA(_xlfn.XLOOKUP(H1314,agent_info!$A$2:$A$301, agent_info!$A$2:$A$301)), "Invalid", "Ok")</f>
        <v>Ok</v>
      </c>
    </row>
    <row r="1315" spans="1:11" x14ac:dyDescent="0.3">
      <c r="A1315" s="1" t="s">
        <v>4933</v>
      </c>
      <c r="B1315" s="1" t="s">
        <v>755</v>
      </c>
      <c r="C1315" s="1" t="s">
        <v>3314</v>
      </c>
      <c r="D1315" s="1">
        <v>652492.84</v>
      </c>
      <c r="E1315" s="1">
        <v>32436.65</v>
      </c>
      <c r="F1315" s="41">
        <v>45641</v>
      </c>
      <c r="G1315" s="41">
        <v>46006</v>
      </c>
      <c r="H1315" s="1" t="s">
        <v>3585</v>
      </c>
      <c r="I1315" s="1" t="s">
        <v>3324</v>
      </c>
      <c r="J1315" t="str">
        <f>IF(ISNA(_xlfn.XLOOKUP(B1315,customer_master!$A$2:$A$1649, customer_master!$A$2:$A$1649)), "Invalid", "Ok")</f>
        <v>Ok</v>
      </c>
      <c r="K1315" t="str">
        <f>IF(ISNA(_xlfn.XLOOKUP(H1315,agent_info!$A$2:$A$301, agent_info!$A$2:$A$301)), "Invalid", "Ok")</f>
        <v>Ok</v>
      </c>
    </row>
    <row r="1316" spans="1:11" x14ac:dyDescent="0.3">
      <c r="A1316" s="1" t="s">
        <v>4934</v>
      </c>
      <c r="B1316" s="1" t="s">
        <v>2639</v>
      </c>
      <c r="C1316" s="1" t="s">
        <v>3326</v>
      </c>
      <c r="D1316" s="1">
        <v>615823.81999999995</v>
      </c>
      <c r="E1316" s="1">
        <v>28317.55</v>
      </c>
      <c r="F1316" s="41">
        <v>45808</v>
      </c>
      <c r="G1316" s="41">
        <v>46173</v>
      </c>
      <c r="H1316" s="1" t="s">
        <v>3989</v>
      </c>
      <c r="I1316" s="1" t="s">
        <v>3324</v>
      </c>
      <c r="J1316" t="str">
        <f>IF(ISNA(_xlfn.XLOOKUP(B1316,customer_master!$A$2:$A$1649, customer_master!$A$2:$A$1649)), "Invalid", "Ok")</f>
        <v>Ok</v>
      </c>
      <c r="K1316" t="str">
        <f>IF(ISNA(_xlfn.XLOOKUP(H1316,agent_info!$A$2:$A$301, agent_info!$A$2:$A$301)), "Invalid", "Ok")</f>
        <v>Ok</v>
      </c>
    </row>
    <row r="1317" spans="1:11" x14ac:dyDescent="0.3">
      <c r="A1317" s="1" t="s">
        <v>4935</v>
      </c>
      <c r="B1317" s="1" t="s">
        <v>1915</v>
      </c>
      <c r="C1317" s="1" t="s">
        <v>3318</v>
      </c>
      <c r="D1317" s="1">
        <v>577229.17000000004</v>
      </c>
      <c r="E1317" s="1">
        <v>27711.34</v>
      </c>
      <c r="F1317" s="41">
        <v>44349</v>
      </c>
      <c r="G1317" s="41">
        <v>44714</v>
      </c>
      <c r="H1317" s="1" t="s">
        <v>3788</v>
      </c>
      <c r="I1317" s="1" t="s">
        <v>3324</v>
      </c>
      <c r="J1317" t="str">
        <f>IF(ISNA(_xlfn.XLOOKUP(B1317,customer_master!$A$2:$A$1649, customer_master!$A$2:$A$1649)), "Invalid", "Ok")</f>
        <v>Ok</v>
      </c>
      <c r="K1317" t="str">
        <f>IF(ISNA(_xlfn.XLOOKUP(H1317,agent_info!$A$2:$A$301, agent_info!$A$2:$A$301)), "Invalid", "Ok")</f>
        <v>Ok</v>
      </c>
    </row>
    <row r="1318" spans="1:11" x14ac:dyDescent="0.3">
      <c r="A1318" s="1" t="s">
        <v>4936</v>
      </c>
      <c r="B1318" s="1" t="s">
        <v>3174</v>
      </c>
      <c r="C1318" s="1" t="s">
        <v>3314</v>
      </c>
      <c r="D1318" s="1">
        <v>763327.61</v>
      </c>
      <c r="E1318" s="1">
        <v>38181.4</v>
      </c>
      <c r="F1318" s="41">
        <v>45727</v>
      </c>
      <c r="G1318" s="41">
        <v>46092</v>
      </c>
      <c r="H1318" s="1" t="s">
        <v>3363</v>
      </c>
      <c r="I1318" s="1" t="s">
        <v>3324</v>
      </c>
      <c r="J1318" t="str">
        <f>IF(ISNA(_xlfn.XLOOKUP(B1318,customer_master!$A$2:$A$1649, customer_master!$A$2:$A$1649)), "Invalid", "Ok")</f>
        <v>Ok</v>
      </c>
      <c r="K1318" t="str">
        <f>IF(ISNA(_xlfn.XLOOKUP(H1318,agent_info!$A$2:$A$301, agent_info!$A$2:$A$301)), "Invalid", "Ok")</f>
        <v>Ok</v>
      </c>
    </row>
    <row r="1319" spans="1:11" x14ac:dyDescent="0.3">
      <c r="A1319" s="1" t="s">
        <v>4937</v>
      </c>
      <c r="B1319" s="1" t="s">
        <v>2380</v>
      </c>
      <c r="C1319" s="1" t="s">
        <v>3314</v>
      </c>
      <c r="D1319" s="1">
        <v>399979.92</v>
      </c>
      <c r="E1319" s="1">
        <v>18053.87</v>
      </c>
      <c r="F1319" s="41">
        <v>46193</v>
      </c>
      <c r="G1319" s="41">
        <v>46558</v>
      </c>
      <c r="H1319" s="1" t="s">
        <v>4076</v>
      </c>
      <c r="I1319" s="1" t="s">
        <v>3324</v>
      </c>
      <c r="J1319" t="str">
        <f>IF(ISNA(_xlfn.XLOOKUP(B1319,customer_master!$A$2:$A$1649, customer_master!$A$2:$A$1649)), "Invalid", "Ok")</f>
        <v>Ok</v>
      </c>
      <c r="K1319" t="str">
        <f>IF(ISNA(_xlfn.XLOOKUP(H1319,agent_info!$A$2:$A$301, agent_info!$A$2:$A$301)), "Invalid", "Ok")</f>
        <v>Ok</v>
      </c>
    </row>
    <row r="1320" spans="1:11" x14ac:dyDescent="0.3">
      <c r="A1320" s="1" t="s">
        <v>4938</v>
      </c>
      <c r="B1320" s="1" t="s">
        <v>2036</v>
      </c>
      <c r="C1320" s="1" t="s">
        <v>3331</v>
      </c>
      <c r="D1320" s="1">
        <v>618343.16</v>
      </c>
      <c r="E1320" s="1">
        <v>29386.26</v>
      </c>
      <c r="F1320" s="41">
        <v>46044</v>
      </c>
      <c r="G1320" s="41">
        <v>46409</v>
      </c>
      <c r="H1320" s="1" t="s">
        <v>3427</v>
      </c>
      <c r="I1320" s="1" t="s">
        <v>3324</v>
      </c>
      <c r="J1320" t="str">
        <f>IF(ISNA(_xlfn.XLOOKUP(B1320,customer_master!$A$2:$A$1649, customer_master!$A$2:$A$1649)), "Invalid", "Ok")</f>
        <v>Ok</v>
      </c>
      <c r="K1320" t="str">
        <f>IF(ISNA(_xlfn.XLOOKUP(H1320,agent_info!$A$2:$A$301, agent_info!$A$2:$A$301)), "Invalid", "Ok")</f>
        <v>Ok</v>
      </c>
    </row>
    <row r="1321" spans="1:11" x14ac:dyDescent="0.3">
      <c r="A1321" s="1" t="s">
        <v>4939</v>
      </c>
      <c r="B1321" s="1" t="s">
        <v>2748</v>
      </c>
      <c r="C1321" s="1" t="s">
        <v>3314</v>
      </c>
      <c r="D1321" s="1">
        <v>618490.68999999994</v>
      </c>
      <c r="E1321" s="1">
        <v>29909.74</v>
      </c>
      <c r="F1321" s="41">
        <v>44473</v>
      </c>
      <c r="G1321" s="41">
        <v>44838</v>
      </c>
      <c r="H1321" s="1" t="s">
        <v>3734</v>
      </c>
      <c r="I1321" s="1" t="s">
        <v>3316</v>
      </c>
      <c r="J1321" t="str">
        <f>IF(ISNA(_xlfn.XLOOKUP(B1321,customer_master!$A$2:$A$1649, customer_master!$A$2:$A$1649)), "Invalid", "Ok")</f>
        <v>Ok</v>
      </c>
      <c r="K1321" t="str">
        <f>IF(ISNA(_xlfn.XLOOKUP(H1321,agent_info!$A$2:$A$301, agent_info!$A$2:$A$301)), "Invalid", "Ok")</f>
        <v>Ok</v>
      </c>
    </row>
    <row r="1322" spans="1:11" x14ac:dyDescent="0.3">
      <c r="A1322" s="1" t="s">
        <v>4940</v>
      </c>
      <c r="B1322" s="1" t="s">
        <v>779</v>
      </c>
      <c r="C1322" s="1" t="s">
        <v>3314</v>
      </c>
      <c r="D1322" s="1">
        <v>508679.24</v>
      </c>
      <c r="E1322" s="1">
        <v>25249.78</v>
      </c>
      <c r="F1322" s="41">
        <v>45390</v>
      </c>
      <c r="G1322" s="41">
        <v>45755</v>
      </c>
      <c r="H1322" s="1" t="s">
        <v>3984</v>
      </c>
      <c r="I1322" s="1" t="s">
        <v>3316</v>
      </c>
      <c r="J1322" t="str">
        <f>IF(ISNA(_xlfn.XLOOKUP(B1322,customer_master!$A$2:$A$1649, customer_master!$A$2:$A$1649)), "Invalid", "Ok")</f>
        <v>Ok</v>
      </c>
      <c r="K1322" t="str">
        <f>IF(ISNA(_xlfn.XLOOKUP(H1322,agent_info!$A$2:$A$301, agent_info!$A$2:$A$301)), "Invalid", "Ok")</f>
        <v>Ok</v>
      </c>
    </row>
    <row r="1323" spans="1:11" x14ac:dyDescent="0.3">
      <c r="A1323" s="1" t="s">
        <v>4941</v>
      </c>
      <c r="B1323" s="1" t="s">
        <v>2131</v>
      </c>
      <c r="C1323" s="1" t="s">
        <v>3314</v>
      </c>
      <c r="D1323" s="1">
        <v>731284.58</v>
      </c>
      <c r="E1323" s="1">
        <v>32922.300000000003</v>
      </c>
      <c r="F1323" s="41">
        <v>44471</v>
      </c>
      <c r="G1323" s="41">
        <v>44836</v>
      </c>
      <c r="H1323" s="1" t="s">
        <v>4074</v>
      </c>
      <c r="I1323" s="1" t="s">
        <v>3324</v>
      </c>
      <c r="J1323" t="str">
        <f>IF(ISNA(_xlfn.XLOOKUP(B1323,customer_master!$A$2:$A$1649, customer_master!$A$2:$A$1649)), "Invalid", "Ok")</f>
        <v>Ok</v>
      </c>
      <c r="K1323" t="str">
        <f>IF(ISNA(_xlfn.XLOOKUP(H1323,agent_info!$A$2:$A$301, agent_info!$A$2:$A$301)), "Invalid", "Ok")</f>
        <v>Ok</v>
      </c>
    </row>
    <row r="1324" spans="1:11" x14ac:dyDescent="0.3">
      <c r="A1324" s="1" t="s">
        <v>4942</v>
      </c>
      <c r="B1324" s="1" t="s">
        <v>1331</v>
      </c>
      <c r="C1324" s="1" t="s">
        <v>3331</v>
      </c>
      <c r="D1324" s="1">
        <v>592424.37</v>
      </c>
      <c r="E1324" s="1">
        <v>30008.92</v>
      </c>
      <c r="F1324" s="41">
        <v>45292</v>
      </c>
      <c r="G1324" s="41">
        <v>45658</v>
      </c>
      <c r="H1324" s="1" t="s">
        <v>3714</v>
      </c>
      <c r="I1324" s="1" t="s">
        <v>3324</v>
      </c>
      <c r="J1324" t="str">
        <f>IF(ISNA(_xlfn.XLOOKUP(B1324,customer_master!$A$2:$A$1649, customer_master!$A$2:$A$1649)), "Invalid", "Ok")</f>
        <v>Ok</v>
      </c>
      <c r="K1324" t="str">
        <f>IF(ISNA(_xlfn.XLOOKUP(H1324,agent_info!$A$2:$A$301, agent_info!$A$2:$A$301)), "Invalid", "Ok")</f>
        <v>Ok</v>
      </c>
    </row>
    <row r="1325" spans="1:11" x14ac:dyDescent="0.3">
      <c r="A1325" s="1" t="s">
        <v>4943</v>
      </c>
      <c r="B1325" s="1" t="s">
        <v>2478</v>
      </c>
      <c r="C1325" s="1" t="s">
        <v>3314</v>
      </c>
      <c r="D1325" s="1">
        <v>479841</v>
      </c>
      <c r="E1325" s="1">
        <v>22541.17</v>
      </c>
      <c r="F1325" s="41">
        <v>45831</v>
      </c>
      <c r="G1325" s="41">
        <v>46196</v>
      </c>
      <c r="H1325" s="1" t="s">
        <v>3383</v>
      </c>
      <c r="I1325" s="1" t="s">
        <v>3320</v>
      </c>
      <c r="J1325" t="str">
        <f>IF(ISNA(_xlfn.XLOOKUP(B1325,customer_master!$A$2:$A$1649, customer_master!$A$2:$A$1649)), "Invalid", "Ok")</f>
        <v>Ok</v>
      </c>
      <c r="K1325" t="str">
        <f>IF(ISNA(_xlfn.XLOOKUP(H1325,agent_info!$A$2:$A$301, agent_info!$A$2:$A$301)), "Invalid", "Ok")</f>
        <v>Ok</v>
      </c>
    </row>
    <row r="1326" spans="1:11" x14ac:dyDescent="0.3">
      <c r="A1326" s="1" t="s">
        <v>4944</v>
      </c>
      <c r="B1326" s="1" t="s">
        <v>115</v>
      </c>
      <c r="C1326" s="1" t="s">
        <v>3326</v>
      </c>
      <c r="D1326" s="1">
        <v>380925.48</v>
      </c>
      <c r="E1326" s="1">
        <v>19416.73</v>
      </c>
      <c r="F1326" s="41">
        <v>44346</v>
      </c>
      <c r="G1326" s="41">
        <v>44711</v>
      </c>
      <c r="H1326" s="1" t="s">
        <v>3373</v>
      </c>
      <c r="I1326" s="1" t="s">
        <v>3324</v>
      </c>
      <c r="J1326" t="str">
        <f>IF(ISNA(_xlfn.XLOOKUP(B1326,customer_master!$A$2:$A$1649, customer_master!$A$2:$A$1649)), "Invalid", "Ok")</f>
        <v>Ok</v>
      </c>
      <c r="K1326" t="str">
        <f>IF(ISNA(_xlfn.XLOOKUP(H1326,agent_info!$A$2:$A$301, agent_info!$A$2:$A$301)), "Invalid", "Ok")</f>
        <v>Ok</v>
      </c>
    </row>
    <row r="1327" spans="1:11" x14ac:dyDescent="0.3">
      <c r="A1327" s="1" t="s">
        <v>4945</v>
      </c>
      <c r="B1327" s="1" t="s">
        <v>1441</v>
      </c>
      <c r="C1327" s="1" t="s">
        <v>3326</v>
      </c>
      <c r="D1327" s="1">
        <v>387491.61</v>
      </c>
      <c r="E1327" s="1">
        <v>18363.810000000001</v>
      </c>
      <c r="F1327" s="41">
        <v>44359</v>
      </c>
      <c r="G1327" s="41">
        <v>44724</v>
      </c>
      <c r="H1327" s="1" t="s">
        <v>3337</v>
      </c>
      <c r="I1327" s="1" t="s">
        <v>3324</v>
      </c>
      <c r="J1327" t="str">
        <f>IF(ISNA(_xlfn.XLOOKUP(B1327,customer_master!$A$2:$A$1649, customer_master!$A$2:$A$1649)), "Invalid", "Ok")</f>
        <v>Ok</v>
      </c>
      <c r="K1327" t="str">
        <f>IF(ISNA(_xlfn.XLOOKUP(H1327,agent_info!$A$2:$A$301, agent_info!$A$2:$A$301)), "Invalid", "Ok")</f>
        <v>Ok</v>
      </c>
    </row>
    <row r="1328" spans="1:11" x14ac:dyDescent="0.3">
      <c r="A1328" s="1" t="s">
        <v>4946</v>
      </c>
      <c r="B1328" s="1" t="s">
        <v>2178</v>
      </c>
      <c r="C1328" s="1" t="s">
        <v>3318</v>
      </c>
      <c r="D1328" s="1">
        <v>717190.46</v>
      </c>
      <c r="E1328" s="1">
        <v>35161.83</v>
      </c>
      <c r="F1328" s="41">
        <v>44529</v>
      </c>
      <c r="G1328" s="41">
        <v>44894</v>
      </c>
      <c r="H1328" s="1" t="s">
        <v>3625</v>
      </c>
      <c r="I1328" s="1" t="s">
        <v>3316</v>
      </c>
      <c r="J1328" t="str">
        <f>IF(ISNA(_xlfn.XLOOKUP(B1328,customer_master!$A$2:$A$1649, customer_master!$A$2:$A$1649)), "Invalid", "Ok")</f>
        <v>Ok</v>
      </c>
      <c r="K1328" t="str">
        <f>IF(ISNA(_xlfn.XLOOKUP(H1328,agent_info!$A$2:$A$301, agent_info!$A$2:$A$301)), "Invalid", "Ok")</f>
        <v>Ok</v>
      </c>
    </row>
    <row r="1329" spans="1:11" x14ac:dyDescent="0.3">
      <c r="A1329" s="1" t="s">
        <v>4947</v>
      </c>
      <c r="B1329" s="1" t="s">
        <v>1547</v>
      </c>
      <c r="C1329" s="1" t="s">
        <v>3331</v>
      </c>
      <c r="D1329" s="1">
        <v>476992.79</v>
      </c>
      <c r="E1329" s="1">
        <v>24439.35</v>
      </c>
      <c r="F1329" s="41">
        <v>44430</v>
      </c>
      <c r="G1329" s="41">
        <v>44795</v>
      </c>
      <c r="H1329" s="1" t="s">
        <v>3379</v>
      </c>
      <c r="I1329" s="1" t="s">
        <v>3324</v>
      </c>
      <c r="J1329" t="str">
        <f>IF(ISNA(_xlfn.XLOOKUP(B1329,customer_master!$A$2:$A$1649, customer_master!$A$2:$A$1649)), "Invalid", "Ok")</f>
        <v>Ok</v>
      </c>
      <c r="K1329" t="str">
        <f>IF(ISNA(_xlfn.XLOOKUP(H1329,agent_info!$A$2:$A$301, agent_info!$A$2:$A$301)), "Invalid", "Ok")</f>
        <v>Ok</v>
      </c>
    </row>
    <row r="1330" spans="1:11" x14ac:dyDescent="0.3">
      <c r="A1330" s="1" t="s">
        <v>4948</v>
      </c>
      <c r="B1330" s="1" t="s">
        <v>829</v>
      </c>
      <c r="C1330" s="1" t="s">
        <v>3314</v>
      </c>
      <c r="D1330" s="1">
        <v>734197.04</v>
      </c>
      <c r="E1330" s="1">
        <v>37859.4</v>
      </c>
      <c r="F1330" s="41">
        <v>45309</v>
      </c>
      <c r="G1330" s="41">
        <v>45675</v>
      </c>
      <c r="H1330" s="1" t="s">
        <v>3598</v>
      </c>
      <c r="I1330" s="1" t="s">
        <v>3316</v>
      </c>
      <c r="J1330" t="str">
        <f>IF(ISNA(_xlfn.XLOOKUP(B1330,customer_master!$A$2:$A$1649, customer_master!$A$2:$A$1649)), "Invalid", "Ok")</f>
        <v>Ok</v>
      </c>
      <c r="K1330" t="str">
        <f>IF(ISNA(_xlfn.XLOOKUP(H1330,agent_info!$A$2:$A$301, agent_info!$A$2:$A$301)), "Invalid", "Ok")</f>
        <v>Ok</v>
      </c>
    </row>
    <row r="1331" spans="1:11" x14ac:dyDescent="0.3">
      <c r="A1331" s="1" t="s">
        <v>4949</v>
      </c>
      <c r="B1331" s="1" t="s">
        <v>1559</v>
      </c>
      <c r="C1331" s="1" t="s">
        <v>3331</v>
      </c>
      <c r="D1331" s="1">
        <v>427324.98</v>
      </c>
      <c r="E1331" s="1">
        <v>19360.37</v>
      </c>
      <c r="F1331" s="41">
        <v>45943</v>
      </c>
      <c r="G1331" s="41">
        <v>46308</v>
      </c>
      <c r="H1331" s="1" t="s">
        <v>3532</v>
      </c>
      <c r="I1331" s="1" t="s">
        <v>3316</v>
      </c>
      <c r="J1331" t="str">
        <f>IF(ISNA(_xlfn.XLOOKUP(B1331,customer_master!$A$2:$A$1649, customer_master!$A$2:$A$1649)), "Invalid", "Ok")</f>
        <v>Ok</v>
      </c>
      <c r="K1331" t="str">
        <f>IF(ISNA(_xlfn.XLOOKUP(H1331,agent_info!$A$2:$A$301, agent_info!$A$2:$A$301)), "Invalid", "Ok")</f>
        <v>Ok</v>
      </c>
    </row>
    <row r="1332" spans="1:11" x14ac:dyDescent="0.3">
      <c r="A1332" s="1" t="s">
        <v>4950</v>
      </c>
      <c r="B1332" s="1" t="s">
        <v>2825</v>
      </c>
      <c r="C1332" s="1" t="s">
        <v>3334</v>
      </c>
      <c r="D1332" s="1">
        <v>763815.07</v>
      </c>
      <c r="E1332" s="1">
        <v>38458.660000000003</v>
      </c>
      <c r="F1332" s="41">
        <v>44153</v>
      </c>
      <c r="G1332" s="41">
        <v>44518</v>
      </c>
      <c r="H1332" s="1" t="s">
        <v>4033</v>
      </c>
      <c r="I1332" s="1" t="s">
        <v>3324</v>
      </c>
      <c r="J1332" t="str">
        <f>IF(ISNA(_xlfn.XLOOKUP(B1332,customer_master!$A$2:$A$1649, customer_master!$A$2:$A$1649)), "Invalid", "Ok")</f>
        <v>Ok</v>
      </c>
      <c r="K1332" t="str">
        <f>IF(ISNA(_xlfn.XLOOKUP(H1332,agent_info!$A$2:$A$301, agent_info!$A$2:$A$301)), "Invalid", "Ok")</f>
        <v>Ok</v>
      </c>
    </row>
    <row r="1333" spans="1:11" x14ac:dyDescent="0.3">
      <c r="A1333" s="1" t="s">
        <v>4951</v>
      </c>
      <c r="B1333" s="1" t="s">
        <v>739</v>
      </c>
      <c r="C1333" s="1" t="s">
        <v>3314</v>
      </c>
      <c r="D1333" s="1">
        <v>705839.39</v>
      </c>
      <c r="E1333" s="1">
        <v>37526.949999999997</v>
      </c>
      <c r="F1333" s="41">
        <v>46225</v>
      </c>
      <c r="G1333" s="41">
        <v>46590</v>
      </c>
      <c r="H1333" s="1" t="s">
        <v>3670</v>
      </c>
      <c r="I1333" s="1" t="s">
        <v>3324</v>
      </c>
      <c r="J1333" t="str">
        <f>IF(ISNA(_xlfn.XLOOKUP(B1333,customer_master!$A$2:$A$1649, customer_master!$A$2:$A$1649)), "Invalid", "Ok")</f>
        <v>Ok</v>
      </c>
      <c r="K1333" t="str">
        <f>IF(ISNA(_xlfn.XLOOKUP(H1333,agent_info!$A$2:$A$301, agent_info!$A$2:$A$301)), "Invalid", "Ok")</f>
        <v>Ok</v>
      </c>
    </row>
    <row r="1334" spans="1:11" x14ac:dyDescent="0.3">
      <c r="A1334" s="1" t="s">
        <v>4952</v>
      </c>
      <c r="B1334" s="1" t="s">
        <v>1245</v>
      </c>
      <c r="C1334" s="1" t="s">
        <v>3326</v>
      </c>
      <c r="D1334" s="1">
        <v>390680.06</v>
      </c>
      <c r="E1334" s="1">
        <v>18387.060000000001</v>
      </c>
      <c r="F1334" s="41">
        <v>45186</v>
      </c>
      <c r="G1334" s="41">
        <v>45552</v>
      </c>
      <c r="H1334" s="1" t="s">
        <v>3518</v>
      </c>
      <c r="I1334" s="1" t="s">
        <v>3316</v>
      </c>
      <c r="J1334" t="str">
        <f>IF(ISNA(_xlfn.XLOOKUP(B1334,customer_master!$A$2:$A$1649, customer_master!$A$2:$A$1649)), "Invalid", "Ok")</f>
        <v>Ok</v>
      </c>
      <c r="K1334" t="str">
        <f>IF(ISNA(_xlfn.XLOOKUP(H1334,agent_info!$A$2:$A$301, agent_info!$A$2:$A$301)), "Invalid", "Ok")</f>
        <v>Ok</v>
      </c>
    </row>
    <row r="1335" spans="1:11" x14ac:dyDescent="0.3">
      <c r="A1335" s="1" t="s">
        <v>4953</v>
      </c>
      <c r="B1335" s="1" t="s">
        <v>3279</v>
      </c>
      <c r="C1335" s="1" t="s">
        <v>3326</v>
      </c>
      <c r="D1335" s="1">
        <v>380119.78</v>
      </c>
      <c r="E1335" s="1">
        <v>19127.580000000002</v>
      </c>
      <c r="F1335" s="41">
        <v>44873</v>
      </c>
      <c r="G1335" s="41">
        <v>45238</v>
      </c>
      <c r="H1335" s="1" t="s">
        <v>3565</v>
      </c>
      <c r="I1335" s="1" t="s">
        <v>3324</v>
      </c>
      <c r="J1335" t="str">
        <f>IF(ISNA(_xlfn.XLOOKUP(B1335,customer_master!$A$2:$A$1649, customer_master!$A$2:$A$1649)), "Invalid", "Ok")</f>
        <v>Ok</v>
      </c>
      <c r="K1335" t="str">
        <f>IF(ISNA(_xlfn.XLOOKUP(H1335,agent_info!$A$2:$A$301, agent_info!$A$2:$A$301)), "Invalid", "Ok")</f>
        <v>Ok</v>
      </c>
    </row>
    <row r="1336" spans="1:11" x14ac:dyDescent="0.3">
      <c r="A1336" s="1" t="s">
        <v>4954</v>
      </c>
      <c r="B1336" s="1" t="s">
        <v>3033</v>
      </c>
      <c r="C1336" s="1" t="s">
        <v>3331</v>
      </c>
      <c r="D1336" s="1">
        <v>688011.29</v>
      </c>
      <c r="E1336" s="1">
        <v>34040.15</v>
      </c>
      <c r="F1336" s="41">
        <v>45270</v>
      </c>
      <c r="G1336" s="41">
        <v>45636</v>
      </c>
      <c r="H1336" s="1" t="s">
        <v>3595</v>
      </c>
      <c r="I1336" s="1" t="s">
        <v>3324</v>
      </c>
      <c r="J1336" t="str">
        <f>IF(ISNA(_xlfn.XLOOKUP(B1336,customer_master!$A$2:$A$1649, customer_master!$A$2:$A$1649)), "Invalid", "Ok")</f>
        <v>Ok</v>
      </c>
      <c r="K1336" t="str">
        <f>IF(ISNA(_xlfn.XLOOKUP(H1336,agent_info!$A$2:$A$301, agent_info!$A$2:$A$301)), "Invalid", "Ok")</f>
        <v>Ok</v>
      </c>
    </row>
    <row r="1337" spans="1:11" x14ac:dyDescent="0.3">
      <c r="A1337" s="1" t="s">
        <v>4955</v>
      </c>
      <c r="B1337" s="1" t="s">
        <v>146</v>
      </c>
      <c r="C1337" s="1" t="s">
        <v>3314</v>
      </c>
      <c r="D1337" s="1">
        <v>415055.51</v>
      </c>
      <c r="E1337" s="1">
        <v>22205.200000000001</v>
      </c>
      <c r="F1337" s="41">
        <v>45004</v>
      </c>
      <c r="G1337" s="41">
        <v>45370</v>
      </c>
      <c r="H1337" s="1" t="s">
        <v>4311</v>
      </c>
      <c r="I1337" s="1" t="s">
        <v>3324</v>
      </c>
      <c r="J1337" t="str">
        <f>IF(ISNA(_xlfn.XLOOKUP(B1337,customer_master!$A$2:$A$1649, customer_master!$A$2:$A$1649)), "Invalid", "Ok")</f>
        <v>Ok</v>
      </c>
      <c r="K1337" t="str">
        <f>IF(ISNA(_xlfn.XLOOKUP(H1337,agent_info!$A$2:$A$301, agent_info!$A$2:$A$301)), "Invalid", "Ok")</f>
        <v>Ok</v>
      </c>
    </row>
    <row r="1338" spans="1:11" x14ac:dyDescent="0.3">
      <c r="A1338" s="1" t="s">
        <v>4956</v>
      </c>
      <c r="B1338" s="1" t="s">
        <v>1777</v>
      </c>
      <c r="C1338" s="1" t="s">
        <v>3318</v>
      </c>
      <c r="D1338" s="1">
        <v>477104.41</v>
      </c>
      <c r="E1338" s="1">
        <v>23563.06</v>
      </c>
      <c r="F1338" s="41">
        <v>46148</v>
      </c>
      <c r="G1338" s="41">
        <v>46513</v>
      </c>
      <c r="H1338" s="1" t="s">
        <v>4388</v>
      </c>
      <c r="I1338" s="1" t="s">
        <v>3316</v>
      </c>
      <c r="J1338" t="str">
        <f>IF(ISNA(_xlfn.XLOOKUP(B1338,customer_master!$A$2:$A$1649, customer_master!$A$2:$A$1649)), "Invalid", "Ok")</f>
        <v>Ok</v>
      </c>
      <c r="K1338" t="str">
        <f>IF(ISNA(_xlfn.XLOOKUP(H1338,agent_info!$A$2:$A$301, agent_info!$A$2:$A$301)), "Invalid", "Ok")</f>
        <v>Ok</v>
      </c>
    </row>
    <row r="1339" spans="1:11" x14ac:dyDescent="0.3">
      <c r="A1339" s="1" t="s">
        <v>4957</v>
      </c>
      <c r="B1339" s="1" t="s">
        <v>250</v>
      </c>
      <c r="C1339" s="1" t="s">
        <v>3326</v>
      </c>
      <c r="D1339" s="1">
        <v>630437.43000000005</v>
      </c>
      <c r="E1339" s="1">
        <v>34320.01</v>
      </c>
      <c r="F1339" s="41">
        <v>44077</v>
      </c>
      <c r="G1339" s="41">
        <v>44442</v>
      </c>
      <c r="H1339" s="1" t="s">
        <v>3538</v>
      </c>
      <c r="I1339" s="1" t="s">
        <v>3324</v>
      </c>
      <c r="J1339" t="str">
        <f>IF(ISNA(_xlfn.XLOOKUP(B1339,customer_master!$A$2:$A$1649, customer_master!$A$2:$A$1649)), "Invalid", "Ok")</f>
        <v>Ok</v>
      </c>
      <c r="K1339" t="str">
        <f>IF(ISNA(_xlfn.XLOOKUP(H1339,agent_info!$A$2:$A$301, agent_info!$A$2:$A$301)), "Invalid", "Ok")</f>
        <v>Ok</v>
      </c>
    </row>
    <row r="1340" spans="1:11" x14ac:dyDescent="0.3">
      <c r="A1340" s="1" t="s">
        <v>4958</v>
      </c>
      <c r="B1340" s="1" t="s">
        <v>3073</v>
      </c>
      <c r="C1340" s="1" t="s">
        <v>3326</v>
      </c>
      <c r="D1340" s="1">
        <v>667653</v>
      </c>
      <c r="E1340" s="1">
        <v>34400.339999999997</v>
      </c>
      <c r="F1340" s="41">
        <v>44735</v>
      </c>
      <c r="G1340" s="41">
        <v>45100</v>
      </c>
      <c r="H1340" s="1" t="s">
        <v>3369</v>
      </c>
      <c r="I1340" s="1" t="s">
        <v>3324</v>
      </c>
      <c r="J1340" t="str">
        <f>IF(ISNA(_xlfn.XLOOKUP(B1340,customer_master!$A$2:$A$1649, customer_master!$A$2:$A$1649)), "Invalid", "Ok")</f>
        <v>Ok</v>
      </c>
      <c r="K1340" t="str">
        <f>IF(ISNA(_xlfn.XLOOKUP(H1340,agent_info!$A$2:$A$301, agent_info!$A$2:$A$301)), "Invalid", "Ok")</f>
        <v>Ok</v>
      </c>
    </row>
    <row r="1341" spans="1:11" x14ac:dyDescent="0.3">
      <c r="A1341" s="1" t="s">
        <v>4959</v>
      </c>
      <c r="B1341" s="1" t="s">
        <v>1481</v>
      </c>
      <c r="C1341" s="1" t="s">
        <v>3314</v>
      </c>
      <c r="D1341" s="1">
        <v>680546.04</v>
      </c>
      <c r="E1341" s="1">
        <v>34445.040000000001</v>
      </c>
      <c r="F1341" s="41">
        <v>46151</v>
      </c>
      <c r="G1341" s="41">
        <v>46516</v>
      </c>
      <c r="H1341" s="1" t="s">
        <v>3943</v>
      </c>
      <c r="I1341" s="1" t="s">
        <v>3324</v>
      </c>
      <c r="J1341" t="str">
        <f>IF(ISNA(_xlfn.XLOOKUP(B1341,customer_master!$A$2:$A$1649, customer_master!$A$2:$A$1649)), "Invalid", "Ok")</f>
        <v>Ok</v>
      </c>
      <c r="K1341" t="str">
        <f>IF(ISNA(_xlfn.XLOOKUP(H1341,agent_info!$A$2:$A$301, agent_info!$A$2:$A$301)), "Invalid", "Ok")</f>
        <v>Ok</v>
      </c>
    </row>
    <row r="1342" spans="1:11" x14ac:dyDescent="0.3">
      <c r="A1342" s="1" t="s">
        <v>4960</v>
      </c>
      <c r="B1342" s="1" t="s">
        <v>1414</v>
      </c>
      <c r="C1342" s="1" t="s">
        <v>3334</v>
      </c>
      <c r="D1342" s="1">
        <v>727608.74</v>
      </c>
      <c r="E1342" s="1">
        <v>34866.43</v>
      </c>
      <c r="F1342" s="41">
        <v>45215</v>
      </c>
      <c r="G1342" s="41">
        <v>45581</v>
      </c>
      <c r="H1342" s="1" t="s">
        <v>3751</v>
      </c>
      <c r="I1342" s="1" t="s">
        <v>3324</v>
      </c>
      <c r="J1342" t="str">
        <f>IF(ISNA(_xlfn.XLOOKUP(B1342,customer_master!$A$2:$A$1649, customer_master!$A$2:$A$1649)), "Invalid", "Ok")</f>
        <v>Ok</v>
      </c>
      <c r="K1342" t="str">
        <f>IF(ISNA(_xlfn.XLOOKUP(H1342,agent_info!$A$2:$A$301, agent_info!$A$2:$A$301)), "Invalid", "Ok")</f>
        <v>Ok</v>
      </c>
    </row>
    <row r="1343" spans="1:11" x14ac:dyDescent="0.3">
      <c r="A1343" s="1" t="s">
        <v>4961</v>
      </c>
      <c r="B1343" s="1" t="s">
        <v>923</v>
      </c>
      <c r="C1343" s="1" t="s">
        <v>3331</v>
      </c>
      <c r="D1343" s="1">
        <v>595097.39</v>
      </c>
      <c r="E1343" s="1">
        <v>30329.29</v>
      </c>
      <c r="F1343" s="41">
        <v>45792</v>
      </c>
      <c r="G1343" s="41">
        <v>46157</v>
      </c>
      <c r="H1343" s="1" t="s">
        <v>4087</v>
      </c>
      <c r="I1343" s="1" t="s">
        <v>3320</v>
      </c>
      <c r="J1343" t="str">
        <f>IF(ISNA(_xlfn.XLOOKUP(B1343,customer_master!$A$2:$A$1649, customer_master!$A$2:$A$1649)), "Invalid", "Ok")</f>
        <v>Ok</v>
      </c>
      <c r="K1343" t="str">
        <f>IF(ISNA(_xlfn.XLOOKUP(H1343,agent_info!$A$2:$A$301, agent_info!$A$2:$A$301)), "Invalid", "Ok")</f>
        <v>Ok</v>
      </c>
    </row>
    <row r="1344" spans="1:11" x14ac:dyDescent="0.3">
      <c r="A1344" s="1" t="s">
        <v>4962</v>
      </c>
      <c r="B1344" s="1" t="s">
        <v>1901</v>
      </c>
      <c r="C1344" s="1" t="s">
        <v>3334</v>
      </c>
      <c r="D1344" s="1">
        <v>685150.3</v>
      </c>
      <c r="E1344" s="1">
        <v>31731</v>
      </c>
      <c r="F1344" s="41">
        <v>45521</v>
      </c>
      <c r="G1344" s="41">
        <v>45886</v>
      </c>
      <c r="H1344" s="1" t="s">
        <v>3658</v>
      </c>
      <c r="I1344" s="1" t="s">
        <v>3324</v>
      </c>
      <c r="J1344" t="str">
        <f>IF(ISNA(_xlfn.XLOOKUP(B1344,customer_master!$A$2:$A$1649, customer_master!$A$2:$A$1649)), "Invalid", "Ok")</f>
        <v>Ok</v>
      </c>
      <c r="K1344" t="str">
        <f>IF(ISNA(_xlfn.XLOOKUP(H1344,agent_info!$A$2:$A$301, agent_info!$A$2:$A$301)), "Invalid", "Ok")</f>
        <v>Ok</v>
      </c>
    </row>
    <row r="1345" spans="1:11" x14ac:dyDescent="0.3">
      <c r="A1345" s="1" t="s">
        <v>4963</v>
      </c>
      <c r="B1345" s="1" t="s">
        <v>517</v>
      </c>
      <c r="C1345" s="1" t="s">
        <v>3334</v>
      </c>
      <c r="D1345" s="1">
        <v>517511.74</v>
      </c>
      <c r="E1345" s="1">
        <v>25442.14</v>
      </c>
      <c r="F1345" s="41">
        <v>45052</v>
      </c>
      <c r="G1345" s="41">
        <v>45418</v>
      </c>
      <c r="H1345" s="1" t="s">
        <v>3749</v>
      </c>
      <c r="I1345" s="1" t="s">
        <v>3324</v>
      </c>
      <c r="J1345" t="str">
        <f>IF(ISNA(_xlfn.XLOOKUP(B1345,customer_master!$A$2:$A$1649, customer_master!$A$2:$A$1649)), "Invalid", "Ok")</f>
        <v>Ok</v>
      </c>
      <c r="K1345" t="str">
        <f>IF(ISNA(_xlfn.XLOOKUP(H1345,agent_info!$A$2:$A$301, agent_info!$A$2:$A$301)), "Invalid", "Ok")</f>
        <v>Ok</v>
      </c>
    </row>
    <row r="1346" spans="1:11" x14ac:dyDescent="0.3">
      <c r="A1346" s="1" t="s">
        <v>4964</v>
      </c>
      <c r="B1346" s="1" t="s">
        <v>2647</v>
      </c>
      <c r="C1346" s="1" t="s">
        <v>3331</v>
      </c>
      <c r="D1346" s="1">
        <v>681059.17</v>
      </c>
      <c r="E1346" s="1">
        <v>32584.79</v>
      </c>
      <c r="F1346" s="41">
        <v>45341</v>
      </c>
      <c r="G1346" s="41">
        <v>45707</v>
      </c>
      <c r="H1346" s="1" t="s">
        <v>3665</v>
      </c>
      <c r="I1346" s="1" t="s">
        <v>3320</v>
      </c>
      <c r="J1346" t="str">
        <f>IF(ISNA(_xlfn.XLOOKUP(B1346,customer_master!$A$2:$A$1649, customer_master!$A$2:$A$1649)), "Invalid", "Ok")</f>
        <v>Ok</v>
      </c>
      <c r="K1346" t="str">
        <f>IF(ISNA(_xlfn.XLOOKUP(H1346,agent_info!$A$2:$A$301, agent_info!$A$2:$A$301)), "Invalid", "Ok")</f>
        <v>Ok</v>
      </c>
    </row>
    <row r="1347" spans="1:11" x14ac:dyDescent="0.3">
      <c r="A1347" s="1" t="s">
        <v>4965</v>
      </c>
      <c r="B1347" s="1" t="s">
        <v>1652</v>
      </c>
      <c r="C1347" s="1" t="s">
        <v>3331</v>
      </c>
      <c r="D1347" s="1">
        <v>640821.16</v>
      </c>
      <c r="E1347" s="1">
        <v>33132.230000000003</v>
      </c>
      <c r="F1347" s="41">
        <v>45600</v>
      </c>
      <c r="G1347" s="41">
        <v>45965</v>
      </c>
      <c r="H1347" s="1" t="s">
        <v>3852</v>
      </c>
      <c r="I1347" s="1" t="s">
        <v>3316</v>
      </c>
      <c r="J1347" t="str">
        <f>IF(ISNA(_xlfn.XLOOKUP(B1347,customer_master!$A$2:$A$1649, customer_master!$A$2:$A$1649)), "Invalid", "Ok")</f>
        <v>Ok</v>
      </c>
      <c r="K1347" t="str">
        <f>IF(ISNA(_xlfn.XLOOKUP(H1347,agent_info!$A$2:$A$301, agent_info!$A$2:$A$301)), "Invalid", "Ok")</f>
        <v>Ok</v>
      </c>
    </row>
    <row r="1348" spans="1:11" x14ac:dyDescent="0.3">
      <c r="A1348" s="1" t="s">
        <v>4966</v>
      </c>
      <c r="B1348" s="1" t="s">
        <v>1897</v>
      </c>
      <c r="C1348" s="1" t="s">
        <v>3318</v>
      </c>
      <c r="D1348" s="1">
        <v>595285.76000000001</v>
      </c>
      <c r="E1348" s="1">
        <v>31335.82</v>
      </c>
      <c r="F1348" s="41">
        <v>45222</v>
      </c>
      <c r="G1348" s="41">
        <v>45588</v>
      </c>
      <c r="H1348" s="1" t="s">
        <v>3897</v>
      </c>
      <c r="I1348" s="1" t="s">
        <v>3324</v>
      </c>
      <c r="J1348" t="str">
        <f>IF(ISNA(_xlfn.XLOOKUP(B1348,customer_master!$A$2:$A$1649, customer_master!$A$2:$A$1649)), "Invalid", "Ok")</f>
        <v>Ok</v>
      </c>
      <c r="K1348" t="str">
        <f>IF(ISNA(_xlfn.XLOOKUP(H1348,agent_info!$A$2:$A$301, agent_info!$A$2:$A$301)), "Invalid", "Ok")</f>
        <v>Ok</v>
      </c>
    </row>
    <row r="1349" spans="1:11" x14ac:dyDescent="0.3">
      <c r="A1349" s="1" t="s">
        <v>4967</v>
      </c>
      <c r="B1349" s="1" t="s">
        <v>2792</v>
      </c>
      <c r="C1349" s="1" t="s">
        <v>3318</v>
      </c>
      <c r="D1349" s="1">
        <v>753089.9</v>
      </c>
      <c r="E1349" s="1">
        <v>40882.46</v>
      </c>
      <c r="F1349" s="41">
        <v>46238</v>
      </c>
      <c r="G1349" s="41">
        <v>46603</v>
      </c>
      <c r="H1349" s="1" t="s">
        <v>3678</v>
      </c>
      <c r="I1349" s="1" t="s">
        <v>3324</v>
      </c>
      <c r="J1349" t="str">
        <f>IF(ISNA(_xlfn.XLOOKUP(B1349,customer_master!$A$2:$A$1649, customer_master!$A$2:$A$1649)), "Invalid", "Ok")</f>
        <v>Ok</v>
      </c>
      <c r="K1349" t="str">
        <f>IF(ISNA(_xlfn.XLOOKUP(H1349,agent_info!$A$2:$A$301, agent_info!$A$2:$A$301)), "Invalid", "Ok")</f>
        <v>Ok</v>
      </c>
    </row>
    <row r="1350" spans="1:11" x14ac:dyDescent="0.3">
      <c r="A1350" s="1" t="s">
        <v>4968</v>
      </c>
      <c r="B1350" s="1" t="s">
        <v>658</v>
      </c>
      <c r="C1350" s="1" t="s">
        <v>3318</v>
      </c>
      <c r="D1350" s="1">
        <v>555576.66</v>
      </c>
      <c r="E1350" s="1">
        <v>26234.89</v>
      </c>
      <c r="F1350" s="41">
        <v>44848</v>
      </c>
      <c r="G1350" s="41">
        <v>45213</v>
      </c>
      <c r="H1350" s="1" t="s">
        <v>4095</v>
      </c>
      <c r="I1350" s="1" t="s">
        <v>3316</v>
      </c>
      <c r="J1350" t="str">
        <f>IF(ISNA(_xlfn.XLOOKUP(B1350,customer_master!$A$2:$A$1649, customer_master!$A$2:$A$1649)), "Invalid", "Ok")</f>
        <v>Ok</v>
      </c>
      <c r="K1350" t="str">
        <f>IF(ISNA(_xlfn.XLOOKUP(H1350,agent_info!$A$2:$A$301, agent_info!$A$2:$A$301)), "Invalid", "Ok")</f>
        <v>Ok</v>
      </c>
    </row>
    <row r="1351" spans="1:11" x14ac:dyDescent="0.3">
      <c r="A1351" s="1" t="s">
        <v>4969</v>
      </c>
      <c r="B1351" s="1" t="s">
        <v>622</v>
      </c>
      <c r="C1351" s="1" t="s">
        <v>3318</v>
      </c>
      <c r="D1351" s="1">
        <v>612075.46</v>
      </c>
      <c r="E1351" s="1">
        <v>32958.74</v>
      </c>
      <c r="F1351" s="41">
        <v>45256</v>
      </c>
      <c r="G1351" s="41">
        <v>45622</v>
      </c>
      <c r="H1351" s="1" t="s">
        <v>3447</v>
      </c>
      <c r="I1351" s="1" t="s">
        <v>3316</v>
      </c>
      <c r="J1351" t="str">
        <f>IF(ISNA(_xlfn.XLOOKUP(B1351,customer_master!$A$2:$A$1649, customer_master!$A$2:$A$1649)), "Invalid", "Ok")</f>
        <v>Ok</v>
      </c>
      <c r="K1351" t="str">
        <f>IF(ISNA(_xlfn.XLOOKUP(H1351,agent_info!$A$2:$A$301, agent_info!$A$2:$A$301)), "Invalid", "Ok")</f>
        <v>Ok</v>
      </c>
    </row>
    <row r="1352" spans="1:11" x14ac:dyDescent="0.3">
      <c r="A1352" s="1" t="s">
        <v>4970</v>
      </c>
      <c r="B1352" s="1" t="s">
        <v>1421</v>
      </c>
      <c r="C1352" s="1" t="s">
        <v>3314</v>
      </c>
      <c r="D1352" s="1">
        <v>581313.68999999994</v>
      </c>
      <c r="E1352" s="1">
        <v>31076.75</v>
      </c>
      <c r="F1352" s="41">
        <v>44536</v>
      </c>
      <c r="G1352" s="41">
        <v>44901</v>
      </c>
      <c r="H1352" s="1" t="s">
        <v>3858</v>
      </c>
      <c r="I1352" s="1" t="s">
        <v>3324</v>
      </c>
      <c r="J1352" t="str">
        <f>IF(ISNA(_xlfn.XLOOKUP(B1352,customer_master!$A$2:$A$1649, customer_master!$A$2:$A$1649)), "Invalid", "Ok")</f>
        <v>Ok</v>
      </c>
      <c r="K1352" t="str">
        <f>IF(ISNA(_xlfn.XLOOKUP(H1352,agent_info!$A$2:$A$301, agent_info!$A$2:$A$301)), "Invalid", "Ok")</f>
        <v>Ok</v>
      </c>
    </row>
    <row r="1353" spans="1:11" x14ac:dyDescent="0.3">
      <c r="A1353" s="1" t="s">
        <v>4971</v>
      </c>
      <c r="B1353" s="1" t="s">
        <v>2605</v>
      </c>
      <c r="C1353" s="1" t="s">
        <v>3331</v>
      </c>
      <c r="D1353" s="1">
        <v>480885.08</v>
      </c>
      <c r="E1353" s="1">
        <v>25787.13</v>
      </c>
      <c r="F1353" s="41">
        <v>44294</v>
      </c>
      <c r="G1353" s="41">
        <v>44659</v>
      </c>
      <c r="H1353" s="1" t="s">
        <v>4518</v>
      </c>
      <c r="I1353" s="1" t="s">
        <v>3324</v>
      </c>
      <c r="J1353" t="str">
        <f>IF(ISNA(_xlfn.XLOOKUP(B1353,customer_master!$A$2:$A$1649, customer_master!$A$2:$A$1649)), "Invalid", "Ok")</f>
        <v>Ok</v>
      </c>
      <c r="K1353" t="str">
        <f>IF(ISNA(_xlfn.XLOOKUP(H1353,agent_info!$A$2:$A$301, agent_info!$A$2:$A$301)), "Invalid", "Ok")</f>
        <v>Ok</v>
      </c>
    </row>
    <row r="1354" spans="1:11" x14ac:dyDescent="0.3">
      <c r="A1354" s="1" t="s">
        <v>4972</v>
      </c>
      <c r="B1354" s="1" t="s">
        <v>230</v>
      </c>
      <c r="C1354" s="1" t="s">
        <v>3334</v>
      </c>
      <c r="D1354" s="1">
        <v>512190.71</v>
      </c>
      <c r="E1354" s="1">
        <v>26841.23</v>
      </c>
      <c r="F1354" s="41">
        <v>45873</v>
      </c>
      <c r="G1354" s="41">
        <v>46238</v>
      </c>
      <c r="H1354" s="1" t="s">
        <v>4173</v>
      </c>
      <c r="I1354" s="1" t="s">
        <v>3316</v>
      </c>
      <c r="J1354" t="str">
        <f>IF(ISNA(_xlfn.XLOOKUP(B1354,customer_master!$A$2:$A$1649, customer_master!$A$2:$A$1649)), "Invalid", "Ok")</f>
        <v>Ok</v>
      </c>
      <c r="K1354" t="str">
        <f>IF(ISNA(_xlfn.XLOOKUP(H1354,agent_info!$A$2:$A$301, agent_info!$A$2:$A$301)), "Invalid", "Ok")</f>
        <v>Ok</v>
      </c>
    </row>
    <row r="1355" spans="1:11" x14ac:dyDescent="0.3">
      <c r="A1355" s="1" t="s">
        <v>4973</v>
      </c>
      <c r="B1355" s="1" t="s">
        <v>2637</v>
      </c>
      <c r="C1355" s="1" t="s">
        <v>3334</v>
      </c>
      <c r="D1355" s="1">
        <v>761832.52</v>
      </c>
      <c r="E1355" s="1">
        <v>36322.050000000003</v>
      </c>
      <c r="F1355" s="41">
        <v>44596</v>
      </c>
      <c r="G1355" s="41">
        <v>44961</v>
      </c>
      <c r="H1355" s="1" t="s">
        <v>3627</v>
      </c>
      <c r="I1355" s="1" t="s">
        <v>3316</v>
      </c>
      <c r="J1355" t="str">
        <f>IF(ISNA(_xlfn.XLOOKUP(B1355,customer_master!$A$2:$A$1649, customer_master!$A$2:$A$1649)), "Invalid", "Ok")</f>
        <v>Ok</v>
      </c>
      <c r="K1355" t="str">
        <f>IF(ISNA(_xlfn.XLOOKUP(H1355,agent_info!$A$2:$A$301, agent_info!$A$2:$A$301)), "Invalid", "Ok")</f>
        <v>Ok</v>
      </c>
    </row>
    <row r="1356" spans="1:11" x14ac:dyDescent="0.3">
      <c r="A1356" s="1" t="s">
        <v>4974</v>
      </c>
      <c r="B1356" s="1" t="s">
        <v>1682</v>
      </c>
      <c r="C1356" s="1" t="s">
        <v>3331</v>
      </c>
      <c r="D1356" s="1">
        <v>531090.14</v>
      </c>
      <c r="E1356" s="1">
        <v>28561.35</v>
      </c>
      <c r="F1356" s="41">
        <v>44489</v>
      </c>
      <c r="G1356" s="41">
        <v>44854</v>
      </c>
      <c r="H1356" s="1" t="s">
        <v>3984</v>
      </c>
      <c r="I1356" s="1" t="s">
        <v>3320</v>
      </c>
      <c r="J1356" t="str">
        <f>IF(ISNA(_xlfn.XLOOKUP(B1356,customer_master!$A$2:$A$1649, customer_master!$A$2:$A$1649)), "Invalid", "Ok")</f>
        <v>Ok</v>
      </c>
      <c r="K1356" t="str">
        <f>IF(ISNA(_xlfn.XLOOKUP(H1356,agent_info!$A$2:$A$301, agent_info!$A$2:$A$301)), "Invalid", "Ok")</f>
        <v>Ok</v>
      </c>
    </row>
    <row r="1357" spans="1:11" x14ac:dyDescent="0.3">
      <c r="A1357" s="1" t="s">
        <v>4975</v>
      </c>
      <c r="B1357" s="1" t="s">
        <v>1887</v>
      </c>
      <c r="C1357" s="1" t="s">
        <v>3331</v>
      </c>
      <c r="D1357" s="1">
        <v>640693.49</v>
      </c>
      <c r="E1357" s="1">
        <v>32672.48</v>
      </c>
      <c r="F1357" s="41">
        <v>44733</v>
      </c>
      <c r="G1357" s="41">
        <v>45098</v>
      </c>
      <c r="H1357" s="1" t="s">
        <v>3413</v>
      </c>
      <c r="I1357" s="1" t="s">
        <v>3324</v>
      </c>
      <c r="J1357" t="str">
        <f>IF(ISNA(_xlfn.XLOOKUP(B1357,customer_master!$A$2:$A$1649, customer_master!$A$2:$A$1649)), "Invalid", "Ok")</f>
        <v>Ok</v>
      </c>
      <c r="K1357" t="str">
        <f>IF(ISNA(_xlfn.XLOOKUP(H1357,agent_info!$A$2:$A$301, agent_info!$A$2:$A$301)), "Invalid", "Ok")</f>
        <v>Ok</v>
      </c>
    </row>
    <row r="1358" spans="1:11" x14ac:dyDescent="0.3">
      <c r="A1358" s="1" t="s">
        <v>4976</v>
      </c>
      <c r="B1358" s="1" t="s">
        <v>1891</v>
      </c>
      <c r="C1358" s="1" t="s">
        <v>3334</v>
      </c>
      <c r="D1358" s="1">
        <v>603332.44999999995</v>
      </c>
      <c r="E1358" s="1">
        <v>31618.31</v>
      </c>
      <c r="F1358" s="41">
        <v>45902</v>
      </c>
      <c r="G1358" s="41">
        <v>46267</v>
      </c>
      <c r="H1358" s="1" t="s">
        <v>3824</v>
      </c>
      <c r="I1358" s="1" t="s">
        <v>3324</v>
      </c>
      <c r="J1358" t="str">
        <f>IF(ISNA(_xlfn.XLOOKUP(B1358,customer_master!$A$2:$A$1649, customer_master!$A$2:$A$1649)), "Invalid", "Ok")</f>
        <v>Ok</v>
      </c>
      <c r="K1358" t="str">
        <f>IF(ISNA(_xlfn.XLOOKUP(H1358,agent_info!$A$2:$A$301, agent_info!$A$2:$A$301)), "Invalid", "Ok")</f>
        <v>Ok</v>
      </c>
    </row>
    <row r="1359" spans="1:11" x14ac:dyDescent="0.3">
      <c r="A1359" s="1" t="s">
        <v>4977</v>
      </c>
      <c r="B1359" s="1" t="s">
        <v>224</v>
      </c>
      <c r="C1359" s="1" t="s">
        <v>3314</v>
      </c>
      <c r="D1359" s="1">
        <v>727575.03</v>
      </c>
      <c r="E1359" s="1">
        <v>34234.28</v>
      </c>
      <c r="F1359" s="41">
        <v>46175</v>
      </c>
      <c r="G1359" s="41">
        <v>46540</v>
      </c>
      <c r="H1359" s="1" t="s">
        <v>3943</v>
      </c>
      <c r="I1359" s="1" t="s">
        <v>3324</v>
      </c>
      <c r="J1359" t="str">
        <f>IF(ISNA(_xlfn.XLOOKUP(B1359,customer_master!$A$2:$A$1649, customer_master!$A$2:$A$1649)), "Invalid", "Ok")</f>
        <v>Ok</v>
      </c>
      <c r="K1359" t="str">
        <f>IF(ISNA(_xlfn.XLOOKUP(H1359,agent_info!$A$2:$A$301, agent_info!$A$2:$A$301)), "Invalid", "Ok")</f>
        <v>Ok</v>
      </c>
    </row>
    <row r="1360" spans="1:11" x14ac:dyDescent="0.3">
      <c r="A1360" s="1" t="s">
        <v>4978</v>
      </c>
      <c r="B1360" s="1" t="s">
        <v>859</v>
      </c>
      <c r="C1360" s="1" t="s">
        <v>3318</v>
      </c>
      <c r="D1360" s="1">
        <v>664406.85</v>
      </c>
      <c r="E1360" s="1">
        <v>30944.15</v>
      </c>
      <c r="F1360" s="41">
        <v>45396</v>
      </c>
      <c r="G1360" s="41">
        <v>45761</v>
      </c>
      <c r="H1360" s="1" t="s">
        <v>3634</v>
      </c>
      <c r="I1360" s="1" t="s">
        <v>3324</v>
      </c>
      <c r="J1360" t="str">
        <f>IF(ISNA(_xlfn.XLOOKUP(B1360,customer_master!$A$2:$A$1649, customer_master!$A$2:$A$1649)), "Invalid", "Ok")</f>
        <v>Ok</v>
      </c>
      <c r="K1360" t="str">
        <f>IF(ISNA(_xlfn.XLOOKUP(H1360,agent_info!$A$2:$A$301, agent_info!$A$2:$A$301)), "Invalid", "Ok")</f>
        <v>Ok</v>
      </c>
    </row>
    <row r="1361" spans="1:11" x14ac:dyDescent="0.3">
      <c r="A1361" s="1" t="s">
        <v>4979</v>
      </c>
      <c r="B1361" s="1" t="s">
        <v>2517</v>
      </c>
      <c r="C1361" s="1" t="s">
        <v>3334</v>
      </c>
      <c r="D1361" s="1">
        <v>416050.79</v>
      </c>
      <c r="E1361" s="1">
        <v>19874.13</v>
      </c>
      <c r="F1361" s="41">
        <v>44550</v>
      </c>
      <c r="G1361" s="41">
        <v>44915</v>
      </c>
      <c r="H1361" s="1" t="s">
        <v>3553</v>
      </c>
      <c r="I1361" s="1" t="s">
        <v>3324</v>
      </c>
      <c r="J1361" t="str">
        <f>IF(ISNA(_xlfn.XLOOKUP(B1361,customer_master!$A$2:$A$1649, customer_master!$A$2:$A$1649)), "Invalid", "Ok")</f>
        <v>Ok</v>
      </c>
      <c r="K1361" t="str">
        <f>IF(ISNA(_xlfn.XLOOKUP(H1361,agent_info!$A$2:$A$301, agent_info!$A$2:$A$301)), "Invalid", "Ok")</f>
        <v>Ok</v>
      </c>
    </row>
    <row r="1362" spans="1:11" x14ac:dyDescent="0.3">
      <c r="A1362" s="1" t="s">
        <v>4980</v>
      </c>
      <c r="B1362" s="1" t="s">
        <v>1398</v>
      </c>
      <c r="C1362" s="1" t="s">
        <v>3318</v>
      </c>
      <c r="D1362" s="1">
        <v>512357.03</v>
      </c>
      <c r="E1362" s="1">
        <v>25676.11</v>
      </c>
      <c r="F1362" s="41">
        <v>44864</v>
      </c>
      <c r="G1362" s="41">
        <v>45229</v>
      </c>
      <c r="H1362" s="1" t="s">
        <v>3813</v>
      </c>
      <c r="I1362" s="1" t="s">
        <v>3324</v>
      </c>
      <c r="J1362" t="str">
        <f>IF(ISNA(_xlfn.XLOOKUP(B1362,customer_master!$A$2:$A$1649, customer_master!$A$2:$A$1649)), "Invalid", "Ok")</f>
        <v>Ok</v>
      </c>
      <c r="K1362" t="str">
        <f>IF(ISNA(_xlfn.XLOOKUP(H1362,agent_info!$A$2:$A$301, agent_info!$A$2:$A$301)), "Invalid", "Ok")</f>
        <v>Ok</v>
      </c>
    </row>
    <row r="1363" spans="1:11" x14ac:dyDescent="0.3">
      <c r="A1363" s="1" t="s">
        <v>4981</v>
      </c>
      <c r="B1363" s="1" t="s">
        <v>1885</v>
      </c>
      <c r="C1363" s="1" t="s">
        <v>3326</v>
      </c>
      <c r="D1363" s="1">
        <v>599169.74</v>
      </c>
      <c r="E1363" s="1">
        <v>29458.93</v>
      </c>
      <c r="F1363" s="41">
        <v>44358</v>
      </c>
      <c r="G1363" s="41">
        <v>44723</v>
      </c>
      <c r="H1363" s="1" t="s">
        <v>3774</v>
      </c>
      <c r="I1363" s="1" t="s">
        <v>3316</v>
      </c>
      <c r="J1363" t="str">
        <f>IF(ISNA(_xlfn.XLOOKUP(B1363,customer_master!$A$2:$A$1649, customer_master!$A$2:$A$1649)), "Invalid", "Ok")</f>
        <v>Ok</v>
      </c>
      <c r="K1363" t="str">
        <f>IF(ISNA(_xlfn.XLOOKUP(H1363,agent_info!$A$2:$A$301, agent_info!$A$2:$A$301)), "Invalid", "Ok")</f>
        <v>Ok</v>
      </c>
    </row>
    <row r="1364" spans="1:11" x14ac:dyDescent="0.3">
      <c r="A1364" s="1" t="s">
        <v>4982</v>
      </c>
      <c r="B1364" s="1" t="s">
        <v>3142</v>
      </c>
      <c r="C1364" s="1" t="s">
        <v>3331</v>
      </c>
      <c r="D1364" s="1">
        <v>443057.62</v>
      </c>
      <c r="E1364" s="1">
        <v>23870.21</v>
      </c>
      <c r="F1364" s="41">
        <v>45441</v>
      </c>
      <c r="G1364" s="41">
        <v>45806</v>
      </c>
      <c r="H1364" s="1" t="s">
        <v>3617</v>
      </c>
      <c r="I1364" s="1" t="s">
        <v>3316</v>
      </c>
      <c r="J1364" t="str">
        <f>IF(ISNA(_xlfn.XLOOKUP(B1364,customer_master!$A$2:$A$1649, customer_master!$A$2:$A$1649)), "Invalid", "Ok")</f>
        <v>Ok</v>
      </c>
      <c r="K1364" t="str">
        <f>IF(ISNA(_xlfn.XLOOKUP(H1364,agent_info!$A$2:$A$301, agent_info!$A$2:$A$301)), "Invalid", "Ok")</f>
        <v>Ok</v>
      </c>
    </row>
    <row r="1365" spans="1:11" x14ac:dyDescent="0.3">
      <c r="A1365" s="1" t="s">
        <v>4983</v>
      </c>
      <c r="B1365" s="1" t="s">
        <v>186</v>
      </c>
      <c r="C1365" s="1" t="s">
        <v>3314</v>
      </c>
      <c r="D1365" s="1">
        <v>578824.07999999996</v>
      </c>
      <c r="E1365" s="1">
        <v>26122.44</v>
      </c>
      <c r="F1365" s="41">
        <v>44239</v>
      </c>
      <c r="G1365" s="41">
        <v>44604</v>
      </c>
      <c r="H1365" s="1" t="s">
        <v>3329</v>
      </c>
      <c r="I1365" s="1" t="s">
        <v>3320</v>
      </c>
      <c r="J1365" t="str">
        <f>IF(ISNA(_xlfn.XLOOKUP(B1365,customer_master!$A$2:$A$1649, customer_master!$A$2:$A$1649)), "Invalid", "Ok")</f>
        <v>Ok</v>
      </c>
      <c r="K1365" t="str">
        <f>IF(ISNA(_xlfn.XLOOKUP(H1365,agent_info!$A$2:$A$301, agent_info!$A$2:$A$301)), "Invalid", "Ok")</f>
        <v>Ok</v>
      </c>
    </row>
    <row r="1366" spans="1:11" x14ac:dyDescent="0.3">
      <c r="A1366" s="1" t="s">
        <v>4984</v>
      </c>
      <c r="B1366" s="1" t="s">
        <v>1511</v>
      </c>
      <c r="C1366" s="1" t="s">
        <v>3314</v>
      </c>
      <c r="D1366" s="1">
        <v>507341.08</v>
      </c>
      <c r="E1366" s="1">
        <v>23236.47</v>
      </c>
      <c r="F1366" s="41">
        <v>44635</v>
      </c>
      <c r="G1366" s="41">
        <v>45000</v>
      </c>
      <c r="H1366" s="1" t="s">
        <v>3353</v>
      </c>
      <c r="I1366" s="1" t="s">
        <v>3320</v>
      </c>
      <c r="J1366" t="str">
        <f>IF(ISNA(_xlfn.XLOOKUP(B1366,customer_master!$A$2:$A$1649, customer_master!$A$2:$A$1649)), "Invalid", "Ok")</f>
        <v>Ok</v>
      </c>
      <c r="K1366" t="str">
        <f>IF(ISNA(_xlfn.XLOOKUP(H1366,agent_info!$A$2:$A$301, agent_info!$A$2:$A$301)), "Invalid", "Ok")</f>
        <v>Ok</v>
      </c>
    </row>
    <row r="1367" spans="1:11" x14ac:dyDescent="0.3">
      <c r="A1367" s="1" t="s">
        <v>4985</v>
      </c>
      <c r="B1367" s="1" t="s">
        <v>1221</v>
      </c>
      <c r="C1367" s="1" t="s">
        <v>3318</v>
      </c>
      <c r="D1367" s="1">
        <v>402477.1</v>
      </c>
      <c r="E1367" s="1">
        <v>19421.169999999998</v>
      </c>
      <c r="F1367" s="41">
        <v>44913</v>
      </c>
      <c r="G1367" s="41">
        <v>45278</v>
      </c>
      <c r="H1367" s="1" t="s">
        <v>3846</v>
      </c>
      <c r="I1367" s="1" t="s">
        <v>3324</v>
      </c>
      <c r="J1367" t="str">
        <f>IF(ISNA(_xlfn.XLOOKUP(B1367,customer_master!$A$2:$A$1649, customer_master!$A$2:$A$1649)), "Invalid", "Ok")</f>
        <v>Ok</v>
      </c>
      <c r="K1367" t="str">
        <f>IF(ISNA(_xlfn.XLOOKUP(H1367,agent_info!$A$2:$A$301, agent_info!$A$2:$A$301)), "Invalid", "Ok")</f>
        <v>Ok</v>
      </c>
    </row>
    <row r="1368" spans="1:11" x14ac:dyDescent="0.3">
      <c r="A1368" s="1" t="s">
        <v>4986</v>
      </c>
      <c r="B1368" s="1" t="s">
        <v>385</v>
      </c>
      <c r="C1368" s="1" t="s">
        <v>3334</v>
      </c>
      <c r="D1368" s="1">
        <v>768901.24</v>
      </c>
      <c r="E1368" s="1">
        <v>35890.25</v>
      </c>
      <c r="F1368" s="41">
        <v>46057</v>
      </c>
      <c r="G1368" s="41">
        <v>46422</v>
      </c>
      <c r="H1368" s="1" t="s">
        <v>3550</v>
      </c>
      <c r="I1368" s="1" t="s">
        <v>3324</v>
      </c>
      <c r="J1368" t="str">
        <f>IF(ISNA(_xlfn.XLOOKUP(B1368,customer_master!$A$2:$A$1649, customer_master!$A$2:$A$1649)), "Invalid", "Ok")</f>
        <v>Ok</v>
      </c>
      <c r="K1368" t="str">
        <f>IF(ISNA(_xlfn.XLOOKUP(H1368,agent_info!$A$2:$A$301, agent_info!$A$2:$A$301)), "Invalid", "Ok")</f>
        <v>Ok</v>
      </c>
    </row>
    <row r="1369" spans="1:11" x14ac:dyDescent="0.3">
      <c r="A1369" s="1" t="s">
        <v>4987</v>
      </c>
      <c r="B1369" s="1" t="s">
        <v>3158</v>
      </c>
      <c r="C1369" s="1" t="s">
        <v>3318</v>
      </c>
      <c r="D1369" s="1">
        <v>729299.82</v>
      </c>
      <c r="E1369" s="1">
        <v>35784.92</v>
      </c>
      <c r="F1369" s="41">
        <v>44953</v>
      </c>
      <c r="G1369" s="41">
        <v>45318</v>
      </c>
      <c r="H1369" s="1" t="s">
        <v>3725</v>
      </c>
      <c r="I1369" s="1" t="s">
        <v>3316</v>
      </c>
      <c r="J1369" t="str">
        <f>IF(ISNA(_xlfn.XLOOKUP(B1369,customer_master!$A$2:$A$1649, customer_master!$A$2:$A$1649)), "Invalid", "Ok")</f>
        <v>Ok</v>
      </c>
      <c r="K1369" t="str">
        <f>IF(ISNA(_xlfn.XLOOKUP(H1369,agent_info!$A$2:$A$301, agent_info!$A$2:$A$301)), "Invalid", "Ok")</f>
        <v>Ok</v>
      </c>
    </row>
    <row r="1370" spans="1:11" x14ac:dyDescent="0.3">
      <c r="A1370" s="1" t="s">
        <v>4988</v>
      </c>
      <c r="B1370" s="1" t="s">
        <v>3190</v>
      </c>
      <c r="C1370" s="1" t="s">
        <v>3326</v>
      </c>
      <c r="D1370" s="1">
        <v>611634.15</v>
      </c>
      <c r="E1370" s="1">
        <v>31912.58</v>
      </c>
      <c r="F1370" s="41">
        <v>44259</v>
      </c>
      <c r="G1370" s="41">
        <v>44624</v>
      </c>
      <c r="H1370" s="1" t="s">
        <v>3422</v>
      </c>
      <c r="I1370" s="1" t="s">
        <v>3324</v>
      </c>
      <c r="J1370" t="str">
        <f>IF(ISNA(_xlfn.XLOOKUP(B1370,customer_master!$A$2:$A$1649, customer_master!$A$2:$A$1649)), "Invalid", "Ok")</f>
        <v>Ok</v>
      </c>
      <c r="K1370" t="str">
        <f>IF(ISNA(_xlfn.XLOOKUP(H1370,agent_info!$A$2:$A$301, agent_info!$A$2:$A$301)), "Invalid", "Ok")</f>
        <v>Ok</v>
      </c>
    </row>
    <row r="1371" spans="1:11" x14ac:dyDescent="0.3">
      <c r="A1371" s="1" t="s">
        <v>4989</v>
      </c>
      <c r="B1371" s="1" t="s">
        <v>1053</v>
      </c>
      <c r="C1371" s="1" t="s">
        <v>3331</v>
      </c>
      <c r="D1371" s="1">
        <v>458191.35999999999</v>
      </c>
      <c r="E1371" s="1">
        <v>25170.37</v>
      </c>
      <c r="F1371" s="41">
        <v>44634</v>
      </c>
      <c r="G1371" s="41">
        <v>44999</v>
      </c>
      <c r="H1371" s="1" t="s">
        <v>3785</v>
      </c>
      <c r="I1371" s="1" t="s">
        <v>3324</v>
      </c>
      <c r="J1371" t="str">
        <f>IF(ISNA(_xlfn.XLOOKUP(B1371,customer_master!$A$2:$A$1649, customer_master!$A$2:$A$1649)), "Invalid", "Ok")</f>
        <v>Ok</v>
      </c>
      <c r="K1371" t="str">
        <f>IF(ISNA(_xlfn.XLOOKUP(H1371,agent_info!$A$2:$A$301, agent_info!$A$2:$A$301)), "Invalid", "Ok")</f>
        <v>Ok</v>
      </c>
    </row>
    <row r="1372" spans="1:11" x14ac:dyDescent="0.3">
      <c r="A1372" s="1" t="s">
        <v>4990</v>
      </c>
      <c r="B1372" s="1" t="s">
        <v>3150</v>
      </c>
      <c r="C1372" s="1" t="s">
        <v>3318</v>
      </c>
      <c r="D1372" s="1">
        <v>751662.9</v>
      </c>
      <c r="E1372" s="1">
        <v>35343.75</v>
      </c>
      <c r="F1372" s="41">
        <v>45009</v>
      </c>
      <c r="G1372" s="41">
        <v>45375</v>
      </c>
      <c r="H1372" s="1" t="s">
        <v>3637</v>
      </c>
      <c r="I1372" s="1" t="s">
        <v>3324</v>
      </c>
      <c r="J1372" t="str">
        <f>IF(ISNA(_xlfn.XLOOKUP(B1372,customer_master!$A$2:$A$1649, customer_master!$A$2:$A$1649)), "Invalid", "Ok")</f>
        <v>Ok</v>
      </c>
      <c r="K1372" t="str">
        <f>IF(ISNA(_xlfn.XLOOKUP(H1372,agent_info!$A$2:$A$301, agent_info!$A$2:$A$301)), "Invalid", "Ok")</f>
        <v>Ok</v>
      </c>
    </row>
    <row r="1373" spans="1:11" x14ac:dyDescent="0.3">
      <c r="A1373" s="1" t="s">
        <v>4991</v>
      </c>
      <c r="B1373" s="1" t="s">
        <v>150</v>
      </c>
      <c r="C1373" s="1" t="s">
        <v>3326</v>
      </c>
      <c r="D1373" s="1">
        <v>570777.30000000005</v>
      </c>
      <c r="E1373" s="1">
        <v>27203.1</v>
      </c>
      <c r="F1373" s="41">
        <v>45599</v>
      </c>
      <c r="G1373" s="41">
        <v>45964</v>
      </c>
      <c r="H1373" s="1" t="s">
        <v>3404</v>
      </c>
      <c r="I1373" s="1" t="s">
        <v>3316</v>
      </c>
      <c r="J1373" t="str">
        <f>IF(ISNA(_xlfn.XLOOKUP(B1373,customer_master!$A$2:$A$1649, customer_master!$A$2:$A$1649)), "Invalid", "Ok")</f>
        <v>Ok</v>
      </c>
      <c r="K1373" t="str">
        <f>IF(ISNA(_xlfn.XLOOKUP(H1373,agent_info!$A$2:$A$301, agent_info!$A$2:$A$301)), "Invalid", "Ok")</f>
        <v>Ok</v>
      </c>
    </row>
    <row r="1374" spans="1:11" x14ac:dyDescent="0.3">
      <c r="A1374" s="1" t="s">
        <v>4992</v>
      </c>
      <c r="B1374" s="1" t="s">
        <v>3247</v>
      </c>
      <c r="C1374" s="1" t="s">
        <v>3318</v>
      </c>
      <c r="D1374" s="1">
        <v>743176.52</v>
      </c>
      <c r="E1374" s="1">
        <v>39156.03</v>
      </c>
      <c r="F1374" s="41">
        <v>45251</v>
      </c>
      <c r="G1374" s="41">
        <v>45617</v>
      </c>
      <c r="H1374" s="1" t="s">
        <v>3481</v>
      </c>
      <c r="I1374" s="1" t="s">
        <v>3324</v>
      </c>
      <c r="J1374" t="str">
        <f>IF(ISNA(_xlfn.XLOOKUP(B1374,customer_master!$A$2:$A$1649, customer_master!$A$2:$A$1649)), "Invalid", "Ok")</f>
        <v>Ok</v>
      </c>
      <c r="K1374" t="str">
        <f>IF(ISNA(_xlfn.XLOOKUP(H1374,agent_info!$A$2:$A$301, agent_info!$A$2:$A$301)), "Invalid", "Ok")</f>
        <v>Ok</v>
      </c>
    </row>
    <row r="1375" spans="1:11" x14ac:dyDescent="0.3">
      <c r="A1375" s="1" t="s">
        <v>4993</v>
      </c>
      <c r="B1375" s="1" t="s">
        <v>2772</v>
      </c>
      <c r="C1375" s="1" t="s">
        <v>3331</v>
      </c>
      <c r="D1375" s="1">
        <v>397743.85</v>
      </c>
      <c r="E1375" s="1">
        <v>18980.53</v>
      </c>
      <c r="F1375" s="41">
        <v>44231</v>
      </c>
      <c r="G1375" s="41">
        <v>44596</v>
      </c>
      <c r="H1375" s="1" t="s">
        <v>3502</v>
      </c>
      <c r="I1375" s="1" t="s">
        <v>3324</v>
      </c>
      <c r="J1375" t="str">
        <f>IF(ISNA(_xlfn.XLOOKUP(B1375,customer_master!$A$2:$A$1649, customer_master!$A$2:$A$1649)), "Invalid", "Ok")</f>
        <v>Ok</v>
      </c>
      <c r="K1375" t="str">
        <f>IF(ISNA(_xlfn.XLOOKUP(H1375,agent_info!$A$2:$A$301, agent_info!$A$2:$A$301)), "Invalid", "Ok")</f>
        <v>Ok</v>
      </c>
    </row>
    <row r="1376" spans="1:11" x14ac:dyDescent="0.3">
      <c r="A1376" s="1" t="s">
        <v>4994</v>
      </c>
      <c r="B1376" s="1" t="s">
        <v>757</v>
      </c>
      <c r="C1376" s="1" t="s">
        <v>3334</v>
      </c>
      <c r="D1376" s="1">
        <v>451786.23</v>
      </c>
      <c r="E1376" s="1">
        <v>23509.83</v>
      </c>
      <c r="F1376" s="41">
        <v>45683</v>
      </c>
      <c r="G1376" s="41">
        <v>46048</v>
      </c>
      <c r="H1376" s="1" t="s">
        <v>3949</v>
      </c>
      <c r="I1376" s="1" t="s">
        <v>3324</v>
      </c>
      <c r="J1376" t="str">
        <f>IF(ISNA(_xlfn.XLOOKUP(B1376,customer_master!$A$2:$A$1649, customer_master!$A$2:$A$1649)), "Invalid", "Ok")</f>
        <v>Ok</v>
      </c>
      <c r="K1376" t="str">
        <f>IF(ISNA(_xlfn.XLOOKUP(H1376,agent_info!$A$2:$A$301, agent_info!$A$2:$A$301)), "Invalid", "Ok")</f>
        <v>Ok</v>
      </c>
    </row>
    <row r="1377" spans="1:11" x14ac:dyDescent="0.3">
      <c r="A1377" s="1" t="s">
        <v>4995</v>
      </c>
      <c r="B1377" s="1" t="s">
        <v>2004</v>
      </c>
      <c r="C1377" s="1" t="s">
        <v>3318</v>
      </c>
      <c r="D1377" s="1">
        <v>633999.31999999995</v>
      </c>
      <c r="E1377" s="1">
        <v>32229.29</v>
      </c>
      <c r="F1377" s="41">
        <v>46258</v>
      </c>
      <c r="G1377" s="41">
        <v>46623</v>
      </c>
      <c r="H1377" s="1" t="s">
        <v>4438</v>
      </c>
      <c r="I1377" s="1" t="s">
        <v>3324</v>
      </c>
      <c r="J1377" t="str">
        <f>IF(ISNA(_xlfn.XLOOKUP(B1377,customer_master!$A$2:$A$1649, customer_master!$A$2:$A$1649)), "Invalid", "Ok")</f>
        <v>Ok</v>
      </c>
      <c r="K1377" t="str">
        <f>IF(ISNA(_xlfn.XLOOKUP(H1377,agent_info!$A$2:$A$301, agent_info!$A$2:$A$301)), "Invalid", "Ok")</f>
        <v>Ok</v>
      </c>
    </row>
    <row r="1378" spans="1:11" x14ac:dyDescent="0.3">
      <c r="A1378" s="1" t="s">
        <v>4996</v>
      </c>
      <c r="B1378" s="1" t="s">
        <v>2643</v>
      </c>
      <c r="C1378" s="1" t="s">
        <v>3314</v>
      </c>
      <c r="D1378" s="1">
        <v>734264.19</v>
      </c>
      <c r="E1378" s="1">
        <v>39319.07</v>
      </c>
      <c r="F1378" s="41">
        <v>45604</v>
      </c>
      <c r="G1378" s="41">
        <v>45969</v>
      </c>
      <c r="H1378" s="1" t="s">
        <v>3598</v>
      </c>
      <c r="I1378" s="1" t="s">
        <v>3324</v>
      </c>
      <c r="J1378" t="str">
        <f>IF(ISNA(_xlfn.XLOOKUP(B1378,customer_master!$A$2:$A$1649, customer_master!$A$2:$A$1649)), "Invalid", "Ok")</f>
        <v>Ok</v>
      </c>
      <c r="K1378" t="str">
        <f>IF(ISNA(_xlfn.XLOOKUP(H1378,agent_info!$A$2:$A$301, agent_info!$A$2:$A$301)), "Invalid", "Ok")</f>
        <v>Ok</v>
      </c>
    </row>
    <row r="1379" spans="1:11" x14ac:dyDescent="0.3">
      <c r="A1379" s="1" t="s">
        <v>4997</v>
      </c>
      <c r="B1379" s="1" t="s">
        <v>1079</v>
      </c>
      <c r="C1379" s="1" t="s">
        <v>3331</v>
      </c>
      <c r="D1379" s="1">
        <v>448560.91</v>
      </c>
      <c r="E1379" s="1">
        <v>20334.78</v>
      </c>
      <c r="F1379" s="41">
        <v>44499</v>
      </c>
      <c r="G1379" s="41">
        <v>44864</v>
      </c>
      <c r="H1379" s="1" t="s">
        <v>3949</v>
      </c>
      <c r="I1379" s="1" t="s">
        <v>3316</v>
      </c>
      <c r="J1379" t="str">
        <f>IF(ISNA(_xlfn.XLOOKUP(B1379,customer_master!$A$2:$A$1649, customer_master!$A$2:$A$1649)), "Invalid", "Ok")</f>
        <v>Ok</v>
      </c>
      <c r="K1379" t="str">
        <f>IF(ISNA(_xlfn.XLOOKUP(H1379,agent_info!$A$2:$A$301, agent_info!$A$2:$A$301)), "Invalid", "Ok")</f>
        <v>Ok</v>
      </c>
    </row>
    <row r="1380" spans="1:11" x14ac:dyDescent="0.3">
      <c r="A1380" s="1" t="s">
        <v>4998</v>
      </c>
      <c r="B1380" s="1" t="s">
        <v>1199</v>
      </c>
      <c r="C1380" s="1" t="s">
        <v>3331</v>
      </c>
      <c r="D1380" s="1">
        <v>502472.98</v>
      </c>
      <c r="E1380" s="1">
        <v>27534.25</v>
      </c>
      <c r="F1380" s="41">
        <v>44892</v>
      </c>
      <c r="G1380" s="41">
        <v>45257</v>
      </c>
      <c r="H1380" s="1" t="s">
        <v>3749</v>
      </c>
      <c r="I1380" s="1" t="s">
        <v>3324</v>
      </c>
      <c r="J1380" t="str">
        <f>IF(ISNA(_xlfn.XLOOKUP(B1380,customer_master!$A$2:$A$1649, customer_master!$A$2:$A$1649)), "Invalid", "Ok")</f>
        <v>Ok</v>
      </c>
      <c r="K1380" t="str">
        <f>IF(ISNA(_xlfn.XLOOKUP(H1380,agent_info!$A$2:$A$301, agent_info!$A$2:$A$301)), "Invalid", "Ok")</f>
        <v>Ok</v>
      </c>
    </row>
    <row r="1381" spans="1:11" x14ac:dyDescent="0.3">
      <c r="A1381" s="1" t="s">
        <v>4999</v>
      </c>
      <c r="B1381" s="1" t="s">
        <v>2119</v>
      </c>
      <c r="C1381" s="1" t="s">
        <v>3318</v>
      </c>
      <c r="D1381" s="1">
        <v>600331.03</v>
      </c>
      <c r="E1381" s="1">
        <v>32803.589999999997</v>
      </c>
      <c r="F1381" s="41">
        <v>45517</v>
      </c>
      <c r="G1381" s="41">
        <v>45882</v>
      </c>
      <c r="H1381" s="1" t="s">
        <v>3420</v>
      </c>
      <c r="I1381" s="1" t="s">
        <v>3316</v>
      </c>
      <c r="J1381" t="str">
        <f>IF(ISNA(_xlfn.XLOOKUP(B1381,customer_master!$A$2:$A$1649, customer_master!$A$2:$A$1649)), "Invalid", "Ok")</f>
        <v>Ok</v>
      </c>
      <c r="K1381" t="str">
        <f>IF(ISNA(_xlfn.XLOOKUP(H1381,agent_info!$A$2:$A$301, agent_info!$A$2:$A$301)), "Invalid", "Ok")</f>
        <v>Ok</v>
      </c>
    </row>
    <row r="1382" spans="1:11" x14ac:dyDescent="0.3">
      <c r="A1382" s="1" t="s">
        <v>5000</v>
      </c>
      <c r="B1382" s="1" t="s">
        <v>521</v>
      </c>
      <c r="C1382" s="1" t="s">
        <v>3318</v>
      </c>
      <c r="D1382" s="1">
        <v>755871.87</v>
      </c>
      <c r="E1382" s="1">
        <v>34183.46</v>
      </c>
      <c r="F1382" s="41">
        <v>45875</v>
      </c>
      <c r="G1382" s="41">
        <v>46240</v>
      </c>
      <c r="H1382" s="1" t="s">
        <v>3631</v>
      </c>
      <c r="I1382" s="1" t="s">
        <v>3324</v>
      </c>
      <c r="J1382" t="str">
        <f>IF(ISNA(_xlfn.XLOOKUP(B1382,customer_master!$A$2:$A$1649, customer_master!$A$2:$A$1649)), "Invalid", "Ok")</f>
        <v>Ok</v>
      </c>
      <c r="K1382" t="str">
        <f>IF(ISNA(_xlfn.XLOOKUP(H1382,agent_info!$A$2:$A$301, agent_info!$A$2:$A$301)), "Invalid", "Ok")</f>
        <v>Ok</v>
      </c>
    </row>
    <row r="1383" spans="1:11" x14ac:dyDescent="0.3">
      <c r="A1383" s="1" t="s">
        <v>5001</v>
      </c>
      <c r="B1383" s="1" t="s">
        <v>425</v>
      </c>
      <c r="C1383" s="1" t="s">
        <v>3318</v>
      </c>
      <c r="D1383" s="1">
        <v>680273.4</v>
      </c>
      <c r="E1383" s="1">
        <v>34010.33</v>
      </c>
      <c r="F1383" s="41">
        <v>45403</v>
      </c>
      <c r="G1383" s="41">
        <v>45768</v>
      </c>
      <c r="H1383" s="1" t="s">
        <v>4146</v>
      </c>
      <c r="I1383" s="1" t="s">
        <v>3316</v>
      </c>
      <c r="J1383" t="str">
        <f>IF(ISNA(_xlfn.XLOOKUP(B1383,customer_master!$A$2:$A$1649, customer_master!$A$2:$A$1649)), "Invalid", "Ok")</f>
        <v>Ok</v>
      </c>
      <c r="K1383" t="str">
        <f>IF(ISNA(_xlfn.XLOOKUP(H1383,agent_info!$A$2:$A$301, agent_info!$A$2:$A$301)), "Invalid", "Ok")</f>
        <v>Ok</v>
      </c>
    </row>
    <row r="1384" spans="1:11" x14ac:dyDescent="0.3">
      <c r="A1384" s="1" t="s">
        <v>5002</v>
      </c>
      <c r="B1384" s="1" t="s">
        <v>859</v>
      </c>
      <c r="C1384" s="1" t="s">
        <v>3318</v>
      </c>
      <c r="D1384" s="1">
        <v>727106.73</v>
      </c>
      <c r="E1384" s="1">
        <v>35638.6</v>
      </c>
      <c r="F1384" s="41">
        <v>44996</v>
      </c>
      <c r="G1384" s="41">
        <v>45362</v>
      </c>
      <c r="H1384" s="1" t="s">
        <v>4007</v>
      </c>
      <c r="I1384" s="1" t="s">
        <v>3324</v>
      </c>
      <c r="J1384" t="str">
        <f>IF(ISNA(_xlfn.XLOOKUP(B1384,customer_master!$A$2:$A$1649, customer_master!$A$2:$A$1649)), "Invalid", "Ok")</f>
        <v>Ok</v>
      </c>
      <c r="K1384" t="str">
        <f>IF(ISNA(_xlfn.XLOOKUP(H1384,agent_info!$A$2:$A$301, agent_info!$A$2:$A$301)), "Invalid", "Ok")</f>
        <v>Ok</v>
      </c>
    </row>
    <row r="1385" spans="1:11" x14ac:dyDescent="0.3">
      <c r="A1385" s="1" t="s">
        <v>5003</v>
      </c>
      <c r="B1385" s="1" t="s">
        <v>2466</v>
      </c>
      <c r="C1385" s="1" t="s">
        <v>3326</v>
      </c>
      <c r="D1385" s="1">
        <v>586254.39</v>
      </c>
      <c r="E1385" s="1">
        <v>27871.49</v>
      </c>
      <c r="F1385" s="41">
        <v>44413</v>
      </c>
      <c r="G1385" s="41">
        <v>44778</v>
      </c>
      <c r="H1385" s="1" t="s">
        <v>3568</v>
      </c>
      <c r="I1385" s="1" t="s">
        <v>3324</v>
      </c>
      <c r="J1385" t="str">
        <f>IF(ISNA(_xlfn.XLOOKUP(B1385,customer_master!$A$2:$A$1649, customer_master!$A$2:$A$1649)), "Invalid", "Ok")</f>
        <v>Ok</v>
      </c>
      <c r="K1385" t="str">
        <f>IF(ISNA(_xlfn.XLOOKUP(H1385,agent_info!$A$2:$A$301, agent_info!$A$2:$A$301)), "Invalid", "Ok")</f>
        <v>Ok</v>
      </c>
    </row>
    <row r="1386" spans="1:11" x14ac:dyDescent="0.3">
      <c r="A1386" s="1" t="s">
        <v>5004</v>
      </c>
      <c r="B1386" s="1" t="s">
        <v>1243</v>
      </c>
      <c r="C1386" s="1" t="s">
        <v>3326</v>
      </c>
      <c r="D1386" s="1">
        <v>657079.93999999994</v>
      </c>
      <c r="E1386" s="1">
        <v>35993.699999999997</v>
      </c>
      <c r="F1386" s="41">
        <v>46252</v>
      </c>
      <c r="G1386" s="41">
        <v>46617</v>
      </c>
      <c r="H1386" s="1" t="s">
        <v>3355</v>
      </c>
      <c r="I1386" s="1" t="s">
        <v>3324</v>
      </c>
      <c r="J1386" t="str">
        <f>IF(ISNA(_xlfn.XLOOKUP(B1386,customer_master!$A$2:$A$1649, customer_master!$A$2:$A$1649)), "Invalid", "Ok")</f>
        <v>Ok</v>
      </c>
      <c r="K1386" t="str">
        <f>IF(ISNA(_xlfn.XLOOKUP(H1386,agent_info!$A$2:$A$301, agent_info!$A$2:$A$301)), "Invalid", "Ok")</f>
        <v>Ok</v>
      </c>
    </row>
    <row r="1387" spans="1:11" x14ac:dyDescent="0.3">
      <c r="A1387" s="1" t="s">
        <v>5005</v>
      </c>
      <c r="B1387" s="1" t="s">
        <v>1705</v>
      </c>
      <c r="C1387" s="1" t="s">
        <v>3314</v>
      </c>
      <c r="D1387" s="1">
        <v>580212.34</v>
      </c>
      <c r="E1387" s="1">
        <v>27122.61</v>
      </c>
      <c r="F1387" s="41">
        <v>45027</v>
      </c>
      <c r="G1387" s="41">
        <v>45393</v>
      </c>
      <c r="H1387" s="1" t="s">
        <v>3764</v>
      </c>
      <c r="I1387" s="1" t="s">
        <v>3324</v>
      </c>
      <c r="J1387" t="str">
        <f>IF(ISNA(_xlfn.XLOOKUP(B1387,customer_master!$A$2:$A$1649, customer_master!$A$2:$A$1649)), "Invalid", "Ok")</f>
        <v>Ok</v>
      </c>
      <c r="K1387" t="str">
        <f>IF(ISNA(_xlfn.XLOOKUP(H1387,agent_info!$A$2:$A$301, agent_info!$A$2:$A$301)), "Invalid", "Ok")</f>
        <v>Ok</v>
      </c>
    </row>
    <row r="1388" spans="1:11" x14ac:dyDescent="0.3">
      <c r="A1388" s="1" t="s">
        <v>5006</v>
      </c>
      <c r="B1388" s="1" t="s">
        <v>695</v>
      </c>
      <c r="C1388" s="1" t="s">
        <v>3318</v>
      </c>
      <c r="D1388" s="1">
        <v>424931.96</v>
      </c>
      <c r="E1388" s="1">
        <v>20241.87</v>
      </c>
      <c r="F1388" s="41">
        <v>44133</v>
      </c>
      <c r="G1388" s="41">
        <v>44498</v>
      </c>
      <c r="H1388" s="1" t="s">
        <v>3327</v>
      </c>
      <c r="I1388" s="1" t="s">
        <v>3324</v>
      </c>
      <c r="J1388" t="str">
        <f>IF(ISNA(_xlfn.XLOOKUP(B1388,customer_master!$A$2:$A$1649, customer_master!$A$2:$A$1649)), "Invalid", "Ok")</f>
        <v>Ok</v>
      </c>
      <c r="K1388" t="str">
        <f>IF(ISNA(_xlfn.XLOOKUP(H1388,agent_info!$A$2:$A$301, agent_info!$A$2:$A$301)), "Invalid", "Ok")</f>
        <v>Ok</v>
      </c>
    </row>
    <row r="1389" spans="1:11" x14ac:dyDescent="0.3">
      <c r="A1389" s="1" t="s">
        <v>5007</v>
      </c>
      <c r="B1389" s="1" t="s">
        <v>689</v>
      </c>
      <c r="C1389" s="1" t="s">
        <v>3318</v>
      </c>
      <c r="D1389" s="1">
        <v>646212.69999999995</v>
      </c>
      <c r="E1389" s="1">
        <v>29132.71</v>
      </c>
      <c r="F1389" s="41">
        <v>45400</v>
      </c>
      <c r="G1389" s="41">
        <v>45765</v>
      </c>
      <c r="H1389" s="1" t="s">
        <v>3846</v>
      </c>
      <c r="I1389" s="1" t="s">
        <v>3324</v>
      </c>
      <c r="J1389" t="str">
        <f>IF(ISNA(_xlfn.XLOOKUP(B1389,customer_master!$A$2:$A$1649, customer_master!$A$2:$A$1649)), "Invalid", "Ok")</f>
        <v>Ok</v>
      </c>
      <c r="K1389" t="str">
        <f>IF(ISNA(_xlfn.XLOOKUP(H1389,agent_info!$A$2:$A$301, agent_info!$A$2:$A$301)), "Invalid", "Ok")</f>
        <v>Ok</v>
      </c>
    </row>
    <row r="1390" spans="1:11" x14ac:dyDescent="0.3">
      <c r="A1390" s="1" t="s">
        <v>5008</v>
      </c>
      <c r="B1390" s="1" t="s">
        <v>2176</v>
      </c>
      <c r="C1390" s="1" t="s">
        <v>3318</v>
      </c>
      <c r="D1390" s="1">
        <v>605357.52</v>
      </c>
      <c r="E1390" s="1">
        <v>30753.51</v>
      </c>
      <c r="F1390" s="41">
        <v>44246</v>
      </c>
      <c r="G1390" s="41">
        <v>44611</v>
      </c>
      <c r="H1390" s="1" t="s">
        <v>3920</v>
      </c>
      <c r="I1390" s="1" t="s">
        <v>3324</v>
      </c>
      <c r="J1390" t="str">
        <f>IF(ISNA(_xlfn.XLOOKUP(B1390,customer_master!$A$2:$A$1649, customer_master!$A$2:$A$1649)), "Invalid", "Ok")</f>
        <v>Ok</v>
      </c>
      <c r="K1390" t="str">
        <f>IF(ISNA(_xlfn.XLOOKUP(H1390,agent_info!$A$2:$A$301, agent_info!$A$2:$A$301)), "Invalid", "Ok")</f>
        <v>Ok</v>
      </c>
    </row>
    <row r="1391" spans="1:11" x14ac:dyDescent="0.3">
      <c r="A1391" s="1" t="s">
        <v>5009</v>
      </c>
      <c r="B1391" s="1" t="s">
        <v>389</v>
      </c>
      <c r="C1391" s="1" t="s">
        <v>3318</v>
      </c>
      <c r="D1391" s="1">
        <v>561462.31999999995</v>
      </c>
      <c r="E1391" s="1">
        <v>30098.86</v>
      </c>
      <c r="F1391" s="41">
        <v>44350</v>
      </c>
      <c r="G1391" s="41">
        <v>44715</v>
      </c>
      <c r="H1391" s="1" t="s">
        <v>3629</v>
      </c>
      <c r="I1391" s="1" t="s">
        <v>3324</v>
      </c>
      <c r="J1391" t="str">
        <f>IF(ISNA(_xlfn.XLOOKUP(B1391,customer_master!$A$2:$A$1649, customer_master!$A$2:$A$1649)), "Invalid", "Ok")</f>
        <v>Ok</v>
      </c>
      <c r="K1391" t="str">
        <f>IF(ISNA(_xlfn.XLOOKUP(H1391,agent_info!$A$2:$A$301, agent_info!$A$2:$A$301)), "Invalid", "Ok")</f>
        <v>Ok</v>
      </c>
    </row>
    <row r="1392" spans="1:11" x14ac:dyDescent="0.3">
      <c r="A1392" s="1" t="s">
        <v>5010</v>
      </c>
      <c r="B1392" s="1" t="s">
        <v>2228</v>
      </c>
      <c r="C1392" s="1" t="s">
        <v>3314</v>
      </c>
      <c r="D1392" s="1">
        <v>490871.5</v>
      </c>
      <c r="E1392" s="1">
        <v>25142.01</v>
      </c>
      <c r="F1392" s="41">
        <v>44318</v>
      </c>
      <c r="G1392" s="41">
        <v>44683</v>
      </c>
      <c r="H1392" s="1" t="s">
        <v>3745</v>
      </c>
      <c r="I1392" s="1" t="s">
        <v>3324</v>
      </c>
      <c r="J1392" t="str">
        <f>IF(ISNA(_xlfn.XLOOKUP(B1392,customer_master!$A$2:$A$1649, customer_master!$A$2:$A$1649)), "Invalid", "Ok")</f>
        <v>Ok</v>
      </c>
      <c r="K1392" t="str">
        <f>IF(ISNA(_xlfn.XLOOKUP(H1392,agent_info!$A$2:$A$301, agent_info!$A$2:$A$301)), "Invalid", "Ok")</f>
        <v>Ok</v>
      </c>
    </row>
    <row r="1393" spans="1:11" x14ac:dyDescent="0.3">
      <c r="A1393" s="1" t="s">
        <v>5011</v>
      </c>
      <c r="B1393" s="1" t="s">
        <v>1364</v>
      </c>
      <c r="C1393" s="1" t="s">
        <v>3318</v>
      </c>
      <c r="D1393" s="1">
        <v>674428.74</v>
      </c>
      <c r="E1393" s="1">
        <v>34743.919999999998</v>
      </c>
      <c r="F1393" s="41">
        <v>45279</v>
      </c>
      <c r="G1393" s="41">
        <v>45645</v>
      </c>
      <c r="H1393" s="1" t="s">
        <v>4240</v>
      </c>
      <c r="I1393" s="1" t="s">
        <v>3324</v>
      </c>
      <c r="J1393" t="str">
        <f>IF(ISNA(_xlfn.XLOOKUP(B1393,customer_master!$A$2:$A$1649, customer_master!$A$2:$A$1649)), "Invalid", "Ok")</f>
        <v>Ok</v>
      </c>
      <c r="K1393" t="str">
        <f>IF(ISNA(_xlfn.XLOOKUP(H1393,agent_info!$A$2:$A$301, agent_info!$A$2:$A$301)), "Invalid", "Ok")</f>
        <v>Ok</v>
      </c>
    </row>
    <row r="1394" spans="1:11" x14ac:dyDescent="0.3">
      <c r="A1394" s="1" t="s">
        <v>5012</v>
      </c>
      <c r="B1394" s="1" t="s">
        <v>2242</v>
      </c>
      <c r="C1394" s="1" t="s">
        <v>3318</v>
      </c>
      <c r="D1394" s="1">
        <v>688115.01</v>
      </c>
      <c r="E1394" s="1">
        <v>31421.54</v>
      </c>
      <c r="F1394" s="41">
        <v>44221</v>
      </c>
      <c r="G1394" s="41">
        <v>44586</v>
      </c>
      <c r="H1394" s="1" t="s">
        <v>3541</v>
      </c>
      <c r="I1394" s="1" t="s">
        <v>3316</v>
      </c>
      <c r="J1394" t="str">
        <f>IF(ISNA(_xlfn.XLOOKUP(B1394,customer_master!$A$2:$A$1649, customer_master!$A$2:$A$1649)), "Invalid", "Ok")</f>
        <v>Ok</v>
      </c>
      <c r="K1394" t="str">
        <f>IF(ISNA(_xlfn.XLOOKUP(H1394,agent_info!$A$2:$A$301, agent_info!$A$2:$A$301)), "Invalid", "Ok")</f>
        <v>Ok</v>
      </c>
    </row>
    <row r="1395" spans="1:11" x14ac:dyDescent="0.3">
      <c r="A1395" s="1" t="s">
        <v>5013</v>
      </c>
      <c r="B1395" s="1" t="s">
        <v>1301</v>
      </c>
      <c r="C1395" s="1" t="s">
        <v>3318</v>
      </c>
      <c r="D1395" s="1">
        <v>515662.17</v>
      </c>
      <c r="E1395" s="1">
        <v>26890.79</v>
      </c>
      <c r="F1395" s="41">
        <v>45480</v>
      </c>
      <c r="G1395" s="41">
        <v>45845</v>
      </c>
      <c r="H1395" s="1" t="s">
        <v>3422</v>
      </c>
      <c r="I1395" s="1" t="s">
        <v>3316</v>
      </c>
      <c r="J1395" t="str">
        <f>IF(ISNA(_xlfn.XLOOKUP(B1395,customer_master!$A$2:$A$1649, customer_master!$A$2:$A$1649)), "Invalid", "Ok")</f>
        <v>Ok</v>
      </c>
      <c r="K1395" t="str">
        <f>IF(ISNA(_xlfn.XLOOKUP(H1395,agent_info!$A$2:$A$301, agent_info!$A$2:$A$301)), "Invalid", "Ok")</f>
        <v>Ok</v>
      </c>
    </row>
    <row r="1396" spans="1:11" x14ac:dyDescent="0.3">
      <c r="A1396" s="1" t="s">
        <v>5014</v>
      </c>
      <c r="B1396" s="1" t="s">
        <v>2811</v>
      </c>
      <c r="C1396" s="1" t="s">
        <v>3326</v>
      </c>
      <c r="D1396" s="1">
        <v>674718.3</v>
      </c>
      <c r="E1396" s="1">
        <v>33121.949999999997</v>
      </c>
      <c r="F1396" s="41">
        <v>44872</v>
      </c>
      <c r="G1396" s="41">
        <v>45237</v>
      </c>
      <c r="H1396" s="1" t="s">
        <v>3610</v>
      </c>
      <c r="I1396" s="1" t="s">
        <v>3316</v>
      </c>
      <c r="J1396" t="str">
        <f>IF(ISNA(_xlfn.XLOOKUP(B1396,customer_master!$A$2:$A$1649, customer_master!$A$2:$A$1649)), "Invalid", "Ok")</f>
        <v>Ok</v>
      </c>
      <c r="K1396" t="str">
        <f>IF(ISNA(_xlfn.XLOOKUP(H1396,agent_info!$A$2:$A$301, agent_info!$A$2:$A$301)), "Invalid", "Ok")</f>
        <v>Ok</v>
      </c>
    </row>
    <row r="1397" spans="1:11" x14ac:dyDescent="0.3">
      <c r="A1397" s="1" t="s">
        <v>5015</v>
      </c>
      <c r="B1397" s="1" t="s">
        <v>218</v>
      </c>
      <c r="C1397" s="1" t="s">
        <v>3326</v>
      </c>
      <c r="D1397" s="1">
        <v>479409.59</v>
      </c>
      <c r="E1397" s="1">
        <v>23844.45</v>
      </c>
      <c r="F1397" s="41">
        <v>44808</v>
      </c>
      <c r="G1397" s="41">
        <v>45173</v>
      </c>
      <c r="H1397" s="1" t="s">
        <v>3502</v>
      </c>
      <c r="I1397" s="1" t="s">
        <v>3324</v>
      </c>
      <c r="J1397" t="str">
        <f>IF(ISNA(_xlfn.XLOOKUP(B1397,customer_master!$A$2:$A$1649, customer_master!$A$2:$A$1649)), "Invalid", "Ok")</f>
        <v>Ok</v>
      </c>
      <c r="K1397" t="str">
        <f>IF(ISNA(_xlfn.XLOOKUP(H1397,agent_info!$A$2:$A$301, agent_info!$A$2:$A$301)), "Invalid", "Ok")</f>
        <v>Ok</v>
      </c>
    </row>
    <row r="1398" spans="1:11" x14ac:dyDescent="0.3">
      <c r="A1398" s="1" t="s">
        <v>5016</v>
      </c>
      <c r="B1398" s="1" t="s">
        <v>2969</v>
      </c>
      <c r="C1398" s="1" t="s">
        <v>3326</v>
      </c>
      <c r="D1398" s="1">
        <v>387646.87</v>
      </c>
      <c r="E1398" s="1">
        <v>19711.900000000001</v>
      </c>
      <c r="F1398" s="41">
        <v>44675</v>
      </c>
      <c r="G1398" s="41">
        <v>45040</v>
      </c>
      <c r="H1398" s="1" t="s">
        <v>3365</v>
      </c>
      <c r="I1398" s="1" t="s">
        <v>3324</v>
      </c>
      <c r="J1398" t="str">
        <f>IF(ISNA(_xlfn.XLOOKUP(B1398,customer_master!$A$2:$A$1649, customer_master!$A$2:$A$1649)), "Invalid", "Ok")</f>
        <v>Ok</v>
      </c>
      <c r="K1398" t="str">
        <f>IF(ISNA(_xlfn.XLOOKUP(H1398,agent_info!$A$2:$A$301, agent_info!$A$2:$A$301)), "Invalid", "Ok")</f>
        <v>Ok</v>
      </c>
    </row>
    <row r="1399" spans="1:11" x14ac:dyDescent="0.3">
      <c r="A1399" s="1" t="s">
        <v>5017</v>
      </c>
      <c r="B1399" s="1" t="s">
        <v>913</v>
      </c>
      <c r="C1399" s="1" t="s">
        <v>3334</v>
      </c>
      <c r="D1399" s="1">
        <v>449113.42</v>
      </c>
      <c r="E1399" s="1">
        <v>24590.6</v>
      </c>
      <c r="F1399" s="41">
        <v>45981</v>
      </c>
      <c r="G1399" s="41">
        <v>46346</v>
      </c>
      <c r="H1399" s="1" t="s">
        <v>3882</v>
      </c>
      <c r="I1399" s="1" t="s">
        <v>3316</v>
      </c>
      <c r="J1399" t="str">
        <f>IF(ISNA(_xlfn.XLOOKUP(B1399,customer_master!$A$2:$A$1649, customer_master!$A$2:$A$1649)), "Invalid", "Ok")</f>
        <v>Ok</v>
      </c>
      <c r="K1399" t="str">
        <f>IF(ISNA(_xlfn.XLOOKUP(H1399,agent_info!$A$2:$A$301, agent_info!$A$2:$A$301)), "Invalid", "Ok")</f>
        <v>Ok</v>
      </c>
    </row>
    <row r="1400" spans="1:11" x14ac:dyDescent="0.3">
      <c r="A1400" s="1" t="s">
        <v>5018</v>
      </c>
      <c r="B1400" s="1" t="s">
        <v>178</v>
      </c>
      <c r="C1400" s="1" t="s">
        <v>3326</v>
      </c>
      <c r="D1400" s="1">
        <v>523080.41</v>
      </c>
      <c r="E1400" s="1">
        <v>27452.22</v>
      </c>
      <c r="F1400" s="41">
        <v>44571</v>
      </c>
      <c r="G1400" s="41">
        <v>44936</v>
      </c>
      <c r="H1400" s="1" t="s">
        <v>3557</v>
      </c>
      <c r="I1400" s="1" t="s">
        <v>3316</v>
      </c>
      <c r="J1400" t="str">
        <f>IF(ISNA(_xlfn.XLOOKUP(B1400,customer_master!$A$2:$A$1649, customer_master!$A$2:$A$1649)), "Invalid", "Ok")</f>
        <v>Ok</v>
      </c>
      <c r="K1400" t="str">
        <f>IF(ISNA(_xlfn.XLOOKUP(H1400,agent_info!$A$2:$A$301, agent_info!$A$2:$A$301)), "Invalid", "Ok")</f>
        <v>Ok</v>
      </c>
    </row>
    <row r="1401" spans="1:11" x14ac:dyDescent="0.3">
      <c r="A1401" s="1" t="s">
        <v>5019</v>
      </c>
      <c r="B1401" s="1" t="s">
        <v>1889</v>
      </c>
      <c r="C1401" s="1" t="s">
        <v>3334</v>
      </c>
      <c r="D1401" s="1">
        <v>415747.25</v>
      </c>
      <c r="E1401" s="1">
        <v>21552.03</v>
      </c>
      <c r="F1401" s="41">
        <v>44098</v>
      </c>
      <c r="G1401" s="41">
        <v>44463</v>
      </c>
      <c r="H1401" s="1" t="s">
        <v>3483</v>
      </c>
      <c r="I1401" s="1" t="s">
        <v>3316</v>
      </c>
      <c r="J1401" t="str">
        <f>IF(ISNA(_xlfn.XLOOKUP(B1401,customer_master!$A$2:$A$1649, customer_master!$A$2:$A$1649)), "Invalid", "Ok")</f>
        <v>Ok</v>
      </c>
      <c r="K1401" t="str">
        <f>IF(ISNA(_xlfn.XLOOKUP(H1401,agent_info!$A$2:$A$301, agent_info!$A$2:$A$301)), "Invalid", "Ok")</f>
        <v>Ok</v>
      </c>
    </row>
    <row r="1402" spans="1:11" x14ac:dyDescent="0.3">
      <c r="A1402" s="1" t="s">
        <v>5020</v>
      </c>
      <c r="B1402" s="1" t="s">
        <v>793</v>
      </c>
      <c r="C1402" s="1" t="s">
        <v>3314</v>
      </c>
      <c r="D1402" s="1">
        <v>661588.82999999996</v>
      </c>
      <c r="E1402" s="1">
        <v>32628.85</v>
      </c>
      <c r="F1402" s="41">
        <v>44903</v>
      </c>
      <c r="G1402" s="41">
        <v>45268</v>
      </c>
      <c r="H1402" s="1" t="s">
        <v>3367</v>
      </c>
      <c r="I1402" s="1" t="s">
        <v>3324</v>
      </c>
      <c r="J1402" t="str">
        <f>IF(ISNA(_xlfn.XLOOKUP(B1402,customer_master!$A$2:$A$1649, customer_master!$A$2:$A$1649)), "Invalid", "Ok")</f>
        <v>Ok</v>
      </c>
      <c r="K1402" t="str">
        <f>IF(ISNA(_xlfn.XLOOKUP(H1402,agent_info!$A$2:$A$301, agent_info!$A$2:$A$301)), "Invalid", "Ok")</f>
        <v>Ok</v>
      </c>
    </row>
    <row r="1403" spans="1:11" x14ac:dyDescent="0.3">
      <c r="A1403" s="1" t="s">
        <v>5021</v>
      </c>
      <c r="B1403" s="1" t="s">
        <v>1543</v>
      </c>
      <c r="C1403" s="1" t="s">
        <v>3334</v>
      </c>
      <c r="D1403" s="1">
        <v>691111.9</v>
      </c>
      <c r="E1403" s="1">
        <v>31338.13</v>
      </c>
      <c r="F1403" s="41">
        <v>46200</v>
      </c>
      <c r="G1403" s="41">
        <v>46565</v>
      </c>
      <c r="H1403" s="1" t="s">
        <v>4093</v>
      </c>
      <c r="I1403" s="1" t="s">
        <v>3316</v>
      </c>
      <c r="J1403" t="str">
        <f>IF(ISNA(_xlfn.XLOOKUP(B1403,customer_master!$A$2:$A$1649, customer_master!$A$2:$A$1649)), "Invalid", "Ok")</f>
        <v>Ok</v>
      </c>
      <c r="K1403" t="str">
        <f>IF(ISNA(_xlfn.XLOOKUP(H1403,agent_info!$A$2:$A$301, agent_info!$A$2:$A$301)), "Invalid", "Ok")</f>
        <v>Ok</v>
      </c>
    </row>
    <row r="1404" spans="1:11" x14ac:dyDescent="0.3">
      <c r="A1404" s="1" t="s">
        <v>5022</v>
      </c>
      <c r="B1404" s="1" t="s">
        <v>2655</v>
      </c>
      <c r="C1404" s="1" t="s">
        <v>3331</v>
      </c>
      <c r="D1404" s="1">
        <v>591122.17000000004</v>
      </c>
      <c r="E1404" s="1">
        <v>29784.78</v>
      </c>
      <c r="F1404" s="41">
        <v>44906</v>
      </c>
      <c r="G1404" s="41">
        <v>45271</v>
      </c>
      <c r="H1404" s="1" t="s">
        <v>3565</v>
      </c>
      <c r="I1404" s="1" t="s">
        <v>3324</v>
      </c>
      <c r="J1404" t="str">
        <f>IF(ISNA(_xlfn.XLOOKUP(B1404,customer_master!$A$2:$A$1649, customer_master!$A$2:$A$1649)), "Invalid", "Ok")</f>
        <v>Ok</v>
      </c>
      <c r="K1404" t="str">
        <f>IF(ISNA(_xlfn.XLOOKUP(H1404,agent_info!$A$2:$A$301, agent_info!$A$2:$A$301)), "Invalid", "Ok")</f>
        <v>Ok</v>
      </c>
    </row>
    <row r="1405" spans="1:11" x14ac:dyDescent="0.3">
      <c r="A1405" s="1" t="s">
        <v>5023</v>
      </c>
      <c r="B1405" s="1" t="s">
        <v>2625</v>
      </c>
      <c r="C1405" s="1" t="s">
        <v>3334</v>
      </c>
      <c r="D1405" s="1">
        <v>728939.15</v>
      </c>
      <c r="E1405" s="1">
        <v>37619.68</v>
      </c>
      <c r="F1405" s="41">
        <v>44307</v>
      </c>
      <c r="G1405" s="41">
        <v>44672</v>
      </c>
      <c r="H1405" s="1" t="s">
        <v>4303</v>
      </c>
      <c r="I1405" s="1" t="s">
        <v>3324</v>
      </c>
      <c r="J1405" t="str">
        <f>IF(ISNA(_xlfn.XLOOKUP(B1405,customer_master!$A$2:$A$1649, customer_master!$A$2:$A$1649)), "Invalid", "Ok")</f>
        <v>Ok</v>
      </c>
      <c r="K1405" t="str">
        <f>IF(ISNA(_xlfn.XLOOKUP(H1405,agent_info!$A$2:$A$301, agent_info!$A$2:$A$301)), "Invalid", "Ok")</f>
        <v>Ok</v>
      </c>
    </row>
    <row r="1406" spans="1:11" x14ac:dyDescent="0.3">
      <c r="A1406" s="1" t="s">
        <v>5024</v>
      </c>
      <c r="B1406" s="1" t="s">
        <v>2006</v>
      </c>
      <c r="C1406" s="1" t="s">
        <v>3314</v>
      </c>
      <c r="D1406" s="1">
        <v>752400.29</v>
      </c>
      <c r="E1406" s="1">
        <v>39156.339999999997</v>
      </c>
      <c r="F1406" s="41">
        <v>46105</v>
      </c>
      <c r="G1406" s="41">
        <v>46470</v>
      </c>
      <c r="H1406" s="1" t="s">
        <v>3601</v>
      </c>
      <c r="I1406" s="1" t="s">
        <v>3324</v>
      </c>
      <c r="J1406" t="str">
        <f>IF(ISNA(_xlfn.XLOOKUP(B1406,customer_master!$A$2:$A$1649, customer_master!$A$2:$A$1649)), "Invalid", "Ok")</f>
        <v>Ok</v>
      </c>
      <c r="K1406" t="str">
        <f>IF(ISNA(_xlfn.XLOOKUP(H1406,agent_info!$A$2:$A$301, agent_info!$A$2:$A$301)), "Invalid", "Ok")</f>
        <v>Ok</v>
      </c>
    </row>
    <row r="1407" spans="1:11" x14ac:dyDescent="0.3">
      <c r="A1407" s="1" t="s">
        <v>5025</v>
      </c>
      <c r="B1407" s="1" t="s">
        <v>3240</v>
      </c>
      <c r="C1407" s="1" t="s">
        <v>3331</v>
      </c>
      <c r="D1407" s="1">
        <v>552252.18000000005</v>
      </c>
      <c r="E1407" s="1">
        <v>28208.38</v>
      </c>
      <c r="F1407" s="41">
        <v>44462</v>
      </c>
      <c r="G1407" s="41">
        <v>44827</v>
      </c>
      <c r="H1407" s="1" t="s">
        <v>3543</v>
      </c>
      <c r="I1407" s="1" t="s">
        <v>3324</v>
      </c>
      <c r="J1407" t="str">
        <f>IF(ISNA(_xlfn.XLOOKUP(B1407,customer_master!$A$2:$A$1649, customer_master!$A$2:$A$1649)), "Invalid", "Ok")</f>
        <v>Ok</v>
      </c>
      <c r="K1407" t="str">
        <f>IF(ISNA(_xlfn.XLOOKUP(H1407,agent_info!$A$2:$A$301, agent_info!$A$2:$A$301)), "Invalid", "Ok")</f>
        <v>Ok</v>
      </c>
    </row>
    <row r="1408" spans="1:11" x14ac:dyDescent="0.3">
      <c r="A1408" s="1" t="s">
        <v>5026</v>
      </c>
      <c r="B1408" s="1" t="s">
        <v>1559</v>
      </c>
      <c r="C1408" s="1" t="s">
        <v>3314</v>
      </c>
      <c r="D1408" s="1">
        <v>419313.96</v>
      </c>
      <c r="E1408" s="1">
        <v>20128.61</v>
      </c>
      <c r="F1408" s="41">
        <v>45673</v>
      </c>
      <c r="G1408" s="41">
        <v>46038</v>
      </c>
      <c r="H1408" s="1" t="s">
        <v>3453</v>
      </c>
      <c r="I1408" s="1" t="s">
        <v>3324</v>
      </c>
      <c r="J1408" t="str">
        <f>IF(ISNA(_xlfn.XLOOKUP(B1408,customer_master!$A$2:$A$1649, customer_master!$A$2:$A$1649)), "Invalid", "Ok")</f>
        <v>Ok</v>
      </c>
      <c r="K1408" t="str">
        <f>IF(ISNA(_xlfn.XLOOKUP(H1408,agent_info!$A$2:$A$301, agent_info!$A$2:$A$301)), "Invalid", "Ok")</f>
        <v>Ok</v>
      </c>
    </row>
    <row r="1409" spans="1:11" x14ac:dyDescent="0.3">
      <c r="A1409" s="1" t="s">
        <v>5027</v>
      </c>
      <c r="B1409" s="1" t="s">
        <v>164</v>
      </c>
      <c r="C1409" s="1" t="s">
        <v>3334</v>
      </c>
      <c r="D1409" s="1">
        <v>474036.68</v>
      </c>
      <c r="E1409" s="1">
        <v>22379.42</v>
      </c>
      <c r="F1409" s="41">
        <v>44748</v>
      </c>
      <c r="G1409" s="41">
        <v>45113</v>
      </c>
      <c r="H1409" s="1" t="s">
        <v>3598</v>
      </c>
      <c r="I1409" s="1" t="s">
        <v>3324</v>
      </c>
      <c r="J1409" t="str">
        <f>IF(ISNA(_xlfn.XLOOKUP(B1409,customer_master!$A$2:$A$1649, customer_master!$A$2:$A$1649)), "Invalid", "Ok")</f>
        <v>Ok</v>
      </c>
      <c r="K1409" t="str">
        <f>IF(ISNA(_xlfn.XLOOKUP(H1409,agent_info!$A$2:$A$301, agent_info!$A$2:$A$301)), "Invalid", "Ok")</f>
        <v>Ok</v>
      </c>
    </row>
    <row r="1410" spans="1:11" x14ac:dyDescent="0.3">
      <c r="A1410" s="1" t="s">
        <v>5028</v>
      </c>
      <c r="B1410" s="1" t="s">
        <v>2722</v>
      </c>
      <c r="C1410" s="1" t="s">
        <v>3326</v>
      </c>
      <c r="D1410" s="1">
        <v>580165.62</v>
      </c>
      <c r="E1410" s="1">
        <v>26630.15</v>
      </c>
      <c r="F1410" s="41">
        <v>45877</v>
      </c>
      <c r="G1410" s="41">
        <v>46242</v>
      </c>
      <c r="H1410" s="1" t="s">
        <v>3472</v>
      </c>
      <c r="I1410" s="1" t="s">
        <v>3324</v>
      </c>
      <c r="J1410" t="str">
        <f>IF(ISNA(_xlfn.XLOOKUP(B1410,customer_master!$A$2:$A$1649, customer_master!$A$2:$A$1649)), "Invalid", "Ok")</f>
        <v>Ok</v>
      </c>
      <c r="K1410" t="str">
        <f>IF(ISNA(_xlfn.XLOOKUP(H1410,agent_info!$A$2:$A$301, agent_info!$A$2:$A$301)), "Invalid", "Ok")</f>
        <v>Ok</v>
      </c>
    </row>
    <row r="1411" spans="1:11" x14ac:dyDescent="0.3">
      <c r="A1411" s="1" t="s">
        <v>5029</v>
      </c>
      <c r="B1411" s="1" t="s">
        <v>781</v>
      </c>
      <c r="C1411" s="1" t="s">
        <v>3334</v>
      </c>
      <c r="D1411" s="1">
        <v>541226.99</v>
      </c>
      <c r="E1411" s="1">
        <v>28159.13</v>
      </c>
      <c r="F1411" s="41">
        <v>45150</v>
      </c>
      <c r="G1411" s="41">
        <v>45516</v>
      </c>
      <c r="H1411" s="1" t="s">
        <v>3425</v>
      </c>
      <c r="I1411" s="1" t="s">
        <v>3324</v>
      </c>
      <c r="J1411" t="str">
        <f>IF(ISNA(_xlfn.XLOOKUP(B1411,customer_master!$A$2:$A$1649, customer_master!$A$2:$A$1649)), "Invalid", "Ok")</f>
        <v>Ok</v>
      </c>
      <c r="K1411" t="str">
        <f>IF(ISNA(_xlfn.XLOOKUP(H1411,agent_info!$A$2:$A$301, agent_info!$A$2:$A$301)), "Invalid", "Ok")</f>
        <v>Ok</v>
      </c>
    </row>
    <row r="1412" spans="1:11" x14ac:dyDescent="0.3">
      <c r="A1412" s="1" t="s">
        <v>5030</v>
      </c>
      <c r="B1412" s="1" t="s">
        <v>624</v>
      </c>
      <c r="C1412" s="1" t="s">
        <v>3331</v>
      </c>
      <c r="D1412" s="1">
        <v>642831.07999999996</v>
      </c>
      <c r="E1412" s="1">
        <v>35167.910000000003</v>
      </c>
      <c r="F1412" s="41">
        <v>45236</v>
      </c>
      <c r="G1412" s="41">
        <v>45602</v>
      </c>
      <c r="H1412" s="1" t="s">
        <v>3792</v>
      </c>
      <c r="I1412" s="1" t="s">
        <v>3324</v>
      </c>
      <c r="J1412" t="str">
        <f>IF(ISNA(_xlfn.XLOOKUP(B1412,customer_master!$A$2:$A$1649, customer_master!$A$2:$A$1649)), "Invalid", "Ok")</f>
        <v>Ok</v>
      </c>
      <c r="K1412" t="str">
        <f>IF(ISNA(_xlfn.XLOOKUP(H1412,agent_info!$A$2:$A$301, agent_info!$A$2:$A$301)), "Invalid", "Ok")</f>
        <v>Ok</v>
      </c>
    </row>
    <row r="1413" spans="1:11" x14ac:dyDescent="0.3">
      <c r="A1413" s="1" t="s">
        <v>5031</v>
      </c>
      <c r="B1413" s="1" t="s">
        <v>266</v>
      </c>
      <c r="C1413" s="1" t="s">
        <v>3331</v>
      </c>
      <c r="D1413" s="1">
        <v>635859.47</v>
      </c>
      <c r="E1413" s="1">
        <v>31952.080000000002</v>
      </c>
      <c r="F1413" s="41">
        <v>45973</v>
      </c>
      <c r="G1413" s="41">
        <v>46338</v>
      </c>
      <c r="H1413" s="1" t="s">
        <v>4469</v>
      </c>
      <c r="I1413" s="1" t="s">
        <v>3324</v>
      </c>
      <c r="J1413" t="str">
        <f>IF(ISNA(_xlfn.XLOOKUP(B1413,customer_master!$A$2:$A$1649, customer_master!$A$2:$A$1649)), "Invalid", "Ok")</f>
        <v>Ok</v>
      </c>
      <c r="K1413" t="str">
        <f>IF(ISNA(_xlfn.XLOOKUP(H1413,agent_info!$A$2:$A$301, agent_info!$A$2:$A$301)), "Invalid", "Ok")</f>
        <v>Ok</v>
      </c>
    </row>
    <row r="1414" spans="1:11" x14ac:dyDescent="0.3">
      <c r="A1414" s="1" t="s">
        <v>5032</v>
      </c>
      <c r="B1414" s="1" t="s">
        <v>1115</v>
      </c>
      <c r="C1414" s="1" t="s">
        <v>3331</v>
      </c>
      <c r="D1414" s="1">
        <v>612447.93999999994</v>
      </c>
      <c r="E1414" s="1">
        <v>31683.05</v>
      </c>
      <c r="F1414" s="41">
        <v>45285</v>
      </c>
      <c r="G1414" s="41">
        <v>45651</v>
      </c>
      <c r="H1414" s="1" t="s">
        <v>3637</v>
      </c>
      <c r="I1414" s="1" t="s">
        <v>3316</v>
      </c>
      <c r="J1414" t="str">
        <f>IF(ISNA(_xlfn.XLOOKUP(B1414,customer_master!$A$2:$A$1649, customer_master!$A$2:$A$1649)), "Invalid", "Ok")</f>
        <v>Ok</v>
      </c>
      <c r="K1414" t="str">
        <f>IF(ISNA(_xlfn.XLOOKUP(H1414,agent_info!$A$2:$A$301, agent_info!$A$2:$A$301)), "Invalid", "Ok")</f>
        <v>Ok</v>
      </c>
    </row>
    <row r="1415" spans="1:11" x14ac:dyDescent="0.3">
      <c r="A1415" s="1" t="s">
        <v>5033</v>
      </c>
      <c r="B1415" s="1" t="s">
        <v>1105</v>
      </c>
      <c r="C1415" s="1" t="s">
        <v>3314</v>
      </c>
      <c r="D1415" s="1">
        <v>445765.54</v>
      </c>
      <c r="E1415" s="1">
        <v>23146.83</v>
      </c>
      <c r="F1415" s="41">
        <v>45408</v>
      </c>
      <c r="G1415" s="41">
        <v>45773</v>
      </c>
      <c r="H1415" s="1" t="s">
        <v>3931</v>
      </c>
      <c r="I1415" s="1" t="s">
        <v>3324</v>
      </c>
      <c r="J1415" t="str">
        <f>IF(ISNA(_xlfn.XLOOKUP(B1415,customer_master!$A$2:$A$1649, customer_master!$A$2:$A$1649)), "Invalid", "Ok")</f>
        <v>Ok</v>
      </c>
      <c r="K1415" t="str">
        <f>IF(ISNA(_xlfn.XLOOKUP(H1415,agent_info!$A$2:$A$301, agent_info!$A$2:$A$301)), "Invalid", "Ok")</f>
        <v>Ok</v>
      </c>
    </row>
    <row r="1416" spans="1:11" x14ac:dyDescent="0.3">
      <c r="A1416" s="1" t="s">
        <v>5034</v>
      </c>
      <c r="B1416" s="1" t="s">
        <v>1019</v>
      </c>
      <c r="C1416" s="1" t="s">
        <v>3334</v>
      </c>
      <c r="D1416" s="1">
        <v>495077.39</v>
      </c>
      <c r="E1416" s="1">
        <v>23077.75</v>
      </c>
      <c r="F1416" s="41">
        <v>46042</v>
      </c>
      <c r="G1416" s="41">
        <v>46407</v>
      </c>
      <c r="H1416" s="1" t="s">
        <v>3939</v>
      </c>
      <c r="I1416" s="1" t="s">
        <v>3324</v>
      </c>
      <c r="J1416" t="str">
        <f>IF(ISNA(_xlfn.XLOOKUP(B1416,customer_master!$A$2:$A$1649, customer_master!$A$2:$A$1649)), "Invalid", "Ok")</f>
        <v>Ok</v>
      </c>
      <c r="K1416" t="str">
        <f>IF(ISNA(_xlfn.XLOOKUP(H1416,agent_info!$A$2:$A$301, agent_info!$A$2:$A$301)), "Invalid", "Ok")</f>
        <v>Ok</v>
      </c>
    </row>
    <row r="1417" spans="1:11" x14ac:dyDescent="0.3">
      <c r="A1417" s="1" t="s">
        <v>5035</v>
      </c>
      <c r="B1417" s="1" t="s">
        <v>1980</v>
      </c>
      <c r="C1417" s="1" t="s">
        <v>3318</v>
      </c>
      <c r="D1417" s="1">
        <v>520831.69</v>
      </c>
      <c r="E1417" s="1">
        <v>24436.39</v>
      </c>
      <c r="F1417" s="41">
        <v>44451</v>
      </c>
      <c r="G1417" s="41">
        <v>44816</v>
      </c>
      <c r="H1417" s="1" t="s">
        <v>3984</v>
      </c>
      <c r="I1417" s="1" t="s">
        <v>3324</v>
      </c>
      <c r="J1417" t="str">
        <f>IF(ISNA(_xlfn.XLOOKUP(B1417,customer_master!$A$2:$A$1649, customer_master!$A$2:$A$1649)), "Invalid", "Ok")</f>
        <v>Ok</v>
      </c>
      <c r="K1417" t="str">
        <f>IF(ISNA(_xlfn.XLOOKUP(H1417,agent_info!$A$2:$A$301, agent_info!$A$2:$A$301)), "Invalid", "Ok")</f>
        <v>Ok</v>
      </c>
    </row>
    <row r="1418" spans="1:11" x14ac:dyDescent="0.3">
      <c r="A1418" s="1" t="s">
        <v>5036</v>
      </c>
      <c r="B1418" s="1" t="s">
        <v>2502</v>
      </c>
      <c r="C1418" s="1" t="s">
        <v>3318</v>
      </c>
      <c r="D1418" s="1">
        <v>689630</v>
      </c>
      <c r="E1418" s="1">
        <v>32469</v>
      </c>
      <c r="F1418" s="41">
        <v>46151</v>
      </c>
      <c r="G1418" s="41">
        <v>46516</v>
      </c>
      <c r="H1418" s="1" t="s">
        <v>4012</v>
      </c>
      <c r="I1418" s="1" t="s">
        <v>3320</v>
      </c>
      <c r="J1418" t="str">
        <f>IF(ISNA(_xlfn.XLOOKUP(B1418,customer_master!$A$2:$A$1649, customer_master!$A$2:$A$1649)), "Invalid", "Ok")</f>
        <v>Ok</v>
      </c>
      <c r="K1418" t="str">
        <f>IF(ISNA(_xlfn.XLOOKUP(H1418,agent_info!$A$2:$A$301, agent_info!$A$2:$A$301)), "Invalid", "Ok")</f>
        <v>Ok</v>
      </c>
    </row>
    <row r="1419" spans="1:11" x14ac:dyDescent="0.3">
      <c r="A1419" s="1" t="s">
        <v>5037</v>
      </c>
      <c r="B1419" s="1" t="s">
        <v>3114</v>
      </c>
      <c r="C1419" s="1" t="s">
        <v>3326</v>
      </c>
      <c r="D1419" s="1">
        <v>588777.99</v>
      </c>
      <c r="E1419" s="1">
        <v>31987.38</v>
      </c>
      <c r="F1419" s="41">
        <v>44930</v>
      </c>
      <c r="G1419" s="41">
        <v>45295</v>
      </c>
      <c r="H1419" s="1" t="s">
        <v>3343</v>
      </c>
      <c r="I1419" s="1" t="s">
        <v>3324</v>
      </c>
      <c r="J1419" t="str">
        <f>IF(ISNA(_xlfn.XLOOKUP(B1419,customer_master!$A$2:$A$1649, customer_master!$A$2:$A$1649)), "Invalid", "Ok")</f>
        <v>Ok</v>
      </c>
      <c r="K1419" t="str">
        <f>IF(ISNA(_xlfn.XLOOKUP(H1419,agent_info!$A$2:$A$301, agent_info!$A$2:$A$301)), "Invalid", "Ok")</f>
        <v>Ok</v>
      </c>
    </row>
    <row r="1420" spans="1:11" x14ac:dyDescent="0.3">
      <c r="A1420" s="1" t="s">
        <v>5038</v>
      </c>
      <c r="B1420" s="1" t="s">
        <v>344</v>
      </c>
      <c r="C1420" s="1" t="s">
        <v>3331</v>
      </c>
      <c r="D1420" s="1">
        <v>627542.42000000004</v>
      </c>
      <c r="E1420" s="1">
        <v>28337.18</v>
      </c>
      <c r="F1420" s="41">
        <v>44833</v>
      </c>
      <c r="G1420" s="41">
        <v>45198</v>
      </c>
      <c r="H1420" s="1" t="s">
        <v>4132</v>
      </c>
      <c r="I1420" s="1" t="s">
        <v>3324</v>
      </c>
      <c r="J1420" t="str">
        <f>IF(ISNA(_xlfn.XLOOKUP(B1420,customer_master!$A$2:$A$1649, customer_master!$A$2:$A$1649)), "Invalid", "Ok")</f>
        <v>Ok</v>
      </c>
      <c r="K1420" t="str">
        <f>IF(ISNA(_xlfn.XLOOKUP(H1420,agent_info!$A$2:$A$301, agent_info!$A$2:$A$301)), "Invalid", "Ok")</f>
        <v>Ok</v>
      </c>
    </row>
    <row r="1421" spans="1:11" x14ac:dyDescent="0.3">
      <c r="A1421" s="1" t="s">
        <v>5039</v>
      </c>
      <c r="B1421" s="1" t="s">
        <v>530</v>
      </c>
      <c r="C1421" s="1" t="s">
        <v>3326</v>
      </c>
      <c r="D1421" s="1">
        <v>585248.06999999995</v>
      </c>
      <c r="E1421" s="1">
        <v>29503.34</v>
      </c>
      <c r="F1421" s="41">
        <v>45701</v>
      </c>
      <c r="G1421" s="41">
        <v>46066</v>
      </c>
      <c r="H1421" s="1" t="s">
        <v>4822</v>
      </c>
      <c r="I1421" s="1" t="s">
        <v>3324</v>
      </c>
      <c r="J1421" t="str">
        <f>IF(ISNA(_xlfn.XLOOKUP(B1421,customer_master!$A$2:$A$1649, customer_master!$A$2:$A$1649)), "Invalid", "Ok")</f>
        <v>Ok</v>
      </c>
      <c r="K1421" t="str">
        <f>IF(ISNA(_xlfn.XLOOKUP(H1421,agent_info!$A$2:$A$301, agent_info!$A$2:$A$301)), "Invalid", "Ok")</f>
        <v>Ok</v>
      </c>
    </row>
    <row r="1422" spans="1:11" x14ac:dyDescent="0.3">
      <c r="A1422" s="1" t="s">
        <v>5040</v>
      </c>
      <c r="B1422" s="1" t="s">
        <v>1970</v>
      </c>
      <c r="C1422" s="1" t="s">
        <v>3314</v>
      </c>
      <c r="D1422" s="1">
        <v>578732.80000000005</v>
      </c>
      <c r="E1422" s="1">
        <v>28225.83</v>
      </c>
      <c r="F1422" s="41">
        <v>46198</v>
      </c>
      <c r="G1422" s="41">
        <v>46563</v>
      </c>
      <c r="H1422" s="1" t="s">
        <v>4187</v>
      </c>
      <c r="I1422" s="1" t="s">
        <v>3324</v>
      </c>
      <c r="J1422" t="str">
        <f>IF(ISNA(_xlfn.XLOOKUP(B1422,customer_master!$A$2:$A$1649, customer_master!$A$2:$A$1649)), "Invalid", "Ok")</f>
        <v>Ok</v>
      </c>
      <c r="K1422" t="str">
        <f>IF(ISNA(_xlfn.XLOOKUP(H1422,agent_info!$A$2:$A$301, agent_info!$A$2:$A$301)), "Invalid", "Ok")</f>
        <v>Ok</v>
      </c>
    </row>
    <row r="1423" spans="1:11" x14ac:dyDescent="0.3">
      <c r="A1423" s="1" t="s">
        <v>5041</v>
      </c>
      <c r="B1423" s="1" t="s">
        <v>354</v>
      </c>
      <c r="C1423" s="1" t="s">
        <v>3326</v>
      </c>
      <c r="D1423" s="1">
        <v>363871.1</v>
      </c>
      <c r="E1423" s="1">
        <v>18773.38</v>
      </c>
      <c r="F1423" s="41">
        <v>45242</v>
      </c>
      <c r="G1423" s="41">
        <v>45608</v>
      </c>
      <c r="H1423" s="1" t="s">
        <v>3345</v>
      </c>
      <c r="I1423" s="1" t="s">
        <v>3324</v>
      </c>
      <c r="J1423" t="str">
        <f>IF(ISNA(_xlfn.XLOOKUP(B1423,customer_master!$A$2:$A$1649, customer_master!$A$2:$A$1649)), "Invalid", "Ok")</f>
        <v>Ok</v>
      </c>
      <c r="K1423" t="str">
        <f>IF(ISNA(_xlfn.XLOOKUP(H1423,agent_info!$A$2:$A$301, agent_info!$A$2:$A$301)), "Invalid", "Ok")</f>
        <v>Ok</v>
      </c>
    </row>
    <row r="1424" spans="1:11" x14ac:dyDescent="0.3">
      <c r="A1424" s="1" t="s">
        <v>5042</v>
      </c>
      <c r="B1424" s="1" t="s">
        <v>1257</v>
      </c>
      <c r="C1424" s="1" t="s">
        <v>3326</v>
      </c>
      <c r="D1424" s="1">
        <v>420392.24</v>
      </c>
      <c r="E1424" s="1">
        <v>19844.580000000002</v>
      </c>
      <c r="F1424" s="41">
        <v>45380</v>
      </c>
      <c r="G1424" s="41">
        <v>45745</v>
      </c>
      <c r="H1424" s="1" t="s">
        <v>3406</v>
      </c>
      <c r="I1424" s="1" t="s">
        <v>3324</v>
      </c>
      <c r="J1424" t="str">
        <f>IF(ISNA(_xlfn.XLOOKUP(B1424,customer_master!$A$2:$A$1649, customer_master!$A$2:$A$1649)), "Invalid", "Ok")</f>
        <v>Ok</v>
      </c>
      <c r="K1424" t="str">
        <f>IF(ISNA(_xlfn.XLOOKUP(H1424,agent_info!$A$2:$A$301, agent_info!$A$2:$A$301)), "Invalid", "Ok")</f>
        <v>Ok</v>
      </c>
    </row>
    <row r="1425" spans="1:11" x14ac:dyDescent="0.3">
      <c r="A1425" s="1" t="s">
        <v>5043</v>
      </c>
      <c r="B1425" s="1" t="s">
        <v>2105</v>
      </c>
      <c r="C1425" s="1" t="s">
        <v>3326</v>
      </c>
      <c r="D1425" s="1">
        <v>399105.75</v>
      </c>
      <c r="E1425" s="1">
        <v>21795.85</v>
      </c>
      <c r="F1425" s="41">
        <v>45939</v>
      </c>
      <c r="G1425" s="41">
        <v>46304</v>
      </c>
      <c r="H1425" s="1" t="s">
        <v>3524</v>
      </c>
      <c r="I1425" s="1" t="s">
        <v>3324</v>
      </c>
      <c r="J1425" t="str">
        <f>IF(ISNA(_xlfn.XLOOKUP(B1425,customer_master!$A$2:$A$1649, customer_master!$A$2:$A$1649)), "Invalid", "Ok")</f>
        <v>Ok</v>
      </c>
      <c r="K1425" t="str">
        <f>IF(ISNA(_xlfn.XLOOKUP(H1425,agent_info!$A$2:$A$301, agent_info!$A$2:$A$301)), "Invalid", "Ok")</f>
        <v>Ok</v>
      </c>
    </row>
    <row r="1426" spans="1:11" x14ac:dyDescent="0.3">
      <c r="A1426" s="1" t="s">
        <v>5044</v>
      </c>
      <c r="B1426" s="1" t="s">
        <v>2593</v>
      </c>
      <c r="C1426" s="1" t="s">
        <v>3314</v>
      </c>
      <c r="D1426" s="1">
        <v>409638.72</v>
      </c>
      <c r="E1426" s="1">
        <v>19790.53</v>
      </c>
      <c r="F1426" s="41">
        <v>45122</v>
      </c>
      <c r="G1426" s="41">
        <v>45488</v>
      </c>
      <c r="H1426" s="1" t="s">
        <v>3576</v>
      </c>
      <c r="I1426" s="1" t="s">
        <v>3316</v>
      </c>
      <c r="J1426" t="str">
        <f>IF(ISNA(_xlfn.XLOOKUP(B1426,customer_master!$A$2:$A$1649, customer_master!$A$2:$A$1649)), "Invalid", "Ok")</f>
        <v>Ok</v>
      </c>
      <c r="K1426" t="str">
        <f>IF(ISNA(_xlfn.XLOOKUP(H1426,agent_info!$A$2:$A$301, agent_info!$A$2:$A$301)), "Invalid", "Ok")</f>
        <v>Ok</v>
      </c>
    </row>
    <row r="1427" spans="1:11" x14ac:dyDescent="0.3">
      <c r="A1427" s="1" t="s">
        <v>5045</v>
      </c>
      <c r="B1427" s="1" t="s">
        <v>769</v>
      </c>
      <c r="C1427" s="1" t="s">
        <v>3314</v>
      </c>
      <c r="D1427" s="1">
        <v>507998.51</v>
      </c>
      <c r="E1427" s="1">
        <v>27563.63</v>
      </c>
      <c r="F1427" s="41">
        <v>44356</v>
      </c>
      <c r="G1427" s="41">
        <v>44721</v>
      </c>
      <c r="H1427" s="1" t="s">
        <v>3838</v>
      </c>
      <c r="I1427" s="1" t="s">
        <v>3324</v>
      </c>
      <c r="J1427" t="str">
        <f>IF(ISNA(_xlfn.XLOOKUP(B1427,customer_master!$A$2:$A$1649, customer_master!$A$2:$A$1649)), "Invalid", "Ok")</f>
        <v>Ok</v>
      </c>
      <c r="K1427" t="str">
        <f>IF(ISNA(_xlfn.XLOOKUP(H1427,agent_info!$A$2:$A$301, agent_info!$A$2:$A$301)), "Invalid", "Ok")</f>
        <v>Ok</v>
      </c>
    </row>
    <row r="1428" spans="1:11" x14ac:dyDescent="0.3">
      <c r="A1428" s="1" t="s">
        <v>5046</v>
      </c>
      <c r="B1428" s="1" t="s">
        <v>2230</v>
      </c>
      <c r="C1428" s="1" t="s">
        <v>3314</v>
      </c>
      <c r="D1428" s="1">
        <v>688276.12</v>
      </c>
      <c r="E1428" s="1">
        <v>35027.75</v>
      </c>
      <c r="F1428" s="41">
        <v>44097</v>
      </c>
      <c r="G1428" s="41">
        <v>44462</v>
      </c>
      <c r="H1428" s="1" t="s">
        <v>3581</v>
      </c>
      <c r="I1428" s="1" t="s">
        <v>3316</v>
      </c>
      <c r="J1428" t="str">
        <f>IF(ISNA(_xlfn.XLOOKUP(B1428,customer_master!$A$2:$A$1649, customer_master!$A$2:$A$1649)), "Invalid", "Ok")</f>
        <v>Ok</v>
      </c>
      <c r="K1428" t="str">
        <f>IF(ISNA(_xlfn.XLOOKUP(H1428,agent_info!$A$2:$A$301, agent_info!$A$2:$A$301)), "Invalid", "Ok")</f>
        <v>Ok</v>
      </c>
    </row>
    <row r="1429" spans="1:11" x14ac:dyDescent="0.3">
      <c r="A1429" s="1" t="s">
        <v>5047</v>
      </c>
      <c r="B1429" s="1" t="s">
        <v>2162</v>
      </c>
      <c r="C1429" s="1" t="s">
        <v>3314</v>
      </c>
      <c r="D1429" s="1">
        <v>429325.74</v>
      </c>
      <c r="E1429" s="1">
        <v>21099.05</v>
      </c>
      <c r="F1429" s="41">
        <v>45202</v>
      </c>
      <c r="G1429" s="41">
        <v>45568</v>
      </c>
      <c r="H1429" s="1" t="s">
        <v>3483</v>
      </c>
      <c r="I1429" s="1" t="s">
        <v>3324</v>
      </c>
      <c r="J1429" t="str">
        <f>IF(ISNA(_xlfn.XLOOKUP(B1429,customer_master!$A$2:$A$1649, customer_master!$A$2:$A$1649)), "Invalid", "Ok")</f>
        <v>Ok</v>
      </c>
      <c r="K1429" t="str">
        <f>IF(ISNA(_xlfn.XLOOKUP(H1429,agent_info!$A$2:$A$301, agent_info!$A$2:$A$301)), "Invalid", "Ok")</f>
        <v>Ok</v>
      </c>
    </row>
    <row r="1430" spans="1:11" x14ac:dyDescent="0.3">
      <c r="A1430" s="1" t="s">
        <v>5048</v>
      </c>
      <c r="B1430" s="1" t="s">
        <v>2859</v>
      </c>
      <c r="C1430" s="1" t="s">
        <v>3314</v>
      </c>
      <c r="D1430" s="1">
        <v>427897.67</v>
      </c>
      <c r="E1430" s="1">
        <v>22395.67</v>
      </c>
      <c r="F1430" s="41">
        <v>44417</v>
      </c>
      <c r="G1430" s="41">
        <v>44782</v>
      </c>
      <c r="H1430" s="1" t="s">
        <v>3420</v>
      </c>
      <c r="I1430" s="1" t="s">
        <v>3320</v>
      </c>
      <c r="J1430" t="str">
        <f>IF(ISNA(_xlfn.XLOOKUP(B1430,customer_master!$A$2:$A$1649, customer_master!$A$2:$A$1649)), "Invalid", "Ok")</f>
        <v>Ok</v>
      </c>
      <c r="K1430" t="str">
        <f>IF(ISNA(_xlfn.XLOOKUP(H1430,agent_info!$A$2:$A$301, agent_info!$A$2:$A$301)), "Invalid", "Ok")</f>
        <v>Ok</v>
      </c>
    </row>
    <row r="1431" spans="1:11" x14ac:dyDescent="0.3">
      <c r="A1431" s="1" t="s">
        <v>5049</v>
      </c>
      <c r="B1431" s="1" t="s">
        <v>1063</v>
      </c>
      <c r="C1431" s="1" t="s">
        <v>3318</v>
      </c>
      <c r="D1431" s="1">
        <v>424971.8</v>
      </c>
      <c r="E1431" s="1">
        <v>21474.1</v>
      </c>
      <c r="F1431" s="41">
        <v>44353</v>
      </c>
      <c r="G1431" s="41">
        <v>44718</v>
      </c>
      <c r="H1431" s="1" t="s">
        <v>3457</v>
      </c>
      <c r="I1431" s="1" t="s">
        <v>3324</v>
      </c>
      <c r="J1431" t="str">
        <f>IF(ISNA(_xlfn.XLOOKUP(B1431,customer_master!$A$2:$A$1649, customer_master!$A$2:$A$1649)), "Invalid", "Ok")</f>
        <v>Ok</v>
      </c>
      <c r="K1431" t="str">
        <f>IF(ISNA(_xlfn.XLOOKUP(H1431,agent_info!$A$2:$A$301, agent_info!$A$2:$A$301)), "Invalid", "Ok")</f>
        <v>Ok</v>
      </c>
    </row>
    <row r="1432" spans="1:11" x14ac:dyDescent="0.3">
      <c r="A1432" s="1" t="s">
        <v>5050</v>
      </c>
      <c r="B1432" s="1" t="s">
        <v>2496</v>
      </c>
      <c r="C1432" s="1" t="s">
        <v>3326</v>
      </c>
      <c r="D1432" s="1">
        <v>444437.59</v>
      </c>
      <c r="E1432" s="1">
        <v>20615.599999999999</v>
      </c>
      <c r="F1432" s="41">
        <v>44907</v>
      </c>
      <c r="G1432" s="41">
        <v>45272</v>
      </c>
      <c r="H1432" s="1" t="s">
        <v>3402</v>
      </c>
      <c r="I1432" s="1" t="s">
        <v>3324</v>
      </c>
      <c r="J1432" t="str">
        <f>IF(ISNA(_xlfn.XLOOKUP(B1432,customer_master!$A$2:$A$1649, customer_master!$A$2:$A$1649)), "Invalid", "Ok")</f>
        <v>Ok</v>
      </c>
      <c r="K1432" t="str">
        <f>IF(ISNA(_xlfn.XLOOKUP(H1432,agent_info!$A$2:$A$301, agent_info!$A$2:$A$301)), "Invalid", "Ok")</f>
        <v>Ok</v>
      </c>
    </row>
    <row r="1433" spans="1:11" x14ac:dyDescent="0.3">
      <c r="A1433" s="1" t="s">
        <v>5051</v>
      </c>
      <c r="B1433" s="1" t="s">
        <v>2506</v>
      </c>
      <c r="C1433" s="1" t="s">
        <v>3318</v>
      </c>
      <c r="D1433" s="1">
        <v>454434.3</v>
      </c>
      <c r="E1433" s="1">
        <v>23650.98</v>
      </c>
      <c r="F1433" s="41">
        <v>45689</v>
      </c>
      <c r="G1433" s="41">
        <v>46054</v>
      </c>
      <c r="H1433" s="1" t="s">
        <v>3453</v>
      </c>
      <c r="I1433" s="1" t="s">
        <v>3324</v>
      </c>
      <c r="J1433" t="str">
        <f>IF(ISNA(_xlfn.XLOOKUP(B1433,customer_master!$A$2:$A$1649, customer_master!$A$2:$A$1649)), "Invalid", "Ok")</f>
        <v>Ok</v>
      </c>
      <c r="K1433" t="str">
        <f>IF(ISNA(_xlfn.XLOOKUP(H1433,agent_info!$A$2:$A$301, agent_info!$A$2:$A$301)), "Invalid", "Ok")</f>
        <v>Ok</v>
      </c>
    </row>
    <row r="1434" spans="1:11" x14ac:dyDescent="0.3">
      <c r="A1434" s="1" t="s">
        <v>5052</v>
      </c>
      <c r="B1434" s="1" t="s">
        <v>831</v>
      </c>
      <c r="C1434" s="1" t="s">
        <v>3334</v>
      </c>
      <c r="D1434" s="1">
        <v>390375.03</v>
      </c>
      <c r="E1434" s="1">
        <v>19829.080000000002</v>
      </c>
      <c r="F1434" s="41">
        <v>44192</v>
      </c>
      <c r="G1434" s="41">
        <v>44557</v>
      </c>
      <c r="H1434" s="1" t="s">
        <v>4220</v>
      </c>
      <c r="I1434" s="1" t="s">
        <v>3324</v>
      </c>
      <c r="J1434" t="str">
        <f>IF(ISNA(_xlfn.XLOOKUP(B1434,customer_master!$A$2:$A$1649, customer_master!$A$2:$A$1649)), "Invalid", "Ok")</f>
        <v>Ok</v>
      </c>
      <c r="K1434" t="str">
        <f>IF(ISNA(_xlfn.XLOOKUP(H1434,agent_info!$A$2:$A$301, agent_info!$A$2:$A$301)), "Invalid", "Ok")</f>
        <v>Ok</v>
      </c>
    </row>
    <row r="1435" spans="1:11" x14ac:dyDescent="0.3">
      <c r="A1435" s="1" t="s">
        <v>5053</v>
      </c>
      <c r="B1435" s="1" t="s">
        <v>2093</v>
      </c>
      <c r="C1435" s="1" t="s">
        <v>3334</v>
      </c>
      <c r="D1435" s="1">
        <v>491453.39</v>
      </c>
      <c r="E1435" s="1">
        <v>24895.279999999999</v>
      </c>
      <c r="F1435" s="41">
        <v>45667</v>
      </c>
      <c r="G1435" s="41">
        <v>46032</v>
      </c>
      <c r="H1435" s="1" t="s">
        <v>4187</v>
      </c>
      <c r="I1435" s="1" t="s">
        <v>3316</v>
      </c>
      <c r="J1435" t="str">
        <f>IF(ISNA(_xlfn.XLOOKUP(B1435,customer_master!$A$2:$A$1649, customer_master!$A$2:$A$1649)), "Invalid", "Ok")</f>
        <v>Ok</v>
      </c>
      <c r="K1435" t="str">
        <f>IF(ISNA(_xlfn.XLOOKUP(H1435,agent_info!$A$2:$A$301, agent_info!$A$2:$A$301)), "Invalid", "Ok")</f>
        <v>Ok</v>
      </c>
    </row>
    <row r="1436" spans="1:11" x14ac:dyDescent="0.3">
      <c r="A1436" s="1" t="s">
        <v>5054</v>
      </c>
      <c r="B1436" s="1" t="s">
        <v>2256</v>
      </c>
      <c r="C1436" s="1" t="s">
        <v>3331</v>
      </c>
      <c r="D1436" s="1">
        <v>761586.34</v>
      </c>
      <c r="E1436" s="1">
        <v>39893</v>
      </c>
      <c r="F1436" s="41">
        <v>46213</v>
      </c>
      <c r="G1436" s="41">
        <v>46578</v>
      </c>
      <c r="H1436" s="1" t="s">
        <v>3734</v>
      </c>
      <c r="I1436" s="1" t="s">
        <v>3320</v>
      </c>
      <c r="J1436" t="str">
        <f>IF(ISNA(_xlfn.XLOOKUP(B1436,customer_master!$A$2:$A$1649, customer_master!$A$2:$A$1649)), "Invalid", "Ok")</f>
        <v>Ok</v>
      </c>
      <c r="K1436" t="str">
        <f>IF(ISNA(_xlfn.XLOOKUP(H1436,agent_info!$A$2:$A$301, agent_info!$A$2:$A$301)), "Invalid", "Ok")</f>
        <v>Ok</v>
      </c>
    </row>
    <row r="1437" spans="1:11" x14ac:dyDescent="0.3">
      <c r="A1437" s="1" t="s">
        <v>5055</v>
      </c>
      <c r="B1437" s="1" t="s">
        <v>927</v>
      </c>
      <c r="C1437" s="1" t="s">
        <v>3326</v>
      </c>
      <c r="D1437" s="1">
        <v>467770.25</v>
      </c>
      <c r="E1437" s="1">
        <v>24106.45</v>
      </c>
      <c r="F1437" s="41">
        <v>45627</v>
      </c>
      <c r="G1437" s="41">
        <v>45992</v>
      </c>
      <c r="H1437" s="1" t="s">
        <v>3625</v>
      </c>
      <c r="I1437" s="1" t="s">
        <v>3316</v>
      </c>
      <c r="J1437" t="str">
        <f>IF(ISNA(_xlfn.XLOOKUP(B1437,customer_master!$A$2:$A$1649, customer_master!$A$2:$A$1649)), "Invalid", "Ok")</f>
        <v>Ok</v>
      </c>
      <c r="K1437" t="str">
        <f>IF(ISNA(_xlfn.XLOOKUP(H1437,agent_info!$A$2:$A$301, agent_info!$A$2:$A$301)), "Invalid", "Ok")</f>
        <v>Ok</v>
      </c>
    </row>
    <row r="1438" spans="1:11" x14ac:dyDescent="0.3">
      <c r="A1438" s="1" t="s">
        <v>5056</v>
      </c>
      <c r="B1438" s="1" t="s">
        <v>1517</v>
      </c>
      <c r="C1438" s="1" t="s">
        <v>3334</v>
      </c>
      <c r="D1438" s="1">
        <v>466334.73</v>
      </c>
      <c r="E1438" s="1">
        <v>22692.98</v>
      </c>
      <c r="F1438" s="41">
        <v>44623</v>
      </c>
      <c r="G1438" s="41">
        <v>44988</v>
      </c>
      <c r="H1438" s="1" t="s">
        <v>3587</v>
      </c>
      <c r="I1438" s="1" t="s">
        <v>3324</v>
      </c>
      <c r="J1438" t="str">
        <f>IF(ISNA(_xlfn.XLOOKUP(B1438,customer_master!$A$2:$A$1649, customer_master!$A$2:$A$1649)), "Invalid", "Ok")</f>
        <v>Ok</v>
      </c>
      <c r="K1438" t="str">
        <f>IF(ISNA(_xlfn.XLOOKUP(H1438,agent_info!$A$2:$A$301, agent_info!$A$2:$A$301)), "Invalid", "Ok")</f>
        <v>Ok</v>
      </c>
    </row>
    <row r="1439" spans="1:11" x14ac:dyDescent="0.3">
      <c r="A1439" s="1" t="s">
        <v>5057</v>
      </c>
      <c r="B1439" s="1" t="s">
        <v>1457</v>
      </c>
      <c r="C1439" s="1" t="s">
        <v>3334</v>
      </c>
      <c r="D1439" s="1">
        <v>575849.86</v>
      </c>
      <c r="E1439" s="1">
        <v>27747.26</v>
      </c>
      <c r="F1439" s="41">
        <v>45411</v>
      </c>
      <c r="G1439" s="41">
        <v>45776</v>
      </c>
      <c r="H1439" s="1" t="s">
        <v>3439</v>
      </c>
      <c r="I1439" s="1" t="s">
        <v>3324</v>
      </c>
      <c r="J1439" t="str">
        <f>IF(ISNA(_xlfn.XLOOKUP(B1439,customer_master!$A$2:$A$1649, customer_master!$A$2:$A$1649)), "Invalid", "Ok")</f>
        <v>Ok</v>
      </c>
      <c r="K1439" t="str">
        <f>IF(ISNA(_xlfn.XLOOKUP(H1439,agent_info!$A$2:$A$301, agent_info!$A$2:$A$301)), "Invalid", "Ok")</f>
        <v>Ok</v>
      </c>
    </row>
    <row r="1440" spans="1:11" x14ac:dyDescent="0.3">
      <c r="A1440" s="1" t="s">
        <v>5058</v>
      </c>
      <c r="B1440" s="1" t="s">
        <v>2573</v>
      </c>
      <c r="C1440" s="1" t="s">
        <v>3326</v>
      </c>
      <c r="D1440" s="1">
        <v>430278.96</v>
      </c>
      <c r="E1440" s="1">
        <v>20441.77</v>
      </c>
      <c r="F1440" s="41">
        <v>45626</v>
      </c>
      <c r="G1440" s="41">
        <v>45991</v>
      </c>
      <c r="H1440" s="1" t="s">
        <v>3719</v>
      </c>
      <c r="I1440" s="1" t="s">
        <v>3316</v>
      </c>
      <c r="J1440" t="str">
        <f>IF(ISNA(_xlfn.XLOOKUP(B1440,customer_master!$A$2:$A$1649, customer_master!$A$2:$A$1649)), "Invalid", "Ok")</f>
        <v>Ok</v>
      </c>
      <c r="K1440" t="str">
        <f>IF(ISNA(_xlfn.XLOOKUP(H1440,agent_info!$A$2:$A$301, agent_info!$A$2:$A$301)), "Invalid", "Ok")</f>
        <v>Ok</v>
      </c>
    </row>
    <row r="1441" spans="1:11" x14ac:dyDescent="0.3">
      <c r="A1441" s="1" t="s">
        <v>5059</v>
      </c>
      <c r="B1441" s="1" t="s">
        <v>18</v>
      </c>
      <c r="C1441" s="1" t="s">
        <v>3331</v>
      </c>
      <c r="D1441" s="1">
        <v>595004.64</v>
      </c>
      <c r="E1441" s="1">
        <v>30197.35</v>
      </c>
      <c r="F1441" s="41">
        <v>44478</v>
      </c>
      <c r="G1441" s="41">
        <v>44843</v>
      </c>
      <c r="H1441" s="1" t="s">
        <v>3585</v>
      </c>
      <c r="I1441" s="1" t="s">
        <v>3324</v>
      </c>
      <c r="J1441" t="str">
        <f>IF(ISNA(_xlfn.XLOOKUP(B1441,customer_master!$A$2:$A$1649, customer_master!$A$2:$A$1649)), "Invalid", "Ok")</f>
        <v>Ok</v>
      </c>
      <c r="K1441" t="str">
        <f>IF(ISNA(_xlfn.XLOOKUP(H1441,agent_info!$A$2:$A$301, agent_info!$A$2:$A$301)), "Invalid", "Ok")</f>
        <v>Ok</v>
      </c>
    </row>
    <row r="1442" spans="1:11" x14ac:dyDescent="0.3">
      <c r="A1442" s="1" t="s">
        <v>5060</v>
      </c>
      <c r="B1442" s="1" t="s">
        <v>1682</v>
      </c>
      <c r="C1442" s="1" t="s">
        <v>3331</v>
      </c>
      <c r="D1442" s="1">
        <v>534350.21</v>
      </c>
      <c r="E1442" s="1">
        <v>25648.21</v>
      </c>
      <c r="F1442" s="41">
        <v>46238</v>
      </c>
      <c r="G1442" s="41">
        <v>46603</v>
      </c>
      <c r="H1442" s="1" t="s">
        <v>3758</v>
      </c>
      <c r="I1442" s="1" t="s">
        <v>3324</v>
      </c>
      <c r="J1442" t="str">
        <f>IF(ISNA(_xlfn.XLOOKUP(B1442,customer_master!$A$2:$A$1649, customer_master!$A$2:$A$1649)), "Invalid", "Ok")</f>
        <v>Ok</v>
      </c>
      <c r="K1442" t="str">
        <f>IF(ISNA(_xlfn.XLOOKUP(H1442,agent_info!$A$2:$A$301, agent_info!$A$2:$A$301)), "Invalid", "Ok")</f>
        <v>Ok</v>
      </c>
    </row>
    <row r="1443" spans="1:11" x14ac:dyDescent="0.3">
      <c r="A1443" s="1" t="s">
        <v>5061</v>
      </c>
      <c r="B1443" s="1" t="s">
        <v>654</v>
      </c>
      <c r="C1443" s="1" t="s">
        <v>3318</v>
      </c>
      <c r="D1443" s="1">
        <v>717006.02</v>
      </c>
      <c r="E1443" s="1">
        <v>33128.68</v>
      </c>
      <c r="F1443" s="41">
        <v>45827</v>
      </c>
      <c r="G1443" s="41">
        <v>46192</v>
      </c>
      <c r="H1443" s="1" t="s">
        <v>3725</v>
      </c>
      <c r="I1443" s="1" t="s">
        <v>3324</v>
      </c>
      <c r="J1443" t="str">
        <f>IF(ISNA(_xlfn.XLOOKUP(B1443,customer_master!$A$2:$A$1649, customer_master!$A$2:$A$1649)), "Invalid", "Ok")</f>
        <v>Ok</v>
      </c>
      <c r="K1443" t="str">
        <f>IF(ISNA(_xlfn.XLOOKUP(H1443,agent_info!$A$2:$A$301, agent_info!$A$2:$A$301)), "Invalid", "Ok")</f>
        <v>Ok</v>
      </c>
    </row>
    <row r="1444" spans="1:11" x14ac:dyDescent="0.3">
      <c r="A1444" s="1" t="s">
        <v>5062</v>
      </c>
      <c r="B1444" s="1" t="s">
        <v>2164</v>
      </c>
      <c r="C1444" s="1" t="s">
        <v>3326</v>
      </c>
      <c r="D1444" s="1">
        <v>674771.74</v>
      </c>
      <c r="E1444" s="1">
        <v>35646.15</v>
      </c>
      <c r="F1444" s="41">
        <v>45177</v>
      </c>
      <c r="G1444" s="41">
        <v>45543</v>
      </c>
      <c r="H1444" s="1" t="s">
        <v>4004</v>
      </c>
      <c r="I1444" s="1" t="s">
        <v>3320</v>
      </c>
      <c r="J1444" t="str">
        <f>IF(ISNA(_xlfn.XLOOKUP(B1444,customer_master!$A$2:$A$1649, customer_master!$A$2:$A$1649)), "Invalid", "Ok")</f>
        <v>Ok</v>
      </c>
      <c r="K1444" t="str">
        <f>IF(ISNA(_xlfn.XLOOKUP(H1444,agent_info!$A$2:$A$301, agent_info!$A$2:$A$301)), "Invalid", "Ok")</f>
        <v>Ok</v>
      </c>
    </row>
    <row r="1445" spans="1:11" x14ac:dyDescent="0.3">
      <c r="A1445" s="1" t="s">
        <v>5063</v>
      </c>
      <c r="B1445" s="1" t="s">
        <v>2276</v>
      </c>
      <c r="C1445" s="1" t="s">
        <v>3331</v>
      </c>
      <c r="D1445" s="1">
        <v>653532.87</v>
      </c>
      <c r="E1445" s="1">
        <v>30775.73</v>
      </c>
      <c r="F1445" s="41">
        <v>44681</v>
      </c>
      <c r="G1445" s="41">
        <v>45046</v>
      </c>
      <c r="H1445" s="1" t="s">
        <v>3477</v>
      </c>
      <c r="I1445" s="1" t="s">
        <v>3324</v>
      </c>
      <c r="J1445" t="str">
        <f>IF(ISNA(_xlfn.XLOOKUP(B1445,customer_master!$A$2:$A$1649, customer_master!$A$2:$A$1649)), "Invalid", "Ok")</f>
        <v>Ok</v>
      </c>
      <c r="K1445" t="str">
        <f>IF(ISNA(_xlfn.XLOOKUP(H1445,agent_info!$A$2:$A$301, agent_info!$A$2:$A$301)), "Invalid", "Ok")</f>
        <v>Ok</v>
      </c>
    </row>
    <row r="1446" spans="1:11" x14ac:dyDescent="0.3">
      <c r="A1446" s="1" t="s">
        <v>5064</v>
      </c>
      <c r="B1446" s="1" t="s">
        <v>1684</v>
      </c>
      <c r="C1446" s="1" t="s">
        <v>3318</v>
      </c>
      <c r="D1446" s="1">
        <v>459532.43</v>
      </c>
      <c r="E1446" s="1">
        <v>21436.62</v>
      </c>
      <c r="F1446" s="41">
        <v>45014</v>
      </c>
      <c r="G1446" s="41">
        <v>45380</v>
      </c>
      <c r="H1446" s="1" t="s">
        <v>4095</v>
      </c>
      <c r="I1446" s="1" t="s">
        <v>3316</v>
      </c>
      <c r="J1446" t="str">
        <f>IF(ISNA(_xlfn.XLOOKUP(B1446,customer_master!$A$2:$A$1649, customer_master!$A$2:$A$1649)), "Invalid", "Ok")</f>
        <v>Ok</v>
      </c>
      <c r="K1446" t="str">
        <f>IF(ISNA(_xlfn.XLOOKUP(H1446,agent_info!$A$2:$A$301, agent_info!$A$2:$A$301)), "Invalid", "Ok")</f>
        <v>Ok</v>
      </c>
    </row>
    <row r="1447" spans="1:11" x14ac:dyDescent="0.3">
      <c r="A1447" s="1" t="s">
        <v>5065</v>
      </c>
      <c r="B1447" s="1" t="s">
        <v>1815</v>
      </c>
      <c r="C1447" s="1" t="s">
        <v>3334</v>
      </c>
      <c r="D1447" s="1">
        <v>567450.93999999994</v>
      </c>
      <c r="E1447" s="1">
        <v>30352.959999999999</v>
      </c>
      <c r="F1447" s="41">
        <v>46141</v>
      </c>
      <c r="G1447" s="41">
        <v>46506</v>
      </c>
      <c r="H1447" s="1" t="s">
        <v>3587</v>
      </c>
      <c r="I1447" s="1" t="s">
        <v>3324</v>
      </c>
      <c r="J1447" t="str">
        <f>IF(ISNA(_xlfn.XLOOKUP(B1447,customer_master!$A$2:$A$1649, customer_master!$A$2:$A$1649)), "Invalid", "Ok")</f>
        <v>Ok</v>
      </c>
      <c r="K1447" t="str">
        <f>IF(ISNA(_xlfn.XLOOKUP(H1447,agent_info!$A$2:$A$301, agent_info!$A$2:$A$301)), "Invalid", "Ok")</f>
        <v>Ok</v>
      </c>
    </row>
    <row r="1448" spans="1:11" x14ac:dyDescent="0.3">
      <c r="A1448" s="1" t="s">
        <v>5066</v>
      </c>
      <c r="B1448" s="1" t="s">
        <v>1067</v>
      </c>
      <c r="C1448" s="1" t="s">
        <v>3314</v>
      </c>
      <c r="D1448" s="1">
        <v>502587.92</v>
      </c>
      <c r="E1448" s="1">
        <v>26145.27</v>
      </c>
      <c r="F1448" s="41">
        <v>46009</v>
      </c>
      <c r="G1448" s="41">
        <v>46374</v>
      </c>
      <c r="H1448" s="1" t="s">
        <v>3846</v>
      </c>
      <c r="I1448" s="1" t="s">
        <v>3324</v>
      </c>
      <c r="J1448" t="str">
        <f>IF(ISNA(_xlfn.XLOOKUP(B1448,customer_master!$A$2:$A$1649, customer_master!$A$2:$A$1649)), "Invalid", "Ok")</f>
        <v>Ok</v>
      </c>
      <c r="K1448" t="str">
        <f>IF(ISNA(_xlfn.XLOOKUP(H1448,agent_info!$A$2:$A$301, agent_info!$A$2:$A$301)), "Invalid", "Ok")</f>
        <v>Ok</v>
      </c>
    </row>
    <row r="1449" spans="1:11" x14ac:dyDescent="0.3">
      <c r="A1449" s="1" t="s">
        <v>5067</v>
      </c>
      <c r="B1449" s="1" t="s">
        <v>1063</v>
      </c>
      <c r="C1449" s="1" t="s">
        <v>3314</v>
      </c>
      <c r="D1449" s="1">
        <v>692336.83</v>
      </c>
      <c r="E1449" s="1">
        <v>36459.54</v>
      </c>
      <c r="F1449" s="41">
        <v>45861</v>
      </c>
      <c r="G1449" s="41">
        <v>46226</v>
      </c>
      <c r="H1449" s="1" t="s">
        <v>3738</v>
      </c>
      <c r="I1449" s="1" t="s">
        <v>3324</v>
      </c>
      <c r="J1449" t="str">
        <f>IF(ISNA(_xlfn.XLOOKUP(B1449,customer_master!$A$2:$A$1649, customer_master!$A$2:$A$1649)), "Invalid", "Ok")</f>
        <v>Ok</v>
      </c>
      <c r="K1449" t="str">
        <f>IF(ISNA(_xlfn.XLOOKUP(H1449,agent_info!$A$2:$A$301, agent_info!$A$2:$A$301)), "Invalid", "Ok")</f>
        <v>Ok</v>
      </c>
    </row>
    <row r="1450" spans="1:11" x14ac:dyDescent="0.3">
      <c r="A1450" s="1" t="s">
        <v>5068</v>
      </c>
      <c r="B1450" s="1" t="s">
        <v>2484</v>
      </c>
      <c r="C1450" s="1" t="s">
        <v>3318</v>
      </c>
      <c r="D1450" s="1">
        <v>389027.81</v>
      </c>
      <c r="E1450" s="1">
        <v>18869.25</v>
      </c>
      <c r="F1450" s="41">
        <v>44745</v>
      </c>
      <c r="G1450" s="41">
        <v>45110</v>
      </c>
      <c r="H1450" s="1" t="s">
        <v>3441</v>
      </c>
      <c r="I1450" s="1" t="s">
        <v>3320</v>
      </c>
      <c r="J1450" t="str">
        <f>IF(ISNA(_xlfn.XLOOKUP(B1450,customer_master!$A$2:$A$1649, customer_master!$A$2:$A$1649)), "Invalid", "Ok")</f>
        <v>Ok</v>
      </c>
      <c r="K1450" t="str">
        <f>IF(ISNA(_xlfn.XLOOKUP(H1450,agent_info!$A$2:$A$301, agent_info!$A$2:$A$301)), "Invalid", "Ok")</f>
        <v>Ok</v>
      </c>
    </row>
    <row r="1451" spans="1:11" x14ac:dyDescent="0.3">
      <c r="A1451" s="1" t="s">
        <v>5069</v>
      </c>
      <c r="B1451" s="1" t="s">
        <v>471</v>
      </c>
      <c r="C1451" s="1" t="s">
        <v>3318</v>
      </c>
      <c r="D1451" s="1">
        <v>628421.86</v>
      </c>
      <c r="E1451" s="1">
        <v>32159.09</v>
      </c>
      <c r="F1451" s="41">
        <v>45957</v>
      </c>
      <c r="G1451" s="41">
        <v>46322</v>
      </c>
      <c r="H1451" s="1" t="s">
        <v>3451</v>
      </c>
      <c r="I1451" s="1" t="s">
        <v>3324</v>
      </c>
      <c r="J1451" t="str">
        <f>IF(ISNA(_xlfn.XLOOKUP(B1451,customer_master!$A$2:$A$1649, customer_master!$A$2:$A$1649)), "Invalid", "Ok")</f>
        <v>Ok</v>
      </c>
      <c r="K1451" t="str">
        <f>IF(ISNA(_xlfn.XLOOKUP(H1451,agent_info!$A$2:$A$301, agent_info!$A$2:$A$301)), "Invalid", "Ok")</f>
        <v>Ok</v>
      </c>
    </row>
    <row r="1452" spans="1:11" x14ac:dyDescent="0.3">
      <c r="A1452" s="1" t="s">
        <v>5070</v>
      </c>
      <c r="B1452" s="1" t="s">
        <v>2571</v>
      </c>
      <c r="C1452" s="1" t="s">
        <v>3314</v>
      </c>
      <c r="D1452" s="1">
        <v>509442.33</v>
      </c>
      <c r="E1452" s="1">
        <v>27673.9</v>
      </c>
      <c r="F1452" s="41">
        <v>46153</v>
      </c>
      <c r="G1452" s="41">
        <v>46518</v>
      </c>
      <c r="H1452" s="1" t="s">
        <v>4822</v>
      </c>
      <c r="I1452" s="1" t="s">
        <v>3324</v>
      </c>
      <c r="J1452" t="str">
        <f>IF(ISNA(_xlfn.XLOOKUP(B1452,customer_master!$A$2:$A$1649, customer_master!$A$2:$A$1649)), "Invalid", "Ok")</f>
        <v>Ok</v>
      </c>
      <c r="K1452" t="str">
        <f>IF(ISNA(_xlfn.XLOOKUP(H1452,agent_info!$A$2:$A$301, agent_info!$A$2:$A$301)), "Invalid", "Ok")</f>
        <v>Ok</v>
      </c>
    </row>
    <row r="1453" spans="1:11" x14ac:dyDescent="0.3">
      <c r="A1453" s="1" t="s">
        <v>5071</v>
      </c>
      <c r="B1453" s="1" t="s">
        <v>2186</v>
      </c>
      <c r="C1453" s="1" t="s">
        <v>3326</v>
      </c>
      <c r="D1453" s="1">
        <v>518351.6</v>
      </c>
      <c r="E1453" s="1">
        <v>24791.19</v>
      </c>
      <c r="F1453" s="41">
        <v>44968</v>
      </c>
      <c r="G1453" s="41">
        <v>45333</v>
      </c>
      <c r="H1453" s="1" t="s">
        <v>3686</v>
      </c>
      <c r="I1453" s="1" t="s">
        <v>3324</v>
      </c>
      <c r="J1453" t="str">
        <f>IF(ISNA(_xlfn.XLOOKUP(B1453,customer_master!$A$2:$A$1649, customer_master!$A$2:$A$1649)), "Invalid", "Ok")</f>
        <v>Ok</v>
      </c>
      <c r="K1453" t="str">
        <f>IF(ISNA(_xlfn.XLOOKUP(H1453,agent_info!$A$2:$A$301, agent_info!$A$2:$A$301)), "Invalid", "Ok")</f>
        <v>Ok</v>
      </c>
    </row>
    <row r="1454" spans="1:11" x14ac:dyDescent="0.3">
      <c r="A1454" s="1" t="s">
        <v>5072</v>
      </c>
      <c r="B1454" s="1" t="s">
        <v>2939</v>
      </c>
      <c r="C1454" s="1" t="s">
        <v>3318</v>
      </c>
      <c r="D1454" s="1">
        <v>500092.1</v>
      </c>
      <c r="E1454" s="1">
        <v>22849.02</v>
      </c>
      <c r="F1454" s="41">
        <v>44762</v>
      </c>
      <c r="G1454" s="41">
        <v>45127</v>
      </c>
      <c r="H1454" s="1" t="s">
        <v>4455</v>
      </c>
      <c r="I1454" s="1" t="s">
        <v>3316</v>
      </c>
      <c r="J1454" t="str">
        <f>IF(ISNA(_xlfn.XLOOKUP(B1454,customer_master!$A$2:$A$1649, customer_master!$A$2:$A$1649)), "Invalid", "Ok")</f>
        <v>Ok</v>
      </c>
      <c r="K1454" t="str">
        <f>IF(ISNA(_xlfn.XLOOKUP(H1454,agent_info!$A$2:$A$301, agent_info!$A$2:$A$301)), "Invalid", "Ok")</f>
        <v>Ok</v>
      </c>
    </row>
    <row r="1455" spans="1:11" x14ac:dyDescent="0.3">
      <c r="A1455" s="1" t="s">
        <v>5073</v>
      </c>
      <c r="B1455" s="1" t="s">
        <v>891</v>
      </c>
      <c r="C1455" s="1" t="s">
        <v>3318</v>
      </c>
      <c r="D1455" s="1">
        <v>515890.63</v>
      </c>
      <c r="E1455" s="1">
        <v>24096.62</v>
      </c>
      <c r="F1455" s="41">
        <v>44274</v>
      </c>
      <c r="G1455" s="41">
        <v>44639</v>
      </c>
      <c r="H1455" s="1" t="s">
        <v>3391</v>
      </c>
      <c r="I1455" s="1" t="s">
        <v>3320</v>
      </c>
      <c r="J1455" t="str">
        <f>IF(ISNA(_xlfn.XLOOKUP(B1455,customer_master!$A$2:$A$1649, customer_master!$A$2:$A$1649)), "Invalid", "Ok")</f>
        <v>Ok</v>
      </c>
      <c r="K1455" t="str">
        <f>IF(ISNA(_xlfn.XLOOKUP(H1455,agent_info!$A$2:$A$301, agent_info!$A$2:$A$301)), "Invalid", "Ok")</f>
        <v>Ok</v>
      </c>
    </row>
    <row r="1456" spans="1:11" x14ac:dyDescent="0.3">
      <c r="A1456" s="1" t="s">
        <v>5074</v>
      </c>
      <c r="B1456" s="1" t="s">
        <v>1701</v>
      </c>
      <c r="C1456" s="1" t="s">
        <v>3334</v>
      </c>
      <c r="D1456" s="1">
        <v>644629.62</v>
      </c>
      <c r="E1456" s="1">
        <v>34793.67</v>
      </c>
      <c r="F1456" s="41">
        <v>44251</v>
      </c>
      <c r="G1456" s="41">
        <v>44616</v>
      </c>
      <c r="H1456" s="1" t="s">
        <v>4771</v>
      </c>
      <c r="I1456" s="1" t="s">
        <v>3324</v>
      </c>
      <c r="J1456" t="str">
        <f>IF(ISNA(_xlfn.XLOOKUP(B1456,customer_master!$A$2:$A$1649, customer_master!$A$2:$A$1649)), "Invalid", "Ok")</f>
        <v>Ok</v>
      </c>
      <c r="K1456" t="str">
        <f>IF(ISNA(_xlfn.XLOOKUP(H1456,agent_info!$A$2:$A$301, agent_info!$A$2:$A$301)), "Invalid", "Ok")</f>
        <v>Ok</v>
      </c>
    </row>
    <row r="1457" spans="1:11" x14ac:dyDescent="0.3">
      <c r="A1457" s="1" t="s">
        <v>5075</v>
      </c>
      <c r="B1457" s="1" t="s">
        <v>162</v>
      </c>
      <c r="C1457" s="1" t="s">
        <v>3334</v>
      </c>
      <c r="D1457" s="1">
        <v>614265.31999999995</v>
      </c>
      <c r="E1457" s="1">
        <v>29371.29</v>
      </c>
      <c r="F1457" s="41">
        <v>45677</v>
      </c>
      <c r="G1457" s="41">
        <v>46042</v>
      </c>
      <c r="H1457" s="1" t="s">
        <v>3813</v>
      </c>
      <c r="I1457" s="1" t="s">
        <v>3320</v>
      </c>
      <c r="J1457" t="str">
        <f>IF(ISNA(_xlfn.XLOOKUP(B1457,customer_master!$A$2:$A$1649, customer_master!$A$2:$A$1649)), "Invalid", "Ok")</f>
        <v>Ok</v>
      </c>
      <c r="K1457" t="str">
        <f>IF(ISNA(_xlfn.XLOOKUP(H1457,agent_info!$A$2:$A$301, agent_info!$A$2:$A$301)), "Invalid", "Ok")</f>
        <v>Ok</v>
      </c>
    </row>
    <row r="1458" spans="1:11" x14ac:dyDescent="0.3">
      <c r="A1458" s="1" t="s">
        <v>5076</v>
      </c>
      <c r="B1458" s="1" t="s">
        <v>3033</v>
      </c>
      <c r="C1458" s="1" t="s">
        <v>3326</v>
      </c>
      <c r="D1458" s="1">
        <v>435431.24</v>
      </c>
      <c r="E1458" s="1">
        <v>21733.47</v>
      </c>
      <c r="F1458" s="41">
        <v>46148</v>
      </c>
      <c r="G1458" s="41">
        <v>46513</v>
      </c>
      <c r="H1458" s="1" t="s">
        <v>3897</v>
      </c>
      <c r="I1458" s="1" t="s">
        <v>3324</v>
      </c>
      <c r="J1458" t="str">
        <f>IF(ISNA(_xlfn.XLOOKUP(B1458,customer_master!$A$2:$A$1649, customer_master!$A$2:$A$1649)), "Invalid", "Ok")</f>
        <v>Ok</v>
      </c>
      <c r="K1458" t="str">
        <f>IF(ISNA(_xlfn.XLOOKUP(H1458,agent_info!$A$2:$A$301, agent_info!$A$2:$A$301)), "Invalid", "Ok")</f>
        <v>Ok</v>
      </c>
    </row>
    <row r="1459" spans="1:11" x14ac:dyDescent="0.3">
      <c r="A1459" s="1" t="s">
        <v>5077</v>
      </c>
      <c r="B1459" s="1" t="s">
        <v>2258</v>
      </c>
      <c r="C1459" s="1" t="s">
        <v>3334</v>
      </c>
      <c r="D1459" s="1">
        <v>401800.49</v>
      </c>
      <c r="E1459" s="1">
        <v>20228.919999999998</v>
      </c>
      <c r="F1459" s="41">
        <v>44438</v>
      </c>
      <c r="G1459" s="41">
        <v>44803</v>
      </c>
      <c r="H1459" s="1" t="s">
        <v>4146</v>
      </c>
      <c r="I1459" s="1" t="s">
        <v>3316</v>
      </c>
      <c r="J1459" t="str">
        <f>IF(ISNA(_xlfn.XLOOKUP(B1459,customer_master!$A$2:$A$1649, customer_master!$A$2:$A$1649)), "Invalid", "Ok")</f>
        <v>Ok</v>
      </c>
      <c r="K1459" t="str">
        <f>IF(ISNA(_xlfn.XLOOKUP(H1459,agent_info!$A$2:$A$301, agent_info!$A$2:$A$301)), "Invalid", "Ok")</f>
        <v>Ok</v>
      </c>
    </row>
    <row r="1460" spans="1:11" x14ac:dyDescent="0.3">
      <c r="A1460" s="1" t="s">
        <v>5078</v>
      </c>
      <c r="B1460" s="1" t="s">
        <v>2099</v>
      </c>
      <c r="C1460" s="1" t="s">
        <v>3334</v>
      </c>
      <c r="D1460" s="1">
        <v>714568.4</v>
      </c>
      <c r="E1460" s="1">
        <v>39015.53</v>
      </c>
      <c r="F1460" s="41">
        <v>44202</v>
      </c>
      <c r="G1460" s="41">
        <v>44567</v>
      </c>
      <c r="H1460" s="1" t="s">
        <v>4505</v>
      </c>
      <c r="I1460" s="1" t="s">
        <v>3324</v>
      </c>
      <c r="J1460" t="str">
        <f>IF(ISNA(_xlfn.XLOOKUP(B1460,customer_master!$A$2:$A$1649, customer_master!$A$2:$A$1649)), "Invalid", "Ok")</f>
        <v>Ok</v>
      </c>
      <c r="K1460" t="str">
        <f>IF(ISNA(_xlfn.XLOOKUP(H1460,agent_info!$A$2:$A$301, agent_info!$A$2:$A$301)), "Invalid", "Ok")</f>
        <v>Ok</v>
      </c>
    </row>
    <row r="1461" spans="1:11" x14ac:dyDescent="0.3">
      <c r="A1461" s="1" t="s">
        <v>5079</v>
      </c>
      <c r="B1461" s="1" t="s">
        <v>2446</v>
      </c>
      <c r="C1461" s="1" t="s">
        <v>3314</v>
      </c>
      <c r="D1461" s="1">
        <v>574538.06999999995</v>
      </c>
      <c r="E1461" s="1">
        <v>27586.32</v>
      </c>
      <c r="F1461" s="41">
        <v>45706</v>
      </c>
      <c r="G1461" s="41">
        <v>46071</v>
      </c>
      <c r="H1461" s="1" t="s">
        <v>4273</v>
      </c>
      <c r="I1461" s="1" t="s">
        <v>3324</v>
      </c>
      <c r="J1461" t="str">
        <f>IF(ISNA(_xlfn.XLOOKUP(B1461,customer_master!$A$2:$A$1649, customer_master!$A$2:$A$1649)), "Invalid", "Ok")</f>
        <v>Ok</v>
      </c>
      <c r="K1461" t="str">
        <f>IF(ISNA(_xlfn.XLOOKUP(H1461,agent_info!$A$2:$A$301, agent_info!$A$2:$A$301)), "Invalid", "Ok")</f>
        <v>Ok</v>
      </c>
    </row>
    <row r="1462" spans="1:11" x14ac:dyDescent="0.3">
      <c r="A1462" s="1" t="s">
        <v>5080</v>
      </c>
      <c r="B1462" s="1" t="s">
        <v>960</v>
      </c>
      <c r="C1462" s="1" t="s">
        <v>3334</v>
      </c>
      <c r="D1462" s="1">
        <v>623211.14</v>
      </c>
      <c r="E1462" s="1">
        <v>31293.87</v>
      </c>
      <c r="F1462" s="41">
        <v>45291</v>
      </c>
      <c r="G1462" s="41">
        <v>45657</v>
      </c>
      <c r="H1462" s="1" t="s">
        <v>3653</v>
      </c>
      <c r="I1462" s="1" t="s">
        <v>3324</v>
      </c>
      <c r="J1462" t="str">
        <f>IF(ISNA(_xlfn.XLOOKUP(B1462,customer_master!$A$2:$A$1649, customer_master!$A$2:$A$1649)), "Invalid", "Ok")</f>
        <v>Ok</v>
      </c>
      <c r="K1462" t="str">
        <f>IF(ISNA(_xlfn.XLOOKUP(H1462,agent_info!$A$2:$A$301, agent_info!$A$2:$A$301)), "Invalid", "Ok")</f>
        <v>Ok</v>
      </c>
    </row>
    <row r="1463" spans="1:11" x14ac:dyDescent="0.3">
      <c r="A1463" s="1" t="s">
        <v>5081</v>
      </c>
      <c r="B1463" s="1" t="s">
        <v>2020</v>
      </c>
      <c r="C1463" s="1" t="s">
        <v>3326</v>
      </c>
      <c r="D1463" s="1">
        <v>520974.75</v>
      </c>
      <c r="E1463" s="1">
        <v>28435.45</v>
      </c>
      <c r="F1463" s="41">
        <v>45157</v>
      </c>
      <c r="G1463" s="41">
        <v>45523</v>
      </c>
      <c r="H1463" s="1" t="s">
        <v>3487</v>
      </c>
      <c r="I1463" s="1" t="s">
        <v>3324</v>
      </c>
      <c r="J1463" t="str">
        <f>IF(ISNA(_xlfn.XLOOKUP(B1463,customer_master!$A$2:$A$1649, customer_master!$A$2:$A$1649)), "Invalid", "Ok")</f>
        <v>Ok</v>
      </c>
      <c r="K1463" t="str">
        <f>IF(ISNA(_xlfn.XLOOKUP(H1463,agent_info!$A$2:$A$301, agent_info!$A$2:$A$301)), "Invalid", "Ok")</f>
        <v>Ok</v>
      </c>
    </row>
    <row r="1464" spans="1:11" x14ac:dyDescent="0.3">
      <c r="A1464" s="1" t="s">
        <v>5082</v>
      </c>
      <c r="B1464" s="1" t="s">
        <v>2651</v>
      </c>
      <c r="C1464" s="1" t="s">
        <v>3314</v>
      </c>
      <c r="D1464" s="1">
        <v>623291.98</v>
      </c>
      <c r="E1464" s="1">
        <v>29303.11</v>
      </c>
      <c r="F1464" s="41">
        <v>45993</v>
      </c>
      <c r="G1464" s="41">
        <v>46358</v>
      </c>
      <c r="H1464" s="1" t="s">
        <v>3361</v>
      </c>
      <c r="I1464" s="1" t="s">
        <v>3324</v>
      </c>
      <c r="J1464" t="str">
        <f>IF(ISNA(_xlfn.XLOOKUP(B1464,customer_master!$A$2:$A$1649, customer_master!$A$2:$A$1649)), "Invalid", "Ok")</f>
        <v>Ok</v>
      </c>
      <c r="K1464" t="str">
        <f>IF(ISNA(_xlfn.XLOOKUP(H1464,agent_info!$A$2:$A$301, agent_info!$A$2:$A$301)), "Invalid", "Ok")</f>
        <v>Ok</v>
      </c>
    </row>
    <row r="1465" spans="1:11" x14ac:dyDescent="0.3">
      <c r="A1465" s="1" t="s">
        <v>5083</v>
      </c>
      <c r="B1465" s="1" t="s">
        <v>330</v>
      </c>
      <c r="C1465" s="1" t="s">
        <v>3334</v>
      </c>
      <c r="D1465" s="1">
        <v>626384.4</v>
      </c>
      <c r="E1465" s="1">
        <v>31932.36</v>
      </c>
      <c r="F1465" s="41">
        <v>46186</v>
      </c>
      <c r="G1465" s="41">
        <v>46551</v>
      </c>
      <c r="H1465" s="1" t="s">
        <v>4087</v>
      </c>
      <c r="I1465" s="1" t="s">
        <v>3316</v>
      </c>
      <c r="J1465" t="str">
        <f>IF(ISNA(_xlfn.XLOOKUP(B1465,customer_master!$A$2:$A$1649, customer_master!$A$2:$A$1649)), "Invalid", "Ok")</f>
        <v>Ok</v>
      </c>
      <c r="K1465" t="str">
        <f>IF(ISNA(_xlfn.XLOOKUP(H1465,agent_info!$A$2:$A$301, agent_info!$A$2:$A$301)), "Invalid", "Ok")</f>
        <v>Ok</v>
      </c>
    </row>
    <row r="1466" spans="1:11" x14ac:dyDescent="0.3">
      <c r="A1466" s="1" t="s">
        <v>5084</v>
      </c>
      <c r="B1466" s="1" t="s">
        <v>3182</v>
      </c>
      <c r="C1466" s="1" t="s">
        <v>3314</v>
      </c>
      <c r="D1466" s="1">
        <v>390790.61</v>
      </c>
      <c r="E1466" s="1">
        <v>17834.150000000001</v>
      </c>
      <c r="F1466" s="41">
        <v>45006</v>
      </c>
      <c r="G1466" s="41">
        <v>45372</v>
      </c>
      <c r="H1466" s="1" t="s">
        <v>3515</v>
      </c>
      <c r="I1466" s="1" t="s">
        <v>3324</v>
      </c>
      <c r="J1466" t="str">
        <f>IF(ISNA(_xlfn.XLOOKUP(B1466,customer_master!$A$2:$A$1649, customer_master!$A$2:$A$1649)), "Invalid", "Ok")</f>
        <v>Ok</v>
      </c>
      <c r="K1466" t="str">
        <f>IF(ISNA(_xlfn.XLOOKUP(H1466,agent_info!$A$2:$A$301, agent_info!$A$2:$A$301)), "Invalid", "Ok")</f>
        <v>Ok</v>
      </c>
    </row>
    <row r="1467" spans="1:11" x14ac:dyDescent="0.3">
      <c r="A1467" s="1" t="s">
        <v>5085</v>
      </c>
      <c r="B1467" s="1" t="s">
        <v>2965</v>
      </c>
      <c r="C1467" s="1" t="s">
        <v>3326</v>
      </c>
      <c r="D1467" s="1">
        <v>536640.68999999994</v>
      </c>
      <c r="E1467" s="1">
        <v>25560.06</v>
      </c>
      <c r="F1467" s="41">
        <v>45192</v>
      </c>
      <c r="G1467" s="41">
        <v>45558</v>
      </c>
      <c r="H1467" s="1" t="s">
        <v>4400</v>
      </c>
      <c r="I1467" s="1" t="s">
        <v>3324</v>
      </c>
      <c r="J1467" t="str">
        <f>IF(ISNA(_xlfn.XLOOKUP(B1467,customer_master!$A$2:$A$1649, customer_master!$A$2:$A$1649)), "Invalid", "Ok")</f>
        <v>Ok</v>
      </c>
      <c r="K1467" t="str">
        <f>IF(ISNA(_xlfn.XLOOKUP(H1467,agent_info!$A$2:$A$301, agent_info!$A$2:$A$301)), "Invalid", "Ok")</f>
        <v>Ok</v>
      </c>
    </row>
    <row r="1468" spans="1:11" x14ac:dyDescent="0.3">
      <c r="A1468" s="1" t="s">
        <v>5086</v>
      </c>
      <c r="B1468" s="1" t="s">
        <v>3192</v>
      </c>
      <c r="C1468" s="1" t="s">
        <v>3326</v>
      </c>
      <c r="D1468" s="1">
        <v>525737.79</v>
      </c>
      <c r="E1468" s="1">
        <v>24022.09</v>
      </c>
      <c r="F1468" s="41">
        <v>45678</v>
      </c>
      <c r="G1468" s="41">
        <v>46043</v>
      </c>
      <c r="H1468" s="1" t="s">
        <v>3443</v>
      </c>
      <c r="I1468" s="1" t="s">
        <v>3324</v>
      </c>
      <c r="J1468" t="str">
        <f>IF(ISNA(_xlfn.XLOOKUP(B1468,customer_master!$A$2:$A$1649, customer_master!$A$2:$A$1649)), "Invalid", "Ok")</f>
        <v>Ok</v>
      </c>
      <c r="K1468" t="str">
        <f>IF(ISNA(_xlfn.XLOOKUP(H1468,agent_info!$A$2:$A$301, agent_info!$A$2:$A$301)), "Invalid", "Ok")</f>
        <v>Ok</v>
      </c>
    </row>
    <row r="1469" spans="1:11" x14ac:dyDescent="0.3">
      <c r="A1469" s="1" t="s">
        <v>5087</v>
      </c>
      <c r="B1469" s="1" t="s">
        <v>2678</v>
      </c>
      <c r="C1469" s="1" t="s">
        <v>3314</v>
      </c>
      <c r="D1469" s="1">
        <v>421889.74</v>
      </c>
      <c r="E1469" s="1">
        <v>20377.919999999998</v>
      </c>
      <c r="F1469" s="41">
        <v>45128</v>
      </c>
      <c r="G1469" s="41">
        <v>45494</v>
      </c>
      <c r="H1469" s="1" t="s">
        <v>3359</v>
      </c>
      <c r="I1469" s="1" t="s">
        <v>3324</v>
      </c>
      <c r="J1469" t="str">
        <f>IF(ISNA(_xlfn.XLOOKUP(B1469,customer_master!$A$2:$A$1649, customer_master!$A$2:$A$1649)), "Invalid", "Ok")</f>
        <v>Ok</v>
      </c>
      <c r="K1469" t="str">
        <f>IF(ISNA(_xlfn.XLOOKUP(H1469,agent_info!$A$2:$A$301, agent_info!$A$2:$A$301)), "Invalid", "Ok")</f>
        <v>Ok</v>
      </c>
    </row>
    <row r="1470" spans="1:11" x14ac:dyDescent="0.3">
      <c r="A1470" s="1" t="s">
        <v>5088</v>
      </c>
      <c r="B1470" s="1" t="s">
        <v>996</v>
      </c>
      <c r="C1470" s="1" t="s">
        <v>3326</v>
      </c>
      <c r="D1470" s="1">
        <v>611058.65</v>
      </c>
      <c r="E1470" s="1">
        <v>28759.07</v>
      </c>
      <c r="F1470" s="41">
        <v>45205</v>
      </c>
      <c r="G1470" s="41">
        <v>45571</v>
      </c>
      <c r="H1470" s="1" t="s">
        <v>3917</v>
      </c>
      <c r="I1470" s="1" t="s">
        <v>3324</v>
      </c>
      <c r="J1470" t="str">
        <f>IF(ISNA(_xlfn.XLOOKUP(B1470,customer_master!$A$2:$A$1649, customer_master!$A$2:$A$1649)), "Invalid", "Ok")</f>
        <v>Ok</v>
      </c>
      <c r="K1470" t="str">
        <f>IF(ISNA(_xlfn.XLOOKUP(H1470,agent_info!$A$2:$A$301, agent_info!$A$2:$A$301)), "Invalid", "Ok")</f>
        <v>Ok</v>
      </c>
    </row>
    <row r="1471" spans="1:11" x14ac:dyDescent="0.3">
      <c r="A1471" s="1" t="s">
        <v>5089</v>
      </c>
      <c r="B1471" s="1" t="s">
        <v>1940</v>
      </c>
      <c r="C1471" s="1" t="s">
        <v>3326</v>
      </c>
      <c r="D1471" s="1">
        <v>432550.78</v>
      </c>
      <c r="E1471" s="1">
        <v>22918.34</v>
      </c>
      <c r="F1471" s="41">
        <v>46264</v>
      </c>
      <c r="G1471" s="41">
        <v>46629</v>
      </c>
      <c r="H1471" s="1" t="s">
        <v>3400</v>
      </c>
      <c r="I1471" s="1" t="s">
        <v>3324</v>
      </c>
      <c r="J1471" t="str">
        <f>IF(ISNA(_xlfn.XLOOKUP(B1471,customer_master!$A$2:$A$1649, customer_master!$A$2:$A$1649)), "Invalid", "Ok")</f>
        <v>Ok</v>
      </c>
      <c r="K1471" t="str">
        <f>IF(ISNA(_xlfn.XLOOKUP(H1471,agent_info!$A$2:$A$301, agent_info!$A$2:$A$301)), "Invalid", "Ok")</f>
        <v>Ok</v>
      </c>
    </row>
    <row r="1472" spans="1:11" x14ac:dyDescent="0.3">
      <c r="A1472" s="1" t="s">
        <v>5090</v>
      </c>
      <c r="B1472" s="1" t="s">
        <v>433</v>
      </c>
      <c r="C1472" s="1" t="s">
        <v>3331</v>
      </c>
      <c r="D1472" s="1">
        <v>402301.42</v>
      </c>
      <c r="E1472" s="1">
        <v>19967.810000000001</v>
      </c>
      <c r="F1472" s="41">
        <v>46023</v>
      </c>
      <c r="G1472" s="41">
        <v>46388</v>
      </c>
      <c r="H1472" s="1" t="s">
        <v>3441</v>
      </c>
      <c r="I1472" s="1" t="s">
        <v>3320</v>
      </c>
      <c r="J1472" t="str">
        <f>IF(ISNA(_xlfn.XLOOKUP(B1472,customer_master!$A$2:$A$1649, customer_master!$A$2:$A$1649)), "Invalid", "Ok")</f>
        <v>Ok</v>
      </c>
      <c r="K1472" t="str">
        <f>IF(ISNA(_xlfn.XLOOKUP(H1472,agent_info!$A$2:$A$301, agent_info!$A$2:$A$301)), "Invalid", "Ok")</f>
        <v>Ok</v>
      </c>
    </row>
    <row r="1473" spans="1:11" x14ac:dyDescent="0.3">
      <c r="A1473" s="1" t="s">
        <v>5091</v>
      </c>
      <c r="B1473" s="1" t="s">
        <v>2516</v>
      </c>
      <c r="C1473" s="1" t="s">
        <v>3334</v>
      </c>
      <c r="D1473" s="1">
        <v>694216.21</v>
      </c>
      <c r="E1473" s="1">
        <v>34051.31</v>
      </c>
      <c r="F1473" s="41">
        <v>45606</v>
      </c>
      <c r="G1473" s="41">
        <v>45971</v>
      </c>
      <c r="H1473" s="1" t="s">
        <v>3579</v>
      </c>
      <c r="I1473" s="1" t="s">
        <v>3316</v>
      </c>
      <c r="J1473" t="str">
        <f>IF(ISNA(_xlfn.XLOOKUP(B1473,customer_master!$A$2:$A$1649, customer_master!$A$2:$A$1649)), "Invalid", "Ok")</f>
        <v>Ok</v>
      </c>
      <c r="K1473" t="str">
        <f>IF(ISNA(_xlfn.XLOOKUP(H1473,agent_info!$A$2:$A$301, agent_info!$A$2:$A$301)), "Invalid", "Ok")</f>
        <v>Ok</v>
      </c>
    </row>
    <row r="1474" spans="1:11" x14ac:dyDescent="0.3">
      <c r="A1474" s="1" t="s">
        <v>5092</v>
      </c>
      <c r="B1474" s="1" t="s">
        <v>542</v>
      </c>
      <c r="C1474" s="1" t="s">
        <v>3318</v>
      </c>
      <c r="D1474" s="1">
        <v>705019.8</v>
      </c>
      <c r="E1474" s="1">
        <v>36606.910000000003</v>
      </c>
      <c r="F1474" s="41">
        <v>44965</v>
      </c>
      <c r="G1474" s="41">
        <v>45330</v>
      </c>
      <c r="H1474" s="1" t="s">
        <v>4074</v>
      </c>
      <c r="I1474" s="1" t="s">
        <v>3320</v>
      </c>
      <c r="J1474" t="str">
        <f>IF(ISNA(_xlfn.XLOOKUP(B1474,customer_master!$A$2:$A$1649, customer_master!$A$2:$A$1649)), "Invalid", "Ok")</f>
        <v>Ok</v>
      </c>
      <c r="K1474" t="str">
        <f>IF(ISNA(_xlfn.XLOOKUP(H1474,agent_info!$A$2:$A$301, agent_info!$A$2:$A$301)), "Invalid", "Ok")</f>
        <v>Ok</v>
      </c>
    </row>
    <row r="1475" spans="1:11" x14ac:dyDescent="0.3">
      <c r="A1475" s="1" t="s">
        <v>5093</v>
      </c>
      <c r="B1475" s="1" t="s">
        <v>2885</v>
      </c>
      <c r="C1475" s="1" t="s">
        <v>3318</v>
      </c>
      <c r="D1475" s="1">
        <v>468982.62</v>
      </c>
      <c r="E1475" s="1">
        <v>25546.42</v>
      </c>
      <c r="F1475" s="41">
        <v>45427</v>
      </c>
      <c r="G1475" s="41">
        <v>45792</v>
      </c>
      <c r="H1475" s="1" t="s">
        <v>4678</v>
      </c>
      <c r="I1475" s="1" t="s">
        <v>3324</v>
      </c>
      <c r="J1475" t="str">
        <f>IF(ISNA(_xlfn.XLOOKUP(B1475,customer_master!$A$2:$A$1649, customer_master!$A$2:$A$1649)), "Invalid", "Ok")</f>
        <v>Ok</v>
      </c>
      <c r="K1475" t="str">
        <f>IF(ISNA(_xlfn.XLOOKUP(H1475,agent_info!$A$2:$A$301, agent_info!$A$2:$A$301)), "Invalid", "Ok")</f>
        <v>Ok</v>
      </c>
    </row>
    <row r="1476" spans="1:11" x14ac:dyDescent="0.3">
      <c r="A1476" s="1" t="s">
        <v>5094</v>
      </c>
      <c r="B1476" s="1" t="s">
        <v>835</v>
      </c>
      <c r="C1476" s="1" t="s">
        <v>3334</v>
      </c>
      <c r="D1476" s="1">
        <v>649705.02</v>
      </c>
      <c r="E1476" s="1">
        <v>31195.87</v>
      </c>
      <c r="F1476" s="41">
        <v>46073</v>
      </c>
      <c r="G1476" s="41">
        <v>46438</v>
      </c>
      <c r="H1476" s="1" t="s">
        <v>3395</v>
      </c>
      <c r="I1476" s="1" t="s">
        <v>3320</v>
      </c>
      <c r="J1476" t="str">
        <f>IF(ISNA(_xlfn.XLOOKUP(B1476,customer_master!$A$2:$A$1649, customer_master!$A$2:$A$1649)), "Invalid", "Ok")</f>
        <v>Ok</v>
      </c>
      <c r="K1476" t="str">
        <f>IF(ISNA(_xlfn.XLOOKUP(H1476,agent_info!$A$2:$A$301, agent_info!$A$2:$A$301)), "Invalid", "Ok")</f>
        <v>Ok</v>
      </c>
    </row>
    <row r="1477" spans="1:11" x14ac:dyDescent="0.3">
      <c r="A1477" s="1" t="s">
        <v>5095</v>
      </c>
      <c r="B1477" s="1" t="s">
        <v>568</v>
      </c>
      <c r="C1477" s="1" t="s">
        <v>3318</v>
      </c>
      <c r="D1477" s="1">
        <v>379871.35</v>
      </c>
      <c r="E1477" s="1">
        <v>17347.78</v>
      </c>
      <c r="F1477" s="41">
        <v>45712</v>
      </c>
      <c r="G1477" s="41">
        <v>46077</v>
      </c>
      <c r="H1477" s="1" t="s">
        <v>4586</v>
      </c>
      <c r="I1477" s="1" t="s">
        <v>3316</v>
      </c>
      <c r="J1477" t="str">
        <f>IF(ISNA(_xlfn.XLOOKUP(B1477,customer_master!$A$2:$A$1649, customer_master!$A$2:$A$1649)), "Invalid", "Ok")</f>
        <v>Ok</v>
      </c>
      <c r="K1477" t="str">
        <f>IF(ISNA(_xlfn.XLOOKUP(H1477,agent_info!$A$2:$A$301, agent_info!$A$2:$A$301)), "Invalid", "Ok")</f>
        <v>Ok</v>
      </c>
    </row>
    <row r="1478" spans="1:11" x14ac:dyDescent="0.3">
      <c r="A1478" s="1" t="s">
        <v>5096</v>
      </c>
      <c r="B1478" s="1" t="s">
        <v>268</v>
      </c>
      <c r="C1478" s="1" t="s">
        <v>3334</v>
      </c>
      <c r="D1478" s="1">
        <v>662642.73</v>
      </c>
      <c r="E1478" s="1">
        <v>30546.37</v>
      </c>
      <c r="F1478" s="41">
        <v>45642</v>
      </c>
      <c r="G1478" s="41">
        <v>46007</v>
      </c>
      <c r="H1478" s="1" t="s">
        <v>3885</v>
      </c>
      <c r="I1478" s="1" t="s">
        <v>3324</v>
      </c>
      <c r="J1478" t="str">
        <f>IF(ISNA(_xlfn.XLOOKUP(B1478,customer_master!$A$2:$A$1649, customer_master!$A$2:$A$1649)), "Invalid", "Ok")</f>
        <v>Ok</v>
      </c>
      <c r="K1478" t="str">
        <f>IF(ISNA(_xlfn.XLOOKUP(H1478,agent_info!$A$2:$A$301, agent_info!$A$2:$A$301)), "Invalid", "Ok")</f>
        <v>Ok</v>
      </c>
    </row>
    <row r="1479" spans="1:11" x14ac:dyDescent="0.3">
      <c r="A1479" s="1" t="s">
        <v>5097</v>
      </c>
      <c r="B1479" s="1" t="s">
        <v>2378</v>
      </c>
      <c r="C1479" s="1" t="s">
        <v>3334</v>
      </c>
      <c r="D1479" s="1">
        <v>563955.87</v>
      </c>
      <c r="E1479" s="1">
        <v>30212.33</v>
      </c>
      <c r="F1479" s="41">
        <v>45617</v>
      </c>
      <c r="G1479" s="41">
        <v>45982</v>
      </c>
      <c r="H1479" s="1" t="s">
        <v>3627</v>
      </c>
      <c r="I1479" s="1" t="s">
        <v>3324</v>
      </c>
      <c r="J1479" t="str">
        <f>IF(ISNA(_xlfn.XLOOKUP(B1479,customer_master!$A$2:$A$1649, customer_master!$A$2:$A$1649)), "Invalid", "Ok")</f>
        <v>Ok</v>
      </c>
      <c r="K1479" t="str">
        <f>IF(ISNA(_xlfn.XLOOKUP(H1479,agent_info!$A$2:$A$301, agent_info!$A$2:$A$301)), "Invalid", "Ok")</f>
        <v>Ok</v>
      </c>
    </row>
    <row r="1480" spans="1:11" x14ac:dyDescent="0.3">
      <c r="A1480" s="1" t="s">
        <v>5098</v>
      </c>
      <c r="B1480" s="1" t="s">
        <v>662</v>
      </c>
      <c r="C1480" s="1" t="s">
        <v>3334</v>
      </c>
      <c r="D1480" s="1">
        <v>690106</v>
      </c>
      <c r="E1480" s="1">
        <v>36892.07</v>
      </c>
      <c r="F1480" s="41">
        <v>45720</v>
      </c>
      <c r="G1480" s="41">
        <v>46085</v>
      </c>
      <c r="H1480" s="1" t="s">
        <v>3355</v>
      </c>
      <c r="I1480" s="1" t="s">
        <v>3316</v>
      </c>
      <c r="J1480" t="str">
        <f>IF(ISNA(_xlfn.XLOOKUP(B1480,customer_master!$A$2:$A$1649, customer_master!$A$2:$A$1649)), "Invalid", "Ok")</f>
        <v>Ok</v>
      </c>
      <c r="K1480" t="str">
        <f>IF(ISNA(_xlfn.XLOOKUP(H1480,agent_info!$A$2:$A$301, agent_info!$A$2:$A$301)), "Invalid", "Ok")</f>
        <v>Ok</v>
      </c>
    </row>
    <row r="1481" spans="1:11" x14ac:dyDescent="0.3">
      <c r="A1481" s="1" t="s">
        <v>5099</v>
      </c>
      <c r="B1481" s="1" t="s">
        <v>703</v>
      </c>
      <c r="C1481" s="1" t="s">
        <v>3326</v>
      </c>
      <c r="D1481" s="1">
        <v>487561.89</v>
      </c>
      <c r="E1481" s="1">
        <v>24257.99</v>
      </c>
      <c r="F1481" s="41">
        <v>44612</v>
      </c>
      <c r="G1481" s="41">
        <v>44977</v>
      </c>
      <c r="H1481" s="1" t="s">
        <v>4703</v>
      </c>
      <c r="I1481" s="1" t="s">
        <v>3324</v>
      </c>
      <c r="J1481" t="str">
        <f>IF(ISNA(_xlfn.XLOOKUP(B1481,customer_master!$A$2:$A$1649, customer_master!$A$2:$A$1649)), "Invalid", "Ok")</f>
        <v>Ok</v>
      </c>
      <c r="K1481" t="str">
        <f>IF(ISNA(_xlfn.XLOOKUP(H1481,agent_info!$A$2:$A$301, agent_info!$A$2:$A$301)), "Invalid", "Ok")</f>
        <v>Ok</v>
      </c>
    </row>
    <row r="1482" spans="1:11" x14ac:dyDescent="0.3">
      <c r="A1482" s="1" t="s">
        <v>5100</v>
      </c>
      <c r="B1482" s="1" t="s">
        <v>596</v>
      </c>
      <c r="C1482" s="1" t="s">
        <v>3318</v>
      </c>
      <c r="D1482" s="1">
        <v>510706.63</v>
      </c>
      <c r="E1482" s="1">
        <v>23735.82</v>
      </c>
      <c r="F1482" s="41">
        <v>45696</v>
      </c>
      <c r="G1482" s="41">
        <v>46061</v>
      </c>
      <c r="H1482" s="1" t="s">
        <v>3655</v>
      </c>
      <c r="I1482" s="1" t="s">
        <v>3320</v>
      </c>
      <c r="J1482" t="str">
        <f>IF(ISNA(_xlfn.XLOOKUP(B1482,customer_master!$A$2:$A$1649, customer_master!$A$2:$A$1649)), "Invalid", "Ok")</f>
        <v>Ok</v>
      </c>
      <c r="K1482" t="str">
        <f>IF(ISNA(_xlfn.XLOOKUP(H1482,agent_info!$A$2:$A$301, agent_info!$A$2:$A$301)), "Invalid", "Ok")</f>
        <v>Ok</v>
      </c>
    </row>
    <row r="1483" spans="1:11" x14ac:dyDescent="0.3">
      <c r="A1483" s="1" t="s">
        <v>5101</v>
      </c>
      <c r="B1483" s="1" t="s">
        <v>1031</v>
      </c>
      <c r="C1483" s="1" t="s">
        <v>3318</v>
      </c>
      <c r="D1483" s="1">
        <v>695816.68</v>
      </c>
      <c r="E1483" s="1">
        <v>34975.15</v>
      </c>
      <c r="F1483" s="41">
        <v>46161</v>
      </c>
      <c r="G1483" s="41">
        <v>46526</v>
      </c>
      <c r="H1483" s="1" t="s">
        <v>3387</v>
      </c>
      <c r="I1483" s="1" t="s">
        <v>3316</v>
      </c>
      <c r="J1483" t="str">
        <f>IF(ISNA(_xlfn.XLOOKUP(B1483,customer_master!$A$2:$A$1649, customer_master!$A$2:$A$1649)), "Invalid", "Ok")</f>
        <v>Ok</v>
      </c>
      <c r="K1483" t="str">
        <f>IF(ISNA(_xlfn.XLOOKUP(H1483,agent_info!$A$2:$A$301, agent_info!$A$2:$A$301)), "Invalid", "Ok")</f>
        <v>Ok</v>
      </c>
    </row>
    <row r="1484" spans="1:11" x14ac:dyDescent="0.3">
      <c r="A1484" s="1" t="s">
        <v>5102</v>
      </c>
      <c r="B1484" s="1" t="s">
        <v>3130</v>
      </c>
      <c r="C1484" s="1" t="s">
        <v>3326</v>
      </c>
      <c r="D1484" s="1">
        <v>363526.34</v>
      </c>
      <c r="E1484" s="1">
        <v>18788.57</v>
      </c>
      <c r="F1484" s="41">
        <v>45881</v>
      </c>
      <c r="G1484" s="41">
        <v>46246</v>
      </c>
      <c r="H1484" s="1" t="s">
        <v>4472</v>
      </c>
      <c r="I1484" s="1" t="s">
        <v>3324</v>
      </c>
      <c r="J1484" t="str">
        <f>IF(ISNA(_xlfn.XLOOKUP(B1484,customer_master!$A$2:$A$1649, customer_master!$A$2:$A$1649)), "Invalid", "Ok")</f>
        <v>Ok</v>
      </c>
      <c r="K1484" t="str">
        <f>IF(ISNA(_xlfn.XLOOKUP(H1484,agent_info!$A$2:$A$301, agent_info!$A$2:$A$301)), "Invalid", "Ok")</f>
        <v>Ok</v>
      </c>
    </row>
    <row r="1485" spans="1:11" x14ac:dyDescent="0.3">
      <c r="A1485" s="1" t="s">
        <v>5103</v>
      </c>
      <c r="B1485" s="1" t="s">
        <v>1636</v>
      </c>
      <c r="C1485" s="1" t="s">
        <v>3318</v>
      </c>
      <c r="D1485" s="1">
        <v>448748.37</v>
      </c>
      <c r="E1485" s="1">
        <v>21684.58</v>
      </c>
      <c r="F1485" s="41">
        <v>46006</v>
      </c>
      <c r="G1485" s="41">
        <v>46371</v>
      </c>
      <c r="H1485" s="1" t="s">
        <v>3518</v>
      </c>
      <c r="I1485" s="1" t="s">
        <v>3320</v>
      </c>
      <c r="J1485" t="str">
        <f>IF(ISNA(_xlfn.XLOOKUP(B1485,customer_master!$A$2:$A$1649, customer_master!$A$2:$A$1649)), "Invalid", "Ok")</f>
        <v>Ok</v>
      </c>
      <c r="K1485" t="str">
        <f>IF(ISNA(_xlfn.XLOOKUP(H1485,agent_info!$A$2:$A$301, agent_info!$A$2:$A$301)), "Invalid", "Ok")</f>
        <v>Ok</v>
      </c>
    </row>
    <row r="1486" spans="1:11" x14ac:dyDescent="0.3">
      <c r="A1486" s="1" t="s">
        <v>5104</v>
      </c>
      <c r="B1486" s="1" t="s">
        <v>893</v>
      </c>
      <c r="C1486" s="1" t="s">
        <v>3331</v>
      </c>
      <c r="D1486" s="1">
        <v>538727.16</v>
      </c>
      <c r="E1486" s="1">
        <v>24687.27</v>
      </c>
      <c r="F1486" s="41">
        <v>45234</v>
      </c>
      <c r="G1486" s="41">
        <v>45600</v>
      </c>
      <c r="H1486" s="1" t="s">
        <v>3701</v>
      </c>
      <c r="I1486" s="1" t="s">
        <v>3324</v>
      </c>
      <c r="J1486" t="str">
        <f>IF(ISNA(_xlfn.XLOOKUP(B1486,customer_master!$A$2:$A$1649, customer_master!$A$2:$A$1649)), "Invalid", "Ok")</f>
        <v>Ok</v>
      </c>
      <c r="K1486" t="str">
        <f>IF(ISNA(_xlfn.XLOOKUP(H1486,agent_info!$A$2:$A$301, agent_info!$A$2:$A$301)), "Invalid", "Ok")</f>
        <v>Ok</v>
      </c>
    </row>
    <row r="1487" spans="1:11" x14ac:dyDescent="0.3">
      <c r="A1487" s="1" t="s">
        <v>5105</v>
      </c>
      <c r="B1487" s="1" t="s">
        <v>600</v>
      </c>
      <c r="C1487" s="1" t="s">
        <v>3326</v>
      </c>
      <c r="D1487" s="1">
        <v>558718.36</v>
      </c>
      <c r="E1487" s="1">
        <v>26941.07</v>
      </c>
      <c r="F1487" s="41">
        <v>45412</v>
      </c>
      <c r="G1487" s="41">
        <v>45777</v>
      </c>
      <c r="H1487" s="1" t="s">
        <v>3882</v>
      </c>
      <c r="I1487" s="1" t="s">
        <v>3324</v>
      </c>
      <c r="J1487" t="str">
        <f>IF(ISNA(_xlfn.XLOOKUP(B1487,customer_master!$A$2:$A$1649, customer_master!$A$2:$A$1649)), "Invalid", "Ok")</f>
        <v>Ok</v>
      </c>
      <c r="K1487" t="str">
        <f>IF(ISNA(_xlfn.XLOOKUP(H1487,agent_info!$A$2:$A$301, agent_info!$A$2:$A$301)), "Invalid", "Ok")</f>
        <v>Ok</v>
      </c>
    </row>
    <row r="1488" spans="1:11" x14ac:dyDescent="0.3">
      <c r="A1488" s="1" t="s">
        <v>5106</v>
      </c>
      <c r="B1488" s="1" t="s">
        <v>97</v>
      </c>
      <c r="C1488" s="1" t="s">
        <v>3334</v>
      </c>
      <c r="D1488" s="1">
        <v>386968.32000000001</v>
      </c>
      <c r="E1488" s="1">
        <v>20085.88</v>
      </c>
      <c r="F1488" s="41">
        <v>45408</v>
      </c>
      <c r="G1488" s="41">
        <v>45773</v>
      </c>
      <c r="H1488" s="1" t="s">
        <v>3885</v>
      </c>
      <c r="I1488" s="1" t="s">
        <v>3324</v>
      </c>
      <c r="J1488" t="str">
        <f>IF(ISNA(_xlfn.XLOOKUP(B1488,customer_master!$A$2:$A$1649, customer_master!$A$2:$A$1649)), "Invalid", "Ok")</f>
        <v>Ok</v>
      </c>
      <c r="K1488" t="str">
        <f>IF(ISNA(_xlfn.XLOOKUP(H1488,agent_info!$A$2:$A$301, agent_info!$A$2:$A$301)), "Invalid", "Ok")</f>
        <v>Ok</v>
      </c>
    </row>
    <row r="1489" spans="1:11" x14ac:dyDescent="0.3">
      <c r="A1489" s="1" t="s">
        <v>5107</v>
      </c>
      <c r="B1489" s="1" t="s">
        <v>1237</v>
      </c>
      <c r="C1489" s="1" t="s">
        <v>3314</v>
      </c>
      <c r="D1489" s="1">
        <v>606431.86</v>
      </c>
      <c r="E1489" s="1">
        <v>33222.57</v>
      </c>
      <c r="F1489" s="41">
        <v>46191</v>
      </c>
      <c r="G1489" s="41">
        <v>46556</v>
      </c>
      <c r="H1489" s="1" t="s">
        <v>3387</v>
      </c>
      <c r="I1489" s="1" t="s">
        <v>3324</v>
      </c>
      <c r="J1489" t="str">
        <f>IF(ISNA(_xlfn.XLOOKUP(B1489,customer_master!$A$2:$A$1649, customer_master!$A$2:$A$1649)), "Invalid", "Ok")</f>
        <v>Ok</v>
      </c>
      <c r="K1489" t="str">
        <f>IF(ISNA(_xlfn.XLOOKUP(H1489,agent_info!$A$2:$A$301, agent_info!$A$2:$A$301)), "Invalid", "Ok")</f>
        <v>Ok</v>
      </c>
    </row>
    <row r="1490" spans="1:11" x14ac:dyDescent="0.3">
      <c r="A1490" s="1" t="s">
        <v>5108</v>
      </c>
      <c r="B1490" s="1" t="s">
        <v>393</v>
      </c>
      <c r="C1490" s="1" t="s">
        <v>3318</v>
      </c>
      <c r="D1490" s="1">
        <v>521070.18</v>
      </c>
      <c r="E1490" s="1">
        <v>24438.66</v>
      </c>
      <c r="F1490" s="41">
        <v>45555</v>
      </c>
      <c r="G1490" s="41">
        <v>45920</v>
      </c>
      <c r="H1490" s="1" t="s">
        <v>3587</v>
      </c>
      <c r="I1490" s="1" t="s">
        <v>3324</v>
      </c>
      <c r="J1490" t="str">
        <f>IF(ISNA(_xlfn.XLOOKUP(B1490,customer_master!$A$2:$A$1649, customer_master!$A$2:$A$1649)), "Invalid", "Ok")</f>
        <v>Ok</v>
      </c>
      <c r="K1490" t="str">
        <f>IF(ISNA(_xlfn.XLOOKUP(H1490,agent_info!$A$2:$A$301, agent_info!$A$2:$A$301)), "Invalid", "Ok")</f>
        <v>Ok</v>
      </c>
    </row>
    <row r="1491" spans="1:11" x14ac:dyDescent="0.3">
      <c r="A1491" s="1" t="s">
        <v>5109</v>
      </c>
      <c r="B1491" s="1" t="s">
        <v>125</v>
      </c>
      <c r="C1491" s="1" t="s">
        <v>3326</v>
      </c>
      <c r="D1491" s="1">
        <v>570500.72</v>
      </c>
      <c r="E1491" s="1">
        <v>30890.080000000002</v>
      </c>
      <c r="F1491" s="41">
        <v>46010</v>
      </c>
      <c r="G1491" s="41">
        <v>46375</v>
      </c>
      <c r="H1491" s="1" t="s">
        <v>3466</v>
      </c>
      <c r="I1491" s="1" t="s">
        <v>3324</v>
      </c>
      <c r="J1491" t="str">
        <f>IF(ISNA(_xlfn.XLOOKUP(B1491,customer_master!$A$2:$A$1649, customer_master!$A$2:$A$1649)), "Invalid", "Ok")</f>
        <v>Ok</v>
      </c>
      <c r="K1491" t="str">
        <f>IF(ISNA(_xlfn.XLOOKUP(H1491,agent_info!$A$2:$A$301, agent_info!$A$2:$A$301)), "Invalid", "Ok")</f>
        <v>Ok</v>
      </c>
    </row>
    <row r="1492" spans="1:11" x14ac:dyDescent="0.3">
      <c r="A1492" s="1" t="s">
        <v>5110</v>
      </c>
      <c r="B1492" s="1" t="s">
        <v>369</v>
      </c>
      <c r="C1492" s="1" t="s">
        <v>3318</v>
      </c>
      <c r="D1492" s="1">
        <v>720836.11</v>
      </c>
      <c r="E1492" s="1">
        <v>35729.129999999997</v>
      </c>
      <c r="F1492" s="41">
        <v>45224</v>
      </c>
      <c r="G1492" s="41">
        <v>45590</v>
      </c>
      <c r="H1492" s="1" t="s">
        <v>3719</v>
      </c>
      <c r="I1492" s="1" t="s">
        <v>3324</v>
      </c>
      <c r="J1492" t="str">
        <f>IF(ISNA(_xlfn.XLOOKUP(B1492,customer_master!$A$2:$A$1649, customer_master!$A$2:$A$1649)), "Invalid", "Ok")</f>
        <v>Ok</v>
      </c>
      <c r="K1492" t="str">
        <f>IF(ISNA(_xlfn.XLOOKUP(H1492,agent_info!$A$2:$A$301, agent_info!$A$2:$A$301)), "Invalid", "Ok")</f>
        <v>Ok</v>
      </c>
    </row>
    <row r="1493" spans="1:11" x14ac:dyDescent="0.3">
      <c r="A1493" s="1" t="s">
        <v>5111</v>
      </c>
      <c r="B1493" s="1" t="s">
        <v>1077</v>
      </c>
      <c r="C1493" s="1" t="s">
        <v>3318</v>
      </c>
      <c r="D1493" s="1">
        <v>544649.62</v>
      </c>
      <c r="E1493" s="1">
        <v>28121.45</v>
      </c>
      <c r="F1493" s="41">
        <v>44570</v>
      </c>
      <c r="G1493" s="41">
        <v>44935</v>
      </c>
      <c r="H1493" s="1" t="s">
        <v>3576</v>
      </c>
      <c r="I1493" s="1" t="s">
        <v>3316</v>
      </c>
      <c r="J1493" t="str">
        <f>IF(ISNA(_xlfn.XLOOKUP(B1493,customer_master!$A$2:$A$1649, customer_master!$A$2:$A$1649)), "Invalid", "Ok")</f>
        <v>Ok</v>
      </c>
      <c r="K1493" t="str">
        <f>IF(ISNA(_xlfn.XLOOKUP(H1493,agent_info!$A$2:$A$301, agent_info!$A$2:$A$301)), "Invalid", "Ok")</f>
        <v>Ok</v>
      </c>
    </row>
    <row r="1494" spans="1:11" x14ac:dyDescent="0.3">
      <c r="A1494" s="1" t="s">
        <v>5112</v>
      </c>
      <c r="B1494" s="1" t="s">
        <v>2500</v>
      </c>
      <c r="C1494" s="1" t="s">
        <v>3334</v>
      </c>
      <c r="D1494" s="1">
        <v>598512.78</v>
      </c>
      <c r="E1494" s="1">
        <v>32102.42</v>
      </c>
      <c r="F1494" s="41">
        <v>44241</v>
      </c>
      <c r="G1494" s="41">
        <v>44606</v>
      </c>
      <c r="H1494" s="1" t="s">
        <v>4835</v>
      </c>
      <c r="I1494" s="1" t="s">
        <v>3316</v>
      </c>
      <c r="J1494" t="str">
        <f>IF(ISNA(_xlfn.XLOOKUP(B1494,customer_master!$A$2:$A$1649, customer_master!$A$2:$A$1649)), "Invalid", "Ok")</f>
        <v>Ok</v>
      </c>
      <c r="K1494" t="str">
        <f>IF(ISNA(_xlfn.XLOOKUP(H1494,agent_info!$A$2:$A$301, agent_info!$A$2:$A$301)), "Invalid", "Ok")</f>
        <v>Ok</v>
      </c>
    </row>
    <row r="1495" spans="1:11" x14ac:dyDescent="0.3">
      <c r="A1495" s="1" t="s">
        <v>5113</v>
      </c>
      <c r="B1495" s="1" t="s">
        <v>254</v>
      </c>
      <c r="C1495" s="1" t="s">
        <v>3326</v>
      </c>
      <c r="D1495" s="1">
        <v>511976.47</v>
      </c>
      <c r="E1495" s="1">
        <v>25893.01</v>
      </c>
      <c r="F1495" s="41">
        <v>45916</v>
      </c>
      <c r="G1495" s="41">
        <v>46281</v>
      </c>
      <c r="H1495" s="1" t="s">
        <v>4074</v>
      </c>
      <c r="I1495" s="1" t="s">
        <v>3316</v>
      </c>
      <c r="J1495" t="str">
        <f>IF(ISNA(_xlfn.XLOOKUP(B1495,customer_master!$A$2:$A$1649, customer_master!$A$2:$A$1649)), "Invalid", "Ok")</f>
        <v>Ok</v>
      </c>
      <c r="K1495" t="str">
        <f>IF(ISNA(_xlfn.XLOOKUP(H1495,agent_info!$A$2:$A$301, agent_info!$A$2:$A$301)), "Invalid", "Ok")</f>
        <v>Ok</v>
      </c>
    </row>
    <row r="1496" spans="1:11" x14ac:dyDescent="0.3">
      <c r="A1496" s="1" t="s">
        <v>5114</v>
      </c>
      <c r="B1496" s="1" t="s">
        <v>2268</v>
      </c>
      <c r="C1496" s="1" t="s">
        <v>3314</v>
      </c>
      <c r="D1496" s="1">
        <v>430630.97</v>
      </c>
      <c r="E1496" s="1">
        <v>19643.07</v>
      </c>
      <c r="F1496" s="41">
        <v>45202</v>
      </c>
      <c r="G1496" s="41">
        <v>45568</v>
      </c>
      <c r="H1496" s="1" t="s">
        <v>3371</v>
      </c>
      <c r="I1496" s="1" t="s">
        <v>3324</v>
      </c>
      <c r="J1496" t="str">
        <f>IF(ISNA(_xlfn.XLOOKUP(B1496,customer_master!$A$2:$A$1649, customer_master!$A$2:$A$1649)), "Invalid", "Ok")</f>
        <v>Ok</v>
      </c>
      <c r="K1496" t="str">
        <f>IF(ISNA(_xlfn.XLOOKUP(H1496,agent_info!$A$2:$A$301, agent_info!$A$2:$A$301)), "Invalid", "Ok")</f>
        <v>Ok</v>
      </c>
    </row>
    <row r="1497" spans="1:11" x14ac:dyDescent="0.3">
      <c r="A1497" s="1" t="s">
        <v>5115</v>
      </c>
      <c r="B1497" s="1" t="s">
        <v>2091</v>
      </c>
      <c r="C1497" s="1" t="s">
        <v>3314</v>
      </c>
      <c r="D1497" s="1">
        <v>690348.5</v>
      </c>
      <c r="E1497" s="1">
        <v>32900.480000000003</v>
      </c>
      <c r="F1497" s="41">
        <v>46164</v>
      </c>
      <c r="G1497" s="41">
        <v>46529</v>
      </c>
      <c r="H1497" s="1" t="s">
        <v>3931</v>
      </c>
      <c r="I1497" s="1" t="s">
        <v>3324</v>
      </c>
      <c r="J1497" t="str">
        <f>IF(ISNA(_xlfn.XLOOKUP(B1497,customer_master!$A$2:$A$1649, customer_master!$A$2:$A$1649)), "Invalid", "Ok")</f>
        <v>Ok</v>
      </c>
      <c r="K1497" t="str">
        <f>IF(ISNA(_xlfn.XLOOKUP(H1497,agent_info!$A$2:$A$301, agent_info!$A$2:$A$301)), "Invalid", "Ok")</f>
        <v>Ok</v>
      </c>
    </row>
    <row r="1498" spans="1:11" x14ac:dyDescent="0.3">
      <c r="A1498" s="1" t="s">
        <v>5116</v>
      </c>
      <c r="B1498" s="1" t="s">
        <v>2937</v>
      </c>
      <c r="C1498" s="1" t="s">
        <v>3331</v>
      </c>
      <c r="D1498" s="1">
        <v>719202.17</v>
      </c>
      <c r="E1498" s="1">
        <v>38138.61</v>
      </c>
      <c r="F1498" s="41">
        <v>45003</v>
      </c>
      <c r="G1498" s="41">
        <v>45369</v>
      </c>
      <c r="H1498" s="1" t="s">
        <v>3747</v>
      </c>
      <c r="I1498" s="1" t="s">
        <v>3316</v>
      </c>
      <c r="J1498" t="str">
        <f>IF(ISNA(_xlfn.XLOOKUP(B1498,customer_master!$A$2:$A$1649, customer_master!$A$2:$A$1649)), "Invalid", "Ok")</f>
        <v>Ok</v>
      </c>
      <c r="K1498" t="str">
        <f>IF(ISNA(_xlfn.XLOOKUP(H1498,agent_info!$A$2:$A$301, agent_info!$A$2:$A$301)), "Invalid", "Ok")</f>
        <v>Ok</v>
      </c>
    </row>
    <row r="1499" spans="1:11" x14ac:dyDescent="0.3">
      <c r="A1499" s="1" t="s">
        <v>5117</v>
      </c>
      <c r="B1499" s="1" t="s">
        <v>652</v>
      </c>
      <c r="C1499" s="1" t="s">
        <v>3326</v>
      </c>
      <c r="D1499" s="1">
        <v>634013.30000000005</v>
      </c>
      <c r="E1499" s="1">
        <v>32036.01</v>
      </c>
      <c r="F1499" s="41">
        <v>44907</v>
      </c>
      <c r="G1499" s="41">
        <v>45272</v>
      </c>
      <c r="H1499" s="1" t="s">
        <v>3655</v>
      </c>
      <c r="I1499" s="1" t="s">
        <v>3316</v>
      </c>
      <c r="J1499" t="str">
        <f>IF(ISNA(_xlfn.XLOOKUP(B1499,customer_master!$A$2:$A$1649, customer_master!$A$2:$A$1649)), "Invalid", "Ok")</f>
        <v>Ok</v>
      </c>
      <c r="K1499" t="str">
        <f>IF(ISNA(_xlfn.XLOOKUP(H1499,agent_info!$A$2:$A$301, agent_info!$A$2:$A$301)), "Invalid", "Ok")</f>
        <v>Ok</v>
      </c>
    </row>
    <row r="1500" spans="1:11" x14ac:dyDescent="0.3">
      <c r="A1500" s="1" t="s">
        <v>5118</v>
      </c>
      <c r="B1500" s="1" t="s">
        <v>2633</v>
      </c>
      <c r="C1500" s="1" t="s">
        <v>3314</v>
      </c>
      <c r="D1500" s="1">
        <v>749824.68</v>
      </c>
      <c r="E1500" s="1">
        <v>36209.589999999997</v>
      </c>
      <c r="F1500" s="41">
        <v>44895</v>
      </c>
      <c r="G1500" s="41">
        <v>45260</v>
      </c>
      <c r="H1500" s="1" t="s">
        <v>3351</v>
      </c>
      <c r="I1500" s="1" t="s">
        <v>3324</v>
      </c>
      <c r="J1500" t="str">
        <f>IF(ISNA(_xlfn.XLOOKUP(B1500,customer_master!$A$2:$A$1649, customer_master!$A$2:$A$1649)), "Invalid", "Ok")</f>
        <v>Ok</v>
      </c>
      <c r="K1500" t="str">
        <f>IF(ISNA(_xlfn.XLOOKUP(H1500,agent_info!$A$2:$A$301, agent_info!$A$2:$A$301)), "Invalid", "Ok")</f>
        <v>Ok</v>
      </c>
    </row>
    <row r="1501" spans="1:11" x14ac:dyDescent="0.3">
      <c r="A1501" s="1" t="s">
        <v>5119</v>
      </c>
      <c r="B1501" s="1" t="s">
        <v>2875</v>
      </c>
      <c r="C1501" s="1" t="s">
        <v>3318</v>
      </c>
      <c r="D1501" s="1">
        <v>554914.78</v>
      </c>
      <c r="E1501" s="1">
        <v>28207.99</v>
      </c>
      <c r="F1501" s="41">
        <v>44325</v>
      </c>
      <c r="G1501" s="41">
        <v>44690</v>
      </c>
      <c r="H1501" s="1" t="s">
        <v>3931</v>
      </c>
      <c r="I1501" s="1" t="s">
        <v>3324</v>
      </c>
      <c r="J1501" t="str">
        <f>IF(ISNA(_xlfn.XLOOKUP(B1501,customer_master!$A$2:$A$1649, customer_master!$A$2:$A$1649)), "Invalid", "Ok")</f>
        <v>Ok</v>
      </c>
      <c r="K1501" t="str">
        <f>IF(ISNA(_xlfn.XLOOKUP(H1501,agent_info!$A$2:$A$301, agent_info!$A$2:$A$301)), "Invalid", "Ok")</f>
        <v>Ok</v>
      </c>
    </row>
    <row r="1502" spans="1:11" x14ac:dyDescent="0.3">
      <c r="A1502" s="1" t="s">
        <v>5120</v>
      </c>
      <c r="B1502" s="1" t="s">
        <v>3234</v>
      </c>
      <c r="C1502" s="1" t="s">
        <v>3318</v>
      </c>
      <c r="D1502" s="1">
        <v>624577.62</v>
      </c>
      <c r="E1502" s="1">
        <v>29783.42</v>
      </c>
      <c r="F1502" s="41">
        <v>46080</v>
      </c>
      <c r="G1502" s="41">
        <v>46445</v>
      </c>
      <c r="H1502" s="1" t="s">
        <v>3943</v>
      </c>
      <c r="I1502" s="1" t="s">
        <v>3316</v>
      </c>
      <c r="J1502" t="str">
        <f>IF(ISNA(_xlfn.XLOOKUP(B1502,customer_master!$A$2:$A$1649, customer_master!$A$2:$A$1649)), "Invalid", "Ok")</f>
        <v>Ok</v>
      </c>
      <c r="K1502" t="str">
        <f>IF(ISNA(_xlfn.XLOOKUP(H1502,agent_info!$A$2:$A$301, agent_info!$A$2:$A$301)), "Invalid", "Ok")</f>
        <v>Ok</v>
      </c>
    </row>
    <row r="1503" spans="1:11" x14ac:dyDescent="0.3">
      <c r="A1503" s="1" t="s">
        <v>5121</v>
      </c>
      <c r="B1503" s="1" t="s">
        <v>2678</v>
      </c>
      <c r="C1503" s="1" t="s">
        <v>3314</v>
      </c>
      <c r="D1503" s="1">
        <v>449811.52</v>
      </c>
      <c r="E1503" s="1">
        <v>21325.61</v>
      </c>
      <c r="F1503" s="41">
        <v>44624</v>
      </c>
      <c r="G1503" s="41">
        <v>44989</v>
      </c>
      <c r="H1503" s="1" t="s">
        <v>3485</v>
      </c>
      <c r="I1503" s="1" t="s">
        <v>3324</v>
      </c>
      <c r="J1503" t="str">
        <f>IF(ISNA(_xlfn.XLOOKUP(B1503,customer_master!$A$2:$A$1649, customer_master!$A$2:$A$1649)), "Invalid", "Ok")</f>
        <v>Ok</v>
      </c>
      <c r="K1503" t="str">
        <f>IF(ISNA(_xlfn.XLOOKUP(H1503,agent_info!$A$2:$A$301, agent_info!$A$2:$A$301)), "Invalid", "Ok")</f>
        <v>Ok</v>
      </c>
    </row>
    <row r="1504" spans="1:11" x14ac:dyDescent="0.3">
      <c r="A1504" s="1" t="s">
        <v>5122</v>
      </c>
      <c r="B1504" s="1" t="s">
        <v>445</v>
      </c>
      <c r="C1504" s="1" t="s">
        <v>3318</v>
      </c>
      <c r="D1504" s="1">
        <v>747233.47</v>
      </c>
      <c r="E1504" s="1">
        <v>39815.54</v>
      </c>
      <c r="F1504" s="41">
        <v>45258</v>
      </c>
      <c r="G1504" s="41">
        <v>45624</v>
      </c>
      <c r="H1504" s="1" t="s">
        <v>3550</v>
      </c>
      <c r="I1504" s="1" t="s">
        <v>3324</v>
      </c>
      <c r="J1504" t="str">
        <f>IF(ISNA(_xlfn.XLOOKUP(B1504,customer_master!$A$2:$A$1649, customer_master!$A$2:$A$1649)), "Invalid", "Ok")</f>
        <v>Ok</v>
      </c>
      <c r="K1504" t="str">
        <f>IF(ISNA(_xlfn.XLOOKUP(H1504,agent_info!$A$2:$A$301, agent_info!$A$2:$A$301)), "Invalid", "Ok")</f>
        <v>Ok</v>
      </c>
    </row>
    <row r="1505" spans="1:11" x14ac:dyDescent="0.3">
      <c r="A1505" s="1" t="s">
        <v>5123</v>
      </c>
      <c r="B1505" s="1" t="s">
        <v>3152</v>
      </c>
      <c r="C1505" s="1" t="s">
        <v>3334</v>
      </c>
      <c r="D1505" s="1">
        <v>608513.31000000006</v>
      </c>
      <c r="E1505" s="1">
        <v>29817.56</v>
      </c>
      <c r="F1505" s="41">
        <v>45756</v>
      </c>
      <c r="G1505" s="41">
        <v>46121</v>
      </c>
      <c r="H1505" s="1" t="s">
        <v>3545</v>
      </c>
      <c r="I1505" s="1" t="s">
        <v>3324</v>
      </c>
      <c r="J1505" t="str">
        <f>IF(ISNA(_xlfn.XLOOKUP(B1505,customer_master!$A$2:$A$1649, customer_master!$A$2:$A$1649)), "Invalid", "Ok")</f>
        <v>Ok</v>
      </c>
      <c r="K1505" t="str">
        <f>IF(ISNA(_xlfn.XLOOKUP(H1505,agent_info!$A$2:$A$301, agent_info!$A$2:$A$301)), "Invalid", "Ok")</f>
        <v>Ok</v>
      </c>
    </row>
    <row r="1506" spans="1:11" x14ac:dyDescent="0.3">
      <c r="A1506" s="1" t="s">
        <v>5124</v>
      </c>
      <c r="B1506" s="1" t="s">
        <v>2706</v>
      </c>
      <c r="C1506" s="1" t="s">
        <v>3334</v>
      </c>
      <c r="D1506" s="1">
        <v>485740.3</v>
      </c>
      <c r="E1506" s="1">
        <v>23189.19</v>
      </c>
      <c r="F1506" s="41">
        <v>44335</v>
      </c>
      <c r="G1506" s="41">
        <v>44700</v>
      </c>
      <c r="H1506" s="1" t="s">
        <v>3369</v>
      </c>
      <c r="I1506" s="1" t="s">
        <v>3324</v>
      </c>
      <c r="J1506" t="str">
        <f>IF(ISNA(_xlfn.XLOOKUP(B1506,customer_master!$A$2:$A$1649, customer_master!$A$2:$A$1649)), "Invalid", "Ok")</f>
        <v>Ok</v>
      </c>
      <c r="K1506" t="str">
        <f>IF(ISNA(_xlfn.XLOOKUP(H1506,agent_info!$A$2:$A$301, agent_info!$A$2:$A$301)), "Invalid", "Ok")</f>
        <v>Ok</v>
      </c>
    </row>
    <row r="1507" spans="1:11" x14ac:dyDescent="0.3">
      <c r="A1507" s="1" t="s">
        <v>5125</v>
      </c>
      <c r="B1507" s="1" t="s">
        <v>755</v>
      </c>
      <c r="C1507" s="1" t="s">
        <v>3314</v>
      </c>
      <c r="D1507" s="1">
        <v>695069.1</v>
      </c>
      <c r="E1507" s="1">
        <v>34122.17</v>
      </c>
      <c r="F1507" s="41">
        <v>44732</v>
      </c>
      <c r="G1507" s="41">
        <v>45097</v>
      </c>
      <c r="H1507" s="1" t="s">
        <v>3557</v>
      </c>
      <c r="I1507" s="1" t="s">
        <v>3324</v>
      </c>
      <c r="J1507" t="str">
        <f>IF(ISNA(_xlfn.XLOOKUP(B1507,customer_master!$A$2:$A$1649, customer_master!$A$2:$A$1649)), "Invalid", "Ok")</f>
        <v>Ok</v>
      </c>
      <c r="K1507" t="str">
        <f>IF(ISNA(_xlfn.XLOOKUP(H1507,agent_info!$A$2:$A$301, agent_info!$A$2:$A$301)), "Invalid", "Ok")</f>
        <v>Ok</v>
      </c>
    </row>
    <row r="1508" spans="1:11" x14ac:dyDescent="0.3">
      <c r="A1508" s="1" t="s">
        <v>5126</v>
      </c>
      <c r="B1508" s="1" t="s">
        <v>584</v>
      </c>
      <c r="C1508" s="1" t="s">
        <v>3318</v>
      </c>
      <c r="D1508" s="1">
        <v>599693.64</v>
      </c>
      <c r="E1508" s="1">
        <v>32507.19</v>
      </c>
      <c r="F1508" s="41">
        <v>44720</v>
      </c>
      <c r="G1508" s="41">
        <v>45085</v>
      </c>
      <c r="H1508" s="1" t="s">
        <v>3365</v>
      </c>
      <c r="I1508" s="1" t="s">
        <v>3316</v>
      </c>
      <c r="J1508" t="str">
        <f>IF(ISNA(_xlfn.XLOOKUP(B1508,customer_master!$A$2:$A$1649, customer_master!$A$2:$A$1649)), "Invalid", "Ok")</f>
        <v>Ok</v>
      </c>
      <c r="K1508" t="str">
        <f>IF(ISNA(_xlfn.XLOOKUP(H1508,agent_info!$A$2:$A$301, agent_info!$A$2:$A$301)), "Invalid", "Ok")</f>
        <v>Ok</v>
      </c>
    </row>
    <row r="1509" spans="1:11" x14ac:dyDescent="0.3">
      <c r="A1509" s="1" t="s">
        <v>5127</v>
      </c>
      <c r="B1509" s="1" t="s">
        <v>3112</v>
      </c>
      <c r="C1509" s="1" t="s">
        <v>3318</v>
      </c>
      <c r="D1509" s="1">
        <v>736977.14</v>
      </c>
      <c r="E1509" s="1">
        <v>34496.339999999997</v>
      </c>
      <c r="F1509" s="41">
        <v>44544</v>
      </c>
      <c r="G1509" s="41">
        <v>44909</v>
      </c>
      <c r="H1509" s="1" t="s">
        <v>4004</v>
      </c>
      <c r="I1509" s="1" t="s">
        <v>3324</v>
      </c>
      <c r="J1509" t="str">
        <f>IF(ISNA(_xlfn.XLOOKUP(B1509,customer_master!$A$2:$A$1649, customer_master!$A$2:$A$1649)), "Invalid", "Ok")</f>
        <v>Ok</v>
      </c>
      <c r="K1509" t="str">
        <f>IF(ISNA(_xlfn.XLOOKUP(H1509,agent_info!$A$2:$A$301, agent_info!$A$2:$A$301)), "Invalid", "Ok")</f>
        <v>Ok</v>
      </c>
    </row>
    <row r="1510" spans="1:11" x14ac:dyDescent="0.3">
      <c r="A1510" s="1" t="s">
        <v>5128</v>
      </c>
      <c r="B1510" s="1" t="s">
        <v>554</v>
      </c>
      <c r="C1510" s="1" t="s">
        <v>3318</v>
      </c>
      <c r="D1510" s="1">
        <v>669051.44999999995</v>
      </c>
      <c r="E1510" s="1">
        <v>31346.59</v>
      </c>
      <c r="F1510" s="41">
        <v>45694</v>
      </c>
      <c r="G1510" s="41">
        <v>46059</v>
      </c>
      <c r="H1510" s="1" t="s">
        <v>3749</v>
      </c>
      <c r="I1510" s="1" t="s">
        <v>3324</v>
      </c>
      <c r="J1510" t="str">
        <f>IF(ISNA(_xlfn.XLOOKUP(B1510,customer_master!$A$2:$A$1649, customer_master!$A$2:$A$1649)), "Invalid", "Ok")</f>
        <v>Ok</v>
      </c>
      <c r="K1510" t="str">
        <f>IF(ISNA(_xlfn.XLOOKUP(H1510,agent_info!$A$2:$A$301, agent_info!$A$2:$A$301)), "Invalid", "Ok")</f>
        <v>Ok</v>
      </c>
    </row>
    <row r="1511" spans="1:11" x14ac:dyDescent="0.3">
      <c r="A1511" s="1" t="s">
        <v>5129</v>
      </c>
      <c r="B1511" s="1" t="s">
        <v>2587</v>
      </c>
      <c r="C1511" s="1" t="s">
        <v>3334</v>
      </c>
      <c r="D1511" s="1">
        <v>722746.96</v>
      </c>
      <c r="E1511" s="1">
        <v>35080.44</v>
      </c>
      <c r="F1511" s="41">
        <v>45323</v>
      </c>
      <c r="G1511" s="41">
        <v>45689</v>
      </c>
      <c r="H1511" s="1" t="s">
        <v>3792</v>
      </c>
      <c r="I1511" s="1" t="s">
        <v>3324</v>
      </c>
      <c r="J1511" t="str">
        <f>IF(ISNA(_xlfn.XLOOKUP(B1511,customer_master!$A$2:$A$1649, customer_master!$A$2:$A$1649)), "Invalid", "Ok")</f>
        <v>Ok</v>
      </c>
      <c r="K1511" t="str">
        <f>IF(ISNA(_xlfn.XLOOKUP(H1511,agent_info!$A$2:$A$301, agent_info!$A$2:$A$301)), "Invalid", "Ok")</f>
        <v>Ok</v>
      </c>
    </row>
    <row r="1512" spans="1:11" x14ac:dyDescent="0.3">
      <c r="A1512" s="1" t="s">
        <v>5130</v>
      </c>
      <c r="B1512" s="1" t="s">
        <v>1376</v>
      </c>
      <c r="C1512" s="1" t="s">
        <v>3318</v>
      </c>
      <c r="D1512" s="1">
        <v>584633.69999999995</v>
      </c>
      <c r="E1512" s="1">
        <v>26661.86</v>
      </c>
      <c r="F1512" s="41">
        <v>44553</v>
      </c>
      <c r="G1512" s="41">
        <v>44918</v>
      </c>
      <c r="H1512" s="1" t="s">
        <v>3507</v>
      </c>
      <c r="I1512" s="1" t="s">
        <v>3324</v>
      </c>
      <c r="J1512" t="str">
        <f>IF(ISNA(_xlfn.XLOOKUP(B1512,customer_master!$A$2:$A$1649, customer_master!$A$2:$A$1649)), "Invalid", "Ok")</f>
        <v>Ok</v>
      </c>
      <c r="K1512" t="str">
        <f>IF(ISNA(_xlfn.XLOOKUP(H1512,agent_info!$A$2:$A$301, agent_info!$A$2:$A$301)), "Invalid", "Ok")</f>
        <v>Ok</v>
      </c>
    </row>
    <row r="1513" spans="1:11" x14ac:dyDescent="0.3">
      <c r="A1513" s="1" t="s">
        <v>5131</v>
      </c>
      <c r="B1513" s="1" t="s">
        <v>2422</v>
      </c>
      <c r="C1513" s="1" t="s">
        <v>3314</v>
      </c>
      <c r="D1513" s="1">
        <v>584163.74</v>
      </c>
      <c r="E1513" s="1">
        <v>26725.03</v>
      </c>
      <c r="F1513" s="41">
        <v>44745</v>
      </c>
      <c r="G1513" s="41">
        <v>45110</v>
      </c>
      <c r="H1513" s="1" t="s">
        <v>3431</v>
      </c>
      <c r="I1513" s="1" t="s">
        <v>3324</v>
      </c>
      <c r="J1513" t="str">
        <f>IF(ISNA(_xlfn.XLOOKUP(B1513,customer_master!$A$2:$A$1649, customer_master!$A$2:$A$1649)), "Invalid", "Ok")</f>
        <v>Ok</v>
      </c>
      <c r="K1513" t="str">
        <f>IF(ISNA(_xlfn.XLOOKUP(H1513,agent_info!$A$2:$A$301, agent_info!$A$2:$A$301)), "Invalid", "Ok")</f>
        <v>Ok</v>
      </c>
    </row>
    <row r="1514" spans="1:11" x14ac:dyDescent="0.3">
      <c r="A1514" s="1" t="s">
        <v>5132</v>
      </c>
      <c r="B1514" s="1" t="s">
        <v>336</v>
      </c>
      <c r="C1514" s="1" t="s">
        <v>3326</v>
      </c>
      <c r="D1514" s="1">
        <v>615064.26</v>
      </c>
      <c r="E1514" s="1">
        <v>27745.42</v>
      </c>
      <c r="F1514" s="41">
        <v>46122</v>
      </c>
      <c r="G1514" s="41">
        <v>46487</v>
      </c>
      <c r="H1514" s="1" t="s">
        <v>3949</v>
      </c>
      <c r="I1514" s="1" t="s">
        <v>3316</v>
      </c>
      <c r="J1514" t="str">
        <f>IF(ISNA(_xlfn.XLOOKUP(B1514,customer_master!$A$2:$A$1649, customer_master!$A$2:$A$1649)), "Invalid", "Ok")</f>
        <v>Ok</v>
      </c>
      <c r="K1514" t="str">
        <f>IF(ISNA(_xlfn.XLOOKUP(H1514,agent_info!$A$2:$A$301, agent_info!$A$2:$A$301)), "Invalid", "Ok")</f>
        <v>Ok</v>
      </c>
    </row>
    <row r="1515" spans="1:11" x14ac:dyDescent="0.3">
      <c r="A1515" s="1" t="s">
        <v>5133</v>
      </c>
      <c r="B1515" s="1" t="s">
        <v>2426</v>
      </c>
      <c r="C1515" s="1" t="s">
        <v>3314</v>
      </c>
      <c r="D1515" s="1">
        <v>425430.38</v>
      </c>
      <c r="E1515" s="1">
        <v>19766.29</v>
      </c>
      <c r="F1515" s="41">
        <v>45486</v>
      </c>
      <c r="G1515" s="41">
        <v>45851</v>
      </c>
      <c r="H1515" s="1" t="s">
        <v>3565</v>
      </c>
      <c r="I1515" s="1" t="s">
        <v>3316</v>
      </c>
      <c r="J1515" t="str">
        <f>IF(ISNA(_xlfn.XLOOKUP(B1515,customer_master!$A$2:$A$1649, customer_master!$A$2:$A$1649)), "Invalid", "Ok")</f>
        <v>Ok</v>
      </c>
      <c r="K1515" t="str">
        <f>IF(ISNA(_xlfn.XLOOKUP(H1515,agent_info!$A$2:$A$301, agent_info!$A$2:$A$301)), "Invalid", "Ok")</f>
        <v>Ok</v>
      </c>
    </row>
    <row r="1516" spans="1:11" x14ac:dyDescent="0.3">
      <c r="A1516" s="1" t="s">
        <v>5134</v>
      </c>
      <c r="B1516" s="1" t="s">
        <v>1721</v>
      </c>
      <c r="C1516" s="1" t="s">
        <v>3334</v>
      </c>
      <c r="D1516" s="1">
        <v>405802.16</v>
      </c>
      <c r="E1516" s="1">
        <v>20859.8</v>
      </c>
      <c r="F1516" s="41">
        <v>45886</v>
      </c>
      <c r="G1516" s="41">
        <v>46251</v>
      </c>
      <c r="H1516" s="1" t="s">
        <v>3536</v>
      </c>
      <c r="I1516" s="1" t="s">
        <v>3324</v>
      </c>
      <c r="J1516" t="str">
        <f>IF(ISNA(_xlfn.XLOOKUP(B1516,customer_master!$A$2:$A$1649, customer_master!$A$2:$A$1649)), "Invalid", "Ok")</f>
        <v>Ok</v>
      </c>
      <c r="K1516" t="str">
        <f>IF(ISNA(_xlfn.XLOOKUP(H1516,agent_info!$A$2:$A$301, agent_info!$A$2:$A$301)), "Invalid", "Ok")</f>
        <v>Ok</v>
      </c>
    </row>
    <row r="1517" spans="1:11" x14ac:dyDescent="0.3">
      <c r="A1517" s="1" t="s">
        <v>5135</v>
      </c>
      <c r="B1517" s="1" t="s">
        <v>2991</v>
      </c>
      <c r="C1517" s="1" t="s">
        <v>3334</v>
      </c>
      <c r="D1517" s="1">
        <v>763725.36</v>
      </c>
      <c r="E1517" s="1">
        <v>35867.800000000003</v>
      </c>
      <c r="F1517" s="41">
        <v>44154</v>
      </c>
      <c r="G1517" s="41">
        <v>44519</v>
      </c>
      <c r="H1517" s="1" t="s">
        <v>4835</v>
      </c>
      <c r="I1517" s="1" t="s">
        <v>3316</v>
      </c>
      <c r="J1517" t="str">
        <f>IF(ISNA(_xlfn.XLOOKUP(B1517,customer_master!$A$2:$A$1649, customer_master!$A$2:$A$1649)), "Invalid", "Ok")</f>
        <v>Ok</v>
      </c>
      <c r="K1517" t="str">
        <f>IF(ISNA(_xlfn.XLOOKUP(H1517,agent_info!$A$2:$A$301, agent_info!$A$2:$A$301)), "Invalid", "Ok")</f>
        <v>Ok</v>
      </c>
    </row>
    <row r="1518" spans="1:11" x14ac:dyDescent="0.3">
      <c r="A1518" s="1" t="s">
        <v>5136</v>
      </c>
      <c r="B1518" s="1" t="s">
        <v>672</v>
      </c>
      <c r="C1518" s="1" t="s">
        <v>3326</v>
      </c>
      <c r="D1518" s="1">
        <v>670703.43999999994</v>
      </c>
      <c r="E1518" s="1">
        <v>32715.51</v>
      </c>
      <c r="F1518" s="41">
        <v>45092</v>
      </c>
      <c r="G1518" s="41">
        <v>45458</v>
      </c>
      <c r="H1518" s="1" t="s">
        <v>3449</v>
      </c>
      <c r="I1518" s="1" t="s">
        <v>3324</v>
      </c>
      <c r="J1518" t="str">
        <f>IF(ISNA(_xlfn.XLOOKUP(B1518,customer_master!$A$2:$A$1649, customer_master!$A$2:$A$1649)), "Invalid", "Ok")</f>
        <v>Ok</v>
      </c>
      <c r="K1518" t="str">
        <f>IF(ISNA(_xlfn.XLOOKUP(H1518,agent_info!$A$2:$A$301, agent_info!$A$2:$A$301)), "Invalid", "Ok")</f>
        <v>Ok</v>
      </c>
    </row>
    <row r="1519" spans="1:11" x14ac:dyDescent="0.3">
      <c r="A1519" s="1" t="s">
        <v>5137</v>
      </c>
      <c r="B1519" s="1" t="s">
        <v>391</v>
      </c>
      <c r="C1519" s="1" t="s">
        <v>3331</v>
      </c>
      <c r="D1519" s="1">
        <v>746084.65</v>
      </c>
      <c r="E1519" s="1">
        <v>38838.07</v>
      </c>
      <c r="F1519" s="41">
        <v>45431</v>
      </c>
      <c r="G1519" s="41">
        <v>45796</v>
      </c>
      <c r="H1519" s="1" t="s">
        <v>3408</v>
      </c>
      <c r="I1519" s="1" t="s">
        <v>3324</v>
      </c>
      <c r="J1519" t="str">
        <f>IF(ISNA(_xlfn.XLOOKUP(B1519,customer_master!$A$2:$A$1649, customer_master!$A$2:$A$1649)), "Invalid", "Ok")</f>
        <v>Ok</v>
      </c>
      <c r="K1519" t="str">
        <f>IF(ISNA(_xlfn.XLOOKUP(H1519,agent_info!$A$2:$A$301, agent_info!$A$2:$A$301)), "Invalid", "Ok")</f>
        <v>Ok</v>
      </c>
    </row>
    <row r="1520" spans="1:11" x14ac:dyDescent="0.3">
      <c r="A1520" s="1" t="s">
        <v>5138</v>
      </c>
      <c r="B1520" s="1" t="s">
        <v>697</v>
      </c>
      <c r="C1520" s="1" t="s">
        <v>3334</v>
      </c>
      <c r="D1520" s="1">
        <v>409010.16</v>
      </c>
      <c r="E1520" s="1">
        <v>18535.62</v>
      </c>
      <c r="F1520" s="41">
        <v>45147</v>
      </c>
      <c r="G1520" s="41">
        <v>45513</v>
      </c>
      <c r="H1520" s="1" t="s">
        <v>3375</v>
      </c>
      <c r="I1520" s="1" t="s">
        <v>3316</v>
      </c>
      <c r="J1520" t="str">
        <f>IF(ISNA(_xlfn.XLOOKUP(B1520,customer_master!$A$2:$A$1649, customer_master!$A$2:$A$1649)), "Invalid", "Ok")</f>
        <v>Ok</v>
      </c>
      <c r="K1520" t="str">
        <f>IF(ISNA(_xlfn.XLOOKUP(H1520,agent_info!$A$2:$A$301, agent_info!$A$2:$A$301)), "Invalid", "Ok")</f>
        <v>Ok</v>
      </c>
    </row>
    <row r="1521" spans="1:11" x14ac:dyDescent="0.3">
      <c r="A1521" s="1" t="s">
        <v>5139</v>
      </c>
      <c r="B1521" s="1" t="s">
        <v>300</v>
      </c>
      <c r="C1521" s="1" t="s">
        <v>3318</v>
      </c>
      <c r="D1521" s="1">
        <v>479795.93</v>
      </c>
      <c r="E1521" s="1">
        <v>22593.87</v>
      </c>
      <c r="F1521" s="41">
        <v>44856</v>
      </c>
      <c r="G1521" s="41">
        <v>45221</v>
      </c>
      <c r="H1521" s="1" t="s">
        <v>3674</v>
      </c>
      <c r="I1521" s="1" t="s">
        <v>3316</v>
      </c>
      <c r="J1521" t="str">
        <f>IF(ISNA(_xlfn.XLOOKUP(B1521,customer_master!$A$2:$A$1649, customer_master!$A$2:$A$1649)), "Invalid", "Ok")</f>
        <v>Ok</v>
      </c>
      <c r="K1521" t="str">
        <f>IF(ISNA(_xlfn.XLOOKUP(H1521,agent_info!$A$2:$A$301, agent_info!$A$2:$A$301)), "Invalid", "Ok")</f>
        <v>Ok</v>
      </c>
    </row>
    <row r="1522" spans="1:11" x14ac:dyDescent="0.3">
      <c r="A1522" s="1" t="s">
        <v>5140</v>
      </c>
      <c r="B1522" s="1" t="s">
        <v>3245</v>
      </c>
      <c r="C1522" s="1" t="s">
        <v>3318</v>
      </c>
      <c r="D1522" s="1">
        <v>718783.02</v>
      </c>
      <c r="E1522" s="1">
        <v>39503.51</v>
      </c>
      <c r="F1522" s="41">
        <v>45426</v>
      </c>
      <c r="G1522" s="41">
        <v>45791</v>
      </c>
      <c r="H1522" s="1" t="s">
        <v>3824</v>
      </c>
      <c r="I1522" s="1" t="s">
        <v>3324</v>
      </c>
      <c r="J1522" t="str">
        <f>IF(ISNA(_xlfn.XLOOKUP(B1522,customer_master!$A$2:$A$1649, customer_master!$A$2:$A$1649)), "Invalid", "Ok")</f>
        <v>Ok</v>
      </c>
      <c r="K1522" t="str">
        <f>IF(ISNA(_xlfn.XLOOKUP(H1522,agent_info!$A$2:$A$301, agent_info!$A$2:$A$301)), "Invalid", "Ok")</f>
        <v>Ok</v>
      </c>
    </row>
    <row r="1523" spans="1:11" x14ac:dyDescent="0.3">
      <c r="A1523" s="1" t="s">
        <v>5141</v>
      </c>
      <c r="B1523" s="1" t="s">
        <v>443</v>
      </c>
      <c r="C1523" s="1" t="s">
        <v>3331</v>
      </c>
      <c r="D1523" s="1">
        <v>415636.46</v>
      </c>
      <c r="E1523" s="1">
        <v>21184.83</v>
      </c>
      <c r="F1523" s="41">
        <v>44797</v>
      </c>
      <c r="G1523" s="41">
        <v>45162</v>
      </c>
      <c r="H1523" s="1" t="s">
        <v>3413</v>
      </c>
      <c r="I1523" s="1" t="s">
        <v>3316</v>
      </c>
      <c r="J1523" t="str">
        <f>IF(ISNA(_xlfn.XLOOKUP(B1523,customer_master!$A$2:$A$1649, customer_master!$A$2:$A$1649)), "Invalid", "Ok")</f>
        <v>Ok</v>
      </c>
      <c r="K1523" t="str">
        <f>IF(ISNA(_xlfn.XLOOKUP(H1523,agent_info!$A$2:$A$301, agent_info!$A$2:$A$301)), "Invalid", "Ok")</f>
        <v>Ok</v>
      </c>
    </row>
    <row r="1524" spans="1:11" x14ac:dyDescent="0.3">
      <c r="A1524" s="1" t="s">
        <v>5142</v>
      </c>
      <c r="B1524" s="1" t="s">
        <v>713</v>
      </c>
      <c r="C1524" s="1" t="s">
        <v>3314</v>
      </c>
      <c r="D1524" s="1">
        <v>558802.29</v>
      </c>
      <c r="E1524" s="1">
        <v>28834.080000000002</v>
      </c>
      <c r="F1524" s="41">
        <v>44852</v>
      </c>
      <c r="G1524" s="41">
        <v>45217</v>
      </c>
      <c r="H1524" s="1" t="s">
        <v>3339</v>
      </c>
      <c r="I1524" s="1" t="s">
        <v>3316</v>
      </c>
      <c r="J1524" t="str">
        <f>IF(ISNA(_xlfn.XLOOKUP(B1524,customer_master!$A$2:$A$1649, customer_master!$A$2:$A$1649)), "Invalid", "Ok")</f>
        <v>Ok</v>
      </c>
      <c r="K1524" t="str">
        <f>IF(ISNA(_xlfn.XLOOKUP(H1524,agent_info!$A$2:$A$301, agent_info!$A$2:$A$301)), "Invalid", "Ok")</f>
        <v>Ok</v>
      </c>
    </row>
    <row r="1525" spans="1:11" x14ac:dyDescent="0.3">
      <c r="A1525" s="1" t="s">
        <v>5143</v>
      </c>
      <c r="B1525" s="1" t="s">
        <v>2684</v>
      </c>
      <c r="C1525" s="1" t="s">
        <v>3318</v>
      </c>
      <c r="D1525" s="1">
        <v>507008.13</v>
      </c>
      <c r="E1525" s="1">
        <v>25431.77</v>
      </c>
      <c r="F1525" s="41">
        <v>44088</v>
      </c>
      <c r="G1525" s="41">
        <v>44453</v>
      </c>
      <c r="H1525" s="1" t="s">
        <v>3840</v>
      </c>
      <c r="I1525" s="1" t="s">
        <v>3324</v>
      </c>
      <c r="J1525" t="str">
        <f>IF(ISNA(_xlfn.XLOOKUP(B1525,customer_master!$A$2:$A$1649, customer_master!$A$2:$A$1649)), "Invalid", "Ok")</f>
        <v>Ok</v>
      </c>
      <c r="K1525" t="str">
        <f>IF(ISNA(_xlfn.XLOOKUP(H1525,agent_info!$A$2:$A$301, agent_info!$A$2:$A$301)), "Invalid", "Ok")</f>
        <v>Ok</v>
      </c>
    </row>
    <row r="1526" spans="1:11" x14ac:dyDescent="0.3">
      <c r="A1526" s="1" t="s">
        <v>5144</v>
      </c>
      <c r="B1526" s="1" t="s">
        <v>853</v>
      </c>
      <c r="C1526" s="1" t="s">
        <v>3326</v>
      </c>
      <c r="D1526" s="1">
        <v>657947.67000000004</v>
      </c>
      <c r="E1526" s="1">
        <v>35962.71</v>
      </c>
      <c r="F1526" s="41">
        <v>46028</v>
      </c>
      <c r="G1526" s="41">
        <v>46393</v>
      </c>
      <c r="H1526" s="1" t="s">
        <v>4639</v>
      </c>
      <c r="I1526" s="1" t="s">
        <v>3316</v>
      </c>
      <c r="J1526" t="str">
        <f>IF(ISNA(_xlfn.XLOOKUP(B1526,customer_master!$A$2:$A$1649, customer_master!$A$2:$A$1649)), "Invalid", "Ok")</f>
        <v>Ok</v>
      </c>
      <c r="K1526" t="str">
        <f>IF(ISNA(_xlfn.XLOOKUP(H1526,agent_info!$A$2:$A$301, agent_info!$A$2:$A$301)), "Invalid", "Ok")</f>
        <v>Ok</v>
      </c>
    </row>
    <row r="1527" spans="1:11" x14ac:dyDescent="0.3">
      <c r="A1527" s="1" t="s">
        <v>5145</v>
      </c>
      <c r="B1527" s="1" t="s">
        <v>785</v>
      </c>
      <c r="C1527" s="1" t="s">
        <v>3331</v>
      </c>
      <c r="D1527" s="1">
        <v>579146.04</v>
      </c>
      <c r="E1527" s="1">
        <v>26897.26</v>
      </c>
      <c r="F1527" s="41">
        <v>44485</v>
      </c>
      <c r="G1527" s="41">
        <v>44850</v>
      </c>
      <c r="H1527" s="1" t="s">
        <v>3496</v>
      </c>
      <c r="I1527" s="1" t="s">
        <v>3324</v>
      </c>
      <c r="J1527" t="str">
        <f>IF(ISNA(_xlfn.XLOOKUP(B1527,customer_master!$A$2:$A$1649, customer_master!$A$2:$A$1649)), "Invalid", "Ok")</f>
        <v>Ok</v>
      </c>
      <c r="K1527" t="str">
        <f>IF(ISNA(_xlfn.XLOOKUP(H1527,agent_info!$A$2:$A$301, agent_info!$A$2:$A$301)), "Invalid", "Ok")</f>
        <v>Ok</v>
      </c>
    </row>
    <row r="1528" spans="1:11" x14ac:dyDescent="0.3">
      <c r="A1528" s="1" t="s">
        <v>5146</v>
      </c>
      <c r="B1528" s="1" t="s">
        <v>2246</v>
      </c>
      <c r="C1528" s="1" t="s">
        <v>3326</v>
      </c>
      <c r="D1528" s="1">
        <v>451630.96</v>
      </c>
      <c r="E1528" s="1">
        <v>20627.669999999998</v>
      </c>
      <c r="F1528" s="41">
        <v>44854</v>
      </c>
      <c r="G1528" s="41">
        <v>45219</v>
      </c>
      <c r="H1528" s="1" t="s">
        <v>3355</v>
      </c>
      <c r="I1528" s="1" t="s">
        <v>3324</v>
      </c>
      <c r="J1528" t="str">
        <f>IF(ISNA(_xlfn.XLOOKUP(B1528,customer_master!$A$2:$A$1649, customer_master!$A$2:$A$1649)), "Invalid", "Ok")</f>
        <v>Ok</v>
      </c>
      <c r="K1528" t="str">
        <f>IF(ISNA(_xlfn.XLOOKUP(H1528,agent_info!$A$2:$A$301, agent_info!$A$2:$A$301)), "Invalid", "Ok")</f>
        <v>Ok</v>
      </c>
    </row>
    <row r="1529" spans="1:11" x14ac:dyDescent="0.3">
      <c r="A1529" s="1" t="s">
        <v>5147</v>
      </c>
      <c r="B1529" s="1" t="s">
        <v>1358</v>
      </c>
      <c r="C1529" s="1" t="s">
        <v>3314</v>
      </c>
      <c r="D1529" s="1">
        <v>586855.94999999995</v>
      </c>
      <c r="E1529" s="1">
        <v>31198.240000000002</v>
      </c>
      <c r="F1529" s="41">
        <v>44299</v>
      </c>
      <c r="G1529" s="41">
        <v>44664</v>
      </c>
      <c r="H1529" s="1" t="s">
        <v>3798</v>
      </c>
      <c r="I1529" s="1" t="s">
        <v>3324</v>
      </c>
      <c r="J1529" t="str">
        <f>IF(ISNA(_xlfn.XLOOKUP(B1529,customer_master!$A$2:$A$1649, customer_master!$A$2:$A$1649)), "Invalid", "Ok")</f>
        <v>Ok</v>
      </c>
      <c r="K1529" t="str">
        <f>IF(ISNA(_xlfn.XLOOKUP(H1529,agent_info!$A$2:$A$301, agent_info!$A$2:$A$301)), "Invalid", "Ok")</f>
        <v>Ok</v>
      </c>
    </row>
    <row r="1530" spans="1:11" x14ac:dyDescent="0.3">
      <c r="A1530" s="1" t="s">
        <v>5148</v>
      </c>
      <c r="B1530" s="1" t="s">
        <v>2768</v>
      </c>
      <c r="C1530" s="1" t="s">
        <v>3334</v>
      </c>
      <c r="D1530" s="1">
        <v>428291.79</v>
      </c>
      <c r="E1530" s="1">
        <v>19290.669999999998</v>
      </c>
      <c r="F1530" s="41">
        <v>45155</v>
      </c>
      <c r="G1530" s="41">
        <v>45521</v>
      </c>
      <c r="H1530" s="1" t="s">
        <v>4033</v>
      </c>
      <c r="I1530" s="1" t="s">
        <v>3324</v>
      </c>
      <c r="J1530" t="str">
        <f>IF(ISNA(_xlfn.XLOOKUP(B1530,customer_master!$A$2:$A$1649, customer_master!$A$2:$A$1649)), "Invalid", "Ok")</f>
        <v>Ok</v>
      </c>
      <c r="K1530" t="str">
        <f>IF(ISNA(_xlfn.XLOOKUP(H1530,agent_info!$A$2:$A$301, agent_info!$A$2:$A$301)), "Invalid", "Ok")</f>
        <v>Ok</v>
      </c>
    </row>
    <row r="1531" spans="1:11" x14ac:dyDescent="0.3">
      <c r="A1531" s="1" t="s">
        <v>5149</v>
      </c>
      <c r="B1531" s="1" t="s">
        <v>2144</v>
      </c>
      <c r="C1531" s="1" t="s">
        <v>3331</v>
      </c>
      <c r="D1531" s="1">
        <v>660453.84</v>
      </c>
      <c r="E1531" s="1">
        <v>33429.279999999999</v>
      </c>
      <c r="F1531" s="41">
        <v>44262</v>
      </c>
      <c r="G1531" s="41">
        <v>44627</v>
      </c>
      <c r="H1531" s="1" t="s">
        <v>4122</v>
      </c>
      <c r="I1531" s="1" t="s">
        <v>3320</v>
      </c>
      <c r="J1531" t="str">
        <f>IF(ISNA(_xlfn.XLOOKUP(B1531,customer_master!$A$2:$A$1649, customer_master!$A$2:$A$1649)), "Invalid", "Ok")</f>
        <v>Ok</v>
      </c>
      <c r="K1531" t="str">
        <f>IF(ISNA(_xlfn.XLOOKUP(H1531,agent_info!$A$2:$A$301, agent_info!$A$2:$A$301)), "Invalid", "Ok")</f>
        <v>Ok</v>
      </c>
    </row>
    <row r="1532" spans="1:11" x14ac:dyDescent="0.3">
      <c r="A1532" s="1" t="s">
        <v>5150</v>
      </c>
      <c r="B1532" s="1" t="s">
        <v>970</v>
      </c>
      <c r="C1532" s="1" t="s">
        <v>3326</v>
      </c>
      <c r="D1532" s="1">
        <v>566418.14</v>
      </c>
      <c r="E1532" s="1">
        <v>25496.82</v>
      </c>
      <c r="F1532" s="41">
        <v>45204</v>
      </c>
      <c r="G1532" s="41">
        <v>45570</v>
      </c>
      <c r="H1532" s="1" t="s">
        <v>3998</v>
      </c>
      <c r="I1532" s="1" t="s">
        <v>3324</v>
      </c>
      <c r="J1532" t="str">
        <f>IF(ISNA(_xlfn.XLOOKUP(B1532,customer_master!$A$2:$A$1649, customer_master!$A$2:$A$1649)), "Invalid", "Ok")</f>
        <v>Ok</v>
      </c>
      <c r="K1532" t="str">
        <f>IF(ISNA(_xlfn.XLOOKUP(H1532,agent_info!$A$2:$A$301, agent_info!$A$2:$A$301)), "Invalid", "Ok")</f>
        <v>Ok</v>
      </c>
    </row>
    <row r="1533" spans="1:11" x14ac:dyDescent="0.3">
      <c r="A1533" s="1" t="s">
        <v>5151</v>
      </c>
      <c r="B1533" s="1" t="s">
        <v>1998</v>
      </c>
      <c r="C1533" s="1" t="s">
        <v>3318</v>
      </c>
      <c r="D1533" s="1">
        <v>605067.92000000004</v>
      </c>
      <c r="E1533" s="1">
        <v>29335.17</v>
      </c>
      <c r="F1533" s="41">
        <v>44413</v>
      </c>
      <c r="G1533" s="41">
        <v>44778</v>
      </c>
      <c r="H1533" s="1" t="s">
        <v>3553</v>
      </c>
      <c r="I1533" s="1" t="s">
        <v>3324</v>
      </c>
      <c r="J1533" t="str">
        <f>IF(ISNA(_xlfn.XLOOKUP(B1533,customer_master!$A$2:$A$1649, customer_master!$A$2:$A$1649)), "Invalid", "Ok")</f>
        <v>Ok</v>
      </c>
      <c r="K1533" t="str">
        <f>IF(ISNA(_xlfn.XLOOKUP(H1533,agent_info!$A$2:$A$301, agent_info!$A$2:$A$301)), "Invalid", "Ok")</f>
        <v>Ok</v>
      </c>
    </row>
    <row r="1534" spans="1:11" x14ac:dyDescent="0.3">
      <c r="A1534" s="1" t="s">
        <v>5152</v>
      </c>
      <c r="B1534" s="1" t="s">
        <v>2883</v>
      </c>
      <c r="C1534" s="1" t="s">
        <v>3331</v>
      </c>
      <c r="D1534" s="1">
        <v>548537.62</v>
      </c>
      <c r="E1534" s="1">
        <v>28254.55</v>
      </c>
      <c r="F1534" s="41">
        <v>44348</v>
      </c>
      <c r="G1534" s="41">
        <v>44713</v>
      </c>
      <c r="H1534" s="1" t="s">
        <v>3976</v>
      </c>
      <c r="I1534" s="1" t="s">
        <v>3324</v>
      </c>
      <c r="J1534" t="str">
        <f>IF(ISNA(_xlfn.XLOOKUP(B1534,customer_master!$A$2:$A$1649, customer_master!$A$2:$A$1649)), "Invalid", "Ok")</f>
        <v>Ok</v>
      </c>
      <c r="K1534" t="str">
        <f>IF(ISNA(_xlfn.XLOOKUP(H1534,agent_info!$A$2:$A$301, agent_info!$A$2:$A$301)), "Invalid", "Ok")</f>
        <v>Ok</v>
      </c>
    </row>
    <row r="1535" spans="1:11" x14ac:dyDescent="0.3">
      <c r="A1535" s="1" t="s">
        <v>5153</v>
      </c>
      <c r="B1535" s="1" t="s">
        <v>1233</v>
      </c>
      <c r="C1535" s="1" t="s">
        <v>3331</v>
      </c>
      <c r="D1535" s="1">
        <v>493754.14</v>
      </c>
      <c r="E1535" s="1">
        <v>24921.38</v>
      </c>
      <c r="F1535" s="41">
        <v>45145</v>
      </c>
      <c r="G1535" s="41">
        <v>45511</v>
      </c>
      <c r="H1535" s="1" t="s">
        <v>3627</v>
      </c>
      <c r="I1535" s="1" t="s">
        <v>3316</v>
      </c>
      <c r="J1535" t="str">
        <f>IF(ISNA(_xlfn.XLOOKUP(B1535,customer_master!$A$2:$A$1649, customer_master!$A$2:$A$1649)), "Invalid", "Ok")</f>
        <v>Ok</v>
      </c>
      <c r="K1535" t="str">
        <f>IF(ISNA(_xlfn.XLOOKUP(H1535,agent_info!$A$2:$A$301, agent_info!$A$2:$A$301)), "Invalid", "Ok")</f>
        <v>Ok</v>
      </c>
    </row>
    <row r="1536" spans="1:11" x14ac:dyDescent="0.3">
      <c r="A1536" s="1" t="s">
        <v>5154</v>
      </c>
      <c r="B1536" s="1" t="s">
        <v>2452</v>
      </c>
      <c r="C1536" s="1" t="s">
        <v>3326</v>
      </c>
      <c r="D1536" s="1">
        <v>372883.23</v>
      </c>
      <c r="E1536" s="1">
        <v>18867.38</v>
      </c>
      <c r="F1536" s="41">
        <v>44418</v>
      </c>
      <c r="G1536" s="41">
        <v>44783</v>
      </c>
      <c r="H1536" s="1" t="s">
        <v>3459</v>
      </c>
      <c r="I1536" s="1" t="s">
        <v>3316</v>
      </c>
      <c r="J1536" t="str">
        <f>IF(ISNA(_xlfn.XLOOKUP(B1536,customer_master!$A$2:$A$1649, customer_master!$A$2:$A$1649)), "Invalid", "Ok")</f>
        <v>Ok</v>
      </c>
      <c r="K1536" t="str">
        <f>IF(ISNA(_xlfn.XLOOKUP(H1536,agent_info!$A$2:$A$301, agent_info!$A$2:$A$301)), "Invalid", "Ok")</f>
        <v>Ok</v>
      </c>
    </row>
    <row r="1537" spans="1:11" x14ac:dyDescent="0.3">
      <c r="A1537" s="1" t="s">
        <v>5155</v>
      </c>
      <c r="B1537" s="1" t="s">
        <v>1408</v>
      </c>
      <c r="C1537" s="1" t="s">
        <v>3326</v>
      </c>
      <c r="D1537" s="1">
        <v>681461.38</v>
      </c>
      <c r="E1537" s="1">
        <v>31738.02</v>
      </c>
      <c r="F1537" s="41">
        <v>45516</v>
      </c>
      <c r="G1537" s="41">
        <v>45881</v>
      </c>
      <c r="H1537" s="1" t="s">
        <v>4067</v>
      </c>
      <c r="I1537" s="1" t="s">
        <v>3316</v>
      </c>
      <c r="J1537" t="str">
        <f>IF(ISNA(_xlfn.XLOOKUP(B1537,customer_master!$A$2:$A$1649, customer_master!$A$2:$A$1649)), "Invalid", "Ok")</f>
        <v>Ok</v>
      </c>
      <c r="K1537" t="str">
        <f>IF(ISNA(_xlfn.XLOOKUP(H1537,agent_info!$A$2:$A$301, agent_info!$A$2:$A$301)), "Invalid", "Ok")</f>
        <v>Ok</v>
      </c>
    </row>
    <row r="1538" spans="1:11" x14ac:dyDescent="0.3">
      <c r="A1538" s="1" t="s">
        <v>5156</v>
      </c>
      <c r="B1538" s="1" t="s">
        <v>1819</v>
      </c>
      <c r="C1538" s="1" t="s">
        <v>3314</v>
      </c>
      <c r="D1538" s="1">
        <v>545373.26</v>
      </c>
      <c r="E1538" s="1">
        <v>26149.19</v>
      </c>
      <c r="F1538" s="41">
        <v>44572</v>
      </c>
      <c r="G1538" s="41">
        <v>44937</v>
      </c>
      <c r="H1538" s="1" t="s">
        <v>4093</v>
      </c>
      <c r="I1538" s="1" t="s">
        <v>3316</v>
      </c>
      <c r="J1538" t="str">
        <f>IF(ISNA(_xlfn.XLOOKUP(B1538,customer_master!$A$2:$A$1649, customer_master!$A$2:$A$1649)), "Invalid", "Ok")</f>
        <v>Ok</v>
      </c>
      <c r="K1538" t="str">
        <f>IF(ISNA(_xlfn.XLOOKUP(H1538,agent_info!$A$2:$A$301, agent_info!$A$2:$A$301)), "Invalid", "Ok")</f>
        <v>Ok</v>
      </c>
    </row>
    <row r="1539" spans="1:11" x14ac:dyDescent="0.3">
      <c r="A1539" s="1" t="s">
        <v>5157</v>
      </c>
      <c r="B1539" s="1" t="s">
        <v>2448</v>
      </c>
      <c r="C1539" s="1" t="s">
        <v>3318</v>
      </c>
      <c r="D1539" s="1">
        <v>565458.4</v>
      </c>
      <c r="E1539" s="1">
        <v>29460.55</v>
      </c>
      <c r="F1539" s="41">
        <v>44943</v>
      </c>
      <c r="G1539" s="41">
        <v>45308</v>
      </c>
      <c r="H1539" s="1" t="s">
        <v>4052</v>
      </c>
      <c r="I1539" s="1" t="s">
        <v>3316</v>
      </c>
      <c r="J1539" t="str">
        <f>IF(ISNA(_xlfn.XLOOKUP(B1539,customer_master!$A$2:$A$1649, customer_master!$A$2:$A$1649)), "Invalid", "Ok")</f>
        <v>Ok</v>
      </c>
      <c r="K1539" t="str">
        <f>IF(ISNA(_xlfn.XLOOKUP(H1539,agent_info!$A$2:$A$301, agent_info!$A$2:$A$301)), "Invalid", "Ok")</f>
        <v>Ok</v>
      </c>
    </row>
    <row r="1540" spans="1:11" x14ac:dyDescent="0.3">
      <c r="A1540" s="1" t="s">
        <v>5158</v>
      </c>
      <c r="B1540" s="1" t="s">
        <v>234</v>
      </c>
      <c r="C1540" s="1" t="s">
        <v>3314</v>
      </c>
      <c r="D1540" s="1">
        <v>529670.19999999995</v>
      </c>
      <c r="E1540" s="1">
        <v>23958.560000000001</v>
      </c>
      <c r="F1540" s="41">
        <v>44733</v>
      </c>
      <c r="G1540" s="41">
        <v>45098</v>
      </c>
      <c r="H1540" s="1" t="s">
        <v>4311</v>
      </c>
      <c r="I1540" s="1" t="s">
        <v>3324</v>
      </c>
      <c r="J1540" t="str">
        <f>IF(ISNA(_xlfn.XLOOKUP(B1540,customer_master!$A$2:$A$1649, customer_master!$A$2:$A$1649)), "Invalid", "Ok")</f>
        <v>Ok</v>
      </c>
      <c r="K1540" t="str">
        <f>IF(ISNA(_xlfn.XLOOKUP(H1540,agent_info!$A$2:$A$301, agent_info!$A$2:$A$301)), "Invalid", "Ok")</f>
        <v>Ok</v>
      </c>
    </row>
    <row r="1541" spans="1:11" x14ac:dyDescent="0.3">
      <c r="A1541" s="1" t="s">
        <v>5159</v>
      </c>
      <c r="B1541" s="1" t="s">
        <v>1529</v>
      </c>
      <c r="C1541" s="1" t="s">
        <v>3326</v>
      </c>
      <c r="D1541" s="1">
        <v>695757.07</v>
      </c>
      <c r="E1541" s="1">
        <v>35450.79</v>
      </c>
      <c r="F1541" s="41">
        <v>45015</v>
      </c>
      <c r="G1541" s="41">
        <v>45381</v>
      </c>
      <c r="H1541" s="1" t="s">
        <v>3629</v>
      </c>
      <c r="I1541" s="1" t="s">
        <v>3316</v>
      </c>
      <c r="J1541" t="str">
        <f>IF(ISNA(_xlfn.XLOOKUP(B1541,customer_master!$A$2:$A$1649, customer_master!$A$2:$A$1649)), "Invalid", "Ok")</f>
        <v>Ok</v>
      </c>
      <c r="K1541" t="str">
        <f>IF(ISNA(_xlfn.XLOOKUP(H1541,agent_info!$A$2:$A$301, agent_info!$A$2:$A$301)), "Invalid", "Ok")</f>
        <v>Ok</v>
      </c>
    </row>
    <row r="1542" spans="1:11" x14ac:dyDescent="0.3">
      <c r="A1542" s="1" t="s">
        <v>5160</v>
      </c>
      <c r="B1542" s="1" t="s">
        <v>346</v>
      </c>
      <c r="C1542" s="1" t="s">
        <v>3318</v>
      </c>
      <c r="D1542" s="1">
        <v>678953.02</v>
      </c>
      <c r="E1542" s="1">
        <v>34063.519999999997</v>
      </c>
      <c r="F1542" s="41">
        <v>44476</v>
      </c>
      <c r="G1542" s="41">
        <v>44841</v>
      </c>
      <c r="H1542" s="1" t="s">
        <v>3840</v>
      </c>
      <c r="I1542" s="1" t="s">
        <v>3316</v>
      </c>
      <c r="J1542" t="str">
        <f>IF(ISNA(_xlfn.XLOOKUP(B1542,customer_master!$A$2:$A$1649, customer_master!$A$2:$A$1649)), "Invalid", "Ok")</f>
        <v>Ok</v>
      </c>
      <c r="K1542" t="str">
        <f>IF(ISNA(_xlfn.XLOOKUP(H1542,agent_info!$A$2:$A$301, agent_info!$A$2:$A$301)), "Invalid", "Ok")</f>
        <v>Ok</v>
      </c>
    </row>
    <row r="1543" spans="1:11" x14ac:dyDescent="0.3">
      <c r="A1543" s="1" t="s">
        <v>5161</v>
      </c>
      <c r="B1543" s="1" t="s">
        <v>2426</v>
      </c>
      <c r="C1543" s="1" t="s">
        <v>3318</v>
      </c>
      <c r="D1543" s="1">
        <v>414197.36</v>
      </c>
      <c r="E1543" s="1">
        <v>20063.54</v>
      </c>
      <c r="F1543" s="41">
        <v>45855</v>
      </c>
      <c r="G1543" s="41">
        <v>46220</v>
      </c>
      <c r="H1543" s="1" t="s">
        <v>3734</v>
      </c>
      <c r="I1543" s="1" t="s">
        <v>3324</v>
      </c>
      <c r="J1543" t="str">
        <f>IF(ISNA(_xlfn.XLOOKUP(B1543,customer_master!$A$2:$A$1649, customer_master!$A$2:$A$1649)), "Invalid", "Ok")</f>
        <v>Ok</v>
      </c>
      <c r="K1543" t="str">
        <f>IF(ISNA(_xlfn.XLOOKUP(H1543,agent_info!$A$2:$A$301, agent_info!$A$2:$A$301)), "Invalid", "Ok")</f>
        <v>Ok</v>
      </c>
    </row>
    <row r="1544" spans="1:11" x14ac:dyDescent="0.3">
      <c r="A1544" s="1" t="s">
        <v>5162</v>
      </c>
      <c r="B1544" s="1" t="s">
        <v>2038</v>
      </c>
      <c r="C1544" s="1" t="s">
        <v>3314</v>
      </c>
      <c r="D1544" s="1">
        <v>619147.4</v>
      </c>
      <c r="E1544" s="1">
        <v>29934.39</v>
      </c>
      <c r="F1544" s="41">
        <v>44315</v>
      </c>
      <c r="G1544" s="41">
        <v>44680</v>
      </c>
      <c r="H1544" s="1" t="s">
        <v>3603</v>
      </c>
      <c r="I1544" s="1" t="s">
        <v>3324</v>
      </c>
      <c r="J1544" t="str">
        <f>IF(ISNA(_xlfn.XLOOKUP(B1544,customer_master!$A$2:$A$1649, customer_master!$A$2:$A$1649)), "Invalid", "Ok")</f>
        <v>Ok</v>
      </c>
      <c r="K1544" t="str">
        <f>IF(ISNA(_xlfn.XLOOKUP(H1544,agent_info!$A$2:$A$301, agent_info!$A$2:$A$301)), "Invalid", "Ok")</f>
        <v>Ok</v>
      </c>
    </row>
    <row r="1545" spans="1:11" x14ac:dyDescent="0.3">
      <c r="A1545" s="1" t="s">
        <v>5163</v>
      </c>
      <c r="B1545" s="1" t="s">
        <v>1107</v>
      </c>
      <c r="C1545" s="1" t="s">
        <v>3331</v>
      </c>
      <c r="D1545" s="1">
        <v>566388.09</v>
      </c>
      <c r="E1545" s="1">
        <v>30012.61</v>
      </c>
      <c r="F1545" s="41">
        <v>45038</v>
      </c>
      <c r="G1545" s="41">
        <v>45404</v>
      </c>
      <c r="H1545" s="1" t="s">
        <v>4511</v>
      </c>
      <c r="I1545" s="1" t="s">
        <v>3320</v>
      </c>
      <c r="J1545" t="str">
        <f>IF(ISNA(_xlfn.XLOOKUP(B1545,customer_master!$A$2:$A$1649, customer_master!$A$2:$A$1649)), "Invalid", "Ok")</f>
        <v>Ok</v>
      </c>
      <c r="K1545" t="str">
        <f>IF(ISNA(_xlfn.XLOOKUP(H1545,agent_info!$A$2:$A$301, agent_info!$A$2:$A$301)), "Invalid", "Ok")</f>
        <v>Ok</v>
      </c>
    </row>
    <row r="1546" spans="1:11" x14ac:dyDescent="0.3">
      <c r="A1546" s="1" t="s">
        <v>5164</v>
      </c>
      <c r="B1546" s="1" t="s">
        <v>290</v>
      </c>
      <c r="C1546" s="1" t="s">
        <v>3331</v>
      </c>
      <c r="D1546" s="1">
        <v>684163.8</v>
      </c>
      <c r="E1546" s="1">
        <v>33400.86</v>
      </c>
      <c r="F1546" s="41">
        <v>45916</v>
      </c>
      <c r="G1546" s="41">
        <v>46281</v>
      </c>
      <c r="H1546" s="1" t="s">
        <v>3363</v>
      </c>
      <c r="I1546" s="1" t="s">
        <v>3316</v>
      </c>
      <c r="J1546" t="str">
        <f>IF(ISNA(_xlfn.XLOOKUP(B1546,customer_master!$A$2:$A$1649, customer_master!$A$2:$A$1649)), "Invalid", "Ok")</f>
        <v>Ok</v>
      </c>
      <c r="K1546" t="str">
        <f>IF(ISNA(_xlfn.XLOOKUP(H1546,agent_info!$A$2:$A$301, agent_info!$A$2:$A$301)), "Invalid", "Ok")</f>
        <v>Ok</v>
      </c>
    </row>
    <row r="1547" spans="1:11" x14ac:dyDescent="0.3">
      <c r="A1547" s="1" t="s">
        <v>5165</v>
      </c>
      <c r="B1547" s="1" t="s">
        <v>3078</v>
      </c>
      <c r="C1547" s="1" t="s">
        <v>3334</v>
      </c>
      <c r="D1547" s="1">
        <v>768966.66</v>
      </c>
      <c r="E1547" s="1">
        <v>35217.589999999997</v>
      </c>
      <c r="F1547" s="41">
        <v>44431</v>
      </c>
      <c r="G1547" s="41">
        <v>44796</v>
      </c>
      <c r="H1547" s="1" t="s">
        <v>3413</v>
      </c>
      <c r="I1547" s="1" t="s">
        <v>3324</v>
      </c>
      <c r="J1547" t="str">
        <f>IF(ISNA(_xlfn.XLOOKUP(B1547,customer_master!$A$2:$A$1649, customer_master!$A$2:$A$1649)), "Invalid", "Ok")</f>
        <v>Ok</v>
      </c>
      <c r="K1547" t="str">
        <f>IF(ISNA(_xlfn.XLOOKUP(H1547,agent_info!$A$2:$A$301, agent_info!$A$2:$A$301)), "Invalid", "Ok")</f>
        <v>Ok</v>
      </c>
    </row>
    <row r="1548" spans="1:11" x14ac:dyDescent="0.3">
      <c r="A1548" s="1" t="s">
        <v>5166</v>
      </c>
      <c r="B1548" s="1" t="s">
        <v>1067</v>
      </c>
      <c r="C1548" s="1" t="s">
        <v>3314</v>
      </c>
      <c r="D1548" s="1">
        <v>671558.1</v>
      </c>
      <c r="E1548" s="1">
        <v>36680.769999999997</v>
      </c>
      <c r="F1548" s="41">
        <v>44852</v>
      </c>
      <c r="G1548" s="41">
        <v>45217</v>
      </c>
      <c r="H1548" s="1" t="s">
        <v>3966</v>
      </c>
      <c r="I1548" s="1" t="s">
        <v>3324</v>
      </c>
      <c r="J1548" t="str">
        <f>IF(ISNA(_xlfn.XLOOKUP(B1548,customer_master!$A$2:$A$1649, customer_master!$A$2:$A$1649)), "Invalid", "Ok")</f>
        <v>Ok</v>
      </c>
      <c r="K1548" t="str">
        <f>IF(ISNA(_xlfn.XLOOKUP(H1548,agent_info!$A$2:$A$301, agent_info!$A$2:$A$301)), "Invalid", "Ok")</f>
        <v>Ok</v>
      </c>
    </row>
    <row r="1549" spans="1:11" x14ac:dyDescent="0.3">
      <c r="A1549" s="1" t="s">
        <v>5167</v>
      </c>
      <c r="B1549" s="1" t="s">
        <v>931</v>
      </c>
      <c r="C1549" s="1" t="s">
        <v>3334</v>
      </c>
      <c r="D1549" s="1">
        <v>717997.6</v>
      </c>
      <c r="E1549" s="1">
        <v>33245.94</v>
      </c>
      <c r="F1549" s="41">
        <v>45028</v>
      </c>
      <c r="G1549" s="41">
        <v>45394</v>
      </c>
      <c r="H1549" s="1" t="s">
        <v>4106</v>
      </c>
      <c r="I1549" s="1" t="s">
        <v>3324</v>
      </c>
      <c r="J1549" t="str">
        <f>IF(ISNA(_xlfn.XLOOKUP(B1549,customer_master!$A$2:$A$1649, customer_master!$A$2:$A$1649)), "Invalid", "Ok")</f>
        <v>Ok</v>
      </c>
      <c r="K1549" t="str">
        <f>IF(ISNA(_xlfn.XLOOKUP(H1549,agent_info!$A$2:$A$301, agent_info!$A$2:$A$301)), "Invalid", "Ok")</f>
        <v>Ok</v>
      </c>
    </row>
    <row r="1550" spans="1:11" x14ac:dyDescent="0.3">
      <c r="A1550" s="1" t="s">
        <v>5168</v>
      </c>
      <c r="B1550" s="1" t="s">
        <v>365</v>
      </c>
      <c r="C1550" s="1" t="s">
        <v>3334</v>
      </c>
      <c r="D1550" s="1">
        <v>578514.67000000004</v>
      </c>
      <c r="E1550" s="1">
        <v>30646.55</v>
      </c>
      <c r="F1550" s="41">
        <v>44864</v>
      </c>
      <c r="G1550" s="41">
        <v>45229</v>
      </c>
      <c r="H1550" s="1" t="s">
        <v>3824</v>
      </c>
      <c r="I1550" s="1" t="s">
        <v>3324</v>
      </c>
      <c r="J1550" t="str">
        <f>IF(ISNA(_xlfn.XLOOKUP(B1550,customer_master!$A$2:$A$1649, customer_master!$A$2:$A$1649)), "Invalid", "Ok")</f>
        <v>Ok</v>
      </c>
      <c r="K1550" t="str">
        <f>IF(ISNA(_xlfn.XLOOKUP(H1550,agent_info!$A$2:$A$301, agent_info!$A$2:$A$301)), "Invalid", "Ok")</f>
        <v>Ok</v>
      </c>
    </row>
    <row r="1551" spans="1:11" x14ac:dyDescent="0.3">
      <c r="A1551" s="1" t="s">
        <v>5169</v>
      </c>
      <c r="B1551" s="1" t="s">
        <v>1929</v>
      </c>
      <c r="C1551" s="1" t="s">
        <v>3331</v>
      </c>
      <c r="D1551" s="1">
        <v>524027.63</v>
      </c>
      <c r="E1551" s="1">
        <v>23654.31</v>
      </c>
      <c r="F1551" s="41">
        <v>45985</v>
      </c>
      <c r="G1551" s="41">
        <v>46350</v>
      </c>
      <c r="H1551" s="1" t="s">
        <v>3457</v>
      </c>
      <c r="I1551" s="1" t="s">
        <v>3324</v>
      </c>
      <c r="J1551" t="str">
        <f>IF(ISNA(_xlfn.XLOOKUP(B1551,customer_master!$A$2:$A$1649, customer_master!$A$2:$A$1649)), "Invalid", "Ok")</f>
        <v>Ok</v>
      </c>
      <c r="K1551" t="str">
        <f>IF(ISNA(_xlfn.XLOOKUP(H1551,agent_info!$A$2:$A$301, agent_info!$A$2:$A$301)), "Invalid", "Ok")</f>
        <v>Ok</v>
      </c>
    </row>
    <row r="1552" spans="1:11" x14ac:dyDescent="0.3">
      <c r="A1552" s="1" t="s">
        <v>5170</v>
      </c>
      <c r="B1552" s="1" t="s">
        <v>903</v>
      </c>
      <c r="C1552" s="1" t="s">
        <v>3314</v>
      </c>
      <c r="D1552" s="1">
        <v>632662.68000000005</v>
      </c>
      <c r="E1552" s="1">
        <v>30775.23</v>
      </c>
      <c r="F1552" s="41">
        <v>44512</v>
      </c>
      <c r="G1552" s="41">
        <v>44877</v>
      </c>
      <c r="H1552" s="1" t="s">
        <v>4014</v>
      </c>
      <c r="I1552" s="1" t="s">
        <v>3324</v>
      </c>
      <c r="J1552" t="str">
        <f>IF(ISNA(_xlfn.XLOOKUP(B1552,customer_master!$A$2:$A$1649, customer_master!$A$2:$A$1649)), "Invalid", "Ok")</f>
        <v>Ok</v>
      </c>
      <c r="K1552" t="str">
        <f>IF(ISNA(_xlfn.XLOOKUP(H1552,agent_info!$A$2:$A$301, agent_info!$A$2:$A$301)), "Invalid", "Ok")</f>
        <v>Ok</v>
      </c>
    </row>
    <row r="1553" spans="1:11" x14ac:dyDescent="0.3">
      <c r="A1553" s="1" t="s">
        <v>5171</v>
      </c>
      <c r="B1553" s="1" t="s">
        <v>2800</v>
      </c>
      <c r="C1553" s="1" t="s">
        <v>3314</v>
      </c>
      <c r="D1553" s="1">
        <v>673526.09</v>
      </c>
      <c r="E1553" s="1">
        <v>33778.550000000003</v>
      </c>
      <c r="F1553" s="41">
        <v>44492</v>
      </c>
      <c r="G1553" s="41">
        <v>44857</v>
      </c>
      <c r="H1553" s="1" t="s">
        <v>3601</v>
      </c>
      <c r="I1553" s="1" t="s">
        <v>3316</v>
      </c>
      <c r="J1553" t="str">
        <f>IF(ISNA(_xlfn.XLOOKUP(B1553,customer_master!$A$2:$A$1649, customer_master!$A$2:$A$1649)), "Invalid", "Ok")</f>
        <v>Ok</v>
      </c>
      <c r="K1553" t="str">
        <f>IF(ISNA(_xlfn.XLOOKUP(H1553,agent_info!$A$2:$A$301, agent_info!$A$2:$A$301)), "Invalid", "Ok")</f>
        <v>Ok</v>
      </c>
    </row>
    <row r="1554" spans="1:11" x14ac:dyDescent="0.3">
      <c r="A1554" s="1" t="s">
        <v>5172</v>
      </c>
      <c r="B1554" s="1" t="s">
        <v>2284</v>
      </c>
      <c r="C1554" s="1" t="s">
        <v>3326</v>
      </c>
      <c r="D1554" s="1">
        <v>429636.88</v>
      </c>
      <c r="E1554" s="1">
        <v>19461.62</v>
      </c>
      <c r="F1554" s="41">
        <v>44165</v>
      </c>
      <c r="G1554" s="41">
        <v>44530</v>
      </c>
      <c r="H1554" s="1" t="s">
        <v>3858</v>
      </c>
      <c r="I1554" s="1" t="s">
        <v>3320</v>
      </c>
      <c r="J1554" t="str">
        <f>IF(ISNA(_xlfn.XLOOKUP(B1554,customer_master!$A$2:$A$1649, customer_master!$A$2:$A$1649)), "Invalid", "Ok")</f>
        <v>Ok</v>
      </c>
      <c r="K1554" t="str">
        <f>IF(ISNA(_xlfn.XLOOKUP(H1554,agent_info!$A$2:$A$301, agent_info!$A$2:$A$301)), "Invalid", "Ok")</f>
        <v>Ok</v>
      </c>
    </row>
    <row r="1555" spans="1:11" x14ac:dyDescent="0.3">
      <c r="A1555" s="1" t="s">
        <v>5173</v>
      </c>
      <c r="B1555" s="1" t="s">
        <v>48</v>
      </c>
      <c r="C1555" s="1" t="s">
        <v>3314</v>
      </c>
      <c r="D1555" s="1">
        <v>578804.18000000005</v>
      </c>
      <c r="E1555" s="1">
        <v>30295.11</v>
      </c>
      <c r="F1555" s="41">
        <v>44941</v>
      </c>
      <c r="G1555" s="41">
        <v>45306</v>
      </c>
      <c r="H1555" s="1" t="s">
        <v>3754</v>
      </c>
      <c r="I1555" s="1" t="s">
        <v>3324</v>
      </c>
      <c r="J1555" t="str">
        <f>IF(ISNA(_xlfn.XLOOKUP(B1555,customer_master!$A$2:$A$1649, customer_master!$A$2:$A$1649)), "Invalid", "Ok")</f>
        <v>Ok</v>
      </c>
      <c r="K1555" t="str">
        <f>IF(ISNA(_xlfn.XLOOKUP(H1555,agent_info!$A$2:$A$301, agent_info!$A$2:$A$301)), "Invalid", "Ok")</f>
        <v>Ok</v>
      </c>
    </row>
    <row r="1556" spans="1:11" x14ac:dyDescent="0.3">
      <c r="A1556" s="1" t="s">
        <v>5174</v>
      </c>
      <c r="B1556" s="1" t="s">
        <v>1895</v>
      </c>
      <c r="C1556" s="1" t="s">
        <v>3334</v>
      </c>
      <c r="D1556" s="1">
        <v>428809.53</v>
      </c>
      <c r="E1556" s="1">
        <v>20413.830000000002</v>
      </c>
      <c r="F1556" s="41">
        <v>45707</v>
      </c>
      <c r="G1556" s="41">
        <v>46072</v>
      </c>
      <c r="H1556" s="1" t="s">
        <v>3425</v>
      </c>
      <c r="I1556" s="1" t="s">
        <v>3324</v>
      </c>
      <c r="J1556" t="str">
        <f>IF(ISNA(_xlfn.XLOOKUP(B1556,customer_master!$A$2:$A$1649, customer_master!$A$2:$A$1649)), "Invalid", "Ok")</f>
        <v>Ok</v>
      </c>
      <c r="K1556" t="str">
        <f>IF(ISNA(_xlfn.XLOOKUP(H1556,agent_info!$A$2:$A$301, agent_info!$A$2:$A$301)), "Invalid", "Ok")</f>
        <v>Ok</v>
      </c>
    </row>
    <row r="1557" spans="1:11" x14ac:dyDescent="0.3">
      <c r="A1557" s="1" t="s">
        <v>5175</v>
      </c>
      <c r="B1557" s="1" t="s">
        <v>813</v>
      </c>
      <c r="C1557" s="1" t="s">
        <v>3334</v>
      </c>
      <c r="D1557" s="1">
        <v>468295.83</v>
      </c>
      <c r="E1557" s="1">
        <v>23607.58</v>
      </c>
      <c r="F1557" s="41">
        <v>46051</v>
      </c>
      <c r="G1557" s="41">
        <v>46416</v>
      </c>
      <c r="H1557" s="1" t="s">
        <v>3479</v>
      </c>
      <c r="I1557" s="1" t="s">
        <v>3316</v>
      </c>
      <c r="J1557" t="str">
        <f>IF(ISNA(_xlfn.XLOOKUP(B1557,customer_master!$A$2:$A$1649, customer_master!$A$2:$A$1649)), "Invalid", "Ok")</f>
        <v>Ok</v>
      </c>
      <c r="K1557" t="str">
        <f>IF(ISNA(_xlfn.XLOOKUP(H1557,agent_info!$A$2:$A$301, agent_info!$A$2:$A$301)), "Invalid", "Ok")</f>
        <v>Ok</v>
      </c>
    </row>
    <row r="1558" spans="1:11" x14ac:dyDescent="0.3">
      <c r="A1558" s="1" t="s">
        <v>5176</v>
      </c>
      <c r="B1558" s="1" t="s">
        <v>87</v>
      </c>
      <c r="C1558" s="1" t="s">
        <v>3314</v>
      </c>
      <c r="D1558" s="1">
        <v>724515.67</v>
      </c>
      <c r="E1558" s="1">
        <v>38343.74</v>
      </c>
      <c r="F1558" s="41">
        <v>44428</v>
      </c>
      <c r="G1558" s="41">
        <v>44793</v>
      </c>
      <c r="H1558" s="1" t="s">
        <v>4230</v>
      </c>
      <c r="I1558" s="1" t="s">
        <v>3324</v>
      </c>
      <c r="J1558" t="str">
        <f>IF(ISNA(_xlfn.XLOOKUP(B1558,customer_master!$A$2:$A$1649, customer_master!$A$2:$A$1649)), "Invalid", "Ok")</f>
        <v>Ok</v>
      </c>
      <c r="K1558" t="str">
        <f>IF(ISNA(_xlfn.XLOOKUP(H1558,agent_info!$A$2:$A$301, agent_info!$A$2:$A$301)), "Invalid", "Ok")</f>
        <v>Ok</v>
      </c>
    </row>
    <row r="1559" spans="1:11" x14ac:dyDescent="0.3">
      <c r="A1559" s="1" t="s">
        <v>5177</v>
      </c>
      <c r="B1559" s="1" t="s">
        <v>2087</v>
      </c>
      <c r="C1559" s="1" t="s">
        <v>3314</v>
      </c>
      <c r="D1559" s="1">
        <v>440721.81</v>
      </c>
      <c r="E1559" s="1">
        <v>22437.65</v>
      </c>
      <c r="F1559" s="41">
        <v>44513</v>
      </c>
      <c r="G1559" s="41">
        <v>44878</v>
      </c>
      <c r="H1559" s="1" t="s">
        <v>4370</v>
      </c>
      <c r="I1559" s="1" t="s">
        <v>3324</v>
      </c>
      <c r="J1559" t="str">
        <f>IF(ISNA(_xlfn.XLOOKUP(B1559,customer_master!$A$2:$A$1649, customer_master!$A$2:$A$1649)), "Invalid", "Ok")</f>
        <v>Ok</v>
      </c>
      <c r="K1559" t="str">
        <f>IF(ISNA(_xlfn.XLOOKUP(H1559,agent_info!$A$2:$A$301, agent_info!$A$2:$A$301)), "Invalid", "Ok")</f>
        <v>Ok</v>
      </c>
    </row>
    <row r="1560" spans="1:11" x14ac:dyDescent="0.3">
      <c r="A1560" s="1" t="s">
        <v>5178</v>
      </c>
      <c r="B1560" s="1" t="s">
        <v>727</v>
      </c>
      <c r="C1560" s="1" t="s">
        <v>3334</v>
      </c>
      <c r="D1560" s="1">
        <v>697369.08</v>
      </c>
      <c r="E1560" s="1">
        <v>34558.910000000003</v>
      </c>
      <c r="F1560" s="41">
        <v>45127</v>
      </c>
      <c r="G1560" s="41">
        <v>45493</v>
      </c>
      <c r="H1560" s="1" t="s">
        <v>3415</v>
      </c>
      <c r="I1560" s="1" t="s">
        <v>3320</v>
      </c>
      <c r="J1560" t="str">
        <f>IF(ISNA(_xlfn.XLOOKUP(B1560,customer_master!$A$2:$A$1649, customer_master!$A$2:$A$1649)), "Invalid", "Ok")</f>
        <v>Ok</v>
      </c>
      <c r="K1560" t="str">
        <f>IF(ISNA(_xlfn.XLOOKUP(H1560,agent_info!$A$2:$A$301, agent_info!$A$2:$A$301)), "Invalid", "Ok")</f>
        <v>Ok</v>
      </c>
    </row>
    <row r="1561" spans="1:11" x14ac:dyDescent="0.3">
      <c r="A1561" s="1" t="s">
        <v>5179</v>
      </c>
      <c r="B1561" s="1" t="s">
        <v>2989</v>
      </c>
      <c r="C1561" s="1" t="s">
        <v>3326</v>
      </c>
      <c r="D1561" s="1">
        <v>480408.51</v>
      </c>
      <c r="E1561" s="1">
        <v>23233.1</v>
      </c>
      <c r="F1561" s="41">
        <v>45535</v>
      </c>
      <c r="G1561" s="41">
        <v>45900</v>
      </c>
      <c r="H1561" s="1" t="s">
        <v>3701</v>
      </c>
      <c r="I1561" s="1" t="s">
        <v>3316</v>
      </c>
      <c r="J1561" t="str">
        <f>IF(ISNA(_xlfn.XLOOKUP(B1561,customer_master!$A$2:$A$1649, customer_master!$A$2:$A$1649)), "Invalid", "Ok")</f>
        <v>Ok</v>
      </c>
      <c r="K1561" t="str">
        <f>IF(ISNA(_xlfn.XLOOKUP(H1561,agent_info!$A$2:$A$301, agent_info!$A$2:$A$301)), "Invalid", "Ok")</f>
        <v>Ok</v>
      </c>
    </row>
    <row r="1562" spans="1:11" x14ac:dyDescent="0.3">
      <c r="A1562" s="1" t="s">
        <v>5180</v>
      </c>
      <c r="B1562" s="1" t="s">
        <v>1915</v>
      </c>
      <c r="C1562" s="1" t="s">
        <v>3334</v>
      </c>
      <c r="D1562" s="1">
        <v>640455.73</v>
      </c>
      <c r="E1562" s="1">
        <v>29109.39</v>
      </c>
      <c r="F1562" s="41">
        <v>44659</v>
      </c>
      <c r="G1562" s="41">
        <v>45024</v>
      </c>
      <c r="H1562" s="1" t="s">
        <v>3625</v>
      </c>
      <c r="I1562" s="1" t="s">
        <v>3316</v>
      </c>
      <c r="J1562" t="str">
        <f>IF(ISNA(_xlfn.XLOOKUP(B1562,customer_master!$A$2:$A$1649, customer_master!$A$2:$A$1649)), "Invalid", "Ok")</f>
        <v>Ok</v>
      </c>
      <c r="K1562" t="str">
        <f>IF(ISNA(_xlfn.XLOOKUP(H1562,agent_info!$A$2:$A$301, agent_info!$A$2:$A$301)), "Invalid", "Ok")</f>
        <v>Ok</v>
      </c>
    </row>
    <row r="1563" spans="1:11" x14ac:dyDescent="0.3">
      <c r="A1563" s="1" t="s">
        <v>5181</v>
      </c>
      <c r="B1563" s="1" t="s">
        <v>743</v>
      </c>
      <c r="C1563" s="1" t="s">
        <v>3318</v>
      </c>
      <c r="D1563" s="1">
        <v>722103.37</v>
      </c>
      <c r="E1563" s="1">
        <v>39087.61</v>
      </c>
      <c r="F1563" s="41">
        <v>45000</v>
      </c>
      <c r="G1563" s="41">
        <v>45366</v>
      </c>
      <c r="H1563" s="1" t="s">
        <v>3770</v>
      </c>
      <c r="I1563" s="1" t="s">
        <v>3324</v>
      </c>
      <c r="J1563" t="str">
        <f>IF(ISNA(_xlfn.XLOOKUP(B1563,customer_master!$A$2:$A$1649, customer_master!$A$2:$A$1649)), "Invalid", "Ok")</f>
        <v>Ok</v>
      </c>
      <c r="K1563" t="str">
        <f>IF(ISNA(_xlfn.XLOOKUP(H1563,agent_info!$A$2:$A$301, agent_info!$A$2:$A$301)), "Invalid", "Ok")</f>
        <v>Ok</v>
      </c>
    </row>
    <row r="1564" spans="1:11" x14ac:dyDescent="0.3">
      <c r="A1564" s="1" t="s">
        <v>5182</v>
      </c>
      <c r="B1564" s="1" t="s">
        <v>3241</v>
      </c>
      <c r="C1564" s="1" t="s">
        <v>3326</v>
      </c>
      <c r="D1564" s="1">
        <v>623314.54</v>
      </c>
      <c r="E1564" s="1">
        <v>31738.75</v>
      </c>
      <c r="F1564" s="41">
        <v>45282</v>
      </c>
      <c r="G1564" s="41">
        <v>45648</v>
      </c>
      <c r="H1564" s="1" t="s">
        <v>3504</v>
      </c>
      <c r="I1564" s="1" t="s">
        <v>3316</v>
      </c>
      <c r="J1564" t="str">
        <f>IF(ISNA(_xlfn.XLOOKUP(B1564,customer_master!$A$2:$A$1649, customer_master!$A$2:$A$1649)), "Invalid", "Ok")</f>
        <v>Ok</v>
      </c>
      <c r="K1564" t="str">
        <f>IF(ISNA(_xlfn.XLOOKUP(H1564,agent_info!$A$2:$A$301, agent_info!$A$2:$A$301)), "Invalid", "Ok")</f>
        <v>Ok</v>
      </c>
    </row>
    <row r="1565" spans="1:11" x14ac:dyDescent="0.3">
      <c r="A1565" s="1" t="s">
        <v>5183</v>
      </c>
      <c r="B1565" s="1" t="s">
        <v>1825</v>
      </c>
      <c r="C1565" s="1" t="s">
        <v>3334</v>
      </c>
      <c r="D1565" s="1">
        <v>702987.33</v>
      </c>
      <c r="E1565" s="1">
        <v>36074.04</v>
      </c>
      <c r="F1565" s="41">
        <v>45830</v>
      </c>
      <c r="G1565" s="41">
        <v>46195</v>
      </c>
      <c r="H1565" s="1" t="s">
        <v>3502</v>
      </c>
      <c r="I1565" s="1" t="s">
        <v>3324</v>
      </c>
      <c r="J1565" t="str">
        <f>IF(ISNA(_xlfn.XLOOKUP(B1565,customer_master!$A$2:$A$1649, customer_master!$A$2:$A$1649)), "Invalid", "Ok")</f>
        <v>Ok</v>
      </c>
      <c r="K1565" t="str">
        <f>IF(ISNA(_xlfn.XLOOKUP(H1565,agent_info!$A$2:$A$301, agent_info!$A$2:$A$301)), "Invalid", "Ok")</f>
        <v>Ok</v>
      </c>
    </row>
    <row r="1566" spans="1:11" x14ac:dyDescent="0.3">
      <c r="A1566" s="1" t="s">
        <v>5184</v>
      </c>
      <c r="B1566" s="1" t="s">
        <v>584</v>
      </c>
      <c r="C1566" s="1" t="s">
        <v>3326</v>
      </c>
      <c r="D1566" s="1">
        <v>441402.17</v>
      </c>
      <c r="E1566" s="1">
        <v>21807.53</v>
      </c>
      <c r="F1566" s="41">
        <v>45642</v>
      </c>
      <c r="G1566" s="41">
        <v>46007</v>
      </c>
      <c r="H1566" s="1" t="s">
        <v>4639</v>
      </c>
      <c r="I1566" s="1" t="s">
        <v>3324</v>
      </c>
      <c r="J1566" t="str">
        <f>IF(ISNA(_xlfn.XLOOKUP(B1566,customer_master!$A$2:$A$1649, customer_master!$A$2:$A$1649)), "Invalid", "Ok")</f>
        <v>Ok</v>
      </c>
      <c r="K1566" t="str">
        <f>IF(ISNA(_xlfn.XLOOKUP(H1566,agent_info!$A$2:$A$301, agent_info!$A$2:$A$301)), "Invalid", "Ok")</f>
        <v>Ok</v>
      </c>
    </row>
    <row r="1567" spans="1:11" x14ac:dyDescent="0.3">
      <c r="A1567" s="1" t="s">
        <v>5185</v>
      </c>
      <c r="B1567" s="1" t="s">
        <v>1737</v>
      </c>
      <c r="C1567" s="1" t="s">
        <v>3314</v>
      </c>
      <c r="D1567" s="1">
        <v>524244.72</v>
      </c>
      <c r="E1567" s="1">
        <v>25544.94</v>
      </c>
      <c r="F1567" s="41">
        <v>44789</v>
      </c>
      <c r="G1567" s="41">
        <v>45154</v>
      </c>
      <c r="H1567" s="1" t="s">
        <v>3522</v>
      </c>
      <c r="I1567" s="1" t="s">
        <v>3324</v>
      </c>
      <c r="J1567" t="str">
        <f>IF(ISNA(_xlfn.XLOOKUP(B1567,customer_master!$A$2:$A$1649, customer_master!$A$2:$A$1649)), "Invalid", "Ok")</f>
        <v>Ok</v>
      </c>
      <c r="K1567" t="str">
        <f>IF(ISNA(_xlfn.XLOOKUP(H1567,agent_info!$A$2:$A$301, agent_info!$A$2:$A$301)), "Invalid", "Ok")</f>
        <v>Ok</v>
      </c>
    </row>
    <row r="1568" spans="1:11" x14ac:dyDescent="0.3">
      <c r="A1568" s="1" t="s">
        <v>5186</v>
      </c>
      <c r="B1568" s="1" t="s">
        <v>3184</v>
      </c>
      <c r="C1568" s="1" t="s">
        <v>3334</v>
      </c>
      <c r="D1568" s="1">
        <v>667124.93000000005</v>
      </c>
      <c r="E1568" s="1">
        <v>30331.87</v>
      </c>
      <c r="F1568" s="41">
        <v>45752</v>
      </c>
      <c r="G1568" s="41">
        <v>46117</v>
      </c>
      <c r="H1568" s="1" t="s">
        <v>4173</v>
      </c>
      <c r="I1568" s="1" t="s">
        <v>3324</v>
      </c>
      <c r="J1568" t="str">
        <f>IF(ISNA(_xlfn.XLOOKUP(B1568,customer_master!$A$2:$A$1649, customer_master!$A$2:$A$1649)), "Invalid", "Ok")</f>
        <v>Ok</v>
      </c>
      <c r="K1568" t="str">
        <f>IF(ISNA(_xlfn.XLOOKUP(H1568,agent_info!$A$2:$A$301, agent_info!$A$2:$A$301)), "Invalid", "Ok")</f>
        <v>Ok</v>
      </c>
    </row>
    <row r="1569" spans="1:11" x14ac:dyDescent="0.3">
      <c r="A1569" s="1" t="s">
        <v>5187</v>
      </c>
      <c r="B1569" s="1" t="s">
        <v>1433</v>
      </c>
      <c r="C1569" s="1" t="s">
        <v>3334</v>
      </c>
      <c r="D1569" s="1">
        <v>684235.32</v>
      </c>
      <c r="E1569" s="1">
        <v>31946.89</v>
      </c>
      <c r="F1569" s="41">
        <v>46009</v>
      </c>
      <c r="G1569" s="41">
        <v>46374</v>
      </c>
      <c r="H1569" s="1" t="s">
        <v>3367</v>
      </c>
      <c r="I1569" s="1" t="s">
        <v>3324</v>
      </c>
      <c r="J1569" t="str">
        <f>IF(ISNA(_xlfn.XLOOKUP(B1569,customer_master!$A$2:$A$1649, customer_master!$A$2:$A$1649)), "Invalid", "Ok")</f>
        <v>Ok</v>
      </c>
      <c r="K1569" t="str">
        <f>IF(ISNA(_xlfn.XLOOKUP(H1569,agent_info!$A$2:$A$301, agent_info!$A$2:$A$301)), "Invalid", "Ok")</f>
        <v>Ok</v>
      </c>
    </row>
    <row r="1570" spans="1:11" x14ac:dyDescent="0.3">
      <c r="A1570" s="1" t="s">
        <v>5188</v>
      </c>
      <c r="B1570" s="1" t="s">
        <v>1437</v>
      </c>
      <c r="C1570" s="1" t="s">
        <v>3318</v>
      </c>
      <c r="D1570" s="1">
        <v>676639.76</v>
      </c>
      <c r="E1570" s="1">
        <v>33328.22</v>
      </c>
      <c r="F1570" s="41">
        <v>45177</v>
      </c>
      <c r="G1570" s="41">
        <v>45543</v>
      </c>
      <c r="H1570" s="1" t="s">
        <v>3686</v>
      </c>
      <c r="I1570" s="1" t="s">
        <v>3324</v>
      </c>
      <c r="J1570" t="str">
        <f>IF(ISNA(_xlfn.XLOOKUP(B1570,customer_master!$A$2:$A$1649, customer_master!$A$2:$A$1649)), "Invalid", "Ok")</f>
        <v>Ok</v>
      </c>
      <c r="K1570" t="str">
        <f>IF(ISNA(_xlfn.XLOOKUP(H1570,agent_info!$A$2:$A$301, agent_info!$A$2:$A$301)), "Invalid", "Ok")</f>
        <v>Ok</v>
      </c>
    </row>
    <row r="1571" spans="1:11" x14ac:dyDescent="0.3">
      <c r="A1571" s="1" t="s">
        <v>5189</v>
      </c>
      <c r="B1571" s="1" t="s">
        <v>1549</v>
      </c>
      <c r="C1571" s="1" t="s">
        <v>3326</v>
      </c>
      <c r="D1571" s="1">
        <v>609037.79</v>
      </c>
      <c r="E1571" s="1">
        <v>28878.77</v>
      </c>
      <c r="F1571" s="41">
        <v>46101</v>
      </c>
      <c r="G1571" s="41">
        <v>46466</v>
      </c>
      <c r="H1571" s="1" t="s">
        <v>3387</v>
      </c>
      <c r="I1571" s="1" t="s">
        <v>3324</v>
      </c>
      <c r="J1571" t="str">
        <f>IF(ISNA(_xlfn.XLOOKUP(B1571,customer_master!$A$2:$A$1649, customer_master!$A$2:$A$1649)), "Invalid", "Ok")</f>
        <v>Ok</v>
      </c>
      <c r="K1571" t="str">
        <f>IF(ISNA(_xlfn.XLOOKUP(H1571,agent_info!$A$2:$A$301, agent_info!$A$2:$A$301)), "Invalid", "Ok")</f>
        <v>Ok</v>
      </c>
    </row>
    <row r="1572" spans="1:11" x14ac:dyDescent="0.3">
      <c r="A1572" s="1" t="s">
        <v>5190</v>
      </c>
      <c r="B1572" s="1" t="s">
        <v>947</v>
      </c>
      <c r="C1572" s="1" t="s">
        <v>3318</v>
      </c>
      <c r="D1572" s="1">
        <v>465553.35</v>
      </c>
      <c r="E1572" s="1">
        <v>21156.799999999999</v>
      </c>
      <c r="F1572" s="41">
        <v>45924</v>
      </c>
      <c r="G1572" s="41">
        <v>46289</v>
      </c>
      <c r="H1572" s="1" t="s">
        <v>3391</v>
      </c>
      <c r="I1572" s="1" t="s">
        <v>3316</v>
      </c>
      <c r="J1572" t="str">
        <f>IF(ISNA(_xlfn.XLOOKUP(B1572,customer_master!$A$2:$A$1649, customer_master!$A$2:$A$1649)), "Invalid", "Ok")</f>
        <v>Ok</v>
      </c>
      <c r="K1572" t="str">
        <f>IF(ISNA(_xlfn.XLOOKUP(H1572,agent_info!$A$2:$A$301, agent_info!$A$2:$A$301)), "Invalid", "Ok")</f>
        <v>Ok</v>
      </c>
    </row>
    <row r="1573" spans="1:11" x14ac:dyDescent="0.3">
      <c r="A1573" s="1" t="s">
        <v>5191</v>
      </c>
      <c r="B1573" s="1" t="s">
        <v>572</v>
      </c>
      <c r="C1573" s="1" t="s">
        <v>3314</v>
      </c>
      <c r="D1573" s="1">
        <v>496298.36</v>
      </c>
      <c r="E1573" s="1">
        <v>25043.279999999999</v>
      </c>
      <c r="F1573" s="41">
        <v>44929</v>
      </c>
      <c r="G1573" s="41">
        <v>45294</v>
      </c>
      <c r="H1573" s="1" t="s">
        <v>3767</v>
      </c>
      <c r="I1573" s="1" t="s">
        <v>3316</v>
      </c>
      <c r="J1573" t="str">
        <f>IF(ISNA(_xlfn.XLOOKUP(B1573,customer_master!$A$2:$A$1649, customer_master!$A$2:$A$1649)), "Invalid", "Ok")</f>
        <v>Ok</v>
      </c>
      <c r="K1573" t="str">
        <f>IF(ISNA(_xlfn.XLOOKUP(H1573,agent_info!$A$2:$A$301, agent_info!$A$2:$A$301)), "Invalid", "Ok")</f>
        <v>Ok</v>
      </c>
    </row>
    <row r="1574" spans="1:11" x14ac:dyDescent="0.3">
      <c r="A1574" s="1" t="s">
        <v>5192</v>
      </c>
      <c r="B1574" s="1" t="s">
        <v>1933</v>
      </c>
      <c r="C1574" s="1" t="s">
        <v>3314</v>
      </c>
      <c r="D1574" s="1">
        <v>747685.79</v>
      </c>
      <c r="E1574" s="1">
        <v>37115.97</v>
      </c>
      <c r="F1574" s="41">
        <v>44317</v>
      </c>
      <c r="G1574" s="41">
        <v>44682</v>
      </c>
      <c r="H1574" s="1" t="s">
        <v>3794</v>
      </c>
      <c r="I1574" s="1" t="s">
        <v>3324</v>
      </c>
      <c r="J1574" t="str">
        <f>IF(ISNA(_xlfn.XLOOKUP(B1574,customer_master!$A$2:$A$1649, customer_master!$A$2:$A$1649)), "Invalid", "Ok")</f>
        <v>Ok</v>
      </c>
      <c r="K1574" t="str">
        <f>IF(ISNA(_xlfn.XLOOKUP(H1574,agent_info!$A$2:$A$301, agent_info!$A$2:$A$301)), "Invalid", "Ok")</f>
        <v>Ok</v>
      </c>
    </row>
    <row r="1575" spans="1:11" x14ac:dyDescent="0.3">
      <c r="A1575" s="1" t="s">
        <v>5193</v>
      </c>
      <c r="B1575" s="1" t="s">
        <v>2973</v>
      </c>
      <c r="C1575" s="1" t="s">
        <v>3334</v>
      </c>
      <c r="D1575" s="1">
        <v>598236.25</v>
      </c>
      <c r="E1575" s="1">
        <v>29441.439999999999</v>
      </c>
      <c r="F1575" s="41">
        <v>44313</v>
      </c>
      <c r="G1575" s="41">
        <v>44678</v>
      </c>
      <c r="H1575" s="1" t="s">
        <v>3574</v>
      </c>
      <c r="I1575" s="1" t="s">
        <v>3316</v>
      </c>
      <c r="J1575" t="str">
        <f>IF(ISNA(_xlfn.XLOOKUP(B1575,customer_master!$A$2:$A$1649, customer_master!$A$2:$A$1649)), "Invalid", "Ok")</f>
        <v>Ok</v>
      </c>
      <c r="K1575" t="str">
        <f>IF(ISNA(_xlfn.XLOOKUP(H1575,agent_info!$A$2:$A$301, agent_info!$A$2:$A$301)), "Invalid", "Ok")</f>
        <v>Ok</v>
      </c>
    </row>
    <row r="1576" spans="1:11" x14ac:dyDescent="0.3">
      <c r="A1576" s="1" t="s">
        <v>5194</v>
      </c>
      <c r="B1576" s="1" t="s">
        <v>2452</v>
      </c>
      <c r="C1576" s="1" t="s">
        <v>3326</v>
      </c>
      <c r="D1576" s="1">
        <v>614057.64</v>
      </c>
      <c r="E1576" s="1">
        <v>32448.21</v>
      </c>
      <c r="F1576" s="41">
        <v>44123</v>
      </c>
      <c r="G1576" s="41">
        <v>44488</v>
      </c>
      <c r="H1576" s="1" t="s">
        <v>3897</v>
      </c>
      <c r="I1576" s="1" t="s">
        <v>3320</v>
      </c>
      <c r="J1576" t="str">
        <f>IF(ISNA(_xlfn.XLOOKUP(B1576,customer_master!$A$2:$A$1649, customer_master!$A$2:$A$1649)), "Invalid", "Ok")</f>
        <v>Ok</v>
      </c>
      <c r="K1576" t="str">
        <f>IF(ISNA(_xlfn.XLOOKUP(H1576,agent_info!$A$2:$A$301, agent_info!$A$2:$A$301)), "Invalid", "Ok")</f>
        <v>Ok</v>
      </c>
    </row>
    <row r="1577" spans="1:11" x14ac:dyDescent="0.3">
      <c r="A1577" s="1" t="s">
        <v>5195</v>
      </c>
      <c r="B1577" s="1" t="s">
        <v>350</v>
      </c>
      <c r="C1577" s="1" t="s">
        <v>3331</v>
      </c>
      <c r="D1577" s="1">
        <v>610093.15</v>
      </c>
      <c r="E1577" s="1">
        <v>31111.87</v>
      </c>
      <c r="F1577" s="41">
        <v>44417</v>
      </c>
      <c r="G1577" s="41">
        <v>44782</v>
      </c>
      <c r="H1577" s="1" t="s">
        <v>3706</v>
      </c>
      <c r="I1577" s="1" t="s">
        <v>3316</v>
      </c>
      <c r="J1577" t="str">
        <f>IF(ISNA(_xlfn.XLOOKUP(B1577,customer_master!$A$2:$A$1649, customer_master!$A$2:$A$1649)), "Invalid", "Ok")</f>
        <v>Ok</v>
      </c>
      <c r="K1577" t="str">
        <f>IF(ISNA(_xlfn.XLOOKUP(H1577,agent_info!$A$2:$A$301, agent_info!$A$2:$A$301)), "Invalid", "Ok")</f>
        <v>Ok</v>
      </c>
    </row>
    <row r="1578" spans="1:11" x14ac:dyDescent="0.3">
      <c r="A1578" s="1" t="s">
        <v>5196</v>
      </c>
      <c r="B1578" s="1" t="s">
        <v>1366</v>
      </c>
      <c r="C1578" s="1" t="s">
        <v>3314</v>
      </c>
      <c r="D1578" s="1">
        <v>740933.22</v>
      </c>
      <c r="E1578" s="1">
        <v>33352.480000000003</v>
      </c>
      <c r="F1578" s="41">
        <v>45173</v>
      </c>
      <c r="G1578" s="41">
        <v>45539</v>
      </c>
      <c r="H1578" s="1" t="s">
        <v>3989</v>
      </c>
      <c r="I1578" s="1" t="s">
        <v>3324</v>
      </c>
      <c r="J1578" t="str">
        <f>IF(ISNA(_xlfn.XLOOKUP(B1578,customer_master!$A$2:$A$1649, customer_master!$A$2:$A$1649)), "Invalid", "Ok")</f>
        <v>Ok</v>
      </c>
      <c r="K1578" t="str">
        <f>IF(ISNA(_xlfn.XLOOKUP(H1578,agent_info!$A$2:$A$301, agent_info!$A$2:$A$301)), "Invalid", "Ok")</f>
        <v>Ok</v>
      </c>
    </row>
    <row r="1579" spans="1:11" x14ac:dyDescent="0.3">
      <c r="A1579" s="1" t="s">
        <v>5197</v>
      </c>
      <c r="B1579" s="1" t="s">
        <v>48</v>
      </c>
      <c r="C1579" s="1" t="s">
        <v>3314</v>
      </c>
      <c r="D1579" s="1">
        <v>719481</v>
      </c>
      <c r="E1579" s="1">
        <v>37858.44</v>
      </c>
      <c r="F1579" s="41">
        <v>45759</v>
      </c>
      <c r="G1579" s="41">
        <v>46124</v>
      </c>
      <c r="H1579" s="1" t="s">
        <v>4243</v>
      </c>
      <c r="I1579" s="1" t="s">
        <v>3316</v>
      </c>
      <c r="J1579" t="str">
        <f>IF(ISNA(_xlfn.XLOOKUP(B1579,customer_master!$A$2:$A$1649, customer_master!$A$2:$A$1649)), "Invalid", "Ok")</f>
        <v>Ok</v>
      </c>
      <c r="K1579" t="str">
        <f>IF(ISNA(_xlfn.XLOOKUP(H1579,agent_info!$A$2:$A$301, agent_info!$A$2:$A$301)), "Invalid", "Ok")</f>
        <v>Ok</v>
      </c>
    </row>
    <row r="1580" spans="1:11" x14ac:dyDescent="0.3">
      <c r="A1580" s="1" t="s">
        <v>5198</v>
      </c>
      <c r="B1580" s="1" t="s">
        <v>1039</v>
      </c>
      <c r="C1580" s="1" t="s">
        <v>3318</v>
      </c>
      <c r="D1580" s="1">
        <v>476799.67</v>
      </c>
      <c r="E1580" s="1">
        <v>23756.959999999999</v>
      </c>
      <c r="F1580" s="41">
        <v>44595</v>
      </c>
      <c r="G1580" s="41">
        <v>44960</v>
      </c>
      <c r="H1580" s="1" t="s">
        <v>3824</v>
      </c>
      <c r="I1580" s="1" t="s">
        <v>3324</v>
      </c>
      <c r="J1580" t="str">
        <f>IF(ISNA(_xlfn.XLOOKUP(B1580,customer_master!$A$2:$A$1649, customer_master!$A$2:$A$1649)), "Invalid", "Ok")</f>
        <v>Ok</v>
      </c>
      <c r="K1580" t="str">
        <f>IF(ISNA(_xlfn.XLOOKUP(H1580,agent_info!$A$2:$A$301, agent_info!$A$2:$A$301)), "Invalid", "Ok")</f>
        <v>Ok</v>
      </c>
    </row>
    <row r="1581" spans="1:11" x14ac:dyDescent="0.3">
      <c r="A1581" s="1" t="s">
        <v>5199</v>
      </c>
      <c r="B1581" s="1" t="s">
        <v>2234</v>
      </c>
      <c r="C1581" s="1" t="s">
        <v>3318</v>
      </c>
      <c r="D1581" s="1">
        <v>712420.18</v>
      </c>
      <c r="E1581" s="1">
        <v>35740.800000000003</v>
      </c>
      <c r="F1581" s="41">
        <v>45563</v>
      </c>
      <c r="G1581" s="41">
        <v>45928</v>
      </c>
      <c r="H1581" s="1" t="s">
        <v>3803</v>
      </c>
      <c r="I1581" s="1" t="s">
        <v>3324</v>
      </c>
      <c r="J1581" t="str">
        <f>IF(ISNA(_xlfn.XLOOKUP(B1581,customer_master!$A$2:$A$1649, customer_master!$A$2:$A$1649)), "Invalid", "Ok")</f>
        <v>Ok</v>
      </c>
      <c r="K1581" t="str">
        <f>IF(ISNA(_xlfn.XLOOKUP(H1581,agent_info!$A$2:$A$301, agent_info!$A$2:$A$301)), "Invalid", "Ok")</f>
        <v>Ok</v>
      </c>
    </row>
    <row r="1582" spans="1:11" x14ac:dyDescent="0.3">
      <c r="A1582" s="1" t="s">
        <v>5200</v>
      </c>
      <c r="B1582" s="1" t="s">
        <v>978</v>
      </c>
      <c r="C1582" s="1" t="s">
        <v>3331</v>
      </c>
      <c r="D1582" s="1">
        <v>495965.02</v>
      </c>
      <c r="E1582" s="1">
        <v>26730.400000000001</v>
      </c>
      <c r="F1582" s="41">
        <v>44826</v>
      </c>
      <c r="G1582" s="41">
        <v>45191</v>
      </c>
      <c r="H1582" s="1" t="s">
        <v>3984</v>
      </c>
      <c r="I1582" s="1" t="s">
        <v>3324</v>
      </c>
      <c r="J1582" t="str">
        <f>IF(ISNA(_xlfn.XLOOKUP(B1582,customer_master!$A$2:$A$1649, customer_master!$A$2:$A$1649)), "Invalid", "Ok")</f>
        <v>Ok</v>
      </c>
      <c r="K1582" t="str">
        <f>IF(ISNA(_xlfn.XLOOKUP(H1582,agent_info!$A$2:$A$301, agent_info!$A$2:$A$301)), "Invalid", "Ok")</f>
        <v>Ok</v>
      </c>
    </row>
    <row r="1583" spans="1:11" x14ac:dyDescent="0.3">
      <c r="A1583" s="1" t="s">
        <v>5201</v>
      </c>
      <c r="B1583" s="1" t="s">
        <v>2790</v>
      </c>
      <c r="C1583" s="1" t="s">
        <v>3331</v>
      </c>
      <c r="D1583" s="1">
        <v>549734.04</v>
      </c>
      <c r="E1583" s="1">
        <v>25338.45</v>
      </c>
      <c r="F1583" s="41">
        <v>46217</v>
      </c>
      <c r="G1583" s="41">
        <v>46582</v>
      </c>
      <c r="H1583" s="1" t="s">
        <v>3966</v>
      </c>
      <c r="I1583" s="1" t="s">
        <v>3324</v>
      </c>
      <c r="J1583" t="str">
        <f>IF(ISNA(_xlfn.XLOOKUP(B1583,customer_master!$A$2:$A$1649, customer_master!$A$2:$A$1649)), "Invalid", "Ok")</f>
        <v>Ok</v>
      </c>
      <c r="K1583" t="str">
        <f>IF(ISNA(_xlfn.XLOOKUP(H1583,agent_info!$A$2:$A$301, agent_info!$A$2:$A$301)), "Invalid", "Ok")</f>
        <v>Ok</v>
      </c>
    </row>
    <row r="1584" spans="1:11" x14ac:dyDescent="0.3">
      <c r="A1584" s="1" t="s">
        <v>5202</v>
      </c>
      <c r="B1584" s="1" t="s">
        <v>1600</v>
      </c>
      <c r="C1584" s="1" t="s">
        <v>3331</v>
      </c>
      <c r="D1584" s="1">
        <v>706245.61</v>
      </c>
      <c r="E1584" s="1">
        <v>36014.32</v>
      </c>
      <c r="F1584" s="41">
        <v>45693</v>
      </c>
      <c r="G1584" s="41">
        <v>46058</v>
      </c>
      <c r="H1584" s="1" t="s">
        <v>3758</v>
      </c>
      <c r="I1584" s="1" t="s">
        <v>3324</v>
      </c>
      <c r="J1584" t="str">
        <f>IF(ISNA(_xlfn.XLOOKUP(B1584,customer_master!$A$2:$A$1649, customer_master!$A$2:$A$1649)), "Invalid", "Ok")</f>
        <v>Ok</v>
      </c>
      <c r="K1584" t="str">
        <f>IF(ISNA(_xlfn.XLOOKUP(H1584,agent_info!$A$2:$A$301, agent_info!$A$2:$A$301)), "Invalid", "Ok")</f>
        <v>Ok</v>
      </c>
    </row>
    <row r="1585" spans="1:11" x14ac:dyDescent="0.3">
      <c r="A1585" s="1" t="s">
        <v>5203</v>
      </c>
      <c r="B1585" s="1" t="s">
        <v>2234</v>
      </c>
      <c r="C1585" s="1" t="s">
        <v>3334</v>
      </c>
      <c r="D1585" s="1">
        <v>509747.34</v>
      </c>
      <c r="E1585" s="1">
        <v>24376.93</v>
      </c>
      <c r="F1585" s="41">
        <v>45029</v>
      </c>
      <c r="G1585" s="41">
        <v>45395</v>
      </c>
      <c r="H1585" s="1" t="s">
        <v>3760</v>
      </c>
      <c r="I1585" s="1" t="s">
        <v>3324</v>
      </c>
      <c r="J1585" t="str">
        <f>IF(ISNA(_xlfn.XLOOKUP(B1585,customer_master!$A$2:$A$1649, customer_master!$A$2:$A$1649)), "Invalid", "Ok")</f>
        <v>Ok</v>
      </c>
      <c r="K1585" t="str">
        <f>IF(ISNA(_xlfn.XLOOKUP(H1585,agent_info!$A$2:$A$301, agent_info!$A$2:$A$301)), "Invalid", "Ok")</f>
        <v>Ok</v>
      </c>
    </row>
    <row r="1586" spans="1:11" x14ac:dyDescent="0.3">
      <c r="A1586" s="1" t="s">
        <v>5204</v>
      </c>
      <c r="B1586" s="1" t="s">
        <v>2939</v>
      </c>
      <c r="C1586" s="1" t="s">
        <v>3314</v>
      </c>
      <c r="D1586" s="1">
        <v>496947.19</v>
      </c>
      <c r="E1586" s="1">
        <v>22545.06</v>
      </c>
      <c r="F1586" s="41">
        <v>44711</v>
      </c>
      <c r="G1586" s="41">
        <v>45076</v>
      </c>
      <c r="H1586" s="1" t="s">
        <v>3425</v>
      </c>
      <c r="I1586" s="1" t="s">
        <v>3316</v>
      </c>
      <c r="J1586" t="str">
        <f>IF(ISNA(_xlfn.XLOOKUP(B1586,customer_master!$A$2:$A$1649, customer_master!$A$2:$A$1649)), "Invalid", "Ok")</f>
        <v>Ok</v>
      </c>
      <c r="K1586" t="str">
        <f>IF(ISNA(_xlfn.XLOOKUP(H1586,agent_info!$A$2:$A$301, agent_info!$A$2:$A$301)), "Invalid", "Ok")</f>
        <v>Ok</v>
      </c>
    </row>
    <row r="1587" spans="1:11" x14ac:dyDescent="0.3">
      <c r="A1587" s="1" t="s">
        <v>5205</v>
      </c>
      <c r="B1587" s="1" t="s">
        <v>2284</v>
      </c>
      <c r="C1587" s="1" t="s">
        <v>3326</v>
      </c>
      <c r="D1587" s="1">
        <v>584029.9</v>
      </c>
      <c r="E1587" s="1">
        <v>28835.78</v>
      </c>
      <c r="F1587" s="41">
        <v>45142</v>
      </c>
      <c r="G1587" s="41">
        <v>45508</v>
      </c>
      <c r="H1587" s="1" t="s">
        <v>3670</v>
      </c>
      <c r="I1587" s="1" t="s">
        <v>3316</v>
      </c>
      <c r="J1587" t="str">
        <f>IF(ISNA(_xlfn.XLOOKUP(B1587,customer_master!$A$2:$A$1649, customer_master!$A$2:$A$1649)), "Invalid", "Ok")</f>
        <v>Ok</v>
      </c>
      <c r="K1587" t="str">
        <f>IF(ISNA(_xlfn.XLOOKUP(H1587,agent_info!$A$2:$A$301, agent_info!$A$2:$A$301)), "Invalid", "Ok")</f>
        <v>Ok</v>
      </c>
    </row>
    <row r="1588" spans="1:11" x14ac:dyDescent="0.3">
      <c r="A1588" s="1" t="s">
        <v>5206</v>
      </c>
      <c r="B1588" s="1" t="s">
        <v>2981</v>
      </c>
      <c r="C1588" s="1" t="s">
        <v>3326</v>
      </c>
      <c r="D1588" s="1">
        <v>699886.73</v>
      </c>
      <c r="E1588" s="1">
        <v>33479.870000000003</v>
      </c>
      <c r="F1588" s="41">
        <v>45744</v>
      </c>
      <c r="G1588" s="41">
        <v>46109</v>
      </c>
      <c r="H1588" s="1" t="s">
        <v>3734</v>
      </c>
      <c r="I1588" s="1" t="s">
        <v>3324</v>
      </c>
      <c r="J1588" t="str">
        <f>IF(ISNA(_xlfn.XLOOKUP(B1588,customer_master!$A$2:$A$1649, customer_master!$A$2:$A$1649)), "Invalid", "Ok")</f>
        <v>Ok</v>
      </c>
      <c r="K1588" t="str">
        <f>IF(ISNA(_xlfn.XLOOKUP(H1588,agent_info!$A$2:$A$301, agent_info!$A$2:$A$301)), "Invalid", "Ok")</f>
        <v>Ok</v>
      </c>
    </row>
    <row r="1589" spans="1:11" x14ac:dyDescent="0.3">
      <c r="A1589" s="1" t="s">
        <v>5207</v>
      </c>
      <c r="B1589" s="1" t="s">
        <v>2676</v>
      </c>
      <c r="C1589" s="1" t="s">
        <v>3331</v>
      </c>
      <c r="D1589" s="1">
        <v>431498.23999999999</v>
      </c>
      <c r="E1589" s="1">
        <v>19423.86</v>
      </c>
      <c r="F1589" s="41">
        <v>44620</v>
      </c>
      <c r="G1589" s="41">
        <v>44985</v>
      </c>
      <c r="H1589" s="1" t="s">
        <v>3406</v>
      </c>
      <c r="I1589" s="1" t="s">
        <v>3316</v>
      </c>
      <c r="J1589" t="str">
        <f>IF(ISNA(_xlfn.XLOOKUP(B1589,customer_master!$A$2:$A$1649, customer_master!$A$2:$A$1649)), "Invalid", "Ok")</f>
        <v>Ok</v>
      </c>
      <c r="K1589" t="str">
        <f>IF(ISNA(_xlfn.XLOOKUP(H1589,agent_info!$A$2:$A$301, agent_info!$A$2:$A$301)), "Invalid", "Ok")</f>
        <v>Ok</v>
      </c>
    </row>
    <row r="1590" spans="1:11" x14ac:dyDescent="0.3">
      <c r="A1590" s="1" t="s">
        <v>5208</v>
      </c>
      <c r="B1590" s="1" t="s">
        <v>1897</v>
      </c>
      <c r="C1590" s="1" t="s">
        <v>3318</v>
      </c>
      <c r="D1590" s="1">
        <v>643000.92000000004</v>
      </c>
      <c r="E1590" s="1">
        <v>32104.68</v>
      </c>
      <c r="F1590" s="41">
        <v>44411</v>
      </c>
      <c r="G1590" s="41">
        <v>44776</v>
      </c>
      <c r="H1590" s="1" t="s">
        <v>4282</v>
      </c>
      <c r="I1590" s="1" t="s">
        <v>3324</v>
      </c>
      <c r="J1590" t="str">
        <f>IF(ISNA(_xlfn.XLOOKUP(B1590,customer_master!$A$2:$A$1649, customer_master!$A$2:$A$1649)), "Invalid", "Ok")</f>
        <v>Ok</v>
      </c>
      <c r="K1590" t="str">
        <f>IF(ISNA(_xlfn.XLOOKUP(H1590,agent_info!$A$2:$A$301, agent_info!$A$2:$A$301)), "Invalid", "Ok")</f>
        <v>Ok</v>
      </c>
    </row>
    <row r="1591" spans="1:11" x14ac:dyDescent="0.3">
      <c r="A1591" s="1" t="s">
        <v>5209</v>
      </c>
      <c r="B1591" s="1" t="s">
        <v>1004</v>
      </c>
      <c r="C1591" s="1" t="s">
        <v>3318</v>
      </c>
      <c r="D1591" s="1">
        <v>577189.14</v>
      </c>
      <c r="E1591" s="1">
        <v>27769.279999999999</v>
      </c>
      <c r="F1591" s="41">
        <v>45197</v>
      </c>
      <c r="G1591" s="41">
        <v>45563</v>
      </c>
      <c r="H1591" s="1" t="s">
        <v>3341</v>
      </c>
      <c r="I1591" s="1" t="s">
        <v>3324</v>
      </c>
      <c r="J1591" t="str">
        <f>IF(ISNA(_xlfn.XLOOKUP(B1591,customer_master!$A$2:$A$1649, customer_master!$A$2:$A$1649)), "Invalid", "Ok")</f>
        <v>Ok</v>
      </c>
      <c r="K1591" t="str">
        <f>IF(ISNA(_xlfn.XLOOKUP(H1591,agent_info!$A$2:$A$301, agent_info!$A$2:$A$301)), "Invalid", "Ok")</f>
        <v>Ok</v>
      </c>
    </row>
    <row r="1592" spans="1:11" x14ac:dyDescent="0.3">
      <c r="A1592" s="1" t="s">
        <v>5210</v>
      </c>
      <c r="B1592" s="1" t="s">
        <v>1006</v>
      </c>
      <c r="C1592" s="1" t="s">
        <v>3314</v>
      </c>
      <c r="D1592" s="1">
        <v>543087.73</v>
      </c>
      <c r="E1592" s="1">
        <v>26796.62</v>
      </c>
      <c r="F1592" s="41">
        <v>44623</v>
      </c>
      <c r="G1592" s="41">
        <v>44988</v>
      </c>
      <c r="H1592" s="1" t="s">
        <v>3838</v>
      </c>
      <c r="I1592" s="1" t="s">
        <v>3320</v>
      </c>
      <c r="J1592" t="str">
        <f>IF(ISNA(_xlfn.XLOOKUP(B1592,customer_master!$A$2:$A$1649, customer_master!$A$2:$A$1649)), "Invalid", "Ok")</f>
        <v>Ok</v>
      </c>
      <c r="K1592" t="str">
        <f>IF(ISNA(_xlfn.XLOOKUP(H1592,agent_info!$A$2:$A$301, agent_info!$A$2:$A$301)), "Invalid", "Ok")</f>
        <v>Ok</v>
      </c>
    </row>
    <row r="1593" spans="1:11" x14ac:dyDescent="0.3">
      <c r="A1593" s="1" t="s">
        <v>5211</v>
      </c>
      <c r="B1593" s="1" t="s">
        <v>2909</v>
      </c>
      <c r="C1593" s="1" t="s">
        <v>3314</v>
      </c>
      <c r="D1593" s="1">
        <v>673695.62</v>
      </c>
      <c r="E1593" s="1">
        <v>30395.34</v>
      </c>
      <c r="F1593" s="41">
        <v>45757</v>
      </c>
      <c r="G1593" s="41">
        <v>46122</v>
      </c>
      <c r="H1593" s="1" t="s">
        <v>4240</v>
      </c>
      <c r="I1593" s="1" t="s">
        <v>3324</v>
      </c>
      <c r="J1593" t="str">
        <f>IF(ISNA(_xlfn.XLOOKUP(B1593,customer_master!$A$2:$A$1649, customer_master!$A$2:$A$1649)), "Invalid", "Ok")</f>
        <v>Ok</v>
      </c>
      <c r="K1593" t="str">
        <f>IF(ISNA(_xlfn.XLOOKUP(H1593,agent_info!$A$2:$A$301, agent_info!$A$2:$A$301)), "Invalid", "Ok")</f>
        <v>Ok</v>
      </c>
    </row>
    <row r="1594" spans="1:11" x14ac:dyDescent="0.3">
      <c r="A1594" s="1" t="s">
        <v>5212</v>
      </c>
      <c r="B1594" s="1" t="s">
        <v>210</v>
      </c>
      <c r="C1594" s="1" t="s">
        <v>3331</v>
      </c>
      <c r="D1594" s="1">
        <v>593170.06000000006</v>
      </c>
      <c r="E1594" s="1">
        <v>29075.9</v>
      </c>
      <c r="F1594" s="41">
        <v>45971</v>
      </c>
      <c r="G1594" s="41">
        <v>46336</v>
      </c>
      <c r="H1594" s="1" t="s">
        <v>3498</v>
      </c>
      <c r="I1594" s="1" t="s">
        <v>3324</v>
      </c>
      <c r="J1594" t="str">
        <f>IF(ISNA(_xlfn.XLOOKUP(B1594,customer_master!$A$2:$A$1649, customer_master!$A$2:$A$1649)), "Invalid", "Ok")</f>
        <v>Ok</v>
      </c>
      <c r="K1594" t="str">
        <f>IF(ISNA(_xlfn.XLOOKUP(H1594,agent_info!$A$2:$A$301, agent_info!$A$2:$A$301)), "Invalid", "Ok")</f>
        <v>Ok</v>
      </c>
    </row>
    <row r="1595" spans="1:11" x14ac:dyDescent="0.3">
      <c r="A1595" s="1" t="s">
        <v>5213</v>
      </c>
      <c r="B1595" s="1" t="s">
        <v>3130</v>
      </c>
      <c r="C1595" s="1" t="s">
        <v>3326</v>
      </c>
      <c r="D1595" s="1">
        <v>629233.9</v>
      </c>
      <c r="E1595" s="1">
        <v>31275.47</v>
      </c>
      <c r="F1595" s="41">
        <v>46256</v>
      </c>
      <c r="G1595" s="41">
        <v>46621</v>
      </c>
      <c r="H1595" s="1" t="s">
        <v>3667</v>
      </c>
      <c r="I1595" s="1" t="s">
        <v>3316</v>
      </c>
      <c r="J1595" t="str">
        <f>IF(ISNA(_xlfn.XLOOKUP(B1595,customer_master!$A$2:$A$1649, customer_master!$A$2:$A$1649)), "Invalid", "Ok")</f>
        <v>Ok</v>
      </c>
      <c r="K1595" t="str">
        <f>IF(ISNA(_xlfn.XLOOKUP(H1595,agent_info!$A$2:$A$301, agent_info!$A$2:$A$301)), "Invalid", "Ok")</f>
        <v>Ok</v>
      </c>
    </row>
    <row r="1596" spans="1:11" x14ac:dyDescent="0.3">
      <c r="A1596" s="1" t="s">
        <v>5214</v>
      </c>
      <c r="B1596" s="1" t="s">
        <v>1109</v>
      </c>
      <c r="C1596" s="1" t="s">
        <v>3326</v>
      </c>
      <c r="D1596" s="1">
        <v>610348.88</v>
      </c>
      <c r="E1596" s="1">
        <v>30310.05</v>
      </c>
      <c r="F1596" s="41">
        <v>44619</v>
      </c>
      <c r="G1596" s="41">
        <v>44984</v>
      </c>
      <c r="H1596" s="1" t="s">
        <v>3527</v>
      </c>
      <c r="I1596" s="1" t="s">
        <v>3324</v>
      </c>
      <c r="J1596" t="str">
        <f>IF(ISNA(_xlfn.XLOOKUP(B1596,customer_master!$A$2:$A$1649, customer_master!$A$2:$A$1649)), "Invalid", "Ok")</f>
        <v>Ok</v>
      </c>
      <c r="K1596" t="str">
        <f>IF(ISNA(_xlfn.XLOOKUP(H1596,agent_info!$A$2:$A$301, agent_info!$A$2:$A$301)), "Invalid", "Ok")</f>
        <v>Ok</v>
      </c>
    </row>
    <row r="1597" spans="1:11" x14ac:dyDescent="0.3">
      <c r="A1597" s="1" t="s">
        <v>5215</v>
      </c>
      <c r="B1597" s="1" t="s">
        <v>2462</v>
      </c>
      <c r="C1597" s="1" t="s">
        <v>3326</v>
      </c>
      <c r="D1597" s="1">
        <v>694791.64</v>
      </c>
      <c r="E1597" s="1">
        <v>36246.769999999997</v>
      </c>
      <c r="F1597" s="41">
        <v>45875</v>
      </c>
      <c r="G1597" s="41">
        <v>46240</v>
      </c>
      <c r="H1597" s="1" t="s">
        <v>4370</v>
      </c>
      <c r="I1597" s="1" t="s">
        <v>3324</v>
      </c>
      <c r="J1597" t="str">
        <f>IF(ISNA(_xlfn.XLOOKUP(B1597,customer_master!$A$2:$A$1649, customer_master!$A$2:$A$1649)), "Invalid", "Ok")</f>
        <v>Ok</v>
      </c>
      <c r="K1597" t="str">
        <f>IF(ISNA(_xlfn.XLOOKUP(H1597,agent_info!$A$2:$A$301, agent_info!$A$2:$A$301)), "Invalid", "Ok")</f>
        <v>Ok</v>
      </c>
    </row>
    <row r="1598" spans="1:11" x14ac:dyDescent="0.3">
      <c r="A1598" s="1" t="s">
        <v>5216</v>
      </c>
      <c r="B1598" s="1" t="s">
        <v>1119</v>
      </c>
      <c r="C1598" s="1" t="s">
        <v>3331</v>
      </c>
      <c r="D1598" s="1">
        <v>690845.32</v>
      </c>
      <c r="E1598" s="1">
        <v>37936.300000000003</v>
      </c>
      <c r="F1598" s="41">
        <v>44511</v>
      </c>
      <c r="G1598" s="41">
        <v>44876</v>
      </c>
      <c r="H1598" s="1" t="s">
        <v>3475</v>
      </c>
      <c r="I1598" s="1" t="s">
        <v>3324</v>
      </c>
      <c r="J1598" t="str">
        <f>IF(ISNA(_xlfn.XLOOKUP(B1598,customer_master!$A$2:$A$1649, customer_master!$A$2:$A$1649)), "Invalid", "Ok")</f>
        <v>Ok</v>
      </c>
      <c r="K1598" t="str">
        <f>IF(ISNA(_xlfn.XLOOKUP(H1598,agent_info!$A$2:$A$301, agent_info!$A$2:$A$301)), "Invalid", "Ok")</f>
        <v>Ok</v>
      </c>
    </row>
    <row r="1599" spans="1:11" x14ac:dyDescent="0.3">
      <c r="A1599" s="1" t="s">
        <v>5217</v>
      </c>
      <c r="B1599" s="1" t="s">
        <v>3162</v>
      </c>
      <c r="C1599" s="1" t="s">
        <v>3331</v>
      </c>
      <c r="D1599" s="1">
        <v>406984.12</v>
      </c>
      <c r="E1599" s="1">
        <v>18427.68</v>
      </c>
      <c r="F1599" s="41">
        <v>45625</v>
      </c>
      <c r="G1599" s="41">
        <v>45990</v>
      </c>
      <c r="H1599" s="1" t="s">
        <v>3607</v>
      </c>
      <c r="I1599" s="1" t="s">
        <v>3324</v>
      </c>
      <c r="J1599" t="str">
        <f>IF(ISNA(_xlfn.XLOOKUP(B1599,customer_master!$A$2:$A$1649, customer_master!$A$2:$A$1649)), "Invalid", "Ok")</f>
        <v>Ok</v>
      </c>
      <c r="K1599" t="str">
        <f>IF(ISNA(_xlfn.XLOOKUP(H1599,agent_info!$A$2:$A$301, agent_info!$A$2:$A$301)), "Invalid", "Ok")</f>
        <v>Ok</v>
      </c>
    </row>
    <row r="1600" spans="1:11" x14ac:dyDescent="0.3">
      <c r="A1600" s="1" t="s">
        <v>5218</v>
      </c>
      <c r="B1600" s="1" t="s">
        <v>152</v>
      </c>
      <c r="C1600" s="1" t="s">
        <v>3331</v>
      </c>
      <c r="D1600" s="1">
        <v>678909.5</v>
      </c>
      <c r="E1600" s="1">
        <v>33239.589999999997</v>
      </c>
      <c r="F1600" s="41">
        <v>45852</v>
      </c>
      <c r="G1600" s="41">
        <v>46217</v>
      </c>
      <c r="H1600" s="1" t="s">
        <v>3470</v>
      </c>
      <c r="I1600" s="1" t="s">
        <v>3324</v>
      </c>
      <c r="J1600" t="str">
        <f>IF(ISNA(_xlfn.XLOOKUP(B1600,customer_master!$A$2:$A$1649, customer_master!$A$2:$A$1649)), "Invalid", "Ok")</f>
        <v>Ok</v>
      </c>
      <c r="K1600" t="str">
        <f>IF(ISNA(_xlfn.XLOOKUP(H1600,agent_info!$A$2:$A$301, agent_info!$A$2:$A$301)), "Invalid", "Ok")</f>
        <v>Ok</v>
      </c>
    </row>
    <row r="1601" spans="1:11" x14ac:dyDescent="0.3">
      <c r="A1601" s="1" t="s">
        <v>5219</v>
      </c>
      <c r="B1601" s="1" t="s">
        <v>1195</v>
      </c>
      <c r="C1601" s="1" t="s">
        <v>3326</v>
      </c>
      <c r="D1601" s="1">
        <v>577396.13</v>
      </c>
      <c r="E1601" s="1">
        <v>30929.48</v>
      </c>
      <c r="F1601" s="41">
        <v>45613</v>
      </c>
      <c r="G1601" s="41">
        <v>45978</v>
      </c>
      <c r="H1601" s="1" t="s">
        <v>4391</v>
      </c>
      <c r="I1601" s="1" t="s">
        <v>3320</v>
      </c>
      <c r="J1601" t="str">
        <f>IF(ISNA(_xlfn.XLOOKUP(B1601,customer_master!$A$2:$A$1649, customer_master!$A$2:$A$1649)), "Invalid", "Ok")</f>
        <v>Ok</v>
      </c>
      <c r="K1601" t="str">
        <f>IF(ISNA(_xlfn.XLOOKUP(H1601,agent_info!$A$2:$A$301, agent_info!$A$2:$A$301)), "Invalid", "Ok")</f>
        <v>Ok</v>
      </c>
    </row>
    <row r="1602" spans="1:11" x14ac:dyDescent="0.3">
      <c r="A1602" s="1" t="s">
        <v>5220</v>
      </c>
      <c r="B1602" s="1" t="s">
        <v>2885</v>
      </c>
      <c r="C1602" s="1" t="s">
        <v>3334</v>
      </c>
      <c r="D1602" s="1">
        <v>419569.28</v>
      </c>
      <c r="E1602" s="1">
        <v>21505.85</v>
      </c>
      <c r="F1602" s="41">
        <v>45178</v>
      </c>
      <c r="G1602" s="41">
        <v>45544</v>
      </c>
      <c r="H1602" s="1" t="s">
        <v>3527</v>
      </c>
      <c r="I1602" s="1" t="s">
        <v>3316</v>
      </c>
      <c r="J1602" t="str">
        <f>IF(ISNA(_xlfn.XLOOKUP(B1602,customer_master!$A$2:$A$1649, customer_master!$A$2:$A$1649)), "Invalid", "Ok")</f>
        <v>Ok</v>
      </c>
      <c r="K1602" t="str">
        <f>IF(ISNA(_xlfn.XLOOKUP(H1602,agent_info!$A$2:$A$301, agent_info!$A$2:$A$301)), "Invalid", "Ok")</f>
        <v>Ok</v>
      </c>
    </row>
    <row r="1603" spans="1:11" x14ac:dyDescent="0.3">
      <c r="A1603" s="1" t="s">
        <v>5221</v>
      </c>
      <c r="B1603" s="1" t="s">
        <v>927</v>
      </c>
      <c r="C1603" s="1" t="s">
        <v>3334</v>
      </c>
      <c r="D1603" s="1">
        <v>618113.35</v>
      </c>
      <c r="E1603" s="1">
        <v>33894.870000000003</v>
      </c>
      <c r="F1603" s="41">
        <v>44474</v>
      </c>
      <c r="G1603" s="41">
        <v>44839</v>
      </c>
      <c r="H1603" s="1" t="s">
        <v>3319</v>
      </c>
      <c r="I1603" s="1" t="s">
        <v>3324</v>
      </c>
      <c r="J1603" t="str">
        <f>IF(ISNA(_xlfn.XLOOKUP(B1603,customer_master!$A$2:$A$1649, customer_master!$A$2:$A$1649)), "Invalid", "Ok")</f>
        <v>Ok</v>
      </c>
      <c r="K1603" t="str">
        <f>IF(ISNA(_xlfn.XLOOKUP(H1603,agent_info!$A$2:$A$301, agent_info!$A$2:$A$301)), "Invalid", "Ok")</f>
        <v>Ok</v>
      </c>
    </row>
    <row r="1604" spans="1:11" x14ac:dyDescent="0.3">
      <c r="A1604" s="1" t="s">
        <v>5222</v>
      </c>
      <c r="B1604" s="1" t="s">
        <v>931</v>
      </c>
      <c r="C1604" s="1" t="s">
        <v>3331</v>
      </c>
      <c r="D1604" s="1">
        <v>667931.56999999995</v>
      </c>
      <c r="E1604" s="1">
        <v>34822.050000000003</v>
      </c>
      <c r="F1604" s="41">
        <v>46252</v>
      </c>
      <c r="G1604" s="41">
        <v>46617</v>
      </c>
      <c r="H1604" s="1" t="s">
        <v>3315</v>
      </c>
      <c r="I1604" s="1" t="s">
        <v>3324</v>
      </c>
      <c r="J1604" t="str">
        <f>IF(ISNA(_xlfn.XLOOKUP(B1604,customer_master!$A$2:$A$1649, customer_master!$A$2:$A$1649)), "Invalid", "Ok")</f>
        <v>Ok</v>
      </c>
      <c r="K1604" t="str">
        <f>IF(ISNA(_xlfn.XLOOKUP(H1604,agent_info!$A$2:$A$301, agent_info!$A$2:$A$301)), "Invalid", "Ok")</f>
        <v>Ok</v>
      </c>
    </row>
    <row r="1605" spans="1:11" x14ac:dyDescent="0.3">
      <c r="A1605" s="1" t="s">
        <v>5223</v>
      </c>
      <c r="B1605" s="1" t="s">
        <v>2985</v>
      </c>
      <c r="C1605" s="1" t="s">
        <v>3326</v>
      </c>
      <c r="D1605" s="1">
        <v>419018.08</v>
      </c>
      <c r="E1605" s="1">
        <v>21890.54</v>
      </c>
      <c r="F1605" s="41">
        <v>45372</v>
      </c>
      <c r="G1605" s="41">
        <v>45737</v>
      </c>
      <c r="H1605" s="1" t="s">
        <v>3595</v>
      </c>
      <c r="I1605" s="1" t="s">
        <v>3324</v>
      </c>
      <c r="J1605" t="str">
        <f>IF(ISNA(_xlfn.XLOOKUP(B1605,customer_master!$A$2:$A$1649, customer_master!$A$2:$A$1649)), "Invalid", "Ok")</f>
        <v>Ok</v>
      </c>
      <c r="K1605" t="str">
        <f>IF(ISNA(_xlfn.XLOOKUP(H1605,agent_info!$A$2:$A$301, agent_info!$A$2:$A$301)), "Invalid", "Ok")</f>
        <v>Ok</v>
      </c>
    </row>
    <row r="1606" spans="1:11" x14ac:dyDescent="0.3">
      <c r="A1606" s="1" t="s">
        <v>5224</v>
      </c>
      <c r="B1606" s="1" t="s">
        <v>2754</v>
      </c>
      <c r="C1606" s="1" t="s">
        <v>3314</v>
      </c>
      <c r="D1606" s="1">
        <v>552440.98</v>
      </c>
      <c r="E1606" s="1">
        <v>25280.17</v>
      </c>
      <c r="F1606" s="41">
        <v>45467</v>
      </c>
      <c r="G1606" s="41">
        <v>45832</v>
      </c>
      <c r="H1606" s="1" t="s">
        <v>3858</v>
      </c>
      <c r="I1606" s="1" t="s">
        <v>3324</v>
      </c>
      <c r="J1606" t="str">
        <f>IF(ISNA(_xlfn.XLOOKUP(B1606,customer_master!$A$2:$A$1649, customer_master!$A$2:$A$1649)), "Invalid", "Ok")</f>
        <v>Ok</v>
      </c>
      <c r="K1606" t="str">
        <f>IF(ISNA(_xlfn.XLOOKUP(H1606,agent_info!$A$2:$A$301, agent_info!$A$2:$A$301)), "Invalid", "Ok")</f>
        <v>Ok</v>
      </c>
    </row>
    <row r="1607" spans="1:11" x14ac:dyDescent="0.3">
      <c r="A1607" s="1" t="s">
        <v>5225</v>
      </c>
      <c r="B1607" s="1" t="s">
        <v>381</v>
      </c>
      <c r="C1607" s="1" t="s">
        <v>3326</v>
      </c>
      <c r="D1607" s="1">
        <v>539870.19999999995</v>
      </c>
      <c r="E1607" s="1">
        <v>25780.18</v>
      </c>
      <c r="F1607" s="41">
        <v>44579</v>
      </c>
      <c r="G1607" s="41">
        <v>44944</v>
      </c>
      <c r="H1607" s="1" t="s">
        <v>3858</v>
      </c>
      <c r="I1607" s="1" t="s">
        <v>3316</v>
      </c>
      <c r="J1607" t="str">
        <f>IF(ISNA(_xlfn.XLOOKUP(B1607,customer_master!$A$2:$A$1649, customer_master!$A$2:$A$1649)), "Invalid", "Ok")</f>
        <v>Ok</v>
      </c>
      <c r="K1607" t="str">
        <f>IF(ISNA(_xlfn.XLOOKUP(H1607,agent_info!$A$2:$A$301, agent_info!$A$2:$A$301)), "Invalid", "Ok")</f>
        <v>Ok</v>
      </c>
    </row>
    <row r="1608" spans="1:11" x14ac:dyDescent="0.3">
      <c r="A1608" s="1" t="s">
        <v>5226</v>
      </c>
      <c r="B1608" s="1" t="s">
        <v>1936</v>
      </c>
      <c r="C1608" s="1" t="s">
        <v>3318</v>
      </c>
      <c r="D1608" s="1">
        <v>534171.73</v>
      </c>
      <c r="E1608" s="1">
        <v>27156.27</v>
      </c>
      <c r="F1608" s="41">
        <v>44366</v>
      </c>
      <c r="G1608" s="41">
        <v>44731</v>
      </c>
      <c r="H1608" s="1" t="s">
        <v>4306</v>
      </c>
      <c r="I1608" s="1" t="s">
        <v>3324</v>
      </c>
      <c r="J1608" t="str">
        <f>IF(ISNA(_xlfn.XLOOKUP(B1608,customer_master!$A$2:$A$1649, customer_master!$A$2:$A$1649)), "Invalid", "Ok")</f>
        <v>Ok</v>
      </c>
      <c r="K1608" t="str">
        <f>IF(ISNA(_xlfn.XLOOKUP(H1608,agent_info!$A$2:$A$301, agent_info!$A$2:$A$301)), "Invalid", "Ok")</f>
        <v>Ok</v>
      </c>
    </row>
    <row r="1609" spans="1:11" x14ac:dyDescent="0.3">
      <c r="A1609" s="1" t="s">
        <v>5227</v>
      </c>
      <c r="B1609" s="1" t="s">
        <v>789</v>
      </c>
      <c r="C1609" s="1" t="s">
        <v>3314</v>
      </c>
      <c r="D1609" s="1">
        <v>722261.85</v>
      </c>
      <c r="E1609" s="1">
        <v>36274.83</v>
      </c>
      <c r="F1609" s="41">
        <v>44161</v>
      </c>
      <c r="G1609" s="41">
        <v>44526</v>
      </c>
      <c r="H1609" s="1" t="s">
        <v>3581</v>
      </c>
      <c r="I1609" s="1" t="s">
        <v>3324</v>
      </c>
      <c r="J1609" t="str">
        <f>IF(ISNA(_xlfn.XLOOKUP(B1609,customer_master!$A$2:$A$1649, customer_master!$A$2:$A$1649)), "Invalid", "Ok")</f>
        <v>Ok</v>
      </c>
      <c r="K1609" t="str">
        <f>IF(ISNA(_xlfn.XLOOKUP(H1609,agent_info!$A$2:$A$301, agent_info!$A$2:$A$301)), "Invalid", "Ok")</f>
        <v>Ok</v>
      </c>
    </row>
    <row r="1610" spans="1:11" x14ac:dyDescent="0.3">
      <c r="A1610" s="1" t="s">
        <v>5228</v>
      </c>
      <c r="B1610" s="1" t="s">
        <v>761</v>
      </c>
      <c r="C1610" s="1" t="s">
        <v>3326</v>
      </c>
      <c r="D1610" s="1">
        <v>409116.12</v>
      </c>
      <c r="E1610" s="1">
        <v>21530.11</v>
      </c>
      <c r="F1610" s="41">
        <v>46247</v>
      </c>
      <c r="G1610" s="41">
        <v>46612</v>
      </c>
      <c r="H1610" s="1" t="s">
        <v>4469</v>
      </c>
      <c r="I1610" s="1" t="s">
        <v>3324</v>
      </c>
      <c r="J1610" t="str">
        <f>IF(ISNA(_xlfn.XLOOKUP(B1610,customer_master!$A$2:$A$1649, customer_master!$A$2:$A$1649)), "Invalid", "Ok")</f>
        <v>Ok</v>
      </c>
      <c r="K1610" t="str">
        <f>IF(ISNA(_xlfn.XLOOKUP(H1610,agent_info!$A$2:$A$301, agent_info!$A$2:$A$301)), "Invalid", "Ok")</f>
        <v>Ok</v>
      </c>
    </row>
    <row r="1611" spans="1:11" x14ac:dyDescent="0.3">
      <c r="A1611" s="1" t="s">
        <v>5229</v>
      </c>
      <c r="B1611" s="1" t="s">
        <v>2068</v>
      </c>
      <c r="C1611" s="1" t="s">
        <v>3331</v>
      </c>
      <c r="D1611" s="1">
        <v>675848.44</v>
      </c>
      <c r="E1611" s="1">
        <v>37128.800000000003</v>
      </c>
      <c r="F1611" s="41">
        <v>46113</v>
      </c>
      <c r="G1611" s="41">
        <v>46478</v>
      </c>
      <c r="H1611" s="1" t="s">
        <v>3555</v>
      </c>
      <c r="I1611" s="1" t="s">
        <v>3316</v>
      </c>
      <c r="J1611" t="str">
        <f>IF(ISNA(_xlfn.XLOOKUP(B1611,customer_master!$A$2:$A$1649, customer_master!$A$2:$A$1649)), "Invalid", "Ok")</f>
        <v>Ok</v>
      </c>
      <c r="K1611" t="str">
        <f>IF(ISNA(_xlfn.XLOOKUP(H1611,agent_info!$A$2:$A$301, agent_info!$A$2:$A$301)), "Invalid", "Ok")</f>
        <v>Ok</v>
      </c>
    </row>
    <row r="1612" spans="1:11" x14ac:dyDescent="0.3">
      <c r="A1612" s="1" t="s">
        <v>5230</v>
      </c>
      <c r="B1612" s="1" t="s">
        <v>445</v>
      </c>
      <c r="C1612" s="1" t="s">
        <v>3318</v>
      </c>
      <c r="D1612" s="1">
        <v>672118.47</v>
      </c>
      <c r="E1612" s="1">
        <v>31635.3</v>
      </c>
      <c r="F1612" s="41">
        <v>45011</v>
      </c>
      <c r="G1612" s="41">
        <v>45377</v>
      </c>
      <c r="H1612" s="1" t="s">
        <v>3553</v>
      </c>
      <c r="I1612" s="1" t="s">
        <v>3316</v>
      </c>
      <c r="J1612" t="str">
        <f>IF(ISNA(_xlfn.XLOOKUP(B1612,customer_master!$A$2:$A$1649, customer_master!$A$2:$A$1649)), "Invalid", "Ok")</f>
        <v>Ok</v>
      </c>
      <c r="K1612" t="str">
        <f>IF(ISNA(_xlfn.XLOOKUP(H1612,agent_info!$A$2:$A$301, agent_info!$A$2:$A$301)), "Invalid", "Ok")</f>
        <v>Ok</v>
      </c>
    </row>
    <row r="1613" spans="1:11" x14ac:dyDescent="0.3">
      <c r="A1613" s="1" t="s">
        <v>5231</v>
      </c>
      <c r="B1613" s="1" t="s">
        <v>1572</v>
      </c>
      <c r="C1613" s="1" t="s">
        <v>3314</v>
      </c>
      <c r="D1613" s="1">
        <v>557491.53</v>
      </c>
      <c r="E1613" s="1">
        <v>27475.41</v>
      </c>
      <c r="F1613" s="41">
        <v>45428</v>
      </c>
      <c r="G1613" s="41">
        <v>45793</v>
      </c>
      <c r="H1613" s="1" t="s">
        <v>3917</v>
      </c>
      <c r="I1613" s="1" t="s">
        <v>3324</v>
      </c>
      <c r="J1613" t="str">
        <f>IF(ISNA(_xlfn.XLOOKUP(B1613,customer_master!$A$2:$A$1649, customer_master!$A$2:$A$1649)), "Invalid", "Ok")</f>
        <v>Ok</v>
      </c>
      <c r="K1613" t="str">
        <f>IF(ISNA(_xlfn.XLOOKUP(H1613,agent_info!$A$2:$A$301, agent_info!$A$2:$A$301)), "Invalid", "Ok")</f>
        <v>Ok</v>
      </c>
    </row>
    <row r="1614" spans="1:11" x14ac:dyDescent="0.3">
      <c r="A1614" s="1" t="s">
        <v>5232</v>
      </c>
      <c r="B1614" s="1" t="s">
        <v>881</v>
      </c>
      <c r="C1614" s="1" t="s">
        <v>3318</v>
      </c>
      <c r="D1614" s="1">
        <v>581922.68000000005</v>
      </c>
      <c r="E1614" s="1">
        <v>31230.86</v>
      </c>
      <c r="F1614" s="41">
        <v>44276</v>
      </c>
      <c r="G1614" s="41">
        <v>44641</v>
      </c>
      <c r="H1614" s="1" t="s">
        <v>3984</v>
      </c>
      <c r="I1614" s="1" t="s">
        <v>3316</v>
      </c>
      <c r="J1614" t="str">
        <f>IF(ISNA(_xlfn.XLOOKUP(B1614,customer_master!$A$2:$A$1649, customer_master!$A$2:$A$1649)), "Invalid", "Ok")</f>
        <v>Ok</v>
      </c>
      <c r="K1614" t="str">
        <f>IF(ISNA(_xlfn.XLOOKUP(H1614,agent_info!$A$2:$A$301, agent_info!$A$2:$A$301)), "Invalid", "Ok")</f>
        <v>Ok</v>
      </c>
    </row>
    <row r="1615" spans="1:11" x14ac:dyDescent="0.3">
      <c r="A1615" s="1" t="s">
        <v>5233</v>
      </c>
      <c r="B1615" s="1" t="s">
        <v>2841</v>
      </c>
      <c r="C1615" s="1" t="s">
        <v>3314</v>
      </c>
      <c r="D1615" s="1">
        <v>444121.54</v>
      </c>
      <c r="E1615" s="1">
        <v>23707.87</v>
      </c>
      <c r="F1615" s="41">
        <v>44188</v>
      </c>
      <c r="G1615" s="41">
        <v>44553</v>
      </c>
      <c r="H1615" s="1" t="s">
        <v>3369</v>
      </c>
      <c r="I1615" s="1" t="s">
        <v>3324</v>
      </c>
      <c r="J1615" t="str">
        <f>IF(ISNA(_xlfn.XLOOKUP(B1615,customer_master!$A$2:$A$1649, customer_master!$A$2:$A$1649)), "Invalid", "Ok")</f>
        <v>Ok</v>
      </c>
      <c r="K1615" t="str">
        <f>IF(ISNA(_xlfn.XLOOKUP(H1615,agent_info!$A$2:$A$301, agent_info!$A$2:$A$301)), "Invalid", "Ok")</f>
        <v>Ok</v>
      </c>
    </row>
    <row r="1616" spans="1:11" x14ac:dyDescent="0.3">
      <c r="A1616" s="1" t="s">
        <v>5234</v>
      </c>
      <c r="B1616" s="1" t="s">
        <v>1855</v>
      </c>
      <c r="C1616" s="1" t="s">
        <v>3318</v>
      </c>
      <c r="D1616" s="1">
        <v>451769.56</v>
      </c>
      <c r="E1616" s="1">
        <v>24021.46</v>
      </c>
      <c r="F1616" s="41">
        <v>44969</v>
      </c>
      <c r="G1616" s="41">
        <v>45334</v>
      </c>
      <c r="H1616" s="1" t="s">
        <v>3527</v>
      </c>
      <c r="I1616" s="1" t="s">
        <v>3324</v>
      </c>
      <c r="J1616" t="str">
        <f>IF(ISNA(_xlfn.XLOOKUP(B1616,customer_master!$A$2:$A$1649, customer_master!$A$2:$A$1649)), "Invalid", "Ok")</f>
        <v>Ok</v>
      </c>
      <c r="K1616" t="str">
        <f>IF(ISNA(_xlfn.XLOOKUP(H1616,agent_info!$A$2:$A$301, agent_info!$A$2:$A$301)), "Invalid", "Ok")</f>
        <v>Ok</v>
      </c>
    </row>
    <row r="1617" spans="1:11" x14ac:dyDescent="0.3">
      <c r="A1617" s="1" t="s">
        <v>5235</v>
      </c>
      <c r="B1617" s="1" t="s">
        <v>761</v>
      </c>
      <c r="C1617" s="1" t="s">
        <v>3326</v>
      </c>
      <c r="D1617" s="1">
        <v>536082.68000000005</v>
      </c>
      <c r="E1617" s="1">
        <v>27449.54</v>
      </c>
      <c r="F1617" s="41">
        <v>44748</v>
      </c>
      <c r="G1617" s="41">
        <v>45113</v>
      </c>
      <c r="H1617" s="1" t="s">
        <v>4835</v>
      </c>
      <c r="I1617" s="1" t="s">
        <v>3324</v>
      </c>
      <c r="J1617" t="str">
        <f>IF(ISNA(_xlfn.XLOOKUP(B1617,customer_master!$A$2:$A$1649, customer_master!$A$2:$A$1649)), "Invalid", "Ok")</f>
        <v>Ok</v>
      </c>
      <c r="K1617" t="str">
        <f>IF(ISNA(_xlfn.XLOOKUP(H1617,agent_info!$A$2:$A$301, agent_info!$A$2:$A$301)), "Invalid", "Ok")</f>
        <v>Ok</v>
      </c>
    </row>
    <row r="1618" spans="1:11" x14ac:dyDescent="0.3">
      <c r="A1618" s="1" t="s">
        <v>5236</v>
      </c>
      <c r="B1618" s="1" t="s">
        <v>3080</v>
      </c>
      <c r="C1618" s="1" t="s">
        <v>3331</v>
      </c>
      <c r="D1618" s="1">
        <v>467215.72</v>
      </c>
      <c r="E1618" s="1">
        <v>25665.06</v>
      </c>
      <c r="F1618" s="41">
        <v>45465</v>
      </c>
      <c r="G1618" s="41">
        <v>45830</v>
      </c>
      <c r="H1618" s="1" t="s">
        <v>3947</v>
      </c>
      <c r="I1618" s="1" t="s">
        <v>3324</v>
      </c>
      <c r="J1618" t="str">
        <f>IF(ISNA(_xlfn.XLOOKUP(B1618,customer_master!$A$2:$A$1649, customer_master!$A$2:$A$1649)), "Invalid", "Ok")</f>
        <v>Ok</v>
      </c>
      <c r="K1618" t="str">
        <f>IF(ISNA(_xlfn.XLOOKUP(H1618,agent_info!$A$2:$A$301, agent_info!$A$2:$A$301)), "Invalid", "Ok")</f>
        <v>Ok</v>
      </c>
    </row>
    <row r="1619" spans="1:11" x14ac:dyDescent="0.3">
      <c r="A1619" s="1" t="s">
        <v>5237</v>
      </c>
      <c r="B1619" s="1" t="s">
        <v>2728</v>
      </c>
      <c r="C1619" s="1" t="s">
        <v>3314</v>
      </c>
      <c r="D1619" s="1">
        <v>695489.17</v>
      </c>
      <c r="E1619" s="1">
        <v>33786.19</v>
      </c>
      <c r="F1619" s="41">
        <v>44584</v>
      </c>
      <c r="G1619" s="41">
        <v>44949</v>
      </c>
      <c r="H1619" s="1" t="s">
        <v>3897</v>
      </c>
      <c r="I1619" s="1" t="s">
        <v>3324</v>
      </c>
      <c r="J1619" t="str">
        <f>IF(ISNA(_xlfn.XLOOKUP(B1619,customer_master!$A$2:$A$1649, customer_master!$A$2:$A$1649)), "Invalid", "Ok")</f>
        <v>Ok</v>
      </c>
      <c r="K1619" t="str">
        <f>IF(ISNA(_xlfn.XLOOKUP(H1619,agent_info!$A$2:$A$301, agent_info!$A$2:$A$301)), "Invalid", "Ok")</f>
        <v>Ok</v>
      </c>
    </row>
    <row r="1620" spans="1:11" x14ac:dyDescent="0.3">
      <c r="A1620" s="1" t="s">
        <v>5238</v>
      </c>
      <c r="B1620" s="1" t="s">
        <v>901</v>
      </c>
      <c r="C1620" s="1" t="s">
        <v>3318</v>
      </c>
      <c r="D1620" s="1">
        <v>610930.43999999994</v>
      </c>
      <c r="E1620" s="1">
        <v>28202.35</v>
      </c>
      <c r="F1620" s="41">
        <v>44813</v>
      </c>
      <c r="G1620" s="41">
        <v>45178</v>
      </c>
      <c r="H1620" s="1" t="s">
        <v>3518</v>
      </c>
      <c r="I1620" s="1" t="s">
        <v>3324</v>
      </c>
      <c r="J1620" t="str">
        <f>IF(ISNA(_xlfn.XLOOKUP(B1620,customer_master!$A$2:$A$1649, customer_master!$A$2:$A$1649)), "Invalid", "Ok")</f>
        <v>Ok</v>
      </c>
      <c r="K1620" t="str">
        <f>IF(ISNA(_xlfn.XLOOKUP(H1620,agent_info!$A$2:$A$301, agent_info!$A$2:$A$301)), "Invalid", "Ok")</f>
        <v>Ok</v>
      </c>
    </row>
    <row r="1621" spans="1:11" x14ac:dyDescent="0.3">
      <c r="A1621" s="1" t="s">
        <v>5239</v>
      </c>
      <c r="B1621" s="1" t="s">
        <v>3190</v>
      </c>
      <c r="C1621" s="1" t="s">
        <v>3314</v>
      </c>
      <c r="D1621" s="1">
        <v>406782.79</v>
      </c>
      <c r="E1621" s="1">
        <v>18844.46</v>
      </c>
      <c r="F1621" s="41">
        <v>45127</v>
      </c>
      <c r="G1621" s="41">
        <v>45493</v>
      </c>
      <c r="H1621" s="1" t="s">
        <v>4058</v>
      </c>
      <c r="I1621" s="1" t="s">
        <v>3316</v>
      </c>
      <c r="J1621" t="str">
        <f>IF(ISNA(_xlfn.XLOOKUP(B1621,customer_master!$A$2:$A$1649, customer_master!$A$2:$A$1649)), "Invalid", "Ok")</f>
        <v>Ok</v>
      </c>
      <c r="K1621" t="str">
        <f>IF(ISNA(_xlfn.XLOOKUP(H1621,agent_info!$A$2:$A$301, agent_info!$A$2:$A$301)), "Invalid", "Ok")</f>
        <v>Ok</v>
      </c>
    </row>
    <row r="1622" spans="1:11" x14ac:dyDescent="0.3">
      <c r="A1622" s="1" t="s">
        <v>5240</v>
      </c>
      <c r="B1622" s="1" t="s">
        <v>911</v>
      </c>
      <c r="C1622" s="1" t="s">
        <v>3314</v>
      </c>
      <c r="D1622" s="1">
        <v>522782.52</v>
      </c>
      <c r="E1622" s="1">
        <v>25802.93</v>
      </c>
      <c r="F1622" s="41">
        <v>45194</v>
      </c>
      <c r="G1622" s="41">
        <v>45560</v>
      </c>
      <c r="H1622" s="1" t="s">
        <v>3408</v>
      </c>
      <c r="I1622" s="1" t="s">
        <v>3324</v>
      </c>
      <c r="J1622" t="str">
        <f>IF(ISNA(_xlfn.XLOOKUP(B1622,customer_master!$A$2:$A$1649, customer_master!$A$2:$A$1649)), "Invalid", "Ok")</f>
        <v>Ok</v>
      </c>
      <c r="K1622" t="str">
        <f>IF(ISNA(_xlfn.XLOOKUP(H1622,agent_info!$A$2:$A$301, agent_info!$A$2:$A$301)), "Invalid", "Ok")</f>
        <v>Ok</v>
      </c>
    </row>
    <row r="1623" spans="1:11" x14ac:dyDescent="0.3">
      <c r="A1623" s="1" t="s">
        <v>5241</v>
      </c>
      <c r="B1623" s="1" t="s">
        <v>986</v>
      </c>
      <c r="C1623" s="1" t="s">
        <v>3331</v>
      </c>
      <c r="D1623" s="1">
        <v>708989.49</v>
      </c>
      <c r="E1623" s="1">
        <v>37611.54</v>
      </c>
      <c r="F1623" s="41">
        <v>45488</v>
      </c>
      <c r="G1623" s="41">
        <v>45853</v>
      </c>
      <c r="H1623" s="1" t="s">
        <v>3406</v>
      </c>
      <c r="I1623" s="1" t="s">
        <v>3324</v>
      </c>
      <c r="J1623" t="str">
        <f>IF(ISNA(_xlfn.XLOOKUP(B1623,customer_master!$A$2:$A$1649, customer_master!$A$2:$A$1649)), "Invalid", "Ok")</f>
        <v>Ok</v>
      </c>
      <c r="K1623" t="str">
        <f>IF(ISNA(_xlfn.XLOOKUP(H1623,agent_info!$A$2:$A$301, agent_info!$A$2:$A$301)), "Invalid", "Ok")</f>
        <v>Ok</v>
      </c>
    </row>
    <row r="1624" spans="1:11" x14ac:dyDescent="0.3">
      <c r="A1624" s="1" t="s">
        <v>5242</v>
      </c>
      <c r="B1624" s="1" t="s">
        <v>1317</v>
      </c>
      <c r="C1624" s="1" t="s">
        <v>3331</v>
      </c>
      <c r="D1624" s="1">
        <v>487344.9</v>
      </c>
      <c r="E1624" s="1">
        <v>24137.439999999999</v>
      </c>
      <c r="F1624" s="41">
        <v>44744</v>
      </c>
      <c r="G1624" s="41">
        <v>45109</v>
      </c>
      <c r="H1624" s="1" t="s">
        <v>4641</v>
      </c>
      <c r="I1624" s="1" t="s">
        <v>3324</v>
      </c>
      <c r="J1624" t="str">
        <f>IF(ISNA(_xlfn.XLOOKUP(B1624,customer_master!$A$2:$A$1649, customer_master!$A$2:$A$1649)), "Invalid", "Ok")</f>
        <v>Ok</v>
      </c>
      <c r="K1624" t="str">
        <f>IF(ISNA(_xlfn.XLOOKUP(H1624,agent_info!$A$2:$A$301, agent_info!$A$2:$A$301)), "Invalid", "Ok")</f>
        <v>Ok</v>
      </c>
    </row>
    <row r="1625" spans="1:11" x14ac:dyDescent="0.3">
      <c r="A1625" s="1" t="s">
        <v>5243</v>
      </c>
      <c r="B1625" s="1" t="s">
        <v>580</v>
      </c>
      <c r="C1625" s="1" t="s">
        <v>3318</v>
      </c>
      <c r="D1625" s="1">
        <v>650053.36</v>
      </c>
      <c r="E1625" s="1">
        <v>33226.720000000001</v>
      </c>
      <c r="F1625" s="41">
        <v>44667</v>
      </c>
      <c r="G1625" s="41">
        <v>45032</v>
      </c>
      <c r="H1625" s="1" t="s">
        <v>3830</v>
      </c>
      <c r="I1625" s="1" t="s">
        <v>3324</v>
      </c>
      <c r="J1625" t="str">
        <f>IF(ISNA(_xlfn.XLOOKUP(B1625,customer_master!$A$2:$A$1649, customer_master!$A$2:$A$1649)), "Invalid", "Ok")</f>
        <v>Ok</v>
      </c>
      <c r="K1625" t="str">
        <f>IF(ISNA(_xlfn.XLOOKUP(H1625,agent_info!$A$2:$A$301, agent_info!$A$2:$A$301)), "Invalid", "Ok")</f>
        <v>Ok</v>
      </c>
    </row>
    <row r="1626" spans="1:11" x14ac:dyDescent="0.3">
      <c r="A1626" s="1" t="s">
        <v>5244</v>
      </c>
      <c r="B1626" s="1" t="s">
        <v>2298</v>
      </c>
      <c r="C1626" s="1" t="s">
        <v>3314</v>
      </c>
      <c r="D1626" s="1">
        <v>421113.05</v>
      </c>
      <c r="E1626" s="1">
        <v>20457.759999999998</v>
      </c>
      <c r="F1626" s="41">
        <v>44691</v>
      </c>
      <c r="G1626" s="41">
        <v>45056</v>
      </c>
      <c r="H1626" s="1" t="s">
        <v>3415</v>
      </c>
      <c r="I1626" s="1" t="s">
        <v>3316</v>
      </c>
      <c r="J1626" t="str">
        <f>IF(ISNA(_xlfn.XLOOKUP(B1626,customer_master!$A$2:$A$1649, customer_master!$A$2:$A$1649)), "Invalid", "Ok")</f>
        <v>Ok</v>
      </c>
      <c r="K1626" t="str">
        <f>IF(ISNA(_xlfn.XLOOKUP(H1626,agent_info!$A$2:$A$301, agent_info!$A$2:$A$301)), "Invalid", "Ok")</f>
        <v>Ok</v>
      </c>
    </row>
    <row r="1627" spans="1:11" x14ac:dyDescent="0.3">
      <c r="A1627" s="1" t="s">
        <v>5245</v>
      </c>
      <c r="B1627" s="1" t="s">
        <v>1871</v>
      </c>
      <c r="C1627" s="1" t="s">
        <v>3334</v>
      </c>
      <c r="D1627" s="1">
        <v>743255.46</v>
      </c>
      <c r="E1627" s="1">
        <v>38759.519999999997</v>
      </c>
      <c r="F1627" s="41">
        <v>44846</v>
      </c>
      <c r="G1627" s="41">
        <v>45211</v>
      </c>
      <c r="H1627" s="1" t="s">
        <v>3976</v>
      </c>
      <c r="I1627" s="1" t="s">
        <v>3324</v>
      </c>
      <c r="J1627" t="str">
        <f>IF(ISNA(_xlfn.XLOOKUP(B1627,customer_master!$A$2:$A$1649, customer_master!$A$2:$A$1649)), "Invalid", "Ok")</f>
        <v>Ok</v>
      </c>
      <c r="K1627" t="str">
        <f>IF(ISNA(_xlfn.XLOOKUP(H1627,agent_info!$A$2:$A$301, agent_info!$A$2:$A$301)), "Invalid", "Ok")</f>
        <v>Ok</v>
      </c>
    </row>
    <row r="1628" spans="1:11" x14ac:dyDescent="0.3">
      <c r="A1628" s="1" t="s">
        <v>5246</v>
      </c>
      <c r="B1628" s="1" t="s">
        <v>2973</v>
      </c>
      <c r="C1628" s="1" t="s">
        <v>3318</v>
      </c>
      <c r="D1628" s="1">
        <v>547852.67000000004</v>
      </c>
      <c r="E1628" s="1">
        <v>25492.36</v>
      </c>
      <c r="F1628" s="41">
        <v>44993</v>
      </c>
      <c r="G1628" s="41">
        <v>45359</v>
      </c>
      <c r="H1628" s="1" t="s">
        <v>3686</v>
      </c>
      <c r="I1628" s="1" t="s">
        <v>3316</v>
      </c>
      <c r="J1628" t="str">
        <f>IF(ISNA(_xlfn.XLOOKUP(B1628,customer_master!$A$2:$A$1649, customer_master!$A$2:$A$1649)), "Invalid", "Ok")</f>
        <v>Ok</v>
      </c>
      <c r="K1628" t="str">
        <f>IF(ISNA(_xlfn.XLOOKUP(H1628,agent_info!$A$2:$A$301, agent_info!$A$2:$A$301)), "Invalid", "Ok")</f>
        <v>Ok</v>
      </c>
    </row>
    <row r="1629" spans="1:11" x14ac:dyDescent="0.3">
      <c r="A1629" s="1" t="s">
        <v>5247</v>
      </c>
      <c r="B1629" s="1" t="s">
        <v>835</v>
      </c>
      <c r="C1629" s="1" t="s">
        <v>3326</v>
      </c>
      <c r="D1629" s="1">
        <v>522047.97</v>
      </c>
      <c r="E1629" s="1">
        <v>26207.41</v>
      </c>
      <c r="F1629" s="41">
        <v>44778</v>
      </c>
      <c r="G1629" s="41">
        <v>45143</v>
      </c>
      <c r="H1629" s="1" t="s">
        <v>3433</v>
      </c>
      <c r="I1629" s="1" t="s">
        <v>3324</v>
      </c>
      <c r="J1629" t="str">
        <f>IF(ISNA(_xlfn.XLOOKUP(B1629,customer_master!$A$2:$A$1649, customer_master!$A$2:$A$1649)), "Invalid", "Ok")</f>
        <v>Ok</v>
      </c>
      <c r="K1629" t="str">
        <f>IF(ISNA(_xlfn.XLOOKUP(H1629,agent_info!$A$2:$A$301, agent_info!$A$2:$A$301)), "Invalid", "Ok")</f>
        <v>Ok</v>
      </c>
    </row>
    <row r="1630" spans="1:11" x14ac:dyDescent="0.3">
      <c r="A1630" s="1" t="s">
        <v>5248</v>
      </c>
      <c r="B1630" s="1" t="s">
        <v>598</v>
      </c>
      <c r="C1630" s="1" t="s">
        <v>3326</v>
      </c>
      <c r="D1630" s="1">
        <v>549440.55000000005</v>
      </c>
      <c r="E1630" s="1">
        <v>25742</v>
      </c>
      <c r="F1630" s="41">
        <v>44181</v>
      </c>
      <c r="G1630" s="41">
        <v>44546</v>
      </c>
      <c r="H1630" s="1" t="s">
        <v>3813</v>
      </c>
      <c r="I1630" s="1" t="s">
        <v>3324</v>
      </c>
      <c r="J1630" t="str">
        <f>IF(ISNA(_xlfn.XLOOKUP(B1630,customer_master!$A$2:$A$1649, customer_master!$A$2:$A$1649)), "Invalid", "Ok")</f>
        <v>Ok</v>
      </c>
      <c r="K1630" t="str">
        <f>IF(ISNA(_xlfn.XLOOKUP(H1630,agent_info!$A$2:$A$301, agent_info!$A$2:$A$301)), "Invalid", "Ok")</f>
        <v>Ok</v>
      </c>
    </row>
    <row r="1631" spans="1:11" x14ac:dyDescent="0.3">
      <c r="A1631" s="1" t="s">
        <v>5249</v>
      </c>
      <c r="B1631" s="1" t="s">
        <v>1215</v>
      </c>
      <c r="C1631" s="1" t="s">
        <v>3318</v>
      </c>
      <c r="D1631" s="1">
        <v>515377.42</v>
      </c>
      <c r="E1631" s="1">
        <v>25607</v>
      </c>
      <c r="F1631" s="41">
        <v>44166</v>
      </c>
      <c r="G1631" s="41">
        <v>44531</v>
      </c>
      <c r="H1631" s="1" t="s">
        <v>4539</v>
      </c>
      <c r="I1631" s="1" t="s">
        <v>3324</v>
      </c>
      <c r="J1631" t="str">
        <f>IF(ISNA(_xlfn.XLOOKUP(B1631,customer_master!$A$2:$A$1649, customer_master!$A$2:$A$1649)), "Invalid", "Ok")</f>
        <v>Ok</v>
      </c>
      <c r="K1631" t="str">
        <f>IF(ISNA(_xlfn.XLOOKUP(H1631,agent_info!$A$2:$A$301, agent_info!$A$2:$A$301)), "Invalid", "Ok")</f>
        <v>Ok</v>
      </c>
    </row>
    <row r="1632" spans="1:11" x14ac:dyDescent="0.3">
      <c r="A1632" s="1" t="s">
        <v>5250</v>
      </c>
      <c r="B1632" s="1" t="s">
        <v>519</v>
      </c>
      <c r="C1632" s="1" t="s">
        <v>3331</v>
      </c>
      <c r="D1632" s="1">
        <v>658196.34</v>
      </c>
      <c r="E1632" s="1">
        <v>32452.33</v>
      </c>
      <c r="F1632" s="41">
        <v>44191</v>
      </c>
      <c r="G1632" s="41">
        <v>44556</v>
      </c>
      <c r="H1632" s="1" t="s">
        <v>3774</v>
      </c>
      <c r="I1632" s="1" t="s">
        <v>3316</v>
      </c>
      <c r="J1632" t="str">
        <f>IF(ISNA(_xlfn.XLOOKUP(B1632,customer_master!$A$2:$A$1649, customer_master!$A$2:$A$1649)), "Invalid", "Ok")</f>
        <v>Ok</v>
      </c>
      <c r="K1632" t="str">
        <f>IF(ISNA(_xlfn.XLOOKUP(H1632,agent_info!$A$2:$A$301, agent_info!$A$2:$A$301)), "Invalid", "Ok")</f>
        <v>Ok</v>
      </c>
    </row>
    <row r="1633" spans="1:11" x14ac:dyDescent="0.3">
      <c r="A1633" s="1" t="s">
        <v>5251</v>
      </c>
      <c r="B1633" s="1" t="s">
        <v>3146</v>
      </c>
      <c r="C1633" s="1" t="s">
        <v>3326</v>
      </c>
      <c r="D1633" s="1">
        <v>355104.25</v>
      </c>
      <c r="E1633" s="1">
        <v>18126.52</v>
      </c>
      <c r="F1633" s="41">
        <v>45709</v>
      </c>
      <c r="G1633" s="41">
        <v>46074</v>
      </c>
      <c r="H1633" s="1" t="s">
        <v>3751</v>
      </c>
      <c r="I1633" s="1" t="s">
        <v>3320</v>
      </c>
      <c r="J1633" t="str">
        <f>IF(ISNA(_xlfn.XLOOKUP(B1633,customer_master!$A$2:$A$1649, customer_master!$A$2:$A$1649)), "Invalid", "Ok")</f>
        <v>Ok</v>
      </c>
      <c r="K1633" t="str">
        <f>IF(ISNA(_xlfn.XLOOKUP(H1633,agent_info!$A$2:$A$301, agent_info!$A$2:$A$301)), "Invalid", "Ok")</f>
        <v>Ok</v>
      </c>
    </row>
    <row r="1634" spans="1:11" x14ac:dyDescent="0.3">
      <c r="A1634" s="1" t="s">
        <v>5252</v>
      </c>
      <c r="B1634" s="1" t="s">
        <v>2400</v>
      </c>
      <c r="C1634" s="1" t="s">
        <v>3326</v>
      </c>
      <c r="D1634" s="1">
        <v>406771.49</v>
      </c>
      <c r="E1634" s="1">
        <v>20377.400000000001</v>
      </c>
      <c r="F1634" s="41">
        <v>44541</v>
      </c>
      <c r="G1634" s="41">
        <v>44906</v>
      </c>
      <c r="H1634" s="1" t="s">
        <v>3704</v>
      </c>
      <c r="I1634" s="1" t="s">
        <v>3316</v>
      </c>
      <c r="J1634" t="str">
        <f>IF(ISNA(_xlfn.XLOOKUP(B1634,customer_master!$A$2:$A$1649, customer_master!$A$2:$A$1649)), "Invalid", "Ok")</f>
        <v>Ok</v>
      </c>
      <c r="K1634" t="str">
        <f>IF(ISNA(_xlfn.XLOOKUP(H1634,agent_info!$A$2:$A$301, agent_info!$A$2:$A$301)), "Invalid", "Ok")</f>
        <v>Ok</v>
      </c>
    </row>
    <row r="1635" spans="1:11" x14ac:dyDescent="0.3">
      <c r="A1635" s="1" t="s">
        <v>5253</v>
      </c>
      <c r="B1635" s="1" t="s">
        <v>2641</v>
      </c>
      <c r="C1635" s="1" t="s">
        <v>3326</v>
      </c>
      <c r="D1635" s="1">
        <v>416087.32</v>
      </c>
      <c r="E1635" s="1">
        <v>22783.86</v>
      </c>
      <c r="F1635" s="41">
        <v>45111</v>
      </c>
      <c r="G1635" s="41">
        <v>45477</v>
      </c>
      <c r="H1635" s="1" t="s">
        <v>3522</v>
      </c>
      <c r="I1635" s="1" t="s">
        <v>3324</v>
      </c>
      <c r="J1635" t="str">
        <f>IF(ISNA(_xlfn.XLOOKUP(B1635,customer_master!$A$2:$A$1649, customer_master!$A$2:$A$1649)), "Invalid", "Ok")</f>
        <v>Ok</v>
      </c>
      <c r="K1635" t="str">
        <f>IF(ISNA(_xlfn.XLOOKUP(H1635,agent_info!$A$2:$A$301, agent_info!$A$2:$A$301)), "Invalid", "Ok")</f>
        <v>Ok</v>
      </c>
    </row>
    <row r="1636" spans="1:11" x14ac:dyDescent="0.3">
      <c r="A1636" s="1" t="s">
        <v>5254</v>
      </c>
      <c r="B1636" s="1" t="s">
        <v>2494</v>
      </c>
      <c r="C1636" s="1" t="s">
        <v>3318</v>
      </c>
      <c r="D1636" s="1">
        <v>618158.59</v>
      </c>
      <c r="E1636" s="1">
        <v>33382.49</v>
      </c>
      <c r="F1636" s="41">
        <v>46068</v>
      </c>
      <c r="G1636" s="41">
        <v>46433</v>
      </c>
      <c r="H1636" s="1" t="s">
        <v>3327</v>
      </c>
      <c r="I1636" s="1" t="s">
        <v>3316</v>
      </c>
      <c r="J1636" t="str">
        <f>IF(ISNA(_xlfn.XLOOKUP(B1636,customer_master!$A$2:$A$1649, customer_master!$A$2:$A$1649)), "Invalid", "Ok")</f>
        <v>Ok</v>
      </c>
      <c r="K1636" t="str">
        <f>IF(ISNA(_xlfn.XLOOKUP(H1636,agent_info!$A$2:$A$301, agent_info!$A$2:$A$301)), "Invalid", "Ok")</f>
        <v>Ok</v>
      </c>
    </row>
    <row r="1637" spans="1:11" x14ac:dyDescent="0.3">
      <c r="A1637" s="1" t="s">
        <v>5255</v>
      </c>
      <c r="B1637" s="1" t="s">
        <v>841</v>
      </c>
      <c r="C1637" s="1" t="s">
        <v>3334</v>
      </c>
      <c r="D1637" s="1">
        <v>727881.31</v>
      </c>
      <c r="E1637" s="1">
        <v>34895.199999999997</v>
      </c>
      <c r="F1637" s="41">
        <v>44297</v>
      </c>
      <c r="G1637" s="41">
        <v>44662</v>
      </c>
      <c r="H1637" s="1" t="s">
        <v>3509</v>
      </c>
      <c r="I1637" s="1" t="s">
        <v>3324</v>
      </c>
      <c r="J1637" t="str">
        <f>IF(ISNA(_xlfn.XLOOKUP(B1637,customer_master!$A$2:$A$1649, customer_master!$A$2:$A$1649)), "Invalid", "Ok")</f>
        <v>Ok</v>
      </c>
      <c r="K1637" t="str">
        <f>IF(ISNA(_xlfn.XLOOKUP(H1637,agent_info!$A$2:$A$301, agent_info!$A$2:$A$301)), "Invalid", "Ok")</f>
        <v>Ok</v>
      </c>
    </row>
    <row r="1638" spans="1:11" x14ac:dyDescent="0.3">
      <c r="A1638" s="1" t="s">
        <v>5256</v>
      </c>
      <c r="B1638" s="1" t="s">
        <v>499</v>
      </c>
      <c r="C1638" s="1" t="s">
        <v>3326</v>
      </c>
      <c r="D1638" s="1">
        <v>372273.91</v>
      </c>
      <c r="E1638" s="1">
        <v>17203.439999999999</v>
      </c>
      <c r="F1638" s="41">
        <v>44482</v>
      </c>
      <c r="G1638" s="41">
        <v>44847</v>
      </c>
      <c r="H1638" s="1" t="s">
        <v>3772</v>
      </c>
      <c r="I1638" s="1" t="s">
        <v>3324</v>
      </c>
      <c r="J1638" t="str">
        <f>IF(ISNA(_xlfn.XLOOKUP(B1638,customer_master!$A$2:$A$1649, customer_master!$A$2:$A$1649)), "Invalid", "Ok")</f>
        <v>Ok</v>
      </c>
      <c r="K1638" t="str">
        <f>IF(ISNA(_xlfn.XLOOKUP(H1638,agent_info!$A$2:$A$301, agent_info!$A$2:$A$301)), "Invalid", "Ok")</f>
        <v>Ok</v>
      </c>
    </row>
    <row r="1639" spans="1:11" x14ac:dyDescent="0.3">
      <c r="A1639" s="1" t="s">
        <v>5257</v>
      </c>
      <c r="B1639" s="1" t="s">
        <v>1445</v>
      </c>
      <c r="C1639" s="1" t="s">
        <v>3331</v>
      </c>
      <c r="D1639" s="1">
        <v>706712.96</v>
      </c>
      <c r="E1639" s="1">
        <v>32259.69</v>
      </c>
      <c r="F1639" s="41">
        <v>46155</v>
      </c>
      <c r="G1639" s="41">
        <v>46520</v>
      </c>
      <c r="H1639" s="1" t="s">
        <v>3383</v>
      </c>
      <c r="I1639" s="1" t="s">
        <v>3324</v>
      </c>
      <c r="J1639" t="str">
        <f>IF(ISNA(_xlfn.XLOOKUP(B1639,customer_master!$A$2:$A$1649, customer_master!$A$2:$A$1649)), "Invalid", "Ok")</f>
        <v>Ok</v>
      </c>
      <c r="K1639" t="str">
        <f>IF(ISNA(_xlfn.XLOOKUP(H1639,agent_info!$A$2:$A$301, agent_info!$A$2:$A$301)), "Invalid", "Ok")</f>
        <v>Ok</v>
      </c>
    </row>
    <row r="1640" spans="1:11" x14ac:dyDescent="0.3">
      <c r="A1640" s="1" t="s">
        <v>5258</v>
      </c>
      <c r="B1640" s="1" t="s">
        <v>2748</v>
      </c>
      <c r="C1640" s="1" t="s">
        <v>3318</v>
      </c>
      <c r="D1640" s="1">
        <v>687776.14</v>
      </c>
      <c r="E1640" s="1">
        <v>32311.68</v>
      </c>
      <c r="F1640" s="41">
        <v>44873</v>
      </c>
      <c r="G1640" s="41">
        <v>45238</v>
      </c>
      <c r="H1640" s="1" t="s">
        <v>3453</v>
      </c>
      <c r="I1640" s="1" t="s">
        <v>3316</v>
      </c>
      <c r="J1640" t="str">
        <f>IF(ISNA(_xlfn.XLOOKUP(B1640,customer_master!$A$2:$A$1649, customer_master!$A$2:$A$1649)), "Invalid", "Ok")</f>
        <v>Ok</v>
      </c>
      <c r="K1640" t="str">
        <f>IF(ISNA(_xlfn.XLOOKUP(H1640,agent_info!$A$2:$A$301, agent_info!$A$2:$A$301)), "Invalid", "Ok")</f>
        <v>Ok</v>
      </c>
    </row>
    <row r="1641" spans="1:11" x14ac:dyDescent="0.3">
      <c r="A1641" s="1" t="s">
        <v>5259</v>
      </c>
      <c r="B1641" s="1" t="s">
        <v>1121</v>
      </c>
      <c r="C1641" s="1" t="s">
        <v>3326</v>
      </c>
      <c r="D1641" s="1">
        <v>376818.98</v>
      </c>
      <c r="E1641" s="1">
        <v>17793.8</v>
      </c>
      <c r="F1641" s="41">
        <v>44744</v>
      </c>
      <c r="G1641" s="41">
        <v>45109</v>
      </c>
      <c r="H1641" s="1" t="s">
        <v>4168</v>
      </c>
      <c r="I1641" s="1" t="s">
        <v>3320</v>
      </c>
      <c r="J1641" t="str">
        <f>IF(ISNA(_xlfn.XLOOKUP(B1641,customer_master!$A$2:$A$1649, customer_master!$A$2:$A$1649)), "Invalid", "Ok")</f>
        <v>Ok</v>
      </c>
      <c r="K1641" t="str">
        <f>IF(ISNA(_xlfn.XLOOKUP(H1641,agent_info!$A$2:$A$301, agent_info!$A$2:$A$301)), "Invalid", "Ok")</f>
        <v>Ok</v>
      </c>
    </row>
    <row r="1642" spans="1:11" x14ac:dyDescent="0.3">
      <c r="A1642" s="1" t="s">
        <v>5260</v>
      </c>
      <c r="B1642" s="1" t="s">
        <v>65</v>
      </c>
      <c r="C1642" s="1" t="s">
        <v>3331</v>
      </c>
      <c r="D1642" s="1">
        <v>436141.64</v>
      </c>
      <c r="E1642" s="1">
        <v>23502.28</v>
      </c>
      <c r="F1642" s="41">
        <v>44289</v>
      </c>
      <c r="G1642" s="41">
        <v>44654</v>
      </c>
      <c r="H1642" s="1" t="s">
        <v>3387</v>
      </c>
      <c r="I1642" s="1" t="s">
        <v>3324</v>
      </c>
      <c r="J1642" t="str">
        <f>IF(ISNA(_xlfn.XLOOKUP(B1642,customer_master!$A$2:$A$1649, customer_master!$A$2:$A$1649)), "Invalid", "Ok")</f>
        <v>Ok</v>
      </c>
      <c r="K1642" t="str">
        <f>IF(ISNA(_xlfn.XLOOKUP(H1642,agent_info!$A$2:$A$301, agent_info!$A$2:$A$301)), "Invalid", "Ok")</f>
        <v>Ok</v>
      </c>
    </row>
    <row r="1643" spans="1:11" x14ac:dyDescent="0.3">
      <c r="A1643" s="1" t="s">
        <v>5261</v>
      </c>
      <c r="B1643" s="1" t="s">
        <v>2204</v>
      </c>
      <c r="C1643" s="1" t="s">
        <v>3314</v>
      </c>
      <c r="D1643" s="1">
        <v>519767.45</v>
      </c>
      <c r="E1643" s="1">
        <v>28196.560000000001</v>
      </c>
      <c r="F1643" s="41">
        <v>44106</v>
      </c>
      <c r="G1643" s="41">
        <v>44471</v>
      </c>
      <c r="H1643" s="1" t="s">
        <v>4273</v>
      </c>
      <c r="I1643" s="1" t="s">
        <v>3316</v>
      </c>
      <c r="J1643" t="str">
        <f>IF(ISNA(_xlfn.XLOOKUP(B1643,customer_master!$A$2:$A$1649, customer_master!$A$2:$A$1649)), "Invalid", "Ok")</f>
        <v>Ok</v>
      </c>
      <c r="K1643" t="str">
        <f>IF(ISNA(_xlfn.XLOOKUP(H1643,agent_info!$A$2:$A$301, agent_info!$A$2:$A$301)), "Invalid", "Ok")</f>
        <v>Ok</v>
      </c>
    </row>
    <row r="1644" spans="1:11" x14ac:dyDescent="0.3">
      <c r="A1644" s="1" t="s">
        <v>5262</v>
      </c>
      <c r="B1644" s="1" t="s">
        <v>711</v>
      </c>
      <c r="C1644" s="1" t="s">
        <v>3318</v>
      </c>
      <c r="D1644" s="1">
        <v>421345.11</v>
      </c>
      <c r="E1644" s="1">
        <v>19931.61</v>
      </c>
      <c r="F1644" s="41">
        <v>45286</v>
      </c>
      <c r="G1644" s="41">
        <v>45652</v>
      </c>
      <c r="H1644" s="1" t="s">
        <v>3339</v>
      </c>
      <c r="I1644" s="1" t="s">
        <v>3324</v>
      </c>
      <c r="J1644" t="str">
        <f>IF(ISNA(_xlfn.XLOOKUP(B1644,customer_master!$A$2:$A$1649, customer_master!$A$2:$A$1649)), "Invalid", "Ok")</f>
        <v>Ok</v>
      </c>
      <c r="K1644" t="str">
        <f>IF(ISNA(_xlfn.XLOOKUP(H1644,agent_info!$A$2:$A$301, agent_info!$A$2:$A$301)), "Invalid", "Ok")</f>
        <v>Ok</v>
      </c>
    </row>
    <row r="1645" spans="1:11" x14ac:dyDescent="0.3">
      <c r="A1645" s="1" t="s">
        <v>5263</v>
      </c>
      <c r="B1645" s="1" t="s">
        <v>1819</v>
      </c>
      <c r="C1645" s="1" t="s">
        <v>3314</v>
      </c>
      <c r="D1645" s="1">
        <v>676940.16</v>
      </c>
      <c r="E1645" s="1">
        <v>35598.46</v>
      </c>
      <c r="F1645" s="41">
        <v>45966</v>
      </c>
      <c r="G1645" s="41">
        <v>46331</v>
      </c>
      <c r="H1645" s="1" t="s">
        <v>3391</v>
      </c>
      <c r="I1645" s="1" t="s">
        <v>3324</v>
      </c>
      <c r="J1645" t="str">
        <f>IF(ISNA(_xlfn.XLOOKUP(B1645,customer_master!$A$2:$A$1649, customer_master!$A$2:$A$1649)), "Invalid", "Ok")</f>
        <v>Ok</v>
      </c>
      <c r="K1645" t="str">
        <f>IF(ISNA(_xlfn.XLOOKUP(H1645,agent_info!$A$2:$A$301, agent_info!$A$2:$A$301)), "Invalid", "Ok")</f>
        <v>Ok</v>
      </c>
    </row>
    <row r="1646" spans="1:11" x14ac:dyDescent="0.3">
      <c r="A1646" s="1" t="s">
        <v>5264</v>
      </c>
      <c r="B1646" s="1" t="s">
        <v>85</v>
      </c>
      <c r="C1646" s="1" t="s">
        <v>3318</v>
      </c>
      <c r="D1646" s="1">
        <v>568538.19999999995</v>
      </c>
      <c r="E1646" s="1">
        <v>30335.86</v>
      </c>
      <c r="F1646" s="41">
        <v>44803</v>
      </c>
      <c r="G1646" s="41">
        <v>45168</v>
      </c>
      <c r="H1646" s="1" t="s">
        <v>3395</v>
      </c>
      <c r="I1646" s="1" t="s">
        <v>3324</v>
      </c>
      <c r="J1646" t="str">
        <f>IF(ISNA(_xlfn.XLOOKUP(B1646,customer_master!$A$2:$A$1649, customer_master!$A$2:$A$1649)), "Invalid", "Ok")</f>
        <v>Ok</v>
      </c>
      <c r="K1646" t="str">
        <f>IF(ISNA(_xlfn.XLOOKUP(H1646,agent_info!$A$2:$A$301, agent_info!$A$2:$A$301)), "Invalid", "Ok")</f>
        <v>Ok</v>
      </c>
    </row>
    <row r="1647" spans="1:11" x14ac:dyDescent="0.3">
      <c r="A1647" s="1" t="s">
        <v>5265</v>
      </c>
      <c r="B1647" s="1" t="s">
        <v>1709</v>
      </c>
      <c r="C1647" s="1" t="s">
        <v>3326</v>
      </c>
      <c r="D1647" s="1">
        <v>493767.61</v>
      </c>
      <c r="E1647" s="1">
        <v>24083.57</v>
      </c>
      <c r="F1647" s="41">
        <v>45701</v>
      </c>
      <c r="G1647" s="41">
        <v>46066</v>
      </c>
      <c r="H1647" s="1" t="s">
        <v>4187</v>
      </c>
      <c r="I1647" s="1" t="s">
        <v>3324</v>
      </c>
      <c r="J1647" t="str">
        <f>IF(ISNA(_xlfn.XLOOKUP(B1647,customer_master!$A$2:$A$1649, customer_master!$A$2:$A$1649)), "Invalid", "Ok")</f>
        <v>Ok</v>
      </c>
      <c r="K1647" t="str">
        <f>IF(ISNA(_xlfn.XLOOKUP(H1647,agent_info!$A$2:$A$301, agent_info!$A$2:$A$301)), "Invalid", "Ok")</f>
        <v>Ok</v>
      </c>
    </row>
    <row r="1648" spans="1:11" x14ac:dyDescent="0.3">
      <c r="A1648" s="1" t="s">
        <v>5266</v>
      </c>
      <c r="B1648" s="1" t="s">
        <v>1345</v>
      </c>
      <c r="C1648" s="1" t="s">
        <v>3326</v>
      </c>
      <c r="D1648" s="1">
        <v>603731.67000000004</v>
      </c>
      <c r="E1648" s="1">
        <v>32430.01</v>
      </c>
      <c r="F1648" s="41">
        <v>44869</v>
      </c>
      <c r="G1648" s="41">
        <v>45234</v>
      </c>
      <c r="H1648" s="1" t="s">
        <v>3704</v>
      </c>
      <c r="I1648" s="1" t="s">
        <v>3324</v>
      </c>
      <c r="J1648" t="str">
        <f>IF(ISNA(_xlfn.XLOOKUP(B1648,customer_master!$A$2:$A$1649, customer_master!$A$2:$A$1649)), "Invalid", "Ok")</f>
        <v>Ok</v>
      </c>
      <c r="K1648" t="str">
        <f>IF(ISNA(_xlfn.XLOOKUP(H1648,agent_info!$A$2:$A$301, agent_info!$A$2:$A$301)), "Invalid", "Ok")</f>
        <v>Ok</v>
      </c>
    </row>
    <row r="1649" spans="1:11" x14ac:dyDescent="0.3">
      <c r="A1649" s="1" t="s">
        <v>5267</v>
      </c>
      <c r="B1649" s="1" t="s">
        <v>2929</v>
      </c>
      <c r="C1649" s="1" t="s">
        <v>3326</v>
      </c>
      <c r="D1649" s="1">
        <v>452513.38</v>
      </c>
      <c r="E1649" s="1">
        <v>24836.89</v>
      </c>
      <c r="F1649" s="41">
        <v>45784</v>
      </c>
      <c r="G1649" s="41">
        <v>46149</v>
      </c>
      <c r="H1649" s="1" t="s">
        <v>3498</v>
      </c>
      <c r="I1649" s="1" t="s">
        <v>3324</v>
      </c>
      <c r="J1649" t="str">
        <f>IF(ISNA(_xlfn.XLOOKUP(B1649,customer_master!$A$2:$A$1649, customer_master!$A$2:$A$1649)), "Invalid", "Ok")</f>
        <v>Ok</v>
      </c>
      <c r="K1649" t="str">
        <f>IF(ISNA(_xlfn.XLOOKUP(H1649,agent_info!$A$2:$A$301, agent_info!$A$2:$A$301)), "Invalid", "Ok")</f>
        <v>Ok</v>
      </c>
    </row>
    <row r="1650" spans="1:11" x14ac:dyDescent="0.3">
      <c r="A1650" s="1" t="s">
        <v>5268</v>
      </c>
      <c r="B1650" s="1" t="s">
        <v>2416</v>
      </c>
      <c r="C1650" s="1" t="s">
        <v>3334</v>
      </c>
      <c r="D1650" s="1">
        <v>720539.59</v>
      </c>
      <c r="E1650" s="1">
        <v>39397.629999999997</v>
      </c>
      <c r="F1650" s="41">
        <v>45236</v>
      </c>
      <c r="G1650" s="41">
        <v>45602</v>
      </c>
      <c r="H1650" s="1" t="s">
        <v>4273</v>
      </c>
      <c r="I1650" s="1" t="s">
        <v>3316</v>
      </c>
      <c r="J1650" t="str">
        <f>IF(ISNA(_xlfn.XLOOKUP(B1650,customer_master!$A$2:$A$1649, customer_master!$A$2:$A$1649)), "Invalid", "Ok")</f>
        <v>Ok</v>
      </c>
      <c r="K1650" t="str">
        <f>IF(ISNA(_xlfn.XLOOKUP(H1650,agent_info!$A$2:$A$301, agent_info!$A$2:$A$301)), "Invalid", "Ok")</f>
        <v>Ok</v>
      </c>
    </row>
    <row r="1651" spans="1:11" x14ac:dyDescent="0.3">
      <c r="A1651" s="1" t="s">
        <v>5269</v>
      </c>
      <c r="B1651" s="1" t="s">
        <v>152</v>
      </c>
      <c r="C1651" s="1" t="s">
        <v>3334</v>
      </c>
      <c r="D1651" s="1">
        <v>636777.18999999994</v>
      </c>
      <c r="E1651" s="1">
        <v>33379.269999999997</v>
      </c>
      <c r="F1651" s="41">
        <v>44891</v>
      </c>
      <c r="G1651" s="41">
        <v>45256</v>
      </c>
      <c r="H1651" s="1" t="s">
        <v>4306</v>
      </c>
      <c r="I1651" s="1" t="s">
        <v>3324</v>
      </c>
      <c r="J1651" t="str">
        <f>IF(ISNA(_xlfn.XLOOKUP(B1651,customer_master!$A$2:$A$1649, customer_master!$A$2:$A$1649)), "Invalid", "Ok")</f>
        <v>Ok</v>
      </c>
      <c r="K1651" t="str">
        <f>IF(ISNA(_xlfn.XLOOKUP(H1651,agent_info!$A$2:$A$301, agent_info!$A$2:$A$301)), "Invalid", "Ok")</f>
        <v>Ok</v>
      </c>
    </row>
    <row r="1652" spans="1:11" x14ac:dyDescent="0.3">
      <c r="A1652" s="1" t="s">
        <v>5270</v>
      </c>
      <c r="B1652" s="1" t="s">
        <v>2619</v>
      </c>
      <c r="C1652" s="1" t="s">
        <v>3318</v>
      </c>
      <c r="D1652" s="1">
        <v>508979.01</v>
      </c>
      <c r="E1652" s="1">
        <v>24795.74</v>
      </c>
      <c r="F1652" s="41">
        <v>45502</v>
      </c>
      <c r="G1652" s="41">
        <v>45867</v>
      </c>
      <c r="H1652" s="1" t="s">
        <v>3817</v>
      </c>
      <c r="I1652" s="1" t="s">
        <v>3324</v>
      </c>
      <c r="J1652" t="str">
        <f>IF(ISNA(_xlfn.XLOOKUP(B1652,customer_master!$A$2:$A$1649, customer_master!$A$2:$A$1649)), "Invalid", "Ok")</f>
        <v>Ok</v>
      </c>
      <c r="K1652" t="str">
        <f>IF(ISNA(_xlfn.XLOOKUP(H1652,agent_info!$A$2:$A$301, agent_info!$A$2:$A$301)), "Invalid", "Ok")</f>
        <v>Ok</v>
      </c>
    </row>
    <row r="1653" spans="1:11" x14ac:dyDescent="0.3">
      <c r="A1653" s="1" t="s">
        <v>5271</v>
      </c>
      <c r="B1653" s="1" t="s">
        <v>2623</v>
      </c>
      <c r="C1653" s="1" t="s">
        <v>3318</v>
      </c>
      <c r="D1653" s="1">
        <v>582071.88</v>
      </c>
      <c r="E1653" s="1">
        <v>27514.57</v>
      </c>
      <c r="F1653" s="41">
        <v>44537</v>
      </c>
      <c r="G1653" s="41">
        <v>44902</v>
      </c>
      <c r="H1653" s="1" t="s">
        <v>3500</v>
      </c>
      <c r="I1653" s="1" t="s">
        <v>3316</v>
      </c>
      <c r="J1653" t="str">
        <f>IF(ISNA(_xlfn.XLOOKUP(B1653,customer_master!$A$2:$A$1649, customer_master!$A$2:$A$1649)), "Invalid", "Ok")</f>
        <v>Ok</v>
      </c>
      <c r="K1653" t="str">
        <f>IF(ISNA(_xlfn.XLOOKUP(H1653,agent_info!$A$2:$A$301, agent_info!$A$2:$A$301)), "Invalid", "Ok")</f>
        <v>Ok</v>
      </c>
    </row>
    <row r="1654" spans="1:11" x14ac:dyDescent="0.3">
      <c r="A1654" s="1" t="s">
        <v>5272</v>
      </c>
      <c r="B1654" s="1" t="s">
        <v>2214</v>
      </c>
      <c r="C1654" s="1" t="s">
        <v>3314</v>
      </c>
      <c r="D1654" s="1">
        <v>484887.66</v>
      </c>
      <c r="E1654" s="1">
        <v>26634.25</v>
      </c>
      <c r="F1654" s="41">
        <v>44918</v>
      </c>
      <c r="G1654" s="41">
        <v>45283</v>
      </c>
      <c r="H1654" s="1" t="s">
        <v>4055</v>
      </c>
      <c r="I1654" s="1" t="s">
        <v>3324</v>
      </c>
      <c r="J1654" t="str">
        <f>IF(ISNA(_xlfn.XLOOKUP(B1654,customer_master!$A$2:$A$1649, customer_master!$A$2:$A$1649)), "Invalid", "Ok")</f>
        <v>Ok</v>
      </c>
      <c r="K1654" t="str">
        <f>IF(ISNA(_xlfn.XLOOKUP(H1654,agent_info!$A$2:$A$301, agent_info!$A$2:$A$301)), "Invalid", "Ok")</f>
        <v>Ok</v>
      </c>
    </row>
    <row r="1655" spans="1:11" x14ac:dyDescent="0.3">
      <c r="A1655" s="1" t="s">
        <v>5273</v>
      </c>
      <c r="B1655" s="1" t="s">
        <v>3090</v>
      </c>
      <c r="C1655" s="1" t="s">
        <v>3326</v>
      </c>
      <c r="D1655" s="1">
        <v>694743.26</v>
      </c>
      <c r="E1655" s="1">
        <v>33182.15</v>
      </c>
      <c r="F1655" s="41">
        <v>46021</v>
      </c>
      <c r="G1655" s="41">
        <v>46386</v>
      </c>
      <c r="H1655" s="1" t="s">
        <v>3389</v>
      </c>
      <c r="I1655" s="1" t="s">
        <v>3324</v>
      </c>
      <c r="J1655" t="str">
        <f>IF(ISNA(_xlfn.XLOOKUP(B1655,customer_master!$A$2:$A$1649, customer_master!$A$2:$A$1649)), "Invalid", "Ok")</f>
        <v>Ok</v>
      </c>
      <c r="K1655" t="str">
        <f>IF(ISNA(_xlfn.XLOOKUP(H1655,agent_info!$A$2:$A$301, agent_info!$A$2:$A$301)), "Invalid", "Ok")</f>
        <v>Ok</v>
      </c>
    </row>
    <row r="1656" spans="1:11" x14ac:dyDescent="0.3">
      <c r="A1656" s="1" t="s">
        <v>5274</v>
      </c>
      <c r="B1656" s="1" t="s">
        <v>2661</v>
      </c>
      <c r="C1656" s="1" t="s">
        <v>3314</v>
      </c>
      <c r="D1656" s="1">
        <v>552707.67000000004</v>
      </c>
      <c r="E1656" s="1">
        <v>27294.82</v>
      </c>
      <c r="F1656" s="41">
        <v>44363</v>
      </c>
      <c r="G1656" s="41">
        <v>44728</v>
      </c>
      <c r="H1656" s="1" t="s">
        <v>3754</v>
      </c>
      <c r="I1656" s="1" t="s">
        <v>3316</v>
      </c>
      <c r="J1656" t="str">
        <f>IF(ISNA(_xlfn.XLOOKUP(B1656,customer_master!$A$2:$A$1649, customer_master!$A$2:$A$1649)), "Invalid", "Ok")</f>
        <v>Ok</v>
      </c>
      <c r="K1656" t="str">
        <f>IF(ISNA(_xlfn.XLOOKUP(H1656,agent_info!$A$2:$A$301, agent_info!$A$2:$A$301)), "Invalid", "Ok")</f>
        <v>Ok</v>
      </c>
    </row>
    <row r="1657" spans="1:11" x14ac:dyDescent="0.3">
      <c r="A1657" s="1" t="s">
        <v>5275</v>
      </c>
      <c r="B1657" s="1" t="s">
        <v>775</v>
      </c>
      <c r="C1657" s="1" t="s">
        <v>3334</v>
      </c>
      <c r="D1657" s="1">
        <v>730258.05</v>
      </c>
      <c r="E1657" s="1">
        <v>34790.400000000001</v>
      </c>
      <c r="F1657" s="41">
        <v>45704</v>
      </c>
      <c r="G1657" s="41">
        <v>46069</v>
      </c>
      <c r="H1657" s="1" t="s">
        <v>3481</v>
      </c>
      <c r="I1657" s="1" t="s">
        <v>3320</v>
      </c>
      <c r="J1657" t="str">
        <f>IF(ISNA(_xlfn.XLOOKUP(B1657,customer_master!$A$2:$A$1649, customer_master!$A$2:$A$1649)), "Invalid", "Ok")</f>
        <v>Ok</v>
      </c>
      <c r="K1657" t="str">
        <f>IF(ISNA(_xlfn.XLOOKUP(H1657,agent_info!$A$2:$A$301, agent_info!$A$2:$A$301)), "Invalid", "Ok")</f>
        <v>Ok</v>
      </c>
    </row>
    <row r="1658" spans="1:11" x14ac:dyDescent="0.3">
      <c r="A1658" s="1" t="s">
        <v>5276</v>
      </c>
      <c r="B1658" s="1" t="s">
        <v>1301</v>
      </c>
      <c r="C1658" s="1" t="s">
        <v>3314</v>
      </c>
      <c r="D1658" s="1">
        <v>761537.88</v>
      </c>
      <c r="E1658" s="1">
        <v>38047.339999999997</v>
      </c>
      <c r="F1658" s="41">
        <v>44340</v>
      </c>
      <c r="G1658" s="41">
        <v>44705</v>
      </c>
      <c r="H1658" s="1" t="s">
        <v>3714</v>
      </c>
      <c r="I1658" s="1" t="s">
        <v>3324</v>
      </c>
      <c r="J1658" t="str">
        <f>IF(ISNA(_xlfn.XLOOKUP(B1658,customer_master!$A$2:$A$1649, customer_master!$A$2:$A$1649)), "Invalid", "Ok")</f>
        <v>Ok</v>
      </c>
      <c r="K1658" t="str">
        <f>IF(ISNA(_xlfn.XLOOKUP(H1658,agent_info!$A$2:$A$301, agent_info!$A$2:$A$301)), "Invalid", "Ok")</f>
        <v>Ok</v>
      </c>
    </row>
    <row r="1659" spans="1:11" x14ac:dyDescent="0.3">
      <c r="A1659" s="1" t="s">
        <v>5277</v>
      </c>
      <c r="B1659" s="1" t="s">
        <v>1185</v>
      </c>
      <c r="C1659" s="1" t="s">
        <v>3326</v>
      </c>
      <c r="D1659" s="1">
        <v>537527.36</v>
      </c>
      <c r="E1659" s="1">
        <v>24782.06</v>
      </c>
      <c r="F1659" s="41">
        <v>45362</v>
      </c>
      <c r="G1659" s="41">
        <v>45727</v>
      </c>
      <c r="H1659" s="1" t="s">
        <v>3751</v>
      </c>
      <c r="I1659" s="1" t="s">
        <v>3316</v>
      </c>
      <c r="J1659" t="str">
        <f>IF(ISNA(_xlfn.XLOOKUP(B1659,customer_master!$A$2:$A$1649, customer_master!$A$2:$A$1649)), "Invalid", "Ok")</f>
        <v>Ok</v>
      </c>
      <c r="K1659" t="str">
        <f>IF(ISNA(_xlfn.XLOOKUP(H1659,agent_info!$A$2:$A$301, agent_info!$A$2:$A$301)), "Invalid", "Ok")</f>
        <v>Ok</v>
      </c>
    </row>
    <row r="1660" spans="1:11" x14ac:dyDescent="0.3">
      <c r="A1660" s="1" t="s">
        <v>5278</v>
      </c>
      <c r="B1660" s="1" t="s">
        <v>1695</v>
      </c>
      <c r="C1660" s="1" t="s">
        <v>3326</v>
      </c>
      <c r="D1660" s="1">
        <v>605498.44999999995</v>
      </c>
      <c r="E1660" s="1">
        <v>32146.26</v>
      </c>
      <c r="F1660" s="41">
        <v>46076</v>
      </c>
      <c r="G1660" s="41">
        <v>46441</v>
      </c>
      <c r="H1660" s="1" t="s">
        <v>3479</v>
      </c>
      <c r="I1660" s="1" t="s">
        <v>3316</v>
      </c>
      <c r="J1660" t="str">
        <f>IF(ISNA(_xlfn.XLOOKUP(B1660,customer_master!$A$2:$A$1649, customer_master!$A$2:$A$1649)), "Invalid", "Ok")</f>
        <v>Ok</v>
      </c>
      <c r="K1660" t="str">
        <f>IF(ISNA(_xlfn.XLOOKUP(H1660,agent_info!$A$2:$A$301, agent_info!$A$2:$A$301)), "Invalid", "Ok")</f>
        <v>Ok</v>
      </c>
    </row>
    <row r="1661" spans="1:11" x14ac:dyDescent="0.3">
      <c r="A1661" s="1" t="s">
        <v>5279</v>
      </c>
      <c r="B1661" s="1" t="s">
        <v>3164</v>
      </c>
      <c r="C1661" s="1" t="s">
        <v>3326</v>
      </c>
      <c r="D1661" s="1">
        <v>550286.38</v>
      </c>
      <c r="E1661" s="1">
        <v>27542.42</v>
      </c>
      <c r="F1661" s="41">
        <v>45511</v>
      </c>
      <c r="G1661" s="41">
        <v>45876</v>
      </c>
      <c r="H1661" s="1" t="s">
        <v>3805</v>
      </c>
      <c r="I1661" s="1" t="s">
        <v>3324</v>
      </c>
      <c r="J1661" t="str">
        <f>IF(ISNA(_xlfn.XLOOKUP(B1661,customer_master!$A$2:$A$1649, customer_master!$A$2:$A$1649)), "Invalid", "Ok")</f>
        <v>Ok</v>
      </c>
      <c r="K1661" t="str">
        <f>IF(ISNA(_xlfn.XLOOKUP(H1661,agent_info!$A$2:$A$301, agent_info!$A$2:$A$301)), "Invalid", "Ok")</f>
        <v>Ok</v>
      </c>
    </row>
    <row r="1662" spans="1:11" x14ac:dyDescent="0.3">
      <c r="A1662" s="1" t="s">
        <v>5280</v>
      </c>
      <c r="B1662" s="1" t="s">
        <v>2069</v>
      </c>
      <c r="C1662" s="1" t="s">
        <v>3334</v>
      </c>
      <c r="D1662" s="1">
        <v>420253.54</v>
      </c>
      <c r="E1662" s="1">
        <v>20674.38</v>
      </c>
      <c r="F1662" s="41">
        <v>44494</v>
      </c>
      <c r="G1662" s="41">
        <v>44859</v>
      </c>
      <c r="H1662" s="1" t="s">
        <v>3459</v>
      </c>
      <c r="I1662" s="1" t="s">
        <v>3324</v>
      </c>
      <c r="J1662" t="str">
        <f>IF(ISNA(_xlfn.XLOOKUP(B1662,customer_master!$A$2:$A$1649, customer_master!$A$2:$A$1649)), "Invalid", "Ok")</f>
        <v>Ok</v>
      </c>
      <c r="K1662" t="str">
        <f>IF(ISNA(_xlfn.XLOOKUP(H1662,agent_info!$A$2:$A$301, agent_info!$A$2:$A$301)), "Invalid", "Ok")</f>
        <v>Ok</v>
      </c>
    </row>
    <row r="1663" spans="1:11" x14ac:dyDescent="0.3">
      <c r="A1663" s="1" t="s">
        <v>5281</v>
      </c>
      <c r="B1663" s="1" t="s">
        <v>1061</v>
      </c>
      <c r="C1663" s="1" t="s">
        <v>3314</v>
      </c>
      <c r="D1663" s="1">
        <v>751680.95</v>
      </c>
      <c r="E1663" s="1">
        <v>36555.33</v>
      </c>
      <c r="F1663" s="41">
        <v>45621</v>
      </c>
      <c r="G1663" s="41">
        <v>45986</v>
      </c>
      <c r="H1663" s="1" t="s">
        <v>3593</v>
      </c>
      <c r="I1663" s="1" t="s">
        <v>3324</v>
      </c>
      <c r="J1663" t="str">
        <f>IF(ISNA(_xlfn.XLOOKUP(B1663,customer_master!$A$2:$A$1649, customer_master!$A$2:$A$1649)), "Invalid", "Ok")</f>
        <v>Ok</v>
      </c>
      <c r="K1663" t="str">
        <f>IF(ISNA(_xlfn.XLOOKUP(H1663,agent_info!$A$2:$A$301, agent_info!$A$2:$A$301)), "Invalid", "Ok")</f>
        <v>Ok</v>
      </c>
    </row>
    <row r="1664" spans="1:11" x14ac:dyDescent="0.3">
      <c r="A1664" s="1" t="s">
        <v>5282</v>
      </c>
      <c r="B1664" s="1" t="s">
        <v>3132</v>
      </c>
      <c r="C1664" s="1" t="s">
        <v>3318</v>
      </c>
      <c r="D1664" s="1">
        <v>550608.57999999996</v>
      </c>
      <c r="E1664" s="1">
        <v>27969.73</v>
      </c>
      <c r="F1664" s="41">
        <v>46105</v>
      </c>
      <c r="G1664" s="41">
        <v>46470</v>
      </c>
      <c r="H1664" s="1" t="s">
        <v>3631</v>
      </c>
      <c r="I1664" s="1" t="s">
        <v>3320</v>
      </c>
      <c r="J1664" t="str">
        <f>IF(ISNA(_xlfn.XLOOKUP(B1664,customer_master!$A$2:$A$1649, customer_master!$A$2:$A$1649)), "Invalid", "Ok")</f>
        <v>Ok</v>
      </c>
      <c r="K1664" t="str">
        <f>IF(ISNA(_xlfn.XLOOKUP(H1664,agent_info!$A$2:$A$301, agent_info!$A$2:$A$301)), "Invalid", "Ok")</f>
        <v>Ok</v>
      </c>
    </row>
    <row r="1665" spans="1:11" x14ac:dyDescent="0.3">
      <c r="A1665" s="1" t="s">
        <v>5283</v>
      </c>
      <c r="B1665" s="1" t="s">
        <v>2335</v>
      </c>
      <c r="C1665" s="1" t="s">
        <v>3326</v>
      </c>
      <c r="D1665" s="1">
        <v>662922.09</v>
      </c>
      <c r="E1665" s="1">
        <v>35001.54</v>
      </c>
      <c r="F1665" s="41">
        <v>44241</v>
      </c>
      <c r="G1665" s="41">
        <v>44606</v>
      </c>
      <c r="H1665" s="1" t="s">
        <v>3538</v>
      </c>
      <c r="I1665" s="1" t="s">
        <v>3316</v>
      </c>
      <c r="J1665" t="str">
        <f>IF(ISNA(_xlfn.XLOOKUP(B1665,customer_master!$A$2:$A$1649, customer_master!$A$2:$A$1649)), "Invalid", "Ok")</f>
        <v>Ok</v>
      </c>
      <c r="K1665" t="str">
        <f>IF(ISNA(_xlfn.XLOOKUP(H1665,agent_info!$A$2:$A$301, agent_info!$A$2:$A$301)), "Invalid", "Ok")</f>
        <v>Ok</v>
      </c>
    </row>
    <row r="1666" spans="1:11" x14ac:dyDescent="0.3">
      <c r="A1666" s="1" t="s">
        <v>5284</v>
      </c>
      <c r="B1666" s="1" t="s">
        <v>905</v>
      </c>
      <c r="C1666" s="1" t="s">
        <v>3331</v>
      </c>
      <c r="D1666" s="1">
        <v>631613.43999999994</v>
      </c>
      <c r="E1666" s="1">
        <v>34123.300000000003</v>
      </c>
      <c r="F1666" s="41">
        <v>45275</v>
      </c>
      <c r="G1666" s="41">
        <v>45641</v>
      </c>
      <c r="H1666" s="1" t="s">
        <v>3701</v>
      </c>
      <c r="I1666" s="1" t="s">
        <v>3324</v>
      </c>
      <c r="J1666" t="str">
        <f>IF(ISNA(_xlfn.XLOOKUP(B1666,customer_master!$A$2:$A$1649, customer_master!$A$2:$A$1649)), "Invalid", "Ok")</f>
        <v>Ok</v>
      </c>
      <c r="K1666" t="str">
        <f>IF(ISNA(_xlfn.XLOOKUP(H1666,agent_info!$A$2:$A$301, agent_info!$A$2:$A$301)), "Invalid", "Ok")</f>
        <v>Ok</v>
      </c>
    </row>
    <row r="1667" spans="1:11" x14ac:dyDescent="0.3">
      <c r="A1667" s="1" t="s">
        <v>5285</v>
      </c>
      <c r="B1667" s="1" t="s">
        <v>3014</v>
      </c>
      <c r="C1667" s="1" t="s">
        <v>3318</v>
      </c>
      <c r="D1667" s="1">
        <v>417762.16</v>
      </c>
      <c r="E1667" s="1">
        <v>22314.84</v>
      </c>
      <c r="F1667" s="41">
        <v>44828</v>
      </c>
      <c r="G1667" s="41">
        <v>45193</v>
      </c>
      <c r="H1667" s="1" t="s">
        <v>4822</v>
      </c>
      <c r="I1667" s="1" t="s">
        <v>3320</v>
      </c>
      <c r="J1667" t="str">
        <f>IF(ISNA(_xlfn.XLOOKUP(B1667,customer_master!$A$2:$A$1649, customer_master!$A$2:$A$1649)), "Invalid", "Ok")</f>
        <v>Ok</v>
      </c>
      <c r="K1667" t="str">
        <f>IF(ISNA(_xlfn.XLOOKUP(H1667,agent_info!$A$2:$A$301, agent_info!$A$2:$A$301)), "Invalid", "Ok")</f>
        <v>Ok</v>
      </c>
    </row>
    <row r="1668" spans="1:11" x14ac:dyDescent="0.3">
      <c r="A1668" s="1" t="s">
        <v>5286</v>
      </c>
      <c r="B1668" s="1" t="s">
        <v>1167</v>
      </c>
      <c r="C1668" s="1" t="s">
        <v>3331</v>
      </c>
      <c r="D1668" s="1">
        <v>540605.71</v>
      </c>
      <c r="E1668" s="1">
        <v>26735.73</v>
      </c>
      <c r="F1668" s="41">
        <v>45666</v>
      </c>
      <c r="G1668" s="41">
        <v>46031</v>
      </c>
      <c r="H1668" s="1" t="s">
        <v>3729</v>
      </c>
      <c r="I1668" s="1" t="s">
        <v>3324</v>
      </c>
      <c r="J1668" t="str">
        <f>IF(ISNA(_xlfn.XLOOKUP(B1668,customer_master!$A$2:$A$1649, customer_master!$A$2:$A$1649)), "Invalid", "Ok")</f>
        <v>Ok</v>
      </c>
      <c r="K1668" t="str">
        <f>IF(ISNA(_xlfn.XLOOKUP(H1668,agent_info!$A$2:$A$301, agent_info!$A$2:$A$301)), "Invalid", "Ok")</f>
        <v>Ok</v>
      </c>
    </row>
    <row r="1669" spans="1:11" x14ac:dyDescent="0.3">
      <c r="A1669" s="1" t="s">
        <v>5287</v>
      </c>
      <c r="B1669" s="1" t="s">
        <v>1735</v>
      </c>
      <c r="C1669" s="1" t="s">
        <v>3331</v>
      </c>
      <c r="D1669" s="1">
        <v>456216.07</v>
      </c>
      <c r="E1669" s="1">
        <v>24334.53</v>
      </c>
      <c r="F1669" s="41">
        <v>46246</v>
      </c>
      <c r="G1669" s="41">
        <v>46611</v>
      </c>
      <c r="H1669" s="1" t="s">
        <v>4220</v>
      </c>
      <c r="I1669" s="1" t="s">
        <v>3324</v>
      </c>
      <c r="J1669" t="str">
        <f>IF(ISNA(_xlfn.XLOOKUP(B1669,customer_master!$A$2:$A$1649, customer_master!$A$2:$A$1649)), "Invalid", "Ok")</f>
        <v>Ok</v>
      </c>
      <c r="K1669" t="str">
        <f>IF(ISNA(_xlfn.XLOOKUP(H1669,agent_info!$A$2:$A$301, agent_info!$A$2:$A$301)), "Invalid", "Ok")</f>
        <v>Ok</v>
      </c>
    </row>
    <row r="1670" spans="1:11" x14ac:dyDescent="0.3">
      <c r="A1670" s="1" t="s">
        <v>5288</v>
      </c>
      <c r="B1670" s="1" t="s">
        <v>1606</v>
      </c>
      <c r="C1670" s="1" t="s">
        <v>3331</v>
      </c>
      <c r="D1670" s="1">
        <v>446301.54</v>
      </c>
      <c r="E1670" s="1">
        <v>22442.79</v>
      </c>
      <c r="F1670" s="41">
        <v>44519</v>
      </c>
      <c r="G1670" s="41">
        <v>44884</v>
      </c>
      <c r="H1670" s="1" t="s">
        <v>4058</v>
      </c>
      <c r="I1670" s="1" t="s">
        <v>3316</v>
      </c>
      <c r="J1670" t="str">
        <f>IF(ISNA(_xlfn.XLOOKUP(B1670,customer_master!$A$2:$A$1649, customer_master!$A$2:$A$1649)), "Invalid", "Ok")</f>
        <v>Ok</v>
      </c>
      <c r="K1670" t="str">
        <f>IF(ISNA(_xlfn.XLOOKUP(H1670,agent_info!$A$2:$A$301, agent_info!$A$2:$A$301)), "Invalid", "Ok")</f>
        <v>Ok</v>
      </c>
    </row>
    <row r="1671" spans="1:11" x14ac:dyDescent="0.3">
      <c r="A1671" s="1" t="s">
        <v>5289</v>
      </c>
      <c r="B1671" s="1" t="s">
        <v>3073</v>
      </c>
      <c r="C1671" s="1" t="s">
        <v>3326</v>
      </c>
      <c r="D1671" s="1">
        <v>600281.06000000006</v>
      </c>
      <c r="E1671" s="1">
        <v>30843.51</v>
      </c>
      <c r="F1671" s="41">
        <v>45656</v>
      </c>
      <c r="G1671" s="41">
        <v>46021</v>
      </c>
      <c r="H1671" s="1" t="s">
        <v>4311</v>
      </c>
      <c r="I1671" s="1" t="s">
        <v>3324</v>
      </c>
      <c r="J1671" t="str">
        <f>IF(ISNA(_xlfn.XLOOKUP(B1671,customer_master!$A$2:$A$1649, customer_master!$A$2:$A$1649)), "Invalid", "Ok")</f>
        <v>Ok</v>
      </c>
      <c r="K1671" t="str">
        <f>IF(ISNA(_xlfn.XLOOKUP(H1671,agent_info!$A$2:$A$301, agent_info!$A$2:$A$301)), "Invalid", "Ok")</f>
        <v>Ok</v>
      </c>
    </row>
    <row r="1672" spans="1:11" x14ac:dyDescent="0.3">
      <c r="A1672" s="1" t="s">
        <v>5290</v>
      </c>
      <c r="B1672" s="1" t="s">
        <v>903</v>
      </c>
      <c r="C1672" s="1" t="s">
        <v>3318</v>
      </c>
      <c r="D1672" s="1">
        <v>389347.56</v>
      </c>
      <c r="E1672" s="1">
        <v>20147.02</v>
      </c>
      <c r="F1672" s="41">
        <v>44173</v>
      </c>
      <c r="G1672" s="41">
        <v>44538</v>
      </c>
      <c r="H1672" s="1" t="s">
        <v>3545</v>
      </c>
      <c r="I1672" s="1" t="s">
        <v>3324</v>
      </c>
      <c r="J1672" t="str">
        <f>IF(ISNA(_xlfn.XLOOKUP(B1672,customer_master!$A$2:$A$1649, customer_master!$A$2:$A$1649)), "Invalid", "Ok")</f>
        <v>Ok</v>
      </c>
      <c r="K1672" t="str">
        <f>IF(ISNA(_xlfn.XLOOKUP(H1672,agent_info!$A$2:$A$301, agent_info!$A$2:$A$301)), "Invalid", "Ok")</f>
        <v>Ok</v>
      </c>
    </row>
    <row r="1673" spans="1:11" x14ac:dyDescent="0.3">
      <c r="A1673" s="1" t="s">
        <v>5291</v>
      </c>
      <c r="B1673" s="1" t="s">
        <v>1127</v>
      </c>
      <c r="C1673" s="1" t="s">
        <v>3331</v>
      </c>
      <c r="D1673" s="1">
        <v>750082.63</v>
      </c>
      <c r="E1673" s="1">
        <v>36751.660000000003</v>
      </c>
      <c r="F1673" s="41">
        <v>44497</v>
      </c>
      <c r="G1673" s="41">
        <v>44862</v>
      </c>
      <c r="H1673" s="1" t="s">
        <v>3655</v>
      </c>
      <c r="I1673" s="1" t="s">
        <v>3324</v>
      </c>
      <c r="J1673" t="str">
        <f>IF(ISNA(_xlfn.XLOOKUP(B1673,customer_master!$A$2:$A$1649, customer_master!$A$2:$A$1649)), "Invalid", "Ok")</f>
        <v>Ok</v>
      </c>
      <c r="K1673" t="str">
        <f>IF(ISNA(_xlfn.XLOOKUP(H1673,agent_info!$A$2:$A$301, agent_info!$A$2:$A$301)), "Invalid", "Ok")</f>
        <v>Ok</v>
      </c>
    </row>
    <row r="1674" spans="1:11" x14ac:dyDescent="0.3">
      <c r="A1674" s="1" t="s">
        <v>5292</v>
      </c>
      <c r="B1674" s="1" t="s">
        <v>2204</v>
      </c>
      <c r="C1674" s="1" t="s">
        <v>3318</v>
      </c>
      <c r="D1674" s="1">
        <v>548071.04</v>
      </c>
      <c r="E1674" s="1">
        <v>27327.11</v>
      </c>
      <c r="F1674" s="41">
        <v>45283</v>
      </c>
      <c r="G1674" s="41">
        <v>45649</v>
      </c>
      <c r="H1674" s="1" t="s">
        <v>3369</v>
      </c>
      <c r="I1674" s="1" t="s">
        <v>3324</v>
      </c>
      <c r="J1674" t="str">
        <f>IF(ISNA(_xlfn.XLOOKUP(B1674,customer_master!$A$2:$A$1649, customer_master!$A$2:$A$1649)), "Invalid", "Ok")</f>
        <v>Ok</v>
      </c>
      <c r="K1674" t="str">
        <f>IF(ISNA(_xlfn.XLOOKUP(H1674,agent_info!$A$2:$A$301, agent_info!$A$2:$A$301)), "Invalid", "Ok")</f>
        <v>Ok</v>
      </c>
    </row>
    <row r="1675" spans="1:11" x14ac:dyDescent="0.3">
      <c r="A1675" s="1" t="s">
        <v>5293</v>
      </c>
      <c r="B1675" s="1" t="s">
        <v>2947</v>
      </c>
      <c r="C1675" s="1" t="s">
        <v>3314</v>
      </c>
      <c r="D1675" s="1">
        <v>573556.71</v>
      </c>
      <c r="E1675" s="1">
        <v>29782.44</v>
      </c>
      <c r="F1675" s="41">
        <v>44630</v>
      </c>
      <c r="G1675" s="41">
        <v>44995</v>
      </c>
      <c r="H1675" s="1" t="s">
        <v>3365</v>
      </c>
      <c r="I1675" s="1" t="s">
        <v>3316</v>
      </c>
      <c r="J1675" t="str">
        <f>IF(ISNA(_xlfn.XLOOKUP(B1675,customer_master!$A$2:$A$1649, customer_master!$A$2:$A$1649)), "Invalid", "Ok")</f>
        <v>Ok</v>
      </c>
      <c r="K1675" t="str">
        <f>IF(ISNA(_xlfn.XLOOKUP(H1675,agent_info!$A$2:$A$301, agent_info!$A$2:$A$301)), "Invalid", "Ok")</f>
        <v>Ok</v>
      </c>
    </row>
    <row r="1676" spans="1:11" x14ac:dyDescent="0.3">
      <c r="A1676" s="1" t="s">
        <v>5294</v>
      </c>
      <c r="B1676" s="1" t="s">
        <v>411</v>
      </c>
      <c r="C1676" s="1" t="s">
        <v>3314</v>
      </c>
      <c r="D1676" s="1">
        <v>500280.12</v>
      </c>
      <c r="E1676" s="1">
        <v>24053.11</v>
      </c>
      <c r="F1676" s="41">
        <v>45999</v>
      </c>
      <c r="G1676" s="41">
        <v>46364</v>
      </c>
      <c r="H1676" s="1" t="s">
        <v>3496</v>
      </c>
      <c r="I1676" s="1" t="s">
        <v>3324</v>
      </c>
      <c r="J1676" t="str">
        <f>IF(ISNA(_xlfn.XLOOKUP(B1676,customer_master!$A$2:$A$1649, customer_master!$A$2:$A$1649)), "Invalid", "Ok")</f>
        <v>Ok</v>
      </c>
      <c r="K1676" t="str">
        <f>IF(ISNA(_xlfn.XLOOKUP(H1676,agent_info!$A$2:$A$301, agent_info!$A$2:$A$301)), "Invalid", "Ok")</f>
        <v>Ok</v>
      </c>
    </row>
    <row r="1677" spans="1:11" x14ac:dyDescent="0.3">
      <c r="A1677" s="1" t="s">
        <v>5295</v>
      </c>
      <c r="B1677" s="1" t="s">
        <v>747</v>
      </c>
      <c r="C1677" s="1" t="s">
        <v>3314</v>
      </c>
      <c r="D1677" s="1">
        <v>417962.19</v>
      </c>
      <c r="E1677" s="1">
        <v>21930.11</v>
      </c>
      <c r="F1677" s="41">
        <v>45947</v>
      </c>
      <c r="G1677" s="41">
        <v>46312</v>
      </c>
      <c r="H1677" s="1" t="s">
        <v>3629</v>
      </c>
      <c r="I1677" s="1" t="s">
        <v>3324</v>
      </c>
      <c r="J1677" t="str">
        <f>IF(ISNA(_xlfn.XLOOKUP(B1677,customer_master!$A$2:$A$1649, customer_master!$A$2:$A$1649)), "Invalid", "Ok")</f>
        <v>Ok</v>
      </c>
      <c r="K1677" t="str">
        <f>IF(ISNA(_xlfn.XLOOKUP(H1677,agent_info!$A$2:$A$301, agent_info!$A$2:$A$301)), "Invalid", "Ok")</f>
        <v>Ok</v>
      </c>
    </row>
    <row r="1678" spans="1:11" x14ac:dyDescent="0.3">
      <c r="A1678" s="1" t="s">
        <v>5296</v>
      </c>
      <c r="B1678" s="1" t="s">
        <v>3152</v>
      </c>
      <c r="C1678" s="1" t="s">
        <v>3334</v>
      </c>
      <c r="D1678" s="1">
        <v>611473.43000000005</v>
      </c>
      <c r="E1678" s="1">
        <v>29681.55</v>
      </c>
      <c r="F1678" s="41">
        <v>46064</v>
      </c>
      <c r="G1678" s="41">
        <v>46429</v>
      </c>
      <c r="H1678" s="1" t="s">
        <v>3425</v>
      </c>
      <c r="I1678" s="1" t="s">
        <v>3324</v>
      </c>
      <c r="J1678" t="str">
        <f>IF(ISNA(_xlfn.XLOOKUP(B1678,customer_master!$A$2:$A$1649, customer_master!$A$2:$A$1649)), "Invalid", "Ok")</f>
        <v>Ok</v>
      </c>
      <c r="K1678" t="str">
        <f>IF(ISNA(_xlfn.XLOOKUP(H1678,agent_info!$A$2:$A$301, agent_info!$A$2:$A$301)), "Invalid", "Ok")</f>
        <v>Ok</v>
      </c>
    </row>
    <row r="1679" spans="1:11" x14ac:dyDescent="0.3">
      <c r="A1679" s="1" t="s">
        <v>5297</v>
      </c>
      <c r="B1679" s="1" t="s">
        <v>2587</v>
      </c>
      <c r="C1679" s="1" t="s">
        <v>3318</v>
      </c>
      <c r="D1679" s="1">
        <v>508317.2</v>
      </c>
      <c r="E1679" s="1">
        <v>25850.42</v>
      </c>
      <c r="F1679" s="41">
        <v>46214</v>
      </c>
      <c r="G1679" s="41">
        <v>46579</v>
      </c>
      <c r="H1679" s="1" t="s">
        <v>3543</v>
      </c>
      <c r="I1679" s="1" t="s">
        <v>3324</v>
      </c>
      <c r="J1679" t="str">
        <f>IF(ISNA(_xlfn.XLOOKUP(B1679,customer_master!$A$2:$A$1649, customer_master!$A$2:$A$1649)), "Invalid", "Ok")</f>
        <v>Ok</v>
      </c>
      <c r="K1679" t="str">
        <f>IF(ISNA(_xlfn.XLOOKUP(H1679,agent_info!$A$2:$A$301, agent_info!$A$2:$A$301)), "Invalid", "Ok")</f>
        <v>Ok</v>
      </c>
    </row>
    <row r="1680" spans="1:11" x14ac:dyDescent="0.3">
      <c r="A1680" s="1" t="s">
        <v>5298</v>
      </c>
      <c r="B1680" s="1" t="s">
        <v>1175</v>
      </c>
      <c r="C1680" s="1" t="s">
        <v>3314</v>
      </c>
      <c r="D1680" s="1">
        <v>625267.96</v>
      </c>
      <c r="E1680" s="1">
        <v>33374.44</v>
      </c>
      <c r="F1680" s="41">
        <v>46038</v>
      </c>
      <c r="G1680" s="41">
        <v>46403</v>
      </c>
      <c r="H1680" s="1" t="s">
        <v>3830</v>
      </c>
      <c r="I1680" s="1" t="s">
        <v>3324</v>
      </c>
      <c r="J1680" t="str">
        <f>IF(ISNA(_xlfn.XLOOKUP(B1680,customer_master!$A$2:$A$1649, customer_master!$A$2:$A$1649)), "Invalid", "Ok")</f>
        <v>Ok</v>
      </c>
      <c r="K1680" t="str">
        <f>IF(ISNA(_xlfn.XLOOKUP(H1680,agent_info!$A$2:$A$301, agent_info!$A$2:$A$301)), "Invalid", "Ok")</f>
        <v>Ok</v>
      </c>
    </row>
    <row r="1681" spans="1:11" x14ac:dyDescent="0.3">
      <c r="A1681" s="1" t="s">
        <v>5299</v>
      </c>
      <c r="B1681" s="1" t="s">
        <v>1211</v>
      </c>
      <c r="C1681" s="1" t="s">
        <v>3334</v>
      </c>
      <c r="D1681" s="1">
        <v>598971.38</v>
      </c>
      <c r="E1681" s="1">
        <v>27092.7</v>
      </c>
      <c r="F1681" s="41">
        <v>45060</v>
      </c>
      <c r="G1681" s="41">
        <v>45426</v>
      </c>
      <c r="H1681" s="1" t="s">
        <v>3665</v>
      </c>
      <c r="I1681" s="1" t="s">
        <v>3324</v>
      </c>
      <c r="J1681" t="str">
        <f>IF(ISNA(_xlfn.XLOOKUP(B1681,customer_master!$A$2:$A$1649, customer_master!$A$2:$A$1649)), "Invalid", "Ok")</f>
        <v>Ok</v>
      </c>
      <c r="K1681" t="str">
        <f>IF(ISNA(_xlfn.XLOOKUP(H1681,agent_info!$A$2:$A$301, agent_info!$A$2:$A$301)), "Invalid", "Ok")</f>
        <v>Ok</v>
      </c>
    </row>
    <row r="1682" spans="1:11" x14ac:dyDescent="0.3">
      <c r="A1682" s="1" t="s">
        <v>5300</v>
      </c>
      <c r="B1682" s="1" t="s">
        <v>1572</v>
      </c>
      <c r="C1682" s="1" t="s">
        <v>3331</v>
      </c>
      <c r="D1682" s="1">
        <v>464251.49</v>
      </c>
      <c r="E1682" s="1">
        <v>22007.1</v>
      </c>
      <c r="F1682" s="41">
        <v>45649</v>
      </c>
      <c r="G1682" s="41">
        <v>46014</v>
      </c>
      <c r="H1682" s="1" t="s">
        <v>3391</v>
      </c>
      <c r="I1682" s="1" t="s">
        <v>3324</v>
      </c>
      <c r="J1682" t="str">
        <f>IF(ISNA(_xlfn.XLOOKUP(B1682,customer_master!$A$2:$A$1649, customer_master!$A$2:$A$1649)), "Invalid", "Ok")</f>
        <v>Ok</v>
      </c>
      <c r="K1682" t="str">
        <f>IF(ISNA(_xlfn.XLOOKUP(H1682,agent_info!$A$2:$A$301, agent_info!$A$2:$A$301)), "Invalid", "Ok")</f>
        <v>Ok</v>
      </c>
    </row>
    <row r="1683" spans="1:11" x14ac:dyDescent="0.3">
      <c r="A1683" s="1" t="s">
        <v>5301</v>
      </c>
      <c r="B1683" s="1" t="s">
        <v>2250</v>
      </c>
      <c r="C1683" s="1" t="s">
        <v>3334</v>
      </c>
      <c r="D1683" s="1">
        <v>562736.76</v>
      </c>
      <c r="E1683" s="1">
        <v>28481.05</v>
      </c>
      <c r="F1683" s="41">
        <v>46073</v>
      </c>
      <c r="G1683" s="41">
        <v>46438</v>
      </c>
      <c r="H1683" s="1" t="s">
        <v>3353</v>
      </c>
      <c r="I1683" s="1" t="s">
        <v>3316</v>
      </c>
      <c r="J1683" t="str">
        <f>IF(ISNA(_xlfn.XLOOKUP(B1683,customer_master!$A$2:$A$1649, customer_master!$A$2:$A$1649)), "Invalid", "Ok")</f>
        <v>Ok</v>
      </c>
      <c r="K1683" t="str">
        <f>IF(ISNA(_xlfn.XLOOKUP(H1683,agent_info!$A$2:$A$301, agent_info!$A$2:$A$301)), "Invalid", "Ok")</f>
        <v>Ok</v>
      </c>
    </row>
    <row r="1684" spans="1:11" x14ac:dyDescent="0.3">
      <c r="A1684" s="1" t="s">
        <v>5302</v>
      </c>
      <c r="B1684" s="1" t="s">
        <v>1885</v>
      </c>
      <c r="C1684" s="1" t="s">
        <v>3326</v>
      </c>
      <c r="D1684" s="1">
        <v>457822.05</v>
      </c>
      <c r="E1684" s="1">
        <v>21087.75</v>
      </c>
      <c r="F1684" s="41">
        <v>44225</v>
      </c>
      <c r="G1684" s="41">
        <v>44590</v>
      </c>
      <c r="H1684" s="1" t="s">
        <v>3475</v>
      </c>
      <c r="I1684" s="1" t="s">
        <v>3316</v>
      </c>
      <c r="J1684" t="str">
        <f>IF(ISNA(_xlfn.XLOOKUP(B1684,customer_master!$A$2:$A$1649, customer_master!$A$2:$A$1649)), "Invalid", "Ok")</f>
        <v>Ok</v>
      </c>
      <c r="K1684" t="str">
        <f>IF(ISNA(_xlfn.XLOOKUP(H1684,agent_info!$A$2:$A$301, agent_info!$A$2:$A$301)), "Invalid", "Ok")</f>
        <v>Ok</v>
      </c>
    </row>
    <row r="1685" spans="1:11" x14ac:dyDescent="0.3">
      <c r="A1685" s="1" t="s">
        <v>5303</v>
      </c>
      <c r="B1685" s="1" t="s">
        <v>2583</v>
      </c>
      <c r="C1685" s="1" t="s">
        <v>3334</v>
      </c>
      <c r="D1685" s="1">
        <v>477293.77</v>
      </c>
      <c r="E1685" s="1">
        <v>22459.54</v>
      </c>
      <c r="F1685" s="41">
        <v>44995</v>
      </c>
      <c r="G1685" s="41">
        <v>45361</v>
      </c>
      <c r="H1685" s="1" t="s">
        <v>3798</v>
      </c>
      <c r="I1685" s="1" t="s">
        <v>3324</v>
      </c>
      <c r="J1685" t="str">
        <f>IF(ISNA(_xlfn.XLOOKUP(B1685,customer_master!$A$2:$A$1649, customer_master!$A$2:$A$1649)), "Invalid", "Ok")</f>
        <v>Ok</v>
      </c>
      <c r="K1685" t="str">
        <f>IF(ISNA(_xlfn.XLOOKUP(H1685,agent_info!$A$2:$A$301, agent_info!$A$2:$A$301)), "Invalid", "Ok")</f>
        <v>Ok</v>
      </c>
    </row>
    <row r="1686" spans="1:11" x14ac:dyDescent="0.3">
      <c r="A1686" s="1" t="s">
        <v>5304</v>
      </c>
      <c r="B1686" s="1" t="s">
        <v>212</v>
      </c>
      <c r="C1686" s="1" t="s">
        <v>3314</v>
      </c>
      <c r="D1686" s="1">
        <v>681336.18</v>
      </c>
      <c r="E1686" s="1">
        <v>35763.949999999997</v>
      </c>
      <c r="F1686" s="41">
        <v>46118</v>
      </c>
      <c r="G1686" s="41">
        <v>46483</v>
      </c>
      <c r="H1686" s="1" t="s">
        <v>3917</v>
      </c>
      <c r="I1686" s="1" t="s">
        <v>3316</v>
      </c>
      <c r="J1686" t="str">
        <f>IF(ISNA(_xlfn.XLOOKUP(B1686,customer_master!$A$2:$A$1649, customer_master!$A$2:$A$1649)), "Invalid", "Ok")</f>
        <v>Ok</v>
      </c>
      <c r="K1686" t="str">
        <f>IF(ISNA(_xlfn.XLOOKUP(H1686,agent_info!$A$2:$A$301, agent_info!$A$2:$A$301)), "Invalid", "Ok")</f>
        <v>Ok</v>
      </c>
    </row>
    <row r="1687" spans="1:11" x14ac:dyDescent="0.3">
      <c r="A1687" s="1" t="s">
        <v>5305</v>
      </c>
      <c r="B1687" s="1" t="s">
        <v>2718</v>
      </c>
      <c r="C1687" s="1" t="s">
        <v>3314</v>
      </c>
      <c r="D1687" s="1">
        <v>389584.04</v>
      </c>
      <c r="E1687" s="1">
        <v>17631.88</v>
      </c>
      <c r="F1687" s="41">
        <v>45181</v>
      </c>
      <c r="G1687" s="41">
        <v>45547</v>
      </c>
      <c r="H1687" s="1" t="s">
        <v>3587</v>
      </c>
      <c r="I1687" s="1" t="s">
        <v>3324</v>
      </c>
      <c r="J1687" t="str">
        <f>IF(ISNA(_xlfn.XLOOKUP(B1687,customer_master!$A$2:$A$1649, customer_master!$A$2:$A$1649)), "Invalid", "Ok")</f>
        <v>Ok</v>
      </c>
      <c r="K1687" t="str">
        <f>IF(ISNA(_xlfn.XLOOKUP(H1687,agent_info!$A$2:$A$301, agent_info!$A$2:$A$301)), "Invalid", "Ok")</f>
        <v>Ok</v>
      </c>
    </row>
    <row r="1688" spans="1:11" x14ac:dyDescent="0.3">
      <c r="A1688" s="1" t="s">
        <v>5306</v>
      </c>
      <c r="B1688" s="1" t="s">
        <v>228</v>
      </c>
      <c r="C1688" s="1" t="s">
        <v>3314</v>
      </c>
      <c r="D1688" s="1">
        <v>488519.9</v>
      </c>
      <c r="E1688" s="1">
        <v>24963.55</v>
      </c>
      <c r="F1688" s="41">
        <v>44124</v>
      </c>
      <c r="G1688" s="41">
        <v>44489</v>
      </c>
      <c r="H1688" s="1" t="s">
        <v>3391</v>
      </c>
      <c r="I1688" s="1" t="s">
        <v>3316</v>
      </c>
      <c r="J1688" t="str">
        <f>IF(ISNA(_xlfn.XLOOKUP(B1688,customer_master!$A$2:$A$1649, customer_master!$A$2:$A$1649)), "Invalid", "Ok")</f>
        <v>Ok</v>
      </c>
      <c r="K1688" t="str">
        <f>IF(ISNA(_xlfn.XLOOKUP(H1688,agent_info!$A$2:$A$301, agent_info!$A$2:$A$301)), "Invalid", "Ok")</f>
        <v>Ok</v>
      </c>
    </row>
    <row r="1689" spans="1:11" x14ac:dyDescent="0.3">
      <c r="A1689" s="1" t="s">
        <v>5307</v>
      </c>
      <c r="B1689" s="1" t="s">
        <v>2931</v>
      </c>
      <c r="C1689" s="1" t="s">
        <v>3334</v>
      </c>
      <c r="D1689" s="1">
        <v>589467.99</v>
      </c>
      <c r="E1689" s="1">
        <v>26727.4</v>
      </c>
      <c r="F1689" s="41">
        <v>45390</v>
      </c>
      <c r="G1689" s="41">
        <v>45755</v>
      </c>
      <c r="H1689" s="1" t="s">
        <v>4511</v>
      </c>
      <c r="I1689" s="1" t="s">
        <v>3320</v>
      </c>
      <c r="J1689" t="str">
        <f>IF(ISNA(_xlfn.XLOOKUP(B1689,customer_master!$A$2:$A$1649, customer_master!$A$2:$A$1649)), "Invalid", "Ok")</f>
        <v>Ok</v>
      </c>
      <c r="K1689" t="str">
        <f>IF(ISNA(_xlfn.XLOOKUP(H1689,agent_info!$A$2:$A$301, agent_info!$A$2:$A$301)), "Invalid", "Ok")</f>
        <v>Ok</v>
      </c>
    </row>
    <row r="1690" spans="1:11" x14ac:dyDescent="0.3">
      <c r="A1690" s="1" t="s">
        <v>5308</v>
      </c>
      <c r="B1690" s="1" t="s">
        <v>180</v>
      </c>
      <c r="C1690" s="1" t="s">
        <v>3331</v>
      </c>
      <c r="D1690" s="1">
        <v>563149.68999999994</v>
      </c>
      <c r="E1690" s="1">
        <v>25994.560000000001</v>
      </c>
      <c r="F1690" s="41">
        <v>45604</v>
      </c>
      <c r="G1690" s="41">
        <v>45969</v>
      </c>
      <c r="H1690" s="1" t="s">
        <v>4146</v>
      </c>
      <c r="I1690" s="1" t="s">
        <v>3316</v>
      </c>
      <c r="J1690" t="str">
        <f>IF(ISNA(_xlfn.XLOOKUP(B1690,customer_master!$A$2:$A$1649, customer_master!$A$2:$A$1649)), "Invalid", "Ok")</f>
        <v>Ok</v>
      </c>
      <c r="K1690" t="str">
        <f>IF(ISNA(_xlfn.XLOOKUP(H1690,agent_info!$A$2:$A$301, agent_info!$A$2:$A$301)), "Invalid", "Ok")</f>
        <v>Ok</v>
      </c>
    </row>
    <row r="1691" spans="1:11" x14ac:dyDescent="0.3">
      <c r="A1691" s="1" t="s">
        <v>5309</v>
      </c>
      <c r="B1691" s="1" t="s">
        <v>459</v>
      </c>
      <c r="C1691" s="1" t="s">
        <v>3334</v>
      </c>
      <c r="D1691" s="1">
        <v>746963.65</v>
      </c>
      <c r="E1691" s="1">
        <v>36529.07</v>
      </c>
      <c r="F1691" s="41">
        <v>44359</v>
      </c>
      <c r="G1691" s="41">
        <v>44724</v>
      </c>
      <c r="H1691" s="1" t="s">
        <v>3734</v>
      </c>
      <c r="I1691" s="1" t="s">
        <v>3316</v>
      </c>
      <c r="J1691" t="str">
        <f>IF(ISNA(_xlfn.XLOOKUP(B1691,customer_master!$A$2:$A$1649, customer_master!$A$2:$A$1649)), "Invalid", "Ok")</f>
        <v>Ok</v>
      </c>
      <c r="K1691" t="str">
        <f>IF(ISNA(_xlfn.XLOOKUP(H1691,agent_info!$A$2:$A$301, agent_info!$A$2:$A$301)), "Invalid", "Ok")</f>
        <v>Ok</v>
      </c>
    </row>
    <row r="1692" spans="1:11" x14ac:dyDescent="0.3">
      <c r="A1692" s="1" t="s">
        <v>5310</v>
      </c>
      <c r="B1692" s="1" t="s">
        <v>638</v>
      </c>
      <c r="C1692" s="1" t="s">
        <v>3326</v>
      </c>
      <c r="D1692" s="1">
        <v>645280.12</v>
      </c>
      <c r="E1692" s="1">
        <v>35263.07</v>
      </c>
      <c r="F1692" s="41">
        <v>44176</v>
      </c>
      <c r="G1692" s="41">
        <v>44541</v>
      </c>
      <c r="H1692" s="1" t="s">
        <v>3420</v>
      </c>
      <c r="I1692" s="1" t="s">
        <v>3324</v>
      </c>
      <c r="J1692" t="str">
        <f>IF(ISNA(_xlfn.XLOOKUP(B1692,customer_master!$A$2:$A$1649, customer_master!$A$2:$A$1649)), "Invalid", "Ok")</f>
        <v>Ok</v>
      </c>
      <c r="K1692" t="str">
        <f>IF(ISNA(_xlfn.XLOOKUP(H1692,agent_info!$A$2:$A$301, agent_info!$A$2:$A$301)), "Invalid", "Ok")</f>
        <v>Ok</v>
      </c>
    </row>
    <row r="1693" spans="1:11" x14ac:dyDescent="0.3">
      <c r="A1693" s="1" t="s">
        <v>5311</v>
      </c>
      <c r="B1693" s="1" t="s">
        <v>787</v>
      </c>
      <c r="C1693" s="1" t="s">
        <v>3334</v>
      </c>
      <c r="D1693" s="1">
        <v>674367.01</v>
      </c>
      <c r="E1693" s="1">
        <v>34027.53</v>
      </c>
      <c r="F1693" s="41">
        <v>45318</v>
      </c>
      <c r="G1693" s="41">
        <v>45684</v>
      </c>
      <c r="H1693" s="1" t="s">
        <v>3838</v>
      </c>
      <c r="I1693" s="1" t="s">
        <v>3324</v>
      </c>
      <c r="J1693" t="str">
        <f>IF(ISNA(_xlfn.XLOOKUP(B1693,customer_master!$A$2:$A$1649, customer_master!$A$2:$A$1649)), "Invalid", "Ok")</f>
        <v>Ok</v>
      </c>
      <c r="K1693" t="str">
        <f>IF(ISNA(_xlfn.XLOOKUP(H1693,agent_info!$A$2:$A$301, agent_info!$A$2:$A$301)), "Invalid", "Ok")</f>
        <v>Ok</v>
      </c>
    </row>
    <row r="1694" spans="1:11" x14ac:dyDescent="0.3">
      <c r="A1694" s="1" t="s">
        <v>5312</v>
      </c>
      <c r="B1694" s="1" t="s">
        <v>1366</v>
      </c>
      <c r="C1694" s="1" t="s">
        <v>3326</v>
      </c>
      <c r="D1694" s="1">
        <v>529927.35</v>
      </c>
      <c r="E1694" s="1">
        <v>25501.29</v>
      </c>
      <c r="F1694" s="41">
        <v>45818</v>
      </c>
      <c r="G1694" s="41">
        <v>46183</v>
      </c>
      <c r="H1694" s="1" t="s">
        <v>3751</v>
      </c>
      <c r="I1694" s="1" t="s">
        <v>3324</v>
      </c>
      <c r="J1694" t="str">
        <f>IF(ISNA(_xlfn.XLOOKUP(B1694,customer_master!$A$2:$A$1649, customer_master!$A$2:$A$1649)), "Invalid", "Ok")</f>
        <v>Ok</v>
      </c>
      <c r="K1694" t="str">
        <f>IF(ISNA(_xlfn.XLOOKUP(H1694,agent_info!$A$2:$A$301, agent_info!$A$2:$A$301)), "Invalid", "Ok")</f>
        <v>Ok</v>
      </c>
    </row>
    <row r="1695" spans="1:11" x14ac:dyDescent="0.3">
      <c r="A1695" s="1" t="s">
        <v>5313</v>
      </c>
      <c r="B1695" s="1" t="s">
        <v>2186</v>
      </c>
      <c r="C1695" s="1" t="s">
        <v>3331</v>
      </c>
      <c r="D1695" s="1">
        <v>545127.92000000004</v>
      </c>
      <c r="E1695" s="1">
        <v>26773.01</v>
      </c>
      <c r="F1695" s="41">
        <v>45597</v>
      </c>
      <c r="G1695" s="41">
        <v>45962</v>
      </c>
      <c r="H1695" s="1" t="s">
        <v>4548</v>
      </c>
      <c r="I1695" s="1" t="s">
        <v>3324</v>
      </c>
      <c r="J1695" t="str">
        <f>IF(ISNA(_xlfn.XLOOKUP(B1695,customer_master!$A$2:$A$1649, customer_master!$A$2:$A$1649)), "Invalid", "Ok")</f>
        <v>Ok</v>
      </c>
      <c r="K1695" t="str">
        <f>IF(ISNA(_xlfn.XLOOKUP(H1695,agent_info!$A$2:$A$301, agent_info!$A$2:$A$301)), "Invalid", "Ok")</f>
        <v>Ok</v>
      </c>
    </row>
    <row r="1696" spans="1:11" x14ac:dyDescent="0.3">
      <c r="A1696" s="1" t="s">
        <v>5314</v>
      </c>
      <c r="B1696" s="1" t="s">
        <v>2967</v>
      </c>
      <c r="C1696" s="1" t="s">
        <v>3331</v>
      </c>
      <c r="D1696" s="1">
        <v>395451.29</v>
      </c>
      <c r="E1696" s="1">
        <v>20044.53</v>
      </c>
      <c r="F1696" s="41">
        <v>45700</v>
      </c>
      <c r="G1696" s="41">
        <v>46065</v>
      </c>
      <c r="H1696" s="1" t="s">
        <v>3607</v>
      </c>
      <c r="I1696" s="1" t="s">
        <v>3324</v>
      </c>
      <c r="J1696" t="str">
        <f>IF(ISNA(_xlfn.XLOOKUP(B1696,customer_master!$A$2:$A$1649, customer_master!$A$2:$A$1649)), "Invalid", "Ok")</f>
        <v>Ok</v>
      </c>
      <c r="K1696" t="str">
        <f>IF(ISNA(_xlfn.XLOOKUP(H1696,agent_info!$A$2:$A$301, agent_info!$A$2:$A$301)), "Invalid", "Ok")</f>
        <v>Ok</v>
      </c>
    </row>
    <row r="1697" spans="1:11" x14ac:dyDescent="0.3">
      <c r="A1697" s="1" t="s">
        <v>5315</v>
      </c>
      <c r="B1697" s="1" t="s">
        <v>1759</v>
      </c>
      <c r="C1697" s="1" t="s">
        <v>3326</v>
      </c>
      <c r="D1697" s="1">
        <v>637583.89</v>
      </c>
      <c r="E1697" s="1">
        <v>32640.57</v>
      </c>
      <c r="F1697" s="41">
        <v>44948</v>
      </c>
      <c r="G1697" s="41">
        <v>45313</v>
      </c>
      <c r="H1697" s="1" t="s">
        <v>3794</v>
      </c>
      <c r="I1697" s="1" t="s">
        <v>3316</v>
      </c>
      <c r="J1697" t="str">
        <f>IF(ISNA(_xlfn.XLOOKUP(B1697,customer_master!$A$2:$A$1649, customer_master!$A$2:$A$1649)), "Invalid", "Ok")</f>
        <v>Ok</v>
      </c>
      <c r="K1697" t="str">
        <f>IF(ISNA(_xlfn.XLOOKUP(H1697,agent_info!$A$2:$A$301, agent_info!$A$2:$A$301)), "Invalid", "Ok")</f>
        <v>Ok</v>
      </c>
    </row>
    <row r="1698" spans="1:11" x14ac:dyDescent="0.3">
      <c r="A1698" s="1" t="s">
        <v>5316</v>
      </c>
      <c r="B1698" s="1" t="s">
        <v>1785</v>
      </c>
      <c r="C1698" s="1" t="s">
        <v>3326</v>
      </c>
      <c r="D1698" s="1">
        <v>500749.52</v>
      </c>
      <c r="E1698" s="1">
        <v>23875.25</v>
      </c>
      <c r="F1698" s="41">
        <v>45577</v>
      </c>
      <c r="G1698" s="41">
        <v>45942</v>
      </c>
      <c r="H1698" s="1" t="s">
        <v>3587</v>
      </c>
      <c r="I1698" s="1" t="s">
        <v>3324</v>
      </c>
      <c r="J1698" t="str">
        <f>IF(ISNA(_xlfn.XLOOKUP(B1698,customer_master!$A$2:$A$1649, customer_master!$A$2:$A$1649)), "Invalid", "Ok")</f>
        <v>Ok</v>
      </c>
      <c r="K1698" t="str">
        <f>IF(ISNA(_xlfn.XLOOKUP(H1698,agent_info!$A$2:$A$301, agent_info!$A$2:$A$301)), "Invalid", "Ok")</f>
        <v>Ok</v>
      </c>
    </row>
    <row r="1699" spans="1:11" x14ac:dyDescent="0.3">
      <c r="A1699" s="1" t="s">
        <v>5317</v>
      </c>
      <c r="B1699" s="1" t="s">
        <v>1079</v>
      </c>
      <c r="C1699" s="1" t="s">
        <v>3318</v>
      </c>
      <c r="D1699" s="1">
        <v>499325.67</v>
      </c>
      <c r="E1699" s="1">
        <v>23454.799999999999</v>
      </c>
      <c r="F1699" s="41">
        <v>45984</v>
      </c>
      <c r="G1699" s="41">
        <v>46349</v>
      </c>
      <c r="H1699" s="1" t="s">
        <v>4822</v>
      </c>
      <c r="I1699" s="1" t="s">
        <v>3316</v>
      </c>
      <c r="J1699" t="str">
        <f>IF(ISNA(_xlfn.XLOOKUP(B1699,customer_master!$A$2:$A$1649, customer_master!$A$2:$A$1649)), "Invalid", "Ok")</f>
        <v>Ok</v>
      </c>
      <c r="K1699" t="str">
        <f>IF(ISNA(_xlfn.XLOOKUP(H1699,agent_info!$A$2:$A$301, agent_info!$A$2:$A$301)), "Invalid", "Ok")</f>
        <v>Ok</v>
      </c>
    </row>
    <row r="1700" spans="1:11" x14ac:dyDescent="0.3">
      <c r="A1700" s="1" t="s">
        <v>5318</v>
      </c>
      <c r="B1700" s="1" t="s">
        <v>2651</v>
      </c>
      <c r="C1700" s="1" t="s">
        <v>3326</v>
      </c>
      <c r="D1700" s="1">
        <v>562322.03</v>
      </c>
      <c r="E1700" s="1">
        <v>28089.72</v>
      </c>
      <c r="F1700" s="41">
        <v>46206</v>
      </c>
      <c r="G1700" s="41">
        <v>46571</v>
      </c>
      <c r="H1700" s="1" t="s">
        <v>3653</v>
      </c>
      <c r="I1700" s="1" t="s">
        <v>3320</v>
      </c>
      <c r="J1700" t="str">
        <f>IF(ISNA(_xlfn.XLOOKUP(B1700,customer_master!$A$2:$A$1649, customer_master!$A$2:$A$1649)), "Invalid", "Ok")</f>
        <v>Ok</v>
      </c>
      <c r="K1700" t="str">
        <f>IF(ISNA(_xlfn.XLOOKUP(H1700,agent_info!$A$2:$A$301, agent_info!$A$2:$A$301)), "Invalid", "Ok")</f>
        <v>Ok</v>
      </c>
    </row>
    <row r="1701" spans="1:11" x14ac:dyDescent="0.3">
      <c r="A1701" s="1" t="s">
        <v>5319</v>
      </c>
      <c r="B1701" s="1" t="s">
        <v>393</v>
      </c>
      <c r="C1701" s="1" t="s">
        <v>3314</v>
      </c>
      <c r="D1701" s="1">
        <v>675343.06</v>
      </c>
      <c r="E1701" s="1">
        <v>34745.4</v>
      </c>
      <c r="F1701" s="41">
        <v>44439</v>
      </c>
      <c r="G1701" s="41">
        <v>44804</v>
      </c>
      <c r="H1701" s="1" t="s">
        <v>3629</v>
      </c>
      <c r="I1701" s="1" t="s">
        <v>3324</v>
      </c>
      <c r="J1701" t="str">
        <f>IF(ISNA(_xlfn.XLOOKUP(B1701,customer_master!$A$2:$A$1649, customer_master!$A$2:$A$1649)), "Invalid", "Ok")</f>
        <v>Ok</v>
      </c>
      <c r="K1701" t="str">
        <f>IF(ISNA(_xlfn.XLOOKUP(H1701,agent_info!$A$2:$A$301, agent_info!$A$2:$A$301)), "Invalid", "Ok")</f>
        <v>Ok</v>
      </c>
    </row>
    <row r="1702" spans="1:11" x14ac:dyDescent="0.3">
      <c r="A1702" s="1" t="s">
        <v>5320</v>
      </c>
      <c r="B1702" s="1" t="s">
        <v>1016</v>
      </c>
      <c r="C1702" s="1" t="s">
        <v>3318</v>
      </c>
      <c r="D1702" s="1">
        <v>575713.4</v>
      </c>
      <c r="E1702" s="1">
        <v>30608.26</v>
      </c>
      <c r="F1702" s="41">
        <v>45722</v>
      </c>
      <c r="G1702" s="41">
        <v>46087</v>
      </c>
      <c r="H1702" s="1" t="s">
        <v>4469</v>
      </c>
      <c r="I1702" s="1" t="s">
        <v>3324</v>
      </c>
      <c r="J1702" t="str">
        <f>IF(ISNA(_xlfn.XLOOKUP(B1702,customer_master!$A$2:$A$1649, customer_master!$A$2:$A$1649)), "Invalid", "Ok")</f>
        <v>Ok</v>
      </c>
      <c r="K1702" t="str">
        <f>IF(ISNA(_xlfn.XLOOKUP(H1702,agent_info!$A$2:$A$301, agent_info!$A$2:$A$301)), "Invalid", "Ok")</f>
        <v>Ok</v>
      </c>
    </row>
    <row r="1703" spans="1:11" x14ac:dyDescent="0.3">
      <c r="A1703" s="1" t="s">
        <v>5321</v>
      </c>
      <c r="B1703" s="1" t="s">
        <v>354</v>
      </c>
      <c r="C1703" s="1" t="s">
        <v>3318</v>
      </c>
      <c r="D1703" s="1">
        <v>434542.44</v>
      </c>
      <c r="E1703" s="1">
        <v>22130.36</v>
      </c>
      <c r="F1703" s="41">
        <v>44919</v>
      </c>
      <c r="G1703" s="41">
        <v>45284</v>
      </c>
      <c r="H1703" s="1" t="s">
        <v>4545</v>
      </c>
      <c r="I1703" s="1" t="s">
        <v>3324</v>
      </c>
      <c r="J1703" t="str">
        <f>IF(ISNA(_xlfn.XLOOKUP(B1703,customer_master!$A$2:$A$1649, customer_master!$A$2:$A$1649)), "Invalid", "Ok")</f>
        <v>Ok</v>
      </c>
      <c r="K1703" t="str">
        <f>IF(ISNA(_xlfn.XLOOKUP(H1703,agent_info!$A$2:$A$301, agent_info!$A$2:$A$301)), "Invalid", "Ok")</f>
        <v>Ok</v>
      </c>
    </row>
    <row r="1704" spans="1:11" x14ac:dyDescent="0.3">
      <c r="A1704" s="1" t="s">
        <v>5322</v>
      </c>
      <c r="B1704" s="1" t="s">
        <v>757</v>
      </c>
      <c r="C1704" s="1" t="s">
        <v>3326</v>
      </c>
      <c r="D1704" s="1">
        <v>672576.26</v>
      </c>
      <c r="E1704" s="1">
        <v>34923.08</v>
      </c>
      <c r="F1704" s="41">
        <v>45785</v>
      </c>
      <c r="G1704" s="41">
        <v>46150</v>
      </c>
      <c r="H1704" s="1" t="s">
        <v>3989</v>
      </c>
      <c r="I1704" s="1" t="s">
        <v>3320</v>
      </c>
      <c r="J1704" t="str">
        <f>IF(ISNA(_xlfn.XLOOKUP(B1704,customer_master!$A$2:$A$1649, customer_master!$A$2:$A$1649)), "Invalid", "Ok")</f>
        <v>Ok</v>
      </c>
      <c r="K1704" t="str">
        <f>IF(ISNA(_xlfn.XLOOKUP(H1704,agent_info!$A$2:$A$301, agent_info!$A$2:$A$301)), "Invalid", "Ok")</f>
        <v>Ok</v>
      </c>
    </row>
    <row r="1705" spans="1:11" x14ac:dyDescent="0.3">
      <c r="A1705" s="1" t="s">
        <v>5323</v>
      </c>
      <c r="B1705" s="1" t="s">
        <v>1958</v>
      </c>
      <c r="C1705" s="1" t="s">
        <v>3331</v>
      </c>
      <c r="D1705" s="1">
        <v>424552.08</v>
      </c>
      <c r="E1705" s="1">
        <v>21159.59</v>
      </c>
      <c r="F1705" s="41">
        <v>44955</v>
      </c>
      <c r="G1705" s="41">
        <v>45320</v>
      </c>
      <c r="H1705" s="1" t="s">
        <v>3723</v>
      </c>
      <c r="I1705" s="1" t="s">
        <v>3316</v>
      </c>
      <c r="J1705" t="str">
        <f>IF(ISNA(_xlfn.XLOOKUP(B1705,customer_master!$A$2:$A$1649, customer_master!$A$2:$A$1649)), "Invalid", "Ok")</f>
        <v>Ok</v>
      </c>
      <c r="K1705" t="str">
        <f>IF(ISNA(_xlfn.XLOOKUP(H1705,agent_info!$A$2:$A$301, agent_info!$A$2:$A$301)), "Invalid", "Ok")</f>
        <v>Ok</v>
      </c>
    </row>
    <row r="1706" spans="1:11" x14ac:dyDescent="0.3">
      <c r="A1706" s="1" t="s">
        <v>5324</v>
      </c>
      <c r="B1706" s="1" t="s">
        <v>453</v>
      </c>
      <c r="C1706" s="1" t="s">
        <v>3331</v>
      </c>
      <c r="D1706" s="1">
        <v>751391.58</v>
      </c>
      <c r="E1706" s="1">
        <v>38070.9</v>
      </c>
      <c r="F1706" s="41">
        <v>44672</v>
      </c>
      <c r="G1706" s="41">
        <v>45037</v>
      </c>
      <c r="H1706" s="1" t="s">
        <v>3349</v>
      </c>
      <c r="I1706" s="1" t="s">
        <v>3324</v>
      </c>
      <c r="J1706" t="str">
        <f>IF(ISNA(_xlfn.XLOOKUP(B1706,customer_master!$A$2:$A$1649, customer_master!$A$2:$A$1649)), "Invalid", "Ok")</f>
        <v>Ok</v>
      </c>
      <c r="K1706" t="str">
        <f>IF(ISNA(_xlfn.XLOOKUP(H1706,agent_info!$A$2:$A$301, agent_info!$A$2:$A$301)), "Invalid", "Ok")</f>
        <v>Ok</v>
      </c>
    </row>
    <row r="1707" spans="1:11" x14ac:dyDescent="0.3">
      <c r="A1707" s="1" t="s">
        <v>5325</v>
      </c>
      <c r="B1707" s="1" t="s">
        <v>363</v>
      </c>
      <c r="C1707" s="1" t="s">
        <v>3331</v>
      </c>
      <c r="D1707" s="1">
        <v>550305.01</v>
      </c>
      <c r="E1707" s="1">
        <v>28260.63</v>
      </c>
      <c r="F1707" s="41">
        <v>44480</v>
      </c>
      <c r="G1707" s="41">
        <v>44845</v>
      </c>
      <c r="H1707" s="1" t="s">
        <v>3989</v>
      </c>
      <c r="I1707" s="1" t="s">
        <v>3316</v>
      </c>
      <c r="J1707" t="str">
        <f>IF(ISNA(_xlfn.XLOOKUP(B1707,customer_master!$A$2:$A$1649, customer_master!$A$2:$A$1649)), "Invalid", "Ok")</f>
        <v>Ok</v>
      </c>
      <c r="K1707" t="str">
        <f>IF(ISNA(_xlfn.XLOOKUP(H1707,agent_info!$A$2:$A$301, agent_info!$A$2:$A$301)), "Invalid", "Ok")</f>
        <v>Ok</v>
      </c>
    </row>
    <row r="1708" spans="1:11" x14ac:dyDescent="0.3">
      <c r="A1708" s="1" t="s">
        <v>5326</v>
      </c>
      <c r="B1708" s="1" t="s">
        <v>2738</v>
      </c>
      <c r="C1708" s="1" t="s">
        <v>3318</v>
      </c>
      <c r="D1708" s="1">
        <v>735823.57</v>
      </c>
      <c r="E1708" s="1">
        <v>34851.040000000001</v>
      </c>
      <c r="F1708" s="41">
        <v>44427</v>
      </c>
      <c r="G1708" s="41">
        <v>44792</v>
      </c>
      <c r="H1708" s="1" t="s">
        <v>4586</v>
      </c>
      <c r="I1708" s="1" t="s">
        <v>3316</v>
      </c>
      <c r="J1708" t="str">
        <f>IF(ISNA(_xlfn.XLOOKUP(B1708,customer_master!$A$2:$A$1649, customer_master!$A$2:$A$1649)), "Invalid", "Ok")</f>
        <v>Ok</v>
      </c>
      <c r="K1708" t="str">
        <f>IF(ISNA(_xlfn.XLOOKUP(H1708,agent_info!$A$2:$A$301, agent_info!$A$2:$A$301)), "Invalid", "Ok")</f>
        <v>Ok</v>
      </c>
    </row>
    <row r="1709" spans="1:11" x14ac:dyDescent="0.3">
      <c r="A1709" s="1" t="s">
        <v>5327</v>
      </c>
      <c r="B1709" s="1" t="s">
        <v>427</v>
      </c>
      <c r="C1709" s="1" t="s">
        <v>3334</v>
      </c>
      <c r="D1709" s="1">
        <v>737140.16</v>
      </c>
      <c r="E1709" s="1">
        <v>40056.74</v>
      </c>
      <c r="F1709" s="41">
        <v>44554</v>
      </c>
      <c r="G1709" s="41">
        <v>44919</v>
      </c>
      <c r="H1709" s="1" t="s">
        <v>3481</v>
      </c>
      <c r="I1709" s="1" t="s">
        <v>3316</v>
      </c>
      <c r="J1709" t="str">
        <f>IF(ISNA(_xlfn.XLOOKUP(B1709,customer_master!$A$2:$A$1649, customer_master!$A$2:$A$1649)), "Invalid", "Ok")</f>
        <v>Ok</v>
      </c>
      <c r="K1709" t="str">
        <f>IF(ISNA(_xlfn.XLOOKUP(H1709,agent_info!$A$2:$A$301, agent_info!$A$2:$A$301)), "Invalid", "Ok")</f>
        <v>Ok</v>
      </c>
    </row>
    <row r="1710" spans="1:11" x14ac:dyDescent="0.3">
      <c r="A1710" s="1" t="s">
        <v>5328</v>
      </c>
      <c r="B1710" s="1" t="s">
        <v>2040</v>
      </c>
      <c r="C1710" s="1" t="s">
        <v>3326</v>
      </c>
      <c r="D1710" s="1">
        <v>492193.54</v>
      </c>
      <c r="E1710" s="1">
        <v>23848.45</v>
      </c>
      <c r="F1710" s="41">
        <v>45604</v>
      </c>
      <c r="G1710" s="41">
        <v>45969</v>
      </c>
      <c r="H1710" s="1" t="s">
        <v>3439</v>
      </c>
      <c r="I1710" s="1" t="s">
        <v>3324</v>
      </c>
      <c r="J1710" t="str">
        <f>IF(ISNA(_xlfn.XLOOKUP(B1710,customer_master!$A$2:$A$1649, customer_master!$A$2:$A$1649)), "Invalid", "Ok")</f>
        <v>Ok</v>
      </c>
      <c r="K1710" t="str">
        <f>IF(ISNA(_xlfn.XLOOKUP(H1710,agent_info!$A$2:$A$301, agent_info!$A$2:$A$301)), "Invalid", "Ok")</f>
        <v>Ok</v>
      </c>
    </row>
    <row r="1711" spans="1:11" x14ac:dyDescent="0.3">
      <c r="A1711" s="1" t="s">
        <v>5329</v>
      </c>
      <c r="B1711" s="1" t="s">
        <v>1191</v>
      </c>
      <c r="C1711" s="1" t="s">
        <v>3334</v>
      </c>
      <c r="D1711" s="1">
        <v>693009.74</v>
      </c>
      <c r="E1711" s="1">
        <v>35375.99</v>
      </c>
      <c r="F1711" s="41">
        <v>46004</v>
      </c>
      <c r="G1711" s="41">
        <v>46369</v>
      </c>
      <c r="H1711" s="1" t="s">
        <v>4313</v>
      </c>
      <c r="I1711" s="1" t="s">
        <v>3324</v>
      </c>
      <c r="J1711" t="str">
        <f>IF(ISNA(_xlfn.XLOOKUP(B1711,customer_master!$A$2:$A$1649, customer_master!$A$2:$A$1649)), "Invalid", "Ok")</f>
        <v>Ok</v>
      </c>
      <c r="K1711" t="str">
        <f>IF(ISNA(_xlfn.XLOOKUP(H1711,agent_info!$A$2:$A$301, agent_info!$A$2:$A$301)), "Invalid", "Ok")</f>
        <v>Ok</v>
      </c>
    </row>
    <row r="1712" spans="1:11" x14ac:dyDescent="0.3">
      <c r="A1712" s="1" t="s">
        <v>5330</v>
      </c>
      <c r="B1712" s="1" t="s">
        <v>2977</v>
      </c>
      <c r="C1712" s="1" t="s">
        <v>3318</v>
      </c>
      <c r="D1712" s="1">
        <v>411934.02</v>
      </c>
      <c r="E1712" s="1">
        <v>20847.79</v>
      </c>
      <c r="F1712" s="41">
        <v>45810</v>
      </c>
      <c r="G1712" s="41">
        <v>46175</v>
      </c>
      <c r="H1712" s="1" t="s">
        <v>3815</v>
      </c>
      <c r="I1712" s="1" t="s">
        <v>3316</v>
      </c>
      <c r="J1712" t="str">
        <f>IF(ISNA(_xlfn.XLOOKUP(B1712,customer_master!$A$2:$A$1649, customer_master!$A$2:$A$1649)), "Invalid", "Ok")</f>
        <v>Ok</v>
      </c>
      <c r="K1712" t="str">
        <f>IF(ISNA(_xlfn.XLOOKUP(H1712,agent_info!$A$2:$A$301, agent_info!$A$2:$A$301)), "Invalid", "Ok")</f>
        <v>Ok</v>
      </c>
    </row>
    <row r="1713" spans="1:11" x14ac:dyDescent="0.3">
      <c r="A1713" s="1" t="s">
        <v>5331</v>
      </c>
      <c r="B1713" s="1" t="s">
        <v>2364</v>
      </c>
      <c r="C1713" s="1" t="s">
        <v>3326</v>
      </c>
      <c r="D1713" s="1">
        <v>378956.99</v>
      </c>
      <c r="E1713" s="1">
        <v>20286.88</v>
      </c>
      <c r="F1713" s="41">
        <v>45075</v>
      </c>
      <c r="G1713" s="41">
        <v>45441</v>
      </c>
      <c r="H1713" s="1" t="s">
        <v>3581</v>
      </c>
      <c r="I1713" s="1" t="s">
        <v>3316</v>
      </c>
      <c r="J1713" t="str">
        <f>IF(ISNA(_xlfn.XLOOKUP(B1713,customer_master!$A$2:$A$1649, customer_master!$A$2:$A$1649)), "Invalid", "Ok")</f>
        <v>Ok</v>
      </c>
      <c r="K1713" t="str">
        <f>IF(ISNA(_xlfn.XLOOKUP(H1713,agent_info!$A$2:$A$301, agent_info!$A$2:$A$301)), "Invalid", "Ok")</f>
        <v>Ok</v>
      </c>
    </row>
    <row r="1714" spans="1:11" x14ac:dyDescent="0.3">
      <c r="A1714" s="1" t="s">
        <v>5332</v>
      </c>
      <c r="B1714" s="1" t="s">
        <v>234</v>
      </c>
      <c r="C1714" s="1" t="s">
        <v>3326</v>
      </c>
      <c r="D1714" s="1">
        <v>474584.81</v>
      </c>
      <c r="E1714" s="1">
        <v>21895.47</v>
      </c>
      <c r="F1714" s="41">
        <v>45628</v>
      </c>
      <c r="G1714" s="41">
        <v>45993</v>
      </c>
      <c r="H1714" s="1" t="s">
        <v>3553</v>
      </c>
      <c r="I1714" s="1" t="s">
        <v>3324</v>
      </c>
      <c r="J1714" t="str">
        <f>IF(ISNA(_xlfn.XLOOKUP(B1714,customer_master!$A$2:$A$1649, customer_master!$A$2:$A$1649)), "Invalid", "Ok")</f>
        <v>Ok</v>
      </c>
      <c r="K1714" t="str">
        <f>IF(ISNA(_xlfn.XLOOKUP(H1714,agent_info!$A$2:$A$301, agent_info!$A$2:$A$301)), "Invalid", "Ok")</f>
        <v>Ok</v>
      </c>
    </row>
    <row r="1715" spans="1:11" x14ac:dyDescent="0.3">
      <c r="A1715" s="1" t="s">
        <v>5333</v>
      </c>
      <c r="B1715" s="1" t="s">
        <v>2975</v>
      </c>
      <c r="C1715" s="1" t="s">
        <v>3334</v>
      </c>
      <c r="D1715" s="1">
        <v>619767.26</v>
      </c>
      <c r="E1715" s="1">
        <v>33369.699999999997</v>
      </c>
      <c r="F1715" s="41">
        <v>45227</v>
      </c>
      <c r="G1715" s="41">
        <v>45593</v>
      </c>
      <c r="H1715" s="1" t="s">
        <v>4093</v>
      </c>
      <c r="I1715" s="1" t="s">
        <v>3316</v>
      </c>
      <c r="J1715" t="str">
        <f>IF(ISNA(_xlfn.XLOOKUP(B1715,customer_master!$A$2:$A$1649, customer_master!$A$2:$A$1649)), "Invalid", "Ok")</f>
        <v>Ok</v>
      </c>
      <c r="K1715" t="str">
        <f>IF(ISNA(_xlfn.XLOOKUP(H1715,agent_info!$A$2:$A$301, agent_info!$A$2:$A$301)), "Invalid", "Ok")</f>
        <v>Ok</v>
      </c>
    </row>
    <row r="1716" spans="1:11" x14ac:dyDescent="0.3">
      <c r="A1716" s="1" t="s">
        <v>5334</v>
      </c>
      <c r="B1716" s="1" t="s">
        <v>1404</v>
      </c>
      <c r="C1716" s="1" t="s">
        <v>3326</v>
      </c>
      <c r="D1716" s="1">
        <v>353262.37</v>
      </c>
      <c r="E1716" s="1">
        <v>16380.83</v>
      </c>
      <c r="F1716" s="41">
        <v>44742</v>
      </c>
      <c r="G1716" s="41">
        <v>45107</v>
      </c>
      <c r="H1716" s="1" t="s">
        <v>3457</v>
      </c>
      <c r="I1716" s="1" t="s">
        <v>3316</v>
      </c>
      <c r="J1716" t="str">
        <f>IF(ISNA(_xlfn.XLOOKUP(B1716,customer_master!$A$2:$A$1649, customer_master!$A$2:$A$1649)), "Invalid", "Ok")</f>
        <v>Ok</v>
      </c>
      <c r="K1716" t="str">
        <f>IF(ISNA(_xlfn.XLOOKUP(H1716,agent_info!$A$2:$A$301, agent_info!$A$2:$A$301)), "Invalid", "Ok")</f>
        <v>Ok</v>
      </c>
    </row>
    <row r="1717" spans="1:11" x14ac:dyDescent="0.3">
      <c r="A1717" s="1" t="s">
        <v>5335</v>
      </c>
      <c r="B1717" s="1" t="s">
        <v>1006</v>
      </c>
      <c r="C1717" s="1" t="s">
        <v>3326</v>
      </c>
      <c r="D1717" s="1">
        <v>530311.29</v>
      </c>
      <c r="E1717" s="1">
        <v>24630.47</v>
      </c>
      <c r="F1717" s="41">
        <v>44559</v>
      </c>
      <c r="G1717" s="41">
        <v>44924</v>
      </c>
      <c r="H1717" s="1" t="s">
        <v>4400</v>
      </c>
      <c r="I1717" s="1" t="s">
        <v>3324</v>
      </c>
      <c r="J1717" t="str">
        <f>IF(ISNA(_xlfn.XLOOKUP(B1717,customer_master!$A$2:$A$1649, customer_master!$A$2:$A$1649)), "Invalid", "Ok")</f>
        <v>Ok</v>
      </c>
      <c r="K1717" t="str">
        <f>IF(ISNA(_xlfn.XLOOKUP(H1717,agent_info!$A$2:$A$301, agent_info!$A$2:$A$301)), "Invalid", "Ok")</f>
        <v>Ok</v>
      </c>
    </row>
    <row r="1718" spans="1:11" x14ac:dyDescent="0.3">
      <c r="A1718" s="1" t="s">
        <v>5336</v>
      </c>
      <c r="B1718" s="1" t="s">
        <v>2246</v>
      </c>
      <c r="C1718" s="1" t="s">
        <v>3318</v>
      </c>
      <c r="D1718" s="1">
        <v>746794.53</v>
      </c>
      <c r="E1718" s="1">
        <v>40045.03</v>
      </c>
      <c r="F1718" s="41">
        <v>45629</v>
      </c>
      <c r="G1718" s="41">
        <v>45994</v>
      </c>
      <c r="H1718" s="1" t="s">
        <v>3515</v>
      </c>
      <c r="I1718" s="1" t="s">
        <v>3324</v>
      </c>
      <c r="J1718" t="str">
        <f>IF(ISNA(_xlfn.XLOOKUP(B1718,customer_master!$A$2:$A$1649, customer_master!$A$2:$A$1649)), "Invalid", "Ok")</f>
        <v>Ok</v>
      </c>
      <c r="K1718" t="str">
        <f>IF(ISNA(_xlfn.XLOOKUP(H1718,agent_info!$A$2:$A$301, agent_info!$A$2:$A$301)), "Invalid", "Ok")</f>
        <v>Ok</v>
      </c>
    </row>
    <row r="1719" spans="1:11" x14ac:dyDescent="0.3">
      <c r="A1719" s="1" t="s">
        <v>5337</v>
      </c>
      <c r="B1719" s="1" t="s">
        <v>2402</v>
      </c>
      <c r="C1719" s="1" t="s">
        <v>3331</v>
      </c>
      <c r="D1719" s="1">
        <v>708996.93</v>
      </c>
      <c r="E1719" s="1">
        <v>33727.71</v>
      </c>
      <c r="F1719" s="41">
        <v>45287</v>
      </c>
      <c r="G1719" s="41">
        <v>45653</v>
      </c>
      <c r="H1719" s="1" t="s">
        <v>3824</v>
      </c>
      <c r="I1719" s="1" t="s">
        <v>3316</v>
      </c>
      <c r="J1719" t="str">
        <f>IF(ISNA(_xlfn.XLOOKUP(B1719,customer_master!$A$2:$A$1649, customer_master!$A$2:$A$1649)), "Invalid", "Ok")</f>
        <v>Ok</v>
      </c>
      <c r="K1719" t="str">
        <f>IF(ISNA(_xlfn.XLOOKUP(H1719,agent_info!$A$2:$A$301, agent_info!$A$2:$A$301)), "Invalid", "Ok")</f>
        <v>Ok</v>
      </c>
    </row>
    <row r="1720" spans="1:11" x14ac:dyDescent="0.3">
      <c r="A1720" s="1" t="s">
        <v>5338</v>
      </c>
      <c r="B1720" s="1" t="s">
        <v>1019</v>
      </c>
      <c r="C1720" s="1" t="s">
        <v>3318</v>
      </c>
      <c r="D1720" s="1">
        <v>465873.89</v>
      </c>
      <c r="E1720" s="1">
        <v>23814.48</v>
      </c>
      <c r="F1720" s="41">
        <v>44452</v>
      </c>
      <c r="G1720" s="41">
        <v>44817</v>
      </c>
      <c r="H1720" s="1" t="s">
        <v>3686</v>
      </c>
      <c r="I1720" s="1" t="s">
        <v>3324</v>
      </c>
      <c r="J1720" t="str">
        <f>IF(ISNA(_xlfn.XLOOKUP(B1720,customer_master!$A$2:$A$1649, customer_master!$A$2:$A$1649)), "Invalid", "Ok")</f>
        <v>Ok</v>
      </c>
      <c r="K1720" t="str">
        <f>IF(ISNA(_xlfn.XLOOKUP(H1720,agent_info!$A$2:$A$301, agent_info!$A$2:$A$301)), "Invalid", "Ok")</f>
        <v>Ok</v>
      </c>
    </row>
    <row r="1721" spans="1:11" x14ac:dyDescent="0.3">
      <c r="A1721" s="1" t="s">
        <v>5339</v>
      </c>
      <c r="B1721" s="1" t="s">
        <v>1189</v>
      </c>
      <c r="C1721" s="1" t="s">
        <v>3326</v>
      </c>
      <c r="D1721" s="1">
        <v>534824.06999999995</v>
      </c>
      <c r="E1721" s="1">
        <v>26546.58</v>
      </c>
      <c r="F1721" s="41">
        <v>44176</v>
      </c>
      <c r="G1721" s="41">
        <v>44541</v>
      </c>
      <c r="H1721" s="1" t="s">
        <v>3987</v>
      </c>
      <c r="I1721" s="1" t="s">
        <v>3324</v>
      </c>
      <c r="J1721" t="str">
        <f>IF(ISNA(_xlfn.XLOOKUP(B1721,customer_master!$A$2:$A$1649, customer_master!$A$2:$A$1649)), "Invalid", "Ok")</f>
        <v>Ok</v>
      </c>
      <c r="K1721" t="str">
        <f>IF(ISNA(_xlfn.XLOOKUP(H1721,agent_info!$A$2:$A$301, agent_info!$A$2:$A$301)), "Invalid", "Ok")</f>
        <v>Ok</v>
      </c>
    </row>
    <row r="1722" spans="1:11" x14ac:dyDescent="0.3">
      <c r="A1722" s="1" t="s">
        <v>5340</v>
      </c>
      <c r="B1722" s="1" t="s">
        <v>554</v>
      </c>
      <c r="C1722" s="1" t="s">
        <v>3334</v>
      </c>
      <c r="D1722" s="1">
        <v>450992.38</v>
      </c>
      <c r="E1722" s="1">
        <v>24508.13</v>
      </c>
      <c r="F1722" s="41">
        <v>44599</v>
      </c>
      <c r="G1722" s="41">
        <v>44964</v>
      </c>
      <c r="H1722" s="1" t="s">
        <v>3433</v>
      </c>
      <c r="I1722" s="1" t="s">
        <v>3324</v>
      </c>
      <c r="J1722" t="str">
        <f>IF(ISNA(_xlfn.XLOOKUP(B1722,customer_master!$A$2:$A$1649, customer_master!$A$2:$A$1649)), "Invalid", "Ok")</f>
        <v>Ok</v>
      </c>
      <c r="K1722" t="str">
        <f>IF(ISNA(_xlfn.XLOOKUP(H1722,agent_info!$A$2:$A$301, agent_info!$A$2:$A$301)), "Invalid", "Ok")</f>
        <v>Ok</v>
      </c>
    </row>
    <row r="1723" spans="1:11" x14ac:dyDescent="0.3">
      <c r="A1723" s="1" t="s">
        <v>5341</v>
      </c>
      <c r="B1723" s="1" t="s">
        <v>1982</v>
      </c>
      <c r="C1723" s="1" t="s">
        <v>3326</v>
      </c>
      <c r="D1723" s="1">
        <v>442141.05</v>
      </c>
      <c r="E1723" s="1">
        <v>23354.26</v>
      </c>
      <c r="F1723" s="41">
        <v>44162</v>
      </c>
      <c r="G1723" s="41">
        <v>44527</v>
      </c>
      <c r="H1723" s="1" t="s">
        <v>4639</v>
      </c>
      <c r="I1723" s="1" t="s">
        <v>3316</v>
      </c>
      <c r="J1723" t="str">
        <f>IF(ISNA(_xlfn.XLOOKUP(B1723,customer_master!$A$2:$A$1649, customer_master!$A$2:$A$1649)), "Invalid", "Ok")</f>
        <v>Ok</v>
      </c>
      <c r="K1723" t="str">
        <f>IF(ISNA(_xlfn.XLOOKUP(H1723,agent_info!$A$2:$A$301, agent_info!$A$2:$A$301)), "Invalid", "Ok")</f>
        <v>Ok</v>
      </c>
    </row>
    <row r="1724" spans="1:11" x14ac:dyDescent="0.3">
      <c r="A1724" s="1" t="s">
        <v>5342</v>
      </c>
      <c r="B1724" s="1" t="s">
        <v>3174</v>
      </c>
      <c r="C1724" s="1" t="s">
        <v>3331</v>
      </c>
      <c r="D1724" s="1">
        <v>733624.82</v>
      </c>
      <c r="E1724" s="1">
        <v>35470.71</v>
      </c>
      <c r="F1724" s="41">
        <v>44401</v>
      </c>
      <c r="G1724" s="41">
        <v>44766</v>
      </c>
      <c r="H1724" s="1" t="s">
        <v>3455</v>
      </c>
      <c r="I1724" s="1" t="s">
        <v>3316</v>
      </c>
      <c r="J1724" t="str">
        <f>IF(ISNA(_xlfn.XLOOKUP(B1724,customer_master!$A$2:$A$1649, customer_master!$A$2:$A$1649)), "Invalid", "Ok")</f>
        <v>Ok</v>
      </c>
      <c r="K1724" t="str">
        <f>IF(ISNA(_xlfn.XLOOKUP(H1724,agent_info!$A$2:$A$301, agent_info!$A$2:$A$301)), "Invalid", "Ok")</f>
        <v>Ok</v>
      </c>
    </row>
    <row r="1725" spans="1:11" x14ac:dyDescent="0.3">
      <c r="A1725" s="1" t="s">
        <v>5343</v>
      </c>
      <c r="B1725" s="1" t="s">
        <v>1410</v>
      </c>
      <c r="C1725" s="1" t="s">
        <v>3334</v>
      </c>
      <c r="D1725" s="1">
        <v>769144.58</v>
      </c>
      <c r="E1725" s="1">
        <v>40868.04</v>
      </c>
      <c r="F1725" s="41">
        <v>46013</v>
      </c>
      <c r="G1725" s="41">
        <v>46378</v>
      </c>
      <c r="H1725" s="1" t="s">
        <v>3949</v>
      </c>
      <c r="I1725" s="1" t="s">
        <v>3324</v>
      </c>
      <c r="J1725" t="str">
        <f>IF(ISNA(_xlfn.XLOOKUP(B1725,customer_master!$A$2:$A$1649, customer_master!$A$2:$A$1649)), "Invalid", "Ok")</f>
        <v>Ok</v>
      </c>
      <c r="K1725" t="str">
        <f>IF(ISNA(_xlfn.XLOOKUP(H1725,agent_info!$A$2:$A$301, agent_info!$A$2:$A$301)), "Invalid", "Ok")</f>
        <v>Ok</v>
      </c>
    </row>
    <row r="1726" spans="1:11" x14ac:dyDescent="0.3">
      <c r="A1726" s="1" t="s">
        <v>5344</v>
      </c>
      <c r="B1726" s="1" t="s">
        <v>3297</v>
      </c>
      <c r="C1726" s="1" t="s">
        <v>3334</v>
      </c>
      <c r="D1726" s="1">
        <v>478385.98</v>
      </c>
      <c r="E1726" s="1">
        <v>22607.51</v>
      </c>
      <c r="F1726" s="41">
        <v>46109</v>
      </c>
      <c r="G1726" s="41">
        <v>46474</v>
      </c>
      <c r="H1726" s="1" t="s">
        <v>4641</v>
      </c>
      <c r="I1726" s="1" t="s">
        <v>3316</v>
      </c>
      <c r="J1726" t="str">
        <f>IF(ISNA(_xlfn.XLOOKUP(B1726,customer_master!$A$2:$A$1649, customer_master!$A$2:$A$1649)), "Invalid", "Ok")</f>
        <v>Ok</v>
      </c>
      <c r="K1726" t="str">
        <f>IF(ISNA(_xlfn.XLOOKUP(H1726,agent_info!$A$2:$A$301, agent_info!$A$2:$A$301)), "Invalid", "Ok")</f>
        <v>Ok</v>
      </c>
    </row>
    <row r="1727" spans="1:11" x14ac:dyDescent="0.3">
      <c r="A1727" s="1" t="s">
        <v>5345</v>
      </c>
      <c r="B1727" s="1" t="s">
        <v>626</v>
      </c>
      <c r="C1727" s="1" t="s">
        <v>3314</v>
      </c>
      <c r="D1727" s="1">
        <v>466646.13</v>
      </c>
      <c r="E1727" s="1">
        <v>23871.62</v>
      </c>
      <c r="F1727" s="41">
        <v>44669</v>
      </c>
      <c r="G1727" s="41">
        <v>45034</v>
      </c>
      <c r="H1727" s="1" t="s">
        <v>3894</v>
      </c>
      <c r="I1727" s="1" t="s">
        <v>3324</v>
      </c>
      <c r="J1727" t="str">
        <f>IF(ISNA(_xlfn.XLOOKUP(B1727,customer_master!$A$2:$A$1649, customer_master!$A$2:$A$1649)), "Invalid", "Ok")</f>
        <v>Ok</v>
      </c>
      <c r="K1727" t="str">
        <f>IF(ISNA(_xlfn.XLOOKUP(H1727,agent_info!$A$2:$A$301, agent_info!$A$2:$A$301)), "Invalid", "Ok")</f>
        <v>Ok</v>
      </c>
    </row>
    <row r="1728" spans="1:11" x14ac:dyDescent="0.3">
      <c r="A1728" s="1" t="s">
        <v>5346</v>
      </c>
      <c r="B1728" s="1" t="s">
        <v>2641</v>
      </c>
      <c r="C1728" s="1" t="s">
        <v>3318</v>
      </c>
      <c r="D1728" s="1">
        <v>523098.82</v>
      </c>
      <c r="E1728" s="1">
        <v>27470.97</v>
      </c>
      <c r="F1728" s="41">
        <v>45810</v>
      </c>
      <c r="G1728" s="41">
        <v>46175</v>
      </c>
      <c r="H1728" s="1" t="s">
        <v>3406</v>
      </c>
      <c r="I1728" s="1" t="s">
        <v>3316</v>
      </c>
      <c r="J1728" t="str">
        <f>IF(ISNA(_xlfn.XLOOKUP(B1728,customer_master!$A$2:$A$1649, customer_master!$A$2:$A$1649)), "Invalid", "Ok")</f>
        <v>Ok</v>
      </c>
      <c r="K1728" t="str">
        <f>IF(ISNA(_xlfn.XLOOKUP(H1728,agent_info!$A$2:$A$301, agent_info!$A$2:$A$301)), "Invalid", "Ok")</f>
        <v>Ok</v>
      </c>
    </row>
    <row r="1729" spans="1:11" x14ac:dyDescent="0.3">
      <c r="A1729" s="1" t="s">
        <v>5347</v>
      </c>
      <c r="B1729" s="1" t="s">
        <v>3086</v>
      </c>
      <c r="C1729" s="1" t="s">
        <v>3331</v>
      </c>
      <c r="D1729" s="1">
        <v>551594.23</v>
      </c>
      <c r="E1729" s="1">
        <v>28700.32</v>
      </c>
      <c r="F1729" s="41">
        <v>45485</v>
      </c>
      <c r="G1729" s="41">
        <v>45850</v>
      </c>
      <c r="H1729" s="1" t="s">
        <v>4106</v>
      </c>
      <c r="I1729" s="1" t="s">
        <v>3316</v>
      </c>
      <c r="J1729" t="str">
        <f>IF(ISNA(_xlfn.XLOOKUP(B1729,customer_master!$A$2:$A$1649, customer_master!$A$2:$A$1649)), "Invalid", "Ok")</f>
        <v>Ok</v>
      </c>
      <c r="K1729" t="str">
        <f>IF(ISNA(_xlfn.XLOOKUP(H1729,agent_info!$A$2:$A$301, agent_info!$A$2:$A$301)), "Invalid", "Ok")</f>
        <v>Ok</v>
      </c>
    </row>
    <row r="1730" spans="1:11" x14ac:dyDescent="0.3">
      <c r="A1730" s="1" t="s">
        <v>5348</v>
      </c>
      <c r="B1730" s="1" t="s">
        <v>2300</v>
      </c>
      <c r="C1730" s="1" t="s">
        <v>3334</v>
      </c>
      <c r="D1730" s="1">
        <v>419360.74</v>
      </c>
      <c r="E1730" s="1">
        <v>21625.1</v>
      </c>
      <c r="F1730" s="41">
        <v>44622</v>
      </c>
      <c r="G1730" s="41">
        <v>44987</v>
      </c>
      <c r="H1730" s="1" t="s">
        <v>4106</v>
      </c>
      <c r="I1730" s="1" t="s">
        <v>3324</v>
      </c>
      <c r="J1730" t="str">
        <f>IF(ISNA(_xlfn.XLOOKUP(B1730,customer_master!$A$2:$A$1649, customer_master!$A$2:$A$1649)), "Invalid", "Ok")</f>
        <v>Ok</v>
      </c>
      <c r="K1730" t="str">
        <f>IF(ISNA(_xlfn.XLOOKUP(H1730,agent_info!$A$2:$A$301, agent_info!$A$2:$A$301)), "Invalid", "Ok")</f>
        <v>Ok</v>
      </c>
    </row>
    <row r="1731" spans="1:11" x14ac:dyDescent="0.3">
      <c r="A1731" s="1" t="s">
        <v>5349</v>
      </c>
      <c r="B1731" s="1" t="s">
        <v>391</v>
      </c>
      <c r="C1731" s="1" t="s">
        <v>3314</v>
      </c>
      <c r="D1731" s="1">
        <v>441867.84</v>
      </c>
      <c r="E1731" s="1">
        <v>23551.42</v>
      </c>
      <c r="F1731" s="41">
        <v>45881</v>
      </c>
      <c r="G1731" s="41">
        <v>46246</v>
      </c>
      <c r="H1731" s="1" t="s">
        <v>3459</v>
      </c>
      <c r="I1731" s="1" t="s">
        <v>3316</v>
      </c>
      <c r="J1731" t="str">
        <f>IF(ISNA(_xlfn.XLOOKUP(B1731,customer_master!$A$2:$A$1649, customer_master!$A$2:$A$1649)), "Invalid", "Ok")</f>
        <v>Ok</v>
      </c>
      <c r="K1731" t="str">
        <f>IF(ISNA(_xlfn.XLOOKUP(H1731,agent_info!$A$2:$A$301, agent_info!$A$2:$A$301)), "Invalid", "Ok")</f>
        <v>Ok</v>
      </c>
    </row>
    <row r="1732" spans="1:11" x14ac:dyDescent="0.3">
      <c r="A1732" s="1" t="s">
        <v>5350</v>
      </c>
      <c r="B1732" s="1" t="s">
        <v>1107</v>
      </c>
      <c r="C1732" s="1" t="s">
        <v>3331</v>
      </c>
      <c r="D1732" s="1">
        <v>543571.6</v>
      </c>
      <c r="E1732" s="1">
        <v>27484.11</v>
      </c>
      <c r="F1732" s="41">
        <v>45248</v>
      </c>
      <c r="G1732" s="41">
        <v>45614</v>
      </c>
      <c r="H1732" s="1" t="s">
        <v>3487</v>
      </c>
      <c r="I1732" s="1" t="s">
        <v>3324</v>
      </c>
      <c r="J1732" t="str">
        <f>IF(ISNA(_xlfn.XLOOKUP(B1732,customer_master!$A$2:$A$1649, customer_master!$A$2:$A$1649)), "Invalid", "Ok")</f>
        <v>Ok</v>
      </c>
      <c r="K1732" t="str">
        <f>IF(ISNA(_xlfn.XLOOKUP(H1732,agent_info!$A$2:$A$301, agent_info!$A$2:$A$301)), "Invalid", "Ok")</f>
        <v>Ok</v>
      </c>
    </row>
    <row r="1733" spans="1:11" x14ac:dyDescent="0.3">
      <c r="A1733" s="1" t="s">
        <v>5351</v>
      </c>
      <c r="B1733" s="1" t="s">
        <v>320</v>
      </c>
      <c r="C1733" s="1" t="s">
        <v>3318</v>
      </c>
      <c r="D1733" s="1">
        <v>466988.97</v>
      </c>
      <c r="E1733" s="1">
        <v>25349.79</v>
      </c>
      <c r="F1733" s="41">
        <v>44080</v>
      </c>
      <c r="G1733" s="41">
        <v>44445</v>
      </c>
      <c r="H1733" s="1" t="s">
        <v>3698</v>
      </c>
      <c r="I1733" s="1" t="s">
        <v>3316</v>
      </c>
      <c r="J1733" t="str">
        <f>IF(ISNA(_xlfn.XLOOKUP(B1733,customer_master!$A$2:$A$1649, customer_master!$A$2:$A$1649)), "Invalid", "Ok")</f>
        <v>Ok</v>
      </c>
      <c r="K1733" t="str">
        <f>IF(ISNA(_xlfn.XLOOKUP(H1733,agent_info!$A$2:$A$301, agent_info!$A$2:$A$301)), "Invalid", "Ok")</f>
        <v>Ok</v>
      </c>
    </row>
    <row r="1734" spans="1:11" x14ac:dyDescent="0.3">
      <c r="A1734" s="1" t="s">
        <v>5352</v>
      </c>
      <c r="B1734" s="1" t="s">
        <v>2014</v>
      </c>
      <c r="C1734" s="1" t="s">
        <v>3318</v>
      </c>
      <c r="D1734" s="1">
        <v>697385.34</v>
      </c>
      <c r="E1734" s="1">
        <v>32392.22</v>
      </c>
      <c r="F1734" s="41">
        <v>44838</v>
      </c>
      <c r="G1734" s="41">
        <v>45203</v>
      </c>
      <c r="H1734" s="1" t="s">
        <v>3422</v>
      </c>
      <c r="I1734" s="1" t="s">
        <v>3324</v>
      </c>
      <c r="J1734" t="str">
        <f>IF(ISNA(_xlfn.XLOOKUP(B1734,customer_master!$A$2:$A$1649, customer_master!$A$2:$A$1649)), "Invalid", "Ok")</f>
        <v>Ok</v>
      </c>
      <c r="K1734" t="str">
        <f>IF(ISNA(_xlfn.XLOOKUP(H1734,agent_info!$A$2:$A$301, agent_info!$A$2:$A$301)), "Invalid", "Ok")</f>
        <v>Ok</v>
      </c>
    </row>
    <row r="1735" spans="1:11" x14ac:dyDescent="0.3">
      <c r="A1735" s="1" t="s">
        <v>5353</v>
      </c>
      <c r="B1735" s="1" t="s">
        <v>3301</v>
      </c>
      <c r="C1735" s="1" t="s">
        <v>3331</v>
      </c>
      <c r="D1735" s="1">
        <v>668215.01</v>
      </c>
      <c r="E1735" s="1">
        <v>32446.57</v>
      </c>
      <c r="F1735" s="41">
        <v>45403</v>
      </c>
      <c r="G1735" s="41">
        <v>45768</v>
      </c>
      <c r="H1735" s="1" t="s">
        <v>3470</v>
      </c>
      <c r="I1735" s="1" t="s">
        <v>3324</v>
      </c>
      <c r="J1735" t="str">
        <f>IF(ISNA(_xlfn.XLOOKUP(B1735,customer_master!$A$2:$A$1649, customer_master!$A$2:$A$1649)), "Invalid", "Ok")</f>
        <v>Ok</v>
      </c>
      <c r="K1735" t="str">
        <f>IF(ISNA(_xlfn.XLOOKUP(H1735,agent_info!$A$2:$A$301, agent_info!$A$2:$A$301)), "Invalid", "Ok")</f>
        <v>Ok</v>
      </c>
    </row>
    <row r="1736" spans="1:11" x14ac:dyDescent="0.3">
      <c r="A1736" s="1" t="s">
        <v>5354</v>
      </c>
      <c r="B1736" s="1" t="s">
        <v>1271</v>
      </c>
      <c r="C1736" s="1" t="s">
        <v>3326</v>
      </c>
      <c r="D1736" s="1">
        <v>537718.44999999995</v>
      </c>
      <c r="E1736" s="1">
        <v>28407.62</v>
      </c>
      <c r="F1736" s="41">
        <v>44886</v>
      </c>
      <c r="G1736" s="41">
        <v>45251</v>
      </c>
      <c r="H1736" s="1" t="s">
        <v>4052</v>
      </c>
      <c r="I1736" s="1" t="s">
        <v>3316</v>
      </c>
      <c r="J1736" t="str">
        <f>IF(ISNA(_xlfn.XLOOKUP(B1736,customer_master!$A$2:$A$1649, customer_master!$A$2:$A$1649)), "Invalid", "Ok")</f>
        <v>Ok</v>
      </c>
      <c r="K1736" t="str">
        <f>IF(ISNA(_xlfn.XLOOKUP(H1736,agent_info!$A$2:$A$301, agent_info!$A$2:$A$301)), "Invalid", "Ok")</f>
        <v>Ok</v>
      </c>
    </row>
    <row r="1737" spans="1:11" x14ac:dyDescent="0.3">
      <c r="A1737" s="1" t="s">
        <v>5355</v>
      </c>
      <c r="B1737" s="1" t="s">
        <v>576</v>
      </c>
      <c r="C1737" s="1" t="s">
        <v>3334</v>
      </c>
      <c r="D1737" s="1">
        <v>551562.29</v>
      </c>
      <c r="E1737" s="1">
        <v>26519.42</v>
      </c>
      <c r="F1737" s="41">
        <v>44259</v>
      </c>
      <c r="G1737" s="41">
        <v>44624</v>
      </c>
      <c r="H1737" s="1" t="s">
        <v>3801</v>
      </c>
      <c r="I1737" s="1" t="s">
        <v>3324</v>
      </c>
      <c r="J1737" t="str">
        <f>IF(ISNA(_xlfn.XLOOKUP(B1737,customer_master!$A$2:$A$1649, customer_master!$A$2:$A$1649)), "Invalid", "Ok")</f>
        <v>Ok</v>
      </c>
      <c r="K1737" t="str">
        <f>IF(ISNA(_xlfn.XLOOKUP(H1737,agent_info!$A$2:$A$301, agent_info!$A$2:$A$301)), "Invalid", "Ok")</f>
        <v>Ok</v>
      </c>
    </row>
    <row r="1738" spans="1:11" x14ac:dyDescent="0.3">
      <c r="A1738" s="1" t="s">
        <v>5356</v>
      </c>
      <c r="B1738" s="1" t="s">
        <v>913</v>
      </c>
      <c r="C1738" s="1" t="s">
        <v>3331</v>
      </c>
      <c r="D1738" s="1">
        <v>698521.85</v>
      </c>
      <c r="E1738" s="1">
        <v>34527.58</v>
      </c>
      <c r="F1738" s="41">
        <v>45623</v>
      </c>
      <c r="G1738" s="41">
        <v>45988</v>
      </c>
      <c r="H1738" s="1" t="s">
        <v>4033</v>
      </c>
      <c r="I1738" s="1" t="s">
        <v>3324</v>
      </c>
      <c r="J1738" t="str">
        <f>IF(ISNA(_xlfn.XLOOKUP(B1738,customer_master!$A$2:$A$1649, customer_master!$A$2:$A$1649)), "Invalid", "Ok")</f>
        <v>Ok</v>
      </c>
      <c r="K1738" t="str">
        <f>IF(ISNA(_xlfn.XLOOKUP(H1738,agent_info!$A$2:$A$301, agent_info!$A$2:$A$301)), "Invalid", "Ok")</f>
        <v>Ok</v>
      </c>
    </row>
    <row r="1739" spans="1:11" x14ac:dyDescent="0.3">
      <c r="A1739" s="1" t="s">
        <v>5357</v>
      </c>
      <c r="B1739" s="1" t="s">
        <v>1907</v>
      </c>
      <c r="C1739" s="1" t="s">
        <v>3318</v>
      </c>
      <c r="D1739" s="1">
        <v>440746.23999999999</v>
      </c>
      <c r="E1739" s="1">
        <v>23240.02</v>
      </c>
      <c r="F1739" s="41">
        <v>45281</v>
      </c>
      <c r="G1739" s="41">
        <v>45647</v>
      </c>
      <c r="H1739" s="1" t="s">
        <v>4548</v>
      </c>
      <c r="I1739" s="1" t="s">
        <v>3316</v>
      </c>
      <c r="J1739" t="str">
        <f>IF(ISNA(_xlfn.XLOOKUP(B1739,customer_master!$A$2:$A$1649, customer_master!$A$2:$A$1649)), "Invalid", "Ok")</f>
        <v>Ok</v>
      </c>
      <c r="K1739" t="str">
        <f>IF(ISNA(_xlfn.XLOOKUP(H1739,agent_info!$A$2:$A$301, agent_info!$A$2:$A$301)), "Invalid", "Ok")</f>
        <v>Ok</v>
      </c>
    </row>
    <row r="1740" spans="1:11" x14ac:dyDescent="0.3">
      <c r="A1740" s="1" t="s">
        <v>5358</v>
      </c>
      <c r="B1740" s="1" t="s">
        <v>1901</v>
      </c>
      <c r="C1740" s="1" t="s">
        <v>3331</v>
      </c>
      <c r="D1740" s="1">
        <v>720038.47</v>
      </c>
      <c r="E1740" s="1">
        <v>36279.64</v>
      </c>
      <c r="F1740" s="41">
        <v>45659</v>
      </c>
      <c r="G1740" s="41">
        <v>46024</v>
      </c>
      <c r="H1740" s="1" t="s">
        <v>3655</v>
      </c>
      <c r="I1740" s="1" t="s">
        <v>3324</v>
      </c>
      <c r="J1740" t="str">
        <f>IF(ISNA(_xlfn.XLOOKUP(B1740,customer_master!$A$2:$A$1649, customer_master!$A$2:$A$1649)), "Invalid", "Ok")</f>
        <v>Ok</v>
      </c>
      <c r="K1740" t="str">
        <f>IF(ISNA(_xlfn.XLOOKUP(H1740,agent_info!$A$2:$A$301, agent_info!$A$2:$A$301)), "Invalid", "Ok")</f>
        <v>Ok</v>
      </c>
    </row>
    <row r="1741" spans="1:11" x14ac:dyDescent="0.3">
      <c r="A1741" s="1" t="s">
        <v>5359</v>
      </c>
      <c r="B1741" s="1" t="s">
        <v>807</v>
      </c>
      <c r="C1741" s="1" t="s">
        <v>3318</v>
      </c>
      <c r="D1741" s="1">
        <v>396551.25</v>
      </c>
      <c r="E1741" s="1">
        <v>18588.810000000001</v>
      </c>
      <c r="F1741" s="41">
        <v>44972</v>
      </c>
      <c r="G1741" s="41">
        <v>45337</v>
      </c>
      <c r="H1741" s="1" t="s">
        <v>3603</v>
      </c>
      <c r="I1741" s="1" t="s">
        <v>3324</v>
      </c>
      <c r="J1741" t="str">
        <f>IF(ISNA(_xlfn.XLOOKUP(B1741,customer_master!$A$2:$A$1649, customer_master!$A$2:$A$1649)), "Invalid", "Ok")</f>
        <v>Ok</v>
      </c>
      <c r="K1741" t="str">
        <f>IF(ISNA(_xlfn.XLOOKUP(H1741,agent_info!$A$2:$A$301, agent_info!$A$2:$A$301)), "Invalid", "Ok")</f>
        <v>Ok</v>
      </c>
    </row>
    <row r="1742" spans="1:11" x14ac:dyDescent="0.3">
      <c r="A1742" s="1" t="s">
        <v>5360</v>
      </c>
      <c r="B1742" s="1" t="s">
        <v>2498</v>
      </c>
      <c r="C1742" s="1" t="s">
        <v>3326</v>
      </c>
      <c r="D1742" s="1">
        <v>673188.06</v>
      </c>
      <c r="E1742" s="1">
        <v>31470.45</v>
      </c>
      <c r="F1742" s="41">
        <v>45417</v>
      </c>
      <c r="G1742" s="41">
        <v>45782</v>
      </c>
      <c r="H1742" s="1" t="s">
        <v>3522</v>
      </c>
      <c r="I1742" s="1" t="s">
        <v>3324</v>
      </c>
      <c r="J1742" t="str">
        <f>IF(ISNA(_xlfn.XLOOKUP(B1742,customer_master!$A$2:$A$1649, customer_master!$A$2:$A$1649)), "Invalid", "Ok")</f>
        <v>Ok</v>
      </c>
      <c r="K1742" t="str">
        <f>IF(ISNA(_xlfn.XLOOKUP(H1742,agent_info!$A$2:$A$301, agent_info!$A$2:$A$301)), "Invalid", "Ok")</f>
        <v>Ok</v>
      </c>
    </row>
    <row r="1743" spans="1:11" x14ac:dyDescent="0.3">
      <c r="A1743" s="1" t="s">
        <v>5361</v>
      </c>
      <c r="B1743" s="1" t="s">
        <v>324</v>
      </c>
      <c r="C1743" s="1" t="s">
        <v>3331</v>
      </c>
      <c r="D1743" s="1">
        <v>434456.03</v>
      </c>
      <c r="E1743" s="1">
        <v>20859.240000000002</v>
      </c>
      <c r="F1743" s="41">
        <v>44788</v>
      </c>
      <c r="G1743" s="41">
        <v>45153</v>
      </c>
      <c r="H1743" s="1" t="s">
        <v>4240</v>
      </c>
      <c r="I1743" s="1" t="s">
        <v>3316</v>
      </c>
      <c r="J1743" t="str">
        <f>IF(ISNA(_xlfn.XLOOKUP(B1743,customer_master!$A$2:$A$1649, customer_master!$A$2:$A$1649)), "Invalid", "Ok")</f>
        <v>Ok</v>
      </c>
      <c r="K1743" t="str">
        <f>IF(ISNA(_xlfn.XLOOKUP(H1743,agent_info!$A$2:$A$301, agent_info!$A$2:$A$301)), "Invalid", "Ok")</f>
        <v>Ok</v>
      </c>
    </row>
    <row r="1744" spans="1:11" x14ac:dyDescent="0.3">
      <c r="A1744" s="1" t="s">
        <v>5362</v>
      </c>
      <c r="B1744" s="1" t="s">
        <v>2101</v>
      </c>
      <c r="C1744" s="1" t="s">
        <v>3331</v>
      </c>
      <c r="D1744" s="1">
        <v>691315.79</v>
      </c>
      <c r="E1744" s="1">
        <v>33203.980000000003</v>
      </c>
      <c r="F1744" s="41">
        <v>44202</v>
      </c>
      <c r="G1744" s="41">
        <v>44567</v>
      </c>
      <c r="H1744" s="1" t="s">
        <v>4052</v>
      </c>
      <c r="I1744" s="1" t="s">
        <v>3316</v>
      </c>
      <c r="J1744" t="str">
        <f>IF(ISNA(_xlfn.XLOOKUP(B1744,customer_master!$A$2:$A$1649, customer_master!$A$2:$A$1649)), "Invalid", "Ok")</f>
        <v>Ok</v>
      </c>
      <c r="K1744" t="str">
        <f>IF(ISNA(_xlfn.XLOOKUP(H1744,agent_info!$A$2:$A$301, agent_info!$A$2:$A$301)), "Invalid", "Ok")</f>
        <v>Ok</v>
      </c>
    </row>
    <row r="1745" spans="1:11" x14ac:dyDescent="0.3">
      <c r="A1745" s="1" t="s">
        <v>5363</v>
      </c>
      <c r="B1745" s="1" t="s">
        <v>1437</v>
      </c>
      <c r="C1745" s="1" t="s">
        <v>3334</v>
      </c>
      <c r="D1745" s="1">
        <v>391947.36</v>
      </c>
      <c r="E1745" s="1">
        <v>18173.32</v>
      </c>
      <c r="F1745" s="41">
        <v>45865</v>
      </c>
      <c r="G1745" s="41">
        <v>46230</v>
      </c>
      <c r="H1745" s="1" t="s">
        <v>4173</v>
      </c>
      <c r="I1745" s="1" t="s">
        <v>3324</v>
      </c>
      <c r="J1745" t="str">
        <f>IF(ISNA(_xlfn.XLOOKUP(B1745,customer_master!$A$2:$A$1649, customer_master!$A$2:$A$1649)), "Invalid", "Ok")</f>
        <v>Ok</v>
      </c>
      <c r="K1745" t="str">
        <f>IF(ISNA(_xlfn.XLOOKUP(H1745,agent_info!$A$2:$A$301, agent_info!$A$2:$A$301)), "Invalid", "Ok")</f>
        <v>Ok</v>
      </c>
    </row>
    <row r="1746" spans="1:11" x14ac:dyDescent="0.3">
      <c r="A1746" s="1" t="s">
        <v>5364</v>
      </c>
      <c r="B1746" s="1" t="s">
        <v>457</v>
      </c>
      <c r="C1746" s="1" t="s">
        <v>3331</v>
      </c>
      <c r="D1746" s="1">
        <v>692452.32</v>
      </c>
      <c r="E1746" s="1">
        <v>36939.980000000003</v>
      </c>
      <c r="F1746" s="41">
        <v>45883</v>
      </c>
      <c r="G1746" s="41">
        <v>46248</v>
      </c>
      <c r="H1746" s="1" t="s">
        <v>3427</v>
      </c>
      <c r="I1746" s="1" t="s">
        <v>3316</v>
      </c>
      <c r="J1746" t="str">
        <f>IF(ISNA(_xlfn.XLOOKUP(B1746,customer_master!$A$2:$A$1649, customer_master!$A$2:$A$1649)), "Invalid", "Ok")</f>
        <v>Ok</v>
      </c>
      <c r="K1746" t="str">
        <f>IF(ISNA(_xlfn.XLOOKUP(H1746,agent_info!$A$2:$A$301, agent_info!$A$2:$A$301)), "Invalid", "Ok")</f>
        <v>Ok</v>
      </c>
    </row>
    <row r="1747" spans="1:11" x14ac:dyDescent="0.3">
      <c r="A1747" s="1" t="s">
        <v>5365</v>
      </c>
      <c r="B1747" s="1" t="s">
        <v>2135</v>
      </c>
      <c r="C1747" s="1" t="s">
        <v>3334</v>
      </c>
      <c r="D1747" s="1">
        <v>609867.25</v>
      </c>
      <c r="E1747" s="1">
        <v>29167.67</v>
      </c>
      <c r="F1747" s="41">
        <v>44557</v>
      </c>
      <c r="G1747" s="41">
        <v>44922</v>
      </c>
      <c r="H1747" s="1" t="s">
        <v>3550</v>
      </c>
      <c r="I1747" s="1" t="s">
        <v>3324</v>
      </c>
      <c r="J1747" t="str">
        <f>IF(ISNA(_xlfn.XLOOKUP(B1747,customer_master!$A$2:$A$1649, customer_master!$A$2:$A$1649)), "Invalid", "Ok")</f>
        <v>Ok</v>
      </c>
      <c r="K1747" t="str">
        <f>IF(ISNA(_xlfn.XLOOKUP(H1747,agent_info!$A$2:$A$301, agent_info!$A$2:$A$301)), "Invalid", "Ok")</f>
        <v>Ok</v>
      </c>
    </row>
    <row r="1748" spans="1:11" x14ac:dyDescent="0.3">
      <c r="A1748" s="1" t="s">
        <v>5366</v>
      </c>
      <c r="B1748" s="1" t="s">
        <v>2248</v>
      </c>
      <c r="C1748" s="1" t="s">
        <v>3326</v>
      </c>
      <c r="D1748" s="1">
        <v>356661.99</v>
      </c>
      <c r="E1748" s="1">
        <v>18911.099999999999</v>
      </c>
      <c r="F1748" s="41">
        <v>46192</v>
      </c>
      <c r="G1748" s="41">
        <v>46557</v>
      </c>
      <c r="H1748" s="1" t="s">
        <v>3807</v>
      </c>
      <c r="I1748" s="1" t="s">
        <v>3324</v>
      </c>
      <c r="J1748" t="str">
        <f>IF(ISNA(_xlfn.XLOOKUP(B1748,customer_master!$A$2:$A$1649, customer_master!$A$2:$A$1649)), "Invalid", "Ok")</f>
        <v>Ok</v>
      </c>
      <c r="K1748" t="str">
        <f>IF(ISNA(_xlfn.XLOOKUP(H1748,agent_info!$A$2:$A$301, agent_info!$A$2:$A$301)), "Invalid", "Ok")</f>
        <v>Ok</v>
      </c>
    </row>
    <row r="1749" spans="1:11" x14ac:dyDescent="0.3">
      <c r="A1749" s="1" t="s">
        <v>5367</v>
      </c>
      <c r="B1749" s="1" t="s">
        <v>1475</v>
      </c>
      <c r="C1749" s="1" t="s">
        <v>3326</v>
      </c>
      <c r="D1749" s="1">
        <v>620973.42000000004</v>
      </c>
      <c r="E1749" s="1">
        <v>33988.67</v>
      </c>
      <c r="F1749" s="41">
        <v>44464</v>
      </c>
      <c r="G1749" s="41">
        <v>44829</v>
      </c>
      <c r="H1749" s="1" t="s">
        <v>3427</v>
      </c>
      <c r="I1749" s="1" t="s">
        <v>3324</v>
      </c>
      <c r="J1749" t="str">
        <f>IF(ISNA(_xlfn.XLOOKUP(B1749,customer_master!$A$2:$A$1649, customer_master!$A$2:$A$1649)), "Invalid", "Ok")</f>
        <v>Ok</v>
      </c>
      <c r="K1749" t="str">
        <f>IF(ISNA(_xlfn.XLOOKUP(H1749,agent_info!$A$2:$A$301, agent_info!$A$2:$A$301)), "Invalid", "Ok")</f>
        <v>Ok</v>
      </c>
    </row>
    <row r="1750" spans="1:11" x14ac:dyDescent="0.3">
      <c r="A1750" s="1" t="s">
        <v>5368</v>
      </c>
      <c r="B1750" s="1" t="s">
        <v>2643</v>
      </c>
      <c r="C1750" s="1" t="s">
        <v>3314</v>
      </c>
      <c r="D1750" s="1">
        <v>424099.56</v>
      </c>
      <c r="E1750" s="1">
        <v>20492.330000000002</v>
      </c>
      <c r="F1750" s="41">
        <v>46206</v>
      </c>
      <c r="G1750" s="41">
        <v>46571</v>
      </c>
      <c r="H1750" s="1" t="s">
        <v>3431</v>
      </c>
      <c r="I1750" s="1" t="s">
        <v>3320</v>
      </c>
      <c r="J1750" t="str">
        <f>IF(ISNA(_xlfn.XLOOKUP(B1750,customer_master!$A$2:$A$1649, customer_master!$A$2:$A$1649)), "Invalid", "Ok")</f>
        <v>Ok</v>
      </c>
      <c r="K1750" t="str">
        <f>IF(ISNA(_xlfn.XLOOKUP(H1750,agent_info!$A$2:$A$301, agent_info!$A$2:$A$301)), "Invalid", "Ok")</f>
        <v>Ok</v>
      </c>
    </row>
    <row r="1751" spans="1:11" x14ac:dyDescent="0.3">
      <c r="A1751" s="1" t="s">
        <v>5369</v>
      </c>
      <c r="B1751" s="1" t="s">
        <v>1713</v>
      </c>
      <c r="C1751" s="1" t="s">
        <v>3334</v>
      </c>
      <c r="D1751" s="1">
        <v>592863.59</v>
      </c>
      <c r="E1751" s="1">
        <v>32431.01</v>
      </c>
      <c r="F1751" s="41">
        <v>45254</v>
      </c>
      <c r="G1751" s="41">
        <v>45620</v>
      </c>
      <c r="H1751" s="1" t="s">
        <v>3481</v>
      </c>
      <c r="I1751" s="1" t="s">
        <v>3320</v>
      </c>
      <c r="J1751" t="str">
        <f>IF(ISNA(_xlfn.XLOOKUP(B1751,customer_master!$A$2:$A$1649, customer_master!$A$2:$A$1649)), "Invalid", "Ok")</f>
        <v>Ok</v>
      </c>
      <c r="K1751" t="str">
        <f>IF(ISNA(_xlfn.XLOOKUP(H1751,agent_info!$A$2:$A$301, agent_info!$A$2:$A$301)), "Invalid", "Ok")</f>
        <v>Ok</v>
      </c>
    </row>
    <row r="1752" spans="1:11" x14ac:dyDescent="0.3">
      <c r="A1752" s="1" t="s">
        <v>5370</v>
      </c>
      <c r="B1752" s="1" t="s">
        <v>962</v>
      </c>
      <c r="C1752" s="1" t="s">
        <v>3318</v>
      </c>
      <c r="D1752" s="1">
        <v>503497.49</v>
      </c>
      <c r="E1752" s="1">
        <v>23620.080000000002</v>
      </c>
      <c r="F1752" s="41">
        <v>46222</v>
      </c>
      <c r="G1752" s="41">
        <v>46587</v>
      </c>
      <c r="H1752" s="1" t="s">
        <v>4518</v>
      </c>
      <c r="I1752" s="1" t="s">
        <v>3324</v>
      </c>
      <c r="J1752" t="str">
        <f>IF(ISNA(_xlfn.XLOOKUP(B1752,customer_master!$A$2:$A$1649, customer_master!$A$2:$A$1649)), "Invalid", "Ok")</f>
        <v>Ok</v>
      </c>
      <c r="K1752" t="str">
        <f>IF(ISNA(_xlfn.XLOOKUP(H1752,agent_info!$A$2:$A$301, agent_info!$A$2:$A$301)), "Invalid", "Ok")</f>
        <v>Ok</v>
      </c>
    </row>
    <row r="1753" spans="1:11" x14ac:dyDescent="0.3">
      <c r="A1753" s="1" t="s">
        <v>5371</v>
      </c>
      <c r="B1753" s="1" t="s">
        <v>3164</v>
      </c>
      <c r="C1753" s="1" t="s">
        <v>3334</v>
      </c>
      <c r="D1753" s="1">
        <v>677279.78</v>
      </c>
      <c r="E1753" s="1">
        <v>34862.660000000003</v>
      </c>
      <c r="F1753" s="41">
        <v>45782</v>
      </c>
      <c r="G1753" s="41">
        <v>46147</v>
      </c>
      <c r="H1753" s="1" t="s">
        <v>3494</v>
      </c>
      <c r="I1753" s="1" t="s">
        <v>3324</v>
      </c>
      <c r="J1753" t="str">
        <f>IF(ISNA(_xlfn.XLOOKUP(B1753,customer_master!$A$2:$A$1649, customer_master!$A$2:$A$1649)), "Invalid", "Ok")</f>
        <v>Ok</v>
      </c>
      <c r="K1753" t="str">
        <f>IF(ISNA(_xlfn.XLOOKUP(H1753,agent_info!$A$2:$A$301, agent_info!$A$2:$A$301)), "Invalid", "Ok")</f>
        <v>Ok</v>
      </c>
    </row>
    <row r="1754" spans="1:11" x14ac:dyDescent="0.3">
      <c r="A1754" s="1" t="s">
        <v>5372</v>
      </c>
      <c r="B1754" s="1" t="s">
        <v>3138</v>
      </c>
      <c r="C1754" s="1" t="s">
        <v>3331</v>
      </c>
      <c r="D1754" s="1">
        <v>707004.03</v>
      </c>
      <c r="E1754" s="1">
        <v>38822.86</v>
      </c>
      <c r="F1754" s="41">
        <v>45787</v>
      </c>
      <c r="G1754" s="41">
        <v>46152</v>
      </c>
      <c r="H1754" s="1" t="s">
        <v>3417</v>
      </c>
      <c r="I1754" s="1" t="s">
        <v>3324</v>
      </c>
      <c r="J1754" t="str">
        <f>IF(ISNA(_xlfn.XLOOKUP(B1754,customer_master!$A$2:$A$1649, customer_master!$A$2:$A$1649)), "Invalid", "Ok")</f>
        <v>Ok</v>
      </c>
      <c r="K1754" t="str">
        <f>IF(ISNA(_xlfn.XLOOKUP(H1754,agent_info!$A$2:$A$301, agent_info!$A$2:$A$301)), "Invalid", "Ok")</f>
        <v>Ok</v>
      </c>
    </row>
    <row r="1755" spans="1:11" x14ac:dyDescent="0.3">
      <c r="A1755" s="1" t="s">
        <v>5373</v>
      </c>
      <c r="B1755" s="1" t="s">
        <v>348</v>
      </c>
      <c r="C1755" s="1" t="s">
        <v>3331</v>
      </c>
      <c r="D1755" s="1">
        <v>558621.56000000006</v>
      </c>
      <c r="E1755" s="1">
        <v>29653.71</v>
      </c>
      <c r="F1755" s="41">
        <v>44310</v>
      </c>
      <c r="G1755" s="41">
        <v>44675</v>
      </c>
      <c r="H1755" s="1" t="s">
        <v>3949</v>
      </c>
      <c r="I1755" s="1" t="s">
        <v>3324</v>
      </c>
      <c r="J1755" t="str">
        <f>IF(ISNA(_xlfn.XLOOKUP(B1755,customer_master!$A$2:$A$1649, customer_master!$A$2:$A$1649)), "Invalid", "Ok")</f>
        <v>Ok</v>
      </c>
      <c r="K1755" t="str">
        <f>IF(ISNA(_xlfn.XLOOKUP(H1755,agent_info!$A$2:$A$301, agent_info!$A$2:$A$301)), "Invalid", "Ok")</f>
        <v>Ok</v>
      </c>
    </row>
    <row r="1756" spans="1:11" x14ac:dyDescent="0.3">
      <c r="A1756" s="1" t="s">
        <v>5374</v>
      </c>
      <c r="B1756" s="1" t="s">
        <v>3146</v>
      </c>
      <c r="C1756" s="1" t="s">
        <v>3314</v>
      </c>
      <c r="D1756" s="1">
        <v>676806.98</v>
      </c>
      <c r="E1756" s="1">
        <v>32010.95</v>
      </c>
      <c r="F1756" s="41">
        <v>45711</v>
      </c>
      <c r="G1756" s="41">
        <v>46076</v>
      </c>
      <c r="H1756" s="1" t="s">
        <v>3347</v>
      </c>
      <c r="I1756" s="1" t="s">
        <v>3320</v>
      </c>
      <c r="J1756" t="str">
        <f>IF(ISNA(_xlfn.XLOOKUP(B1756,customer_master!$A$2:$A$1649, customer_master!$A$2:$A$1649)), "Invalid", "Ok")</f>
        <v>Ok</v>
      </c>
      <c r="K1756" t="str">
        <f>IF(ISNA(_xlfn.XLOOKUP(H1756,agent_info!$A$2:$A$301, agent_info!$A$2:$A$301)), "Invalid", "Ok")</f>
        <v>Ok</v>
      </c>
    </row>
    <row r="1757" spans="1:11" x14ac:dyDescent="0.3">
      <c r="A1757" s="1" t="s">
        <v>5375</v>
      </c>
      <c r="B1757" s="1" t="s">
        <v>2579</v>
      </c>
      <c r="C1757" s="1" t="s">
        <v>3314</v>
      </c>
      <c r="D1757" s="1">
        <v>737900.6</v>
      </c>
      <c r="E1757" s="1">
        <v>35104.39</v>
      </c>
      <c r="F1757" s="41">
        <v>44914</v>
      </c>
      <c r="G1757" s="41">
        <v>45279</v>
      </c>
      <c r="H1757" s="1" t="s">
        <v>3767</v>
      </c>
      <c r="I1757" s="1" t="s">
        <v>3316</v>
      </c>
      <c r="J1757" t="str">
        <f>IF(ISNA(_xlfn.XLOOKUP(B1757,customer_master!$A$2:$A$1649, customer_master!$A$2:$A$1649)), "Invalid", "Ok")</f>
        <v>Ok</v>
      </c>
      <c r="K1757" t="str">
        <f>IF(ISNA(_xlfn.XLOOKUP(H1757,agent_info!$A$2:$A$301, agent_info!$A$2:$A$301)), "Invalid", "Ok")</f>
        <v>Ok</v>
      </c>
    </row>
    <row r="1758" spans="1:11" x14ac:dyDescent="0.3">
      <c r="A1758" s="1" t="s">
        <v>5376</v>
      </c>
      <c r="B1758" s="1" t="s">
        <v>385</v>
      </c>
      <c r="C1758" s="1" t="s">
        <v>3314</v>
      </c>
      <c r="D1758" s="1">
        <v>650342.21</v>
      </c>
      <c r="E1758" s="1">
        <v>30972.1</v>
      </c>
      <c r="F1758" s="41">
        <v>45510</v>
      </c>
      <c r="G1758" s="41">
        <v>45875</v>
      </c>
      <c r="H1758" s="1" t="s">
        <v>3453</v>
      </c>
      <c r="I1758" s="1" t="s">
        <v>3324</v>
      </c>
      <c r="J1758" t="str">
        <f>IF(ISNA(_xlfn.XLOOKUP(B1758,customer_master!$A$2:$A$1649, customer_master!$A$2:$A$1649)), "Invalid", "Ok")</f>
        <v>Ok</v>
      </c>
      <c r="K1758" t="str">
        <f>IF(ISNA(_xlfn.XLOOKUP(H1758,agent_info!$A$2:$A$301, agent_info!$A$2:$A$301)), "Invalid", "Ok")</f>
        <v>Ok</v>
      </c>
    </row>
    <row r="1759" spans="1:11" x14ac:dyDescent="0.3">
      <c r="A1759" s="1" t="s">
        <v>5377</v>
      </c>
      <c r="B1759" s="1" t="s">
        <v>1741</v>
      </c>
      <c r="C1759" s="1" t="s">
        <v>3334</v>
      </c>
      <c r="D1759" s="1">
        <v>508966.34</v>
      </c>
      <c r="E1759" s="1">
        <v>27703</v>
      </c>
      <c r="F1759" s="41">
        <v>45984</v>
      </c>
      <c r="G1759" s="41">
        <v>46349</v>
      </c>
      <c r="H1759" s="1" t="s">
        <v>3487</v>
      </c>
      <c r="I1759" s="1" t="s">
        <v>3320</v>
      </c>
      <c r="J1759" t="str">
        <f>IF(ISNA(_xlfn.XLOOKUP(B1759,customer_master!$A$2:$A$1649, customer_master!$A$2:$A$1649)), "Invalid", "Ok")</f>
        <v>Ok</v>
      </c>
      <c r="K1759" t="str">
        <f>IF(ISNA(_xlfn.XLOOKUP(H1759,agent_info!$A$2:$A$301, agent_info!$A$2:$A$301)), "Invalid", "Ok")</f>
        <v>Ok</v>
      </c>
    </row>
    <row r="1760" spans="1:11" x14ac:dyDescent="0.3">
      <c r="A1760" s="1" t="s">
        <v>5378</v>
      </c>
      <c r="B1760" s="1" t="s">
        <v>148</v>
      </c>
      <c r="C1760" s="1" t="s">
        <v>3318</v>
      </c>
      <c r="D1760" s="1">
        <v>553131.97</v>
      </c>
      <c r="E1760" s="1">
        <v>26248.39</v>
      </c>
      <c r="F1760" s="41">
        <v>45467</v>
      </c>
      <c r="G1760" s="41">
        <v>45832</v>
      </c>
      <c r="H1760" s="1" t="s">
        <v>3327</v>
      </c>
      <c r="I1760" s="1" t="s">
        <v>3320</v>
      </c>
      <c r="J1760" t="str">
        <f>IF(ISNA(_xlfn.XLOOKUP(B1760,customer_master!$A$2:$A$1649, customer_master!$A$2:$A$1649)), "Invalid", "Ok")</f>
        <v>Ok</v>
      </c>
      <c r="K1760" t="str">
        <f>IF(ISNA(_xlfn.XLOOKUP(H1760,agent_info!$A$2:$A$301, agent_info!$A$2:$A$301)), "Invalid", "Ok")</f>
        <v>Ok</v>
      </c>
    </row>
    <row r="1761" spans="1:11" x14ac:dyDescent="0.3">
      <c r="A1761" s="1" t="s">
        <v>5379</v>
      </c>
      <c r="B1761" s="1" t="s">
        <v>1966</v>
      </c>
      <c r="C1761" s="1" t="s">
        <v>3334</v>
      </c>
      <c r="D1761" s="1">
        <v>473549.13</v>
      </c>
      <c r="E1761" s="1">
        <v>23722.99</v>
      </c>
      <c r="F1761" s="41">
        <v>45284</v>
      </c>
      <c r="G1761" s="41">
        <v>45650</v>
      </c>
      <c r="H1761" s="1" t="s">
        <v>3562</v>
      </c>
      <c r="I1761" s="1" t="s">
        <v>3324</v>
      </c>
      <c r="J1761" t="str">
        <f>IF(ISNA(_xlfn.XLOOKUP(B1761,customer_master!$A$2:$A$1649, customer_master!$A$2:$A$1649)), "Invalid", "Ok")</f>
        <v>Ok</v>
      </c>
      <c r="K1761" t="str">
        <f>IF(ISNA(_xlfn.XLOOKUP(H1761,agent_info!$A$2:$A$301, agent_info!$A$2:$A$301)), "Invalid", "Ok")</f>
        <v>Ok</v>
      </c>
    </row>
    <row r="1762" spans="1:11" x14ac:dyDescent="0.3">
      <c r="A1762" s="1" t="s">
        <v>5380</v>
      </c>
      <c r="B1762" s="1" t="s">
        <v>3102</v>
      </c>
      <c r="C1762" s="1" t="s">
        <v>3331</v>
      </c>
      <c r="D1762" s="1">
        <v>556382.78</v>
      </c>
      <c r="E1762" s="1">
        <v>26983.95</v>
      </c>
      <c r="F1762" s="41">
        <v>45867</v>
      </c>
      <c r="G1762" s="41">
        <v>46232</v>
      </c>
      <c r="H1762" s="1" t="s">
        <v>3686</v>
      </c>
      <c r="I1762" s="1" t="s">
        <v>3316</v>
      </c>
      <c r="J1762" t="str">
        <f>IF(ISNA(_xlfn.XLOOKUP(B1762,customer_master!$A$2:$A$1649, customer_master!$A$2:$A$1649)), "Invalid", "Ok")</f>
        <v>Ok</v>
      </c>
      <c r="K1762" t="str">
        <f>IF(ISNA(_xlfn.XLOOKUP(H1762,agent_info!$A$2:$A$301, agent_info!$A$2:$A$301)), "Invalid", "Ok")</f>
        <v>Ok</v>
      </c>
    </row>
    <row r="1763" spans="1:11" x14ac:dyDescent="0.3">
      <c r="A1763" s="1" t="s">
        <v>5381</v>
      </c>
      <c r="B1763" s="1" t="s">
        <v>1245</v>
      </c>
      <c r="C1763" s="1" t="s">
        <v>3331</v>
      </c>
      <c r="D1763" s="1">
        <v>475307.22</v>
      </c>
      <c r="E1763" s="1">
        <v>23105.96</v>
      </c>
      <c r="F1763" s="41">
        <v>44560</v>
      </c>
      <c r="G1763" s="41">
        <v>44925</v>
      </c>
      <c r="H1763" s="1" t="s">
        <v>3353</v>
      </c>
      <c r="I1763" s="1" t="s">
        <v>3316</v>
      </c>
      <c r="J1763" t="str">
        <f>IF(ISNA(_xlfn.XLOOKUP(B1763,customer_master!$A$2:$A$1649, customer_master!$A$2:$A$1649)), "Invalid", "Ok")</f>
        <v>Ok</v>
      </c>
      <c r="K1763" t="str">
        <f>IF(ISNA(_xlfn.XLOOKUP(H1763,agent_info!$A$2:$A$301, agent_info!$A$2:$A$301)), "Invalid", "Ok")</f>
        <v>Ok</v>
      </c>
    </row>
    <row r="1764" spans="1:11" x14ac:dyDescent="0.3">
      <c r="A1764" s="1" t="s">
        <v>5382</v>
      </c>
      <c r="B1764" s="1" t="s">
        <v>1709</v>
      </c>
      <c r="C1764" s="1" t="s">
        <v>3334</v>
      </c>
      <c r="D1764" s="1">
        <v>695791.14</v>
      </c>
      <c r="E1764" s="1">
        <v>34150.949999999997</v>
      </c>
      <c r="F1764" s="41">
        <v>44666</v>
      </c>
      <c r="G1764" s="41">
        <v>45031</v>
      </c>
      <c r="H1764" s="1" t="s">
        <v>3815</v>
      </c>
      <c r="I1764" s="1" t="s">
        <v>3324</v>
      </c>
      <c r="J1764" t="str">
        <f>IF(ISNA(_xlfn.XLOOKUP(B1764,customer_master!$A$2:$A$1649, customer_master!$A$2:$A$1649)), "Invalid", "Ok")</f>
        <v>Ok</v>
      </c>
      <c r="K1764" t="str">
        <f>IF(ISNA(_xlfn.XLOOKUP(H1764,agent_info!$A$2:$A$301, agent_info!$A$2:$A$301)), "Invalid", "Ok")</f>
        <v>Ok</v>
      </c>
    </row>
    <row r="1765" spans="1:11" x14ac:dyDescent="0.3">
      <c r="A1765" s="1" t="s">
        <v>5383</v>
      </c>
      <c r="B1765" s="1" t="s">
        <v>803</v>
      </c>
      <c r="C1765" s="1" t="s">
        <v>3314</v>
      </c>
      <c r="D1765" s="1">
        <v>619818.21</v>
      </c>
      <c r="E1765" s="1">
        <v>30030.47</v>
      </c>
      <c r="F1765" s="41">
        <v>45352</v>
      </c>
      <c r="G1765" s="41">
        <v>45717</v>
      </c>
      <c r="H1765" s="1" t="s">
        <v>3723</v>
      </c>
      <c r="I1765" s="1" t="s">
        <v>3316</v>
      </c>
      <c r="J1765" t="str">
        <f>IF(ISNA(_xlfn.XLOOKUP(B1765,customer_master!$A$2:$A$1649, customer_master!$A$2:$A$1649)), "Invalid", "Ok")</f>
        <v>Ok</v>
      </c>
      <c r="K1765" t="str">
        <f>IF(ISNA(_xlfn.XLOOKUP(H1765,agent_info!$A$2:$A$301, agent_info!$A$2:$A$301)), "Invalid", "Ok")</f>
        <v>Ok</v>
      </c>
    </row>
    <row r="1766" spans="1:11" x14ac:dyDescent="0.3">
      <c r="A1766" s="1" t="s">
        <v>5384</v>
      </c>
      <c r="B1766" s="1" t="s">
        <v>1813</v>
      </c>
      <c r="C1766" s="1" t="s">
        <v>3334</v>
      </c>
      <c r="D1766" s="1">
        <v>628799.69999999995</v>
      </c>
      <c r="E1766" s="1">
        <v>32068.33</v>
      </c>
      <c r="F1766" s="41">
        <v>45847</v>
      </c>
      <c r="G1766" s="41">
        <v>46212</v>
      </c>
      <c r="H1766" s="1" t="s">
        <v>3813</v>
      </c>
      <c r="I1766" s="1" t="s">
        <v>3320</v>
      </c>
      <c r="J1766" t="str">
        <f>IF(ISNA(_xlfn.XLOOKUP(B1766,customer_master!$A$2:$A$1649, customer_master!$A$2:$A$1649)), "Invalid", "Ok")</f>
        <v>Ok</v>
      </c>
      <c r="K1766" t="str">
        <f>IF(ISNA(_xlfn.XLOOKUP(H1766,agent_info!$A$2:$A$301, agent_info!$A$2:$A$301)), "Invalid", "Ok")</f>
        <v>Ok</v>
      </c>
    </row>
    <row r="1767" spans="1:11" x14ac:dyDescent="0.3">
      <c r="A1767" s="1" t="s">
        <v>5385</v>
      </c>
      <c r="B1767" s="1" t="s">
        <v>2657</v>
      </c>
      <c r="C1767" s="1" t="s">
        <v>3314</v>
      </c>
      <c r="D1767" s="1">
        <v>427451.37</v>
      </c>
      <c r="E1767" s="1">
        <v>21054</v>
      </c>
      <c r="F1767" s="41">
        <v>45727</v>
      </c>
      <c r="G1767" s="41">
        <v>46092</v>
      </c>
      <c r="H1767" s="1" t="s">
        <v>4040</v>
      </c>
      <c r="I1767" s="1" t="s">
        <v>3316</v>
      </c>
      <c r="J1767" t="str">
        <f>IF(ISNA(_xlfn.XLOOKUP(B1767,customer_master!$A$2:$A$1649, customer_master!$A$2:$A$1649)), "Invalid", "Ok")</f>
        <v>Ok</v>
      </c>
      <c r="K1767" t="str">
        <f>IF(ISNA(_xlfn.XLOOKUP(H1767,agent_info!$A$2:$A$301, agent_info!$A$2:$A$301)), "Invalid", "Ok")</f>
        <v>Ok</v>
      </c>
    </row>
    <row r="1768" spans="1:11" x14ac:dyDescent="0.3">
      <c r="A1768" s="1" t="s">
        <v>5386</v>
      </c>
      <c r="B1768" s="1" t="s">
        <v>761</v>
      </c>
      <c r="C1768" s="1" t="s">
        <v>3314</v>
      </c>
      <c r="D1768" s="1">
        <v>385562.22</v>
      </c>
      <c r="E1768" s="1">
        <v>19050.669999999998</v>
      </c>
      <c r="F1768" s="41">
        <v>44418</v>
      </c>
      <c r="G1768" s="41">
        <v>44783</v>
      </c>
      <c r="H1768" s="1" t="s">
        <v>3976</v>
      </c>
      <c r="I1768" s="1" t="s">
        <v>3316</v>
      </c>
      <c r="J1768" t="str">
        <f>IF(ISNA(_xlfn.XLOOKUP(B1768,customer_master!$A$2:$A$1649, customer_master!$A$2:$A$1649)), "Invalid", "Ok")</f>
        <v>Ok</v>
      </c>
      <c r="K1768" t="str">
        <f>IF(ISNA(_xlfn.XLOOKUP(H1768,agent_info!$A$2:$A$301, agent_info!$A$2:$A$301)), "Invalid", "Ok")</f>
        <v>Ok</v>
      </c>
    </row>
    <row r="1769" spans="1:11" x14ac:dyDescent="0.3">
      <c r="A1769" s="1" t="s">
        <v>5387</v>
      </c>
      <c r="B1769" s="1" t="s">
        <v>1853</v>
      </c>
      <c r="C1769" s="1" t="s">
        <v>3326</v>
      </c>
      <c r="D1769" s="1">
        <v>626215.31999999995</v>
      </c>
      <c r="E1769" s="1">
        <v>31348.3</v>
      </c>
      <c r="F1769" s="41">
        <v>44584</v>
      </c>
      <c r="G1769" s="41">
        <v>44949</v>
      </c>
      <c r="H1769" s="1" t="s">
        <v>3509</v>
      </c>
      <c r="I1769" s="1" t="s">
        <v>3324</v>
      </c>
      <c r="J1769" t="str">
        <f>IF(ISNA(_xlfn.XLOOKUP(B1769,customer_master!$A$2:$A$1649, customer_master!$A$2:$A$1649)), "Invalid", "Ok")</f>
        <v>Ok</v>
      </c>
      <c r="K1769" t="str">
        <f>IF(ISNA(_xlfn.XLOOKUP(H1769,agent_info!$A$2:$A$301, agent_info!$A$2:$A$301)), "Invalid", "Ok")</f>
        <v>Ok</v>
      </c>
    </row>
    <row r="1770" spans="1:11" x14ac:dyDescent="0.3">
      <c r="A1770" s="1" t="s">
        <v>5388</v>
      </c>
      <c r="B1770" s="1" t="s">
        <v>1203</v>
      </c>
      <c r="C1770" s="1" t="s">
        <v>3334</v>
      </c>
      <c r="D1770" s="1">
        <v>593787.97</v>
      </c>
      <c r="E1770" s="1">
        <v>28835.4</v>
      </c>
      <c r="F1770" s="41">
        <v>45669</v>
      </c>
      <c r="G1770" s="41">
        <v>46034</v>
      </c>
      <c r="H1770" s="1" t="s">
        <v>4469</v>
      </c>
      <c r="I1770" s="1" t="s">
        <v>3324</v>
      </c>
      <c r="J1770" t="str">
        <f>IF(ISNA(_xlfn.XLOOKUP(B1770,customer_master!$A$2:$A$1649, customer_master!$A$2:$A$1649)), "Invalid", "Ok")</f>
        <v>Ok</v>
      </c>
      <c r="K1770" t="str">
        <f>IF(ISNA(_xlfn.XLOOKUP(H1770,agent_info!$A$2:$A$301, agent_info!$A$2:$A$301)), "Invalid", "Ok")</f>
        <v>Ok</v>
      </c>
    </row>
    <row r="1771" spans="1:11" x14ac:dyDescent="0.3">
      <c r="A1771" s="1" t="s">
        <v>5389</v>
      </c>
      <c r="B1771" s="1" t="s">
        <v>2494</v>
      </c>
      <c r="C1771" s="1" t="s">
        <v>3334</v>
      </c>
      <c r="D1771" s="1">
        <v>743648.05</v>
      </c>
      <c r="E1771" s="1">
        <v>39075.43</v>
      </c>
      <c r="F1771" s="41">
        <v>44885</v>
      </c>
      <c r="G1771" s="41">
        <v>45250</v>
      </c>
      <c r="H1771" s="1" t="s">
        <v>3483</v>
      </c>
      <c r="I1771" s="1" t="s">
        <v>3324</v>
      </c>
      <c r="J1771" t="str">
        <f>IF(ISNA(_xlfn.XLOOKUP(B1771,customer_master!$A$2:$A$1649, customer_master!$A$2:$A$1649)), "Invalid", "Ok")</f>
        <v>Ok</v>
      </c>
      <c r="K1771" t="str">
        <f>IF(ISNA(_xlfn.XLOOKUP(H1771,agent_info!$A$2:$A$301, agent_info!$A$2:$A$301)), "Invalid", "Ok")</f>
        <v>Ok</v>
      </c>
    </row>
    <row r="1772" spans="1:11" x14ac:dyDescent="0.3">
      <c r="A1772" s="1" t="s">
        <v>5390</v>
      </c>
      <c r="B1772" s="1" t="s">
        <v>2343</v>
      </c>
      <c r="C1772" s="1" t="s">
        <v>3314</v>
      </c>
      <c r="D1772" s="1">
        <v>591837.11</v>
      </c>
      <c r="E1772" s="1">
        <v>29612.47</v>
      </c>
      <c r="F1772" s="41">
        <v>46054</v>
      </c>
      <c r="G1772" s="41">
        <v>46419</v>
      </c>
      <c r="H1772" s="1" t="s">
        <v>3559</v>
      </c>
      <c r="I1772" s="1" t="s">
        <v>3324</v>
      </c>
      <c r="J1772" t="str">
        <f>IF(ISNA(_xlfn.XLOOKUP(B1772,customer_master!$A$2:$A$1649, customer_master!$A$2:$A$1649)), "Invalid", "Ok")</f>
        <v>Ok</v>
      </c>
      <c r="K1772" t="str">
        <f>IF(ISNA(_xlfn.XLOOKUP(H1772,agent_info!$A$2:$A$301, agent_info!$A$2:$A$301)), "Invalid", "Ok")</f>
        <v>Ok</v>
      </c>
    </row>
    <row r="1773" spans="1:11" x14ac:dyDescent="0.3">
      <c r="A1773" s="1" t="s">
        <v>5391</v>
      </c>
      <c r="B1773" s="1" t="s">
        <v>2331</v>
      </c>
      <c r="C1773" s="1" t="s">
        <v>3331</v>
      </c>
      <c r="D1773" s="1">
        <v>463399.86</v>
      </c>
      <c r="E1773" s="1">
        <v>23212.68</v>
      </c>
      <c r="F1773" s="41">
        <v>44282</v>
      </c>
      <c r="G1773" s="41">
        <v>44647</v>
      </c>
      <c r="H1773" s="1" t="s">
        <v>4031</v>
      </c>
      <c r="I1773" s="1" t="s">
        <v>3324</v>
      </c>
      <c r="J1773" t="str">
        <f>IF(ISNA(_xlfn.XLOOKUP(B1773,customer_master!$A$2:$A$1649, customer_master!$A$2:$A$1649)), "Invalid", "Ok")</f>
        <v>Ok</v>
      </c>
      <c r="K1773" t="str">
        <f>IF(ISNA(_xlfn.XLOOKUP(H1773,agent_info!$A$2:$A$301, agent_info!$A$2:$A$301)), "Invalid", "Ok")</f>
        <v>Ok</v>
      </c>
    </row>
    <row r="1774" spans="1:11" x14ac:dyDescent="0.3">
      <c r="A1774" s="1" t="s">
        <v>5392</v>
      </c>
      <c r="B1774" s="1" t="s">
        <v>1287</v>
      </c>
      <c r="C1774" s="1" t="s">
        <v>3326</v>
      </c>
      <c r="D1774" s="1">
        <v>594466.80000000005</v>
      </c>
      <c r="E1774" s="1">
        <v>27998.47</v>
      </c>
      <c r="F1774" s="41">
        <v>44474</v>
      </c>
      <c r="G1774" s="41">
        <v>44839</v>
      </c>
      <c r="H1774" s="1" t="s">
        <v>3373</v>
      </c>
      <c r="I1774" s="1" t="s">
        <v>3324</v>
      </c>
      <c r="J1774" t="str">
        <f>IF(ISNA(_xlfn.XLOOKUP(B1774,customer_master!$A$2:$A$1649, customer_master!$A$2:$A$1649)), "Invalid", "Ok")</f>
        <v>Ok</v>
      </c>
      <c r="K1774" t="str">
        <f>IF(ISNA(_xlfn.XLOOKUP(H1774,agent_info!$A$2:$A$301, agent_info!$A$2:$A$301)), "Invalid", "Ok")</f>
        <v>Ok</v>
      </c>
    </row>
    <row r="1775" spans="1:11" x14ac:dyDescent="0.3">
      <c r="A1775" s="1" t="s">
        <v>5393</v>
      </c>
      <c r="B1775" s="1" t="s">
        <v>2004</v>
      </c>
      <c r="C1775" s="1" t="s">
        <v>3314</v>
      </c>
      <c r="D1775" s="1">
        <v>654878.44999999995</v>
      </c>
      <c r="E1775" s="1">
        <v>29671.47</v>
      </c>
      <c r="F1775" s="41">
        <v>44482</v>
      </c>
      <c r="G1775" s="41">
        <v>44847</v>
      </c>
      <c r="H1775" s="1" t="s">
        <v>3445</v>
      </c>
      <c r="I1775" s="1" t="s">
        <v>3324</v>
      </c>
      <c r="J1775" t="str">
        <f>IF(ISNA(_xlfn.XLOOKUP(B1775,customer_master!$A$2:$A$1649, customer_master!$A$2:$A$1649)), "Invalid", "Ok")</f>
        <v>Ok</v>
      </c>
      <c r="K1775" t="str">
        <f>IF(ISNA(_xlfn.XLOOKUP(H1775,agent_info!$A$2:$A$301, agent_info!$A$2:$A$301)), "Invalid", "Ok")</f>
        <v>Ok</v>
      </c>
    </row>
    <row r="1776" spans="1:11" x14ac:dyDescent="0.3">
      <c r="A1776" s="1" t="s">
        <v>5394</v>
      </c>
      <c r="B1776" s="1" t="s">
        <v>2178</v>
      </c>
      <c r="C1776" s="1" t="s">
        <v>3334</v>
      </c>
      <c r="D1776" s="1">
        <v>410230.05</v>
      </c>
      <c r="E1776" s="1">
        <v>21780.240000000002</v>
      </c>
      <c r="F1776" s="41">
        <v>45967</v>
      </c>
      <c r="G1776" s="41">
        <v>46332</v>
      </c>
      <c r="H1776" s="1" t="s">
        <v>4518</v>
      </c>
      <c r="I1776" s="1" t="s">
        <v>3324</v>
      </c>
      <c r="J1776" t="str">
        <f>IF(ISNA(_xlfn.XLOOKUP(B1776,customer_master!$A$2:$A$1649, customer_master!$A$2:$A$1649)), "Invalid", "Ok")</f>
        <v>Ok</v>
      </c>
      <c r="K1776" t="str">
        <f>IF(ISNA(_xlfn.XLOOKUP(H1776,agent_info!$A$2:$A$301, agent_info!$A$2:$A$301)), "Invalid", "Ok")</f>
        <v>Ok</v>
      </c>
    </row>
    <row r="1777" spans="1:11" x14ac:dyDescent="0.3">
      <c r="A1777" s="1" t="s">
        <v>5395</v>
      </c>
      <c r="B1777" s="1" t="s">
        <v>2276</v>
      </c>
      <c r="C1777" s="1" t="s">
        <v>3334</v>
      </c>
      <c r="D1777" s="1">
        <v>652055.6</v>
      </c>
      <c r="E1777" s="1">
        <v>34920.720000000001</v>
      </c>
      <c r="F1777" s="41">
        <v>44490</v>
      </c>
      <c r="G1777" s="41">
        <v>44855</v>
      </c>
      <c r="H1777" s="1" t="s">
        <v>5396</v>
      </c>
      <c r="I1777" s="1" t="s">
        <v>3324</v>
      </c>
      <c r="J1777" t="str">
        <f>IF(ISNA(_xlfn.XLOOKUP(B1777,customer_master!$A$2:$A$1649, customer_master!$A$2:$A$1649)), "Invalid", "Ok")</f>
        <v>Ok</v>
      </c>
      <c r="K1777" t="str">
        <f>IF(ISNA(_xlfn.XLOOKUP(H1777,agent_info!$A$2:$A$301, agent_info!$A$2:$A$301)), "Invalid", "Ok")</f>
        <v>Ok</v>
      </c>
    </row>
    <row r="1778" spans="1:11" x14ac:dyDescent="0.3">
      <c r="A1778" s="1" t="s">
        <v>5397</v>
      </c>
      <c r="B1778" s="1" t="s">
        <v>1919</v>
      </c>
      <c r="C1778" s="1" t="s">
        <v>3326</v>
      </c>
      <c r="D1778" s="1">
        <v>424384.88</v>
      </c>
      <c r="E1778" s="1">
        <v>20121.13</v>
      </c>
      <c r="F1778" s="41">
        <v>45152</v>
      </c>
      <c r="G1778" s="41">
        <v>45518</v>
      </c>
      <c r="H1778" s="1" t="s">
        <v>4012</v>
      </c>
      <c r="I1778" s="1" t="s">
        <v>3324</v>
      </c>
      <c r="J1778" t="str">
        <f>IF(ISNA(_xlfn.XLOOKUP(B1778,customer_master!$A$2:$A$1649, customer_master!$A$2:$A$1649)), "Invalid", "Ok")</f>
        <v>Ok</v>
      </c>
      <c r="K1778" t="str">
        <f>IF(ISNA(_xlfn.XLOOKUP(H1778,agent_info!$A$2:$A$301, agent_info!$A$2:$A$301)), "Invalid", "Ok")</f>
        <v>Ok</v>
      </c>
    </row>
    <row r="1779" spans="1:11" x14ac:dyDescent="0.3">
      <c r="A1779" s="1" t="s">
        <v>5398</v>
      </c>
      <c r="B1779" s="1" t="s">
        <v>2883</v>
      </c>
      <c r="C1779" s="1" t="s">
        <v>3326</v>
      </c>
      <c r="D1779" s="1">
        <v>439082.22</v>
      </c>
      <c r="E1779" s="1">
        <v>21339.54</v>
      </c>
      <c r="F1779" s="41">
        <v>45676</v>
      </c>
      <c r="G1779" s="41">
        <v>46041</v>
      </c>
      <c r="H1779" s="1" t="s">
        <v>3805</v>
      </c>
      <c r="I1779" s="1" t="s">
        <v>3324</v>
      </c>
      <c r="J1779" t="str">
        <f>IF(ISNA(_xlfn.XLOOKUP(B1779,customer_master!$A$2:$A$1649, customer_master!$A$2:$A$1649)), "Invalid", "Ok")</f>
        <v>Ok</v>
      </c>
      <c r="K1779" t="str">
        <f>IF(ISNA(_xlfn.XLOOKUP(H1779,agent_info!$A$2:$A$301, agent_info!$A$2:$A$301)), "Invalid", "Ok")</f>
        <v>Ok</v>
      </c>
    </row>
    <row r="1780" spans="1:11" x14ac:dyDescent="0.3">
      <c r="A1780" s="1" t="s">
        <v>5399</v>
      </c>
      <c r="B1780" s="1" t="s">
        <v>859</v>
      </c>
      <c r="C1780" s="1" t="s">
        <v>3318</v>
      </c>
      <c r="D1780" s="1">
        <v>389874.76</v>
      </c>
      <c r="E1780" s="1">
        <v>18940.189999999999</v>
      </c>
      <c r="F1780" s="41">
        <v>45496</v>
      </c>
      <c r="G1780" s="41">
        <v>45861</v>
      </c>
      <c r="H1780" s="1" t="s">
        <v>3400</v>
      </c>
      <c r="I1780" s="1" t="s">
        <v>3324</v>
      </c>
      <c r="J1780" t="str">
        <f>IF(ISNA(_xlfn.XLOOKUP(B1780,customer_master!$A$2:$A$1649, customer_master!$A$2:$A$1649)), "Invalid", "Ok")</f>
        <v>Ok</v>
      </c>
      <c r="K1780" t="str">
        <f>IF(ISNA(_xlfn.XLOOKUP(H1780,agent_info!$A$2:$A$301, agent_info!$A$2:$A$301)), "Invalid", "Ok")</f>
        <v>Ok</v>
      </c>
    </row>
    <row r="1781" spans="1:11" x14ac:dyDescent="0.3">
      <c r="A1781" s="1" t="s">
        <v>5400</v>
      </c>
      <c r="B1781" s="1" t="s">
        <v>222</v>
      </c>
      <c r="C1781" s="1" t="s">
        <v>3326</v>
      </c>
      <c r="D1781" s="1">
        <v>569580.28</v>
      </c>
      <c r="E1781" s="1">
        <v>29528.25</v>
      </c>
      <c r="F1781" s="41">
        <v>44123</v>
      </c>
      <c r="G1781" s="41">
        <v>44488</v>
      </c>
      <c r="H1781" s="1" t="s">
        <v>3587</v>
      </c>
      <c r="I1781" s="1" t="s">
        <v>3316</v>
      </c>
      <c r="J1781" t="str">
        <f>IF(ISNA(_xlfn.XLOOKUP(B1781,customer_master!$A$2:$A$1649, customer_master!$A$2:$A$1649)), "Invalid", "Ok")</f>
        <v>Ok</v>
      </c>
      <c r="K1781" t="str">
        <f>IF(ISNA(_xlfn.XLOOKUP(H1781,agent_info!$A$2:$A$301, agent_info!$A$2:$A$301)), "Invalid", "Ok")</f>
        <v>Ok</v>
      </c>
    </row>
    <row r="1782" spans="1:11" x14ac:dyDescent="0.3">
      <c r="A1782" s="1" t="s">
        <v>5401</v>
      </c>
      <c r="B1782" s="1" t="s">
        <v>3192</v>
      </c>
      <c r="C1782" s="1" t="s">
        <v>3326</v>
      </c>
      <c r="D1782" s="1">
        <v>606105.29</v>
      </c>
      <c r="E1782" s="1">
        <v>28409.58</v>
      </c>
      <c r="F1782" s="41">
        <v>44434</v>
      </c>
      <c r="G1782" s="41">
        <v>44799</v>
      </c>
      <c r="H1782" s="1" t="s">
        <v>3653</v>
      </c>
      <c r="I1782" s="1" t="s">
        <v>3324</v>
      </c>
      <c r="J1782" t="str">
        <f>IF(ISNA(_xlfn.XLOOKUP(B1782,customer_master!$A$2:$A$1649, customer_master!$A$2:$A$1649)), "Invalid", "Ok")</f>
        <v>Ok</v>
      </c>
      <c r="K1782" t="str">
        <f>IF(ISNA(_xlfn.XLOOKUP(H1782,agent_info!$A$2:$A$301, agent_info!$A$2:$A$301)), "Invalid", "Ok")</f>
        <v>Ok</v>
      </c>
    </row>
    <row r="1783" spans="1:11" x14ac:dyDescent="0.3">
      <c r="A1783" s="1" t="s">
        <v>5402</v>
      </c>
      <c r="B1783" s="1" t="s">
        <v>236</v>
      </c>
      <c r="C1783" s="1" t="s">
        <v>3331</v>
      </c>
      <c r="D1783" s="1">
        <v>469432.57</v>
      </c>
      <c r="E1783" s="1">
        <v>25718.87</v>
      </c>
      <c r="F1783" s="41">
        <v>44466</v>
      </c>
      <c r="G1783" s="41">
        <v>44831</v>
      </c>
      <c r="H1783" s="1" t="s">
        <v>3492</v>
      </c>
      <c r="I1783" s="1" t="s">
        <v>3324</v>
      </c>
      <c r="J1783" t="str">
        <f>IF(ISNA(_xlfn.XLOOKUP(B1783,customer_master!$A$2:$A$1649, customer_master!$A$2:$A$1649)), "Invalid", "Ok")</f>
        <v>Ok</v>
      </c>
      <c r="K1783" t="str">
        <f>IF(ISNA(_xlfn.XLOOKUP(H1783,agent_info!$A$2:$A$301, agent_info!$A$2:$A$301)), "Invalid", "Ok")</f>
        <v>Ok</v>
      </c>
    </row>
    <row r="1784" spans="1:11" x14ac:dyDescent="0.3">
      <c r="A1784" s="1" t="s">
        <v>5403</v>
      </c>
      <c r="B1784" s="1" t="s">
        <v>3001</v>
      </c>
      <c r="C1784" s="1" t="s">
        <v>3334</v>
      </c>
      <c r="D1784" s="1">
        <v>690127.49</v>
      </c>
      <c r="E1784" s="1">
        <v>31482.66</v>
      </c>
      <c r="F1784" s="41">
        <v>44941</v>
      </c>
      <c r="G1784" s="41">
        <v>45306</v>
      </c>
      <c r="H1784" s="1" t="s">
        <v>4641</v>
      </c>
      <c r="I1784" s="1" t="s">
        <v>3324</v>
      </c>
      <c r="J1784" t="str">
        <f>IF(ISNA(_xlfn.XLOOKUP(B1784,customer_master!$A$2:$A$1649, customer_master!$A$2:$A$1649)), "Invalid", "Ok")</f>
        <v>Ok</v>
      </c>
      <c r="K1784" t="str">
        <f>IF(ISNA(_xlfn.XLOOKUP(H1784,agent_info!$A$2:$A$301, agent_info!$A$2:$A$301)), "Invalid", "Ok")</f>
        <v>Ok</v>
      </c>
    </row>
    <row r="1785" spans="1:11" x14ac:dyDescent="0.3">
      <c r="A1785" s="1" t="s">
        <v>5404</v>
      </c>
      <c r="B1785" s="1" t="s">
        <v>2056</v>
      </c>
      <c r="C1785" s="1" t="s">
        <v>3331</v>
      </c>
      <c r="D1785" s="1">
        <v>672214.94</v>
      </c>
      <c r="E1785" s="1">
        <v>36795.480000000003</v>
      </c>
      <c r="F1785" s="41">
        <v>45409</v>
      </c>
      <c r="G1785" s="41">
        <v>45774</v>
      </c>
      <c r="H1785" s="1" t="s">
        <v>3568</v>
      </c>
      <c r="I1785" s="1" t="s">
        <v>3324</v>
      </c>
      <c r="J1785" t="str">
        <f>IF(ISNA(_xlfn.XLOOKUP(B1785,customer_master!$A$2:$A$1649, customer_master!$A$2:$A$1649)), "Invalid", "Ok")</f>
        <v>Ok</v>
      </c>
      <c r="K1785" t="str">
        <f>IF(ISNA(_xlfn.XLOOKUP(H1785,agent_info!$A$2:$A$301, agent_info!$A$2:$A$301)), "Invalid", "Ok")</f>
        <v>Ok</v>
      </c>
    </row>
    <row r="1786" spans="1:11" x14ac:dyDescent="0.3">
      <c r="A1786" s="1" t="s">
        <v>5405</v>
      </c>
      <c r="B1786" s="1" t="s">
        <v>3057</v>
      </c>
      <c r="C1786" s="1" t="s">
        <v>3314</v>
      </c>
      <c r="D1786" s="1">
        <v>542759.99</v>
      </c>
      <c r="E1786" s="1">
        <v>24797.52</v>
      </c>
      <c r="F1786" s="41">
        <v>44229</v>
      </c>
      <c r="G1786" s="41">
        <v>44594</v>
      </c>
      <c r="H1786" s="1" t="s">
        <v>4027</v>
      </c>
      <c r="I1786" s="1" t="s">
        <v>3324</v>
      </c>
      <c r="J1786" t="str">
        <f>IF(ISNA(_xlfn.XLOOKUP(B1786,customer_master!$A$2:$A$1649, customer_master!$A$2:$A$1649)), "Invalid", "Ok")</f>
        <v>Ok</v>
      </c>
      <c r="K1786" t="str">
        <f>IF(ISNA(_xlfn.XLOOKUP(H1786,agent_info!$A$2:$A$301, agent_info!$A$2:$A$301)), "Invalid", "Ok")</f>
        <v>Ok</v>
      </c>
    </row>
    <row r="1787" spans="1:11" x14ac:dyDescent="0.3">
      <c r="A1787" s="1" t="s">
        <v>5406</v>
      </c>
      <c r="B1787" s="1" t="s">
        <v>1893</v>
      </c>
      <c r="C1787" s="1" t="s">
        <v>3326</v>
      </c>
      <c r="D1787" s="1">
        <v>373878.81</v>
      </c>
      <c r="E1787" s="1">
        <v>18011.66</v>
      </c>
      <c r="F1787" s="41">
        <v>44234</v>
      </c>
      <c r="G1787" s="41">
        <v>44599</v>
      </c>
      <c r="H1787" s="1" t="s">
        <v>3607</v>
      </c>
      <c r="I1787" s="1" t="s">
        <v>3324</v>
      </c>
      <c r="J1787" t="str">
        <f>IF(ISNA(_xlfn.XLOOKUP(B1787,customer_master!$A$2:$A$1649, customer_master!$A$2:$A$1649)), "Invalid", "Ok")</f>
        <v>Ok</v>
      </c>
      <c r="K1787" t="str">
        <f>IF(ISNA(_xlfn.XLOOKUP(H1787,agent_info!$A$2:$A$301, agent_info!$A$2:$A$301)), "Invalid", "Ok")</f>
        <v>Ok</v>
      </c>
    </row>
    <row r="1788" spans="1:11" x14ac:dyDescent="0.3">
      <c r="A1788" s="1" t="s">
        <v>5407</v>
      </c>
      <c r="B1788" s="1" t="s">
        <v>2726</v>
      </c>
      <c r="C1788" s="1" t="s">
        <v>3331</v>
      </c>
      <c r="D1788" s="1">
        <v>488390.7</v>
      </c>
      <c r="E1788" s="1">
        <v>23201.94</v>
      </c>
      <c r="F1788" s="41">
        <v>44614</v>
      </c>
      <c r="G1788" s="41">
        <v>44979</v>
      </c>
      <c r="H1788" s="1" t="s">
        <v>3809</v>
      </c>
      <c r="I1788" s="1" t="s">
        <v>3324</v>
      </c>
      <c r="J1788" t="str">
        <f>IF(ISNA(_xlfn.XLOOKUP(B1788,customer_master!$A$2:$A$1649, customer_master!$A$2:$A$1649)), "Invalid", "Ok")</f>
        <v>Ok</v>
      </c>
      <c r="K1788" t="str">
        <f>IF(ISNA(_xlfn.XLOOKUP(H1788,agent_info!$A$2:$A$301, agent_info!$A$2:$A$301)), "Invalid", "Ok")</f>
        <v>Ok</v>
      </c>
    </row>
    <row r="1789" spans="1:11" x14ac:dyDescent="0.3">
      <c r="A1789" s="1" t="s">
        <v>5408</v>
      </c>
      <c r="B1789" s="1" t="s">
        <v>2414</v>
      </c>
      <c r="C1789" s="1" t="s">
        <v>3326</v>
      </c>
      <c r="D1789" s="1">
        <v>407900.2</v>
      </c>
      <c r="E1789" s="1">
        <v>19414.560000000001</v>
      </c>
      <c r="F1789" s="41">
        <v>46069</v>
      </c>
      <c r="G1789" s="41">
        <v>46434</v>
      </c>
      <c r="H1789" s="1" t="s">
        <v>4771</v>
      </c>
      <c r="I1789" s="1" t="s">
        <v>3324</v>
      </c>
      <c r="J1789" t="str">
        <f>IF(ISNA(_xlfn.XLOOKUP(B1789,customer_master!$A$2:$A$1649, customer_master!$A$2:$A$1649)), "Invalid", "Ok")</f>
        <v>Ok</v>
      </c>
      <c r="K1789" t="str">
        <f>IF(ISNA(_xlfn.XLOOKUP(H1789,agent_info!$A$2:$A$301, agent_info!$A$2:$A$301)), "Invalid", "Ok")</f>
        <v>Ok</v>
      </c>
    </row>
    <row r="1790" spans="1:11" x14ac:dyDescent="0.3">
      <c r="A1790" s="1" t="s">
        <v>5409</v>
      </c>
      <c r="B1790" s="1" t="s">
        <v>1759</v>
      </c>
      <c r="C1790" s="1" t="s">
        <v>3331</v>
      </c>
      <c r="D1790" s="1">
        <v>747289.16</v>
      </c>
      <c r="E1790" s="1">
        <v>41061.07</v>
      </c>
      <c r="F1790" s="41">
        <v>46204</v>
      </c>
      <c r="G1790" s="41">
        <v>46569</v>
      </c>
      <c r="H1790" s="1" t="s">
        <v>4472</v>
      </c>
      <c r="I1790" s="1" t="s">
        <v>3316</v>
      </c>
      <c r="J1790" t="str">
        <f>IF(ISNA(_xlfn.XLOOKUP(B1790,customer_master!$A$2:$A$1649, customer_master!$A$2:$A$1649)), "Invalid", "Ok")</f>
        <v>Ok</v>
      </c>
      <c r="K1790" t="str">
        <f>IF(ISNA(_xlfn.XLOOKUP(H1790,agent_info!$A$2:$A$301, agent_info!$A$2:$A$301)), "Invalid", "Ok")</f>
        <v>Ok</v>
      </c>
    </row>
    <row r="1791" spans="1:11" x14ac:dyDescent="0.3">
      <c r="A1791" s="1" t="s">
        <v>5410</v>
      </c>
      <c r="B1791" s="1" t="s">
        <v>1229</v>
      </c>
      <c r="C1791" s="1" t="s">
        <v>3334</v>
      </c>
      <c r="D1791" s="1">
        <v>699831.54</v>
      </c>
      <c r="E1791" s="1">
        <v>34700.11</v>
      </c>
      <c r="F1791" s="41">
        <v>44296</v>
      </c>
      <c r="G1791" s="41">
        <v>44661</v>
      </c>
      <c r="H1791" s="1" t="s">
        <v>3377</v>
      </c>
      <c r="I1791" s="1" t="s">
        <v>3316</v>
      </c>
      <c r="J1791" t="str">
        <f>IF(ISNA(_xlfn.XLOOKUP(B1791,customer_master!$A$2:$A$1649, customer_master!$A$2:$A$1649)), "Invalid", "Ok")</f>
        <v>Ok</v>
      </c>
      <c r="K1791" t="str">
        <f>IF(ISNA(_xlfn.XLOOKUP(H1791,agent_info!$A$2:$A$301, agent_info!$A$2:$A$301)), "Invalid", "Ok")</f>
        <v>Ok</v>
      </c>
    </row>
    <row r="1792" spans="1:11" x14ac:dyDescent="0.3">
      <c r="A1792" s="1" t="s">
        <v>5411</v>
      </c>
      <c r="B1792" s="1" t="s">
        <v>39</v>
      </c>
      <c r="C1792" s="1" t="s">
        <v>3326</v>
      </c>
      <c r="D1792" s="1">
        <v>377431.76</v>
      </c>
      <c r="E1792" s="1">
        <v>17435.5</v>
      </c>
      <c r="F1792" s="41">
        <v>45231</v>
      </c>
      <c r="G1792" s="41">
        <v>45597</v>
      </c>
      <c r="H1792" s="1" t="s">
        <v>4106</v>
      </c>
      <c r="I1792" s="1" t="s">
        <v>3320</v>
      </c>
      <c r="J1792" t="str">
        <f>IF(ISNA(_xlfn.XLOOKUP(B1792,customer_master!$A$2:$A$1649, customer_master!$A$2:$A$1649)), "Invalid", "Ok")</f>
        <v>Ok</v>
      </c>
      <c r="K1792" t="str">
        <f>IF(ISNA(_xlfn.XLOOKUP(H1792,agent_info!$A$2:$A$301, agent_info!$A$2:$A$301)), "Invalid", "Ok")</f>
        <v>Ok</v>
      </c>
    </row>
    <row r="1793" spans="1:11" x14ac:dyDescent="0.3">
      <c r="A1793" s="1" t="s">
        <v>5412</v>
      </c>
      <c r="B1793" s="1" t="s">
        <v>861</v>
      </c>
      <c r="C1793" s="1" t="s">
        <v>3334</v>
      </c>
      <c r="D1793" s="1">
        <v>582682.11</v>
      </c>
      <c r="E1793" s="1">
        <v>31944.26</v>
      </c>
      <c r="F1793" s="41">
        <v>45670</v>
      </c>
      <c r="G1793" s="41">
        <v>46035</v>
      </c>
      <c r="H1793" s="1" t="s">
        <v>3415</v>
      </c>
      <c r="I1793" s="1" t="s">
        <v>3324</v>
      </c>
      <c r="J1793" t="str">
        <f>IF(ISNA(_xlfn.XLOOKUP(B1793,customer_master!$A$2:$A$1649, customer_master!$A$2:$A$1649)), "Invalid", "Ok")</f>
        <v>Ok</v>
      </c>
      <c r="K1793" t="str">
        <f>IF(ISNA(_xlfn.XLOOKUP(H1793,agent_info!$A$2:$A$301, agent_info!$A$2:$A$301)), "Invalid", "Ok")</f>
        <v>Ok</v>
      </c>
    </row>
    <row r="1794" spans="1:11" x14ac:dyDescent="0.3">
      <c r="A1794" s="1" t="s">
        <v>5413</v>
      </c>
      <c r="B1794" s="1" t="s">
        <v>3160</v>
      </c>
      <c r="C1794" s="1" t="s">
        <v>3334</v>
      </c>
      <c r="D1794" s="1">
        <v>487751.24</v>
      </c>
      <c r="E1794" s="1">
        <v>23132.41</v>
      </c>
      <c r="F1794" s="41">
        <v>45848</v>
      </c>
      <c r="G1794" s="41">
        <v>46213</v>
      </c>
      <c r="H1794" s="1" t="s">
        <v>4027</v>
      </c>
      <c r="I1794" s="1" t="s">
        <v>3324</v>
      </c>
      <c r="J1794" t="str">
        <f>IF(ISNA(_xlfn.XLOOKUP(B1794,customer_master!$A$2:$A$1649, customer_master!$A$2:$A$1649)), "Invalid", "Ok")</f>
        <v>Ok</v>
      </c>
      <c r="K1794" t="str">
        <f>IF(ISNA(_xlfn.XLOOKUP(H1794,agent_info!$A$2:$A$301, agent_info!$A$2:$A$301)), "Invalid", "Ok")</f>
        <v>Ok</v>
      </c>
    </row>
    <row r="1795" spans="1:11" x14ac:dyDescent="0.3">
      <c r="A1795" s="1" t="s">
        <v>5414</v>
      </c>
      <c r="B1795" s="1" t="s">
        <v>931</v>
      </c>
      <c r="C1795" s="1" t="s">
        <v>3331</v>
      </c>
      <c r="D1795" s="1">
        <v>393753.01</v>
      </c>
      <c r="E1795" s="1">
        <v>18004.54</v>
      </c>
      <c r="F1795" s="41">
        <v>45399</v>
      </c>
      <c r="G1795" s="41">
        <v>45764</v>
      </c>
      <c r="H1795" s="1" t="s">
        <v>3653</v>
      </c>
      <c r="I1795" s="1" t="s">
        <v>3316</v>
      </c>
      <c r="J1795" t="str">
        <f>IF(ISNA(_xlfn.XLOOKUP(B1795,customer_master!$A$2:$A$1649, customer_master!$A$2:$A$1649)), "Invalid", "Ok")</f>
        <v>Ok</v>
      </c>
      <c r="K1795" t="str">
        <f>IF(ISNA(_xlfn.XLOOKUP(H1795,agent_info!$A$2:$A$301, agent_info!$A$2:$A$301)), "Invalid", "Ok")</f>
        <v>Ok</v>
      </c>
    </row>
    <row r="1796" spans="1:11" x14ac:dyDescent="0.3">
      <c r="A1796" s="1" t="s">
        <v>5415</v>
      </c>
      <c r="B1796" s="1" t="s">
        <v>2506</v>
      </c>
      <c r="C1796" s="1" t="s">
        <v>3331</v>
      </c>
      <c r="D1796" s="1">
        <v>504457.93</v>
      </c>
      <c r="E1796" s="1">
        <v>22822.59</v>
      </c>
      <c r="F1796" s="41">
        <v>44905</v>
      </c>
      <c r="G1796" s="41">
        <v>45270</v>
      </c>
      <c r="H1796" s="1" t="s">
        <v>3917</v>
      </c>
      <c r="I1796" s="1" t="s">
        <v>3324</v>
      </c>
      <c r="J1796" t="str">
        <f>IF(ISNA(_xlfn.XLOOKUP(B1796,customer_master!$A$2:$A$1649, customer_master!$A$2:$A$1649)), "Invalid", "Ok")</f>
        <v>Ok</v>
      </c>
      <c r="K1796" t="str">
        <f>IF(ISNA(_xlfn.XLOOKUP(H1796,agent_info!$A$2:$A$301, agent_info!$A$2:$A$301)), "Invalid", "Ok")</f>
        <v>Ok</v>
      </c>
    </row>
    <row r="1797" spans="1:11" x14ac:dyDescent="0.3">
      <c r="A1797" s="1" t="s">
        <v>5416</v>
      </c>
      <c r="B1797" s="1" t="s">
        <v>1709</v>
      </c>
      <c r="C1797" s="1" t="s">
        <v>3331</v>
      </c>
      <c r="D1797" s="1">
        <v>430173.79</v>
      </c>
      <c r="E1797" s="1">
        <v>21350.52</v>
      </c>
      <c r="F1797" s="41">
        <v>44122</v>
      </c>
      <c r="G1797" s="41">
        <v>44487</v>
      </c>
      <c r="H1797" s="1" t="s">
        <v>4052</v>
      </c>
      <c r="I1797" s="1" t="s">
        <v>3324</v>
      </c>
      <c r="J1797" t="str">
        <f>IF(ISNA(_xlfn.XLOOKUP(B1797,customer_master!$A$2:$A$1649, customer_master!$A$2:$A$1649)), "Invalid", "Ok")</f>
        <v>Ok</v>
      </c>
      <c r="K1797" t="str">
        <f>IF(ISNA(_xlfn.XLOOKUP(H1797,agent_info!$A$2:$A$301, agent_info!$A$2:$A$301)), "Invalid", "Ok")</f>
        <v>Ok</v>
      </c>
    </row>
    <row r="1798" spans="1:11" x14ac:dyDescent="0.3">
      <c r="A1798" s="1" t="s">
        <v>5417</v>
      </c>
      <c r="B1798" s="1" t="s">
        <v>1039</v>
      </c>
      <c r="C1798" s="1" t="s">
        <v>3326</v>
      </c>
      <c r="D1798" s="1">
        <v>427956.21</v>
      </c>
      <c r="E1798" s="1">
        <v>23188.09</v>
      </c>
      <c r="F1798" s="41">
        <v>45888</v>
      </c>
      <c r="G1798" s="41">
        <v>46253</v>
      </c>
      <c r="H1798" s="1" t="s">
        <v>3341</v>
      </c>
      <c r="I1798" s="1" t="s">
        <v>3324</v>
      </c>
      <c r="J1798" t="str">
        <f>IF(ISNA(_xlfn.XLOOKUP(B1798,customer_master!$A$2:$A$1649, customer_master!$A$2:$A$1649)), "Invalid", "Ok")</f>
        <v>Ok</v>
      </c>
      <c r="K1798" t="str">
        <f>IF(ISNA(_xlfn.XLOOKUP(H1798,agent_info!$A$2:$A$301, agent_info!$A$2:$A$301)), "Invalid", "Ok")</f>
        <v>Ok</v>
      </c>
    </row>
    <row r="1799" spans="1:11" x14ac:dyDescent="0.3">
      <c r="A1799" s="1" t="s">
        <v>5418</v>
      </c>
      <c r="B1799" s="1" t="s">
        <v>3283</v>
      </c>
      <c r="C1799" s="1" t="s">
        <v>3314</v>
      </c>
      <c r="D1799" s="1">
        <v>510718.08</v>
      </c>
      <c r="E1799" s="1">
        <v>23068.93</v>
      </c>
      <c r="F1799" s="41">
        <v>45750</v>
      </c>
      <c r="G1799" s="41">
        <v>46115</v>
      </c>
      <c r="H1799" s="1" t="s">
        <v>4505</v>
      </c>
      <c r="I1799" s="1" t="s">
        <v>3324</v>
      </c>
      <c r="J1799" t="str">
        <f>IF(ISNA(_xlfn.XLOOKUP(B1799,customer_master!$A$2:$A$1649, customer_master!$A$2:$A$1649)), "Invalid", "Ok")</f>
        <v>Ok</v>
      </c>
      <c r="K1799" t="str">
        <f>IF(ISNA(_xlfn.XLOOKUP(H1799,agent_info!$A$2:$A$301, agent_info!$A$2:$A$301)), "Invalid", "Ok")</f>
        <v>Ok</v>
      </c>
    </row>
    <row r="1800" spans="1:11" x14ac:dyDescent="0.3">
      <c r="A1800" s="1" t="s">
        <v>5419</v>
      </c>
      <c r="B1800" s="1" t="s">
        <v>190</v>
      </c>
      <c r="C1800" s="1" t="s">
        <v>3318</v>
      </c>
      <c r="D1800" s="1">
        <v>532560.59</v>
      </c>
      <c r="E1800" s="1">
        <v>27827.23</v>
      </c>
      <c r="F1800" s="41">
        <v>45489</v>
      </c>
      <c r="G1800" s="41">
        <v>45854</v>
      </c>
      <c r="H1800" s="1" t="s">
        <v>3672</v>
      </c>
      <c r="I1800" s="1" t="s">
        <v>3324</v>
      </c>
      <c r="J1800" t="str">
        <f>IF(ISNA(_xlfn.XLOOKUP(B1800,customer_master!$A$2:$A$1649, customer_master!$A$2:$A$1649)), "Invalid", "Ok")</f>
        <v>Ok</v>
      </c>
      <c r="K1800" t="str">
        <f>IF(ISNA(_xlfn.XLOOKUP(H1800,agent_info!$A$2:$A$301, agent_info!$A$2:$A$301)), "Invalid", "Ok")</f>
        <v>Ok</v>
      </c>
    </row>
    <row r="1801" spans="1:11" x14ac:dyDescent="0.3">
      <c r="A1801" s="1" t="s">
        <v>5420</v>
      </c>
      <c r="B1801" s="1" t="s">
        <v>1940</v>
      </c>
      <c r="C1801" s="1" t="s">
        <v>3326</v>
      </c>
      <c r="D1801" s="1">
        <v>513954.86</v>
      </c>
      <c r="E1801" s="1">
        <v>24466.42</v>
      </c>
      <c r="F1801" s="41">
        <v>44172</v>
      </c>
      <c r="G1801" s="41">
        <v>44537</v>
      </c>
      <c r="H1801" s="1" t="s">
        <v>3568</v>
      </c>
      <c r="I1801" s="1" t="s">
        <v>3316</v>
      </c>
      <c r="J1801" t="str">
        <f>IF(ISNA(_xlfn.XLOOKUP(B1801,customer_master!$A$2:$A$1649, customer_master!$A$2:$A$1649)), "Invalid", "Ok")</f>
        <v>Ok</v>
      </c>
      <c r="K1801" t="str">
        <f>IF(ISNA(_xlfn.XLOOKUP(H1801,agent_info!$A$2:$A$301, agent_info!$A$2:$A$301)), "Invalid", "Ok")</f>
        <v>Ok</v>
      </c>
    </row>
    <row r="1802" spans="1:11" x14ac:dyDescent="0.3">
      <c r="A1802" s="1" t="s">
        <v>5421</v>
      </c>
      <c r="B1802" s="1" t="s">
        <v>1549</v>
      </c>
      <c r="C1802" s="1" t="s">
        <v>3314</v>
      </c>
      <c r="D1802" s="1">
        <v>585275.94999999995</v>
      </c>
      <c r="E1802" s="1">
        <v>27619.53</v>
      </c>
      <c r="F1802" s="41">
        <v>44621</v>
      </c>
      <c r="G1802" s="41">
        <v>44986</v>
      </c>
      <c r="H1802" s="1" t="s">
        <v>3543</v>
      </c>
      <c r="I1802" s="1" t="s">
        <v>3316</v>
      </c>
      <c r="J1802" t="str">
        <f>IF(ISNA(_xlfn.XLOOKUP(B1802,customer_master!$A$2:$A$1649, customer_master!$A$2:$A$1649)), "Invalid", "Ok")</f>
        <v>Ok</v>
      </c>
      <c r="K1802" t="str">
        <f>IF(ISNA(_xlfn.XLOOKUP(H1802,agent_info!$A$2:$A$301, agent_info!$A$2:$A$301)), "Invalid", "Ok")</f>
        <v>Ok</v>
      </c>
    </row>
    <row r="1803" spans="1:11" x14ac:dyDescent="0.3">
      <c r="A1803" s="1" t="s">
        <v>5422</v>
      </c>
      <c r="B1803" s="1" t="s">
        <v>290</v>
      </c>
      <c r="C1803" s="1" t="s">
        <v>3331</v>
      </c>
      <c r="D1803" s="1">
        <v>522655.29</v>
      </c>
      <c r="E1803" s="1">
        <v>27197.88</v>
      </c>
      <c r="F1803" s="41">
        <v>44260</v>
      </c>
      <c r="G1803" s="41">
        <v>44625</v>
      </c>
      <c r="H1803" s="1" t="s">
        <v>3984</v>
      </c>
      <c r="I1803" s="1" t="s">
        <v>3316</v>
      </c>
      <c r="J1803" t="str">
        <f>IF(ISNA(_xlfn.XLOOKUP(B1803,customer_master!$A$2:$A$1649, customer_master!$A$2:$A$1649)), "Invalid", "Ok")</f>
        <v>Ok</v>
      </c>
      <c r="K1803" t="str">
        <f>IF(ISNA(_xlfn.XLOOKUP(H1803,agent_info!$A$2:$A$301, agent_info!$A$2:$A$301)), "Invalid", "Ok")</f>
        <v>Ok</v>
      </c>
    </row>
    <row r="1804" spans="1:11" x14ac:dyDescent="0.3">
      <c r="A1804" s="1" t="s">
        <v>5423</v>
      </c>
      <c r="B1804" s="1" t="s">
        <v>757</v>
      </c>
      <c r="C1804" s="1" t="s">
        <v>3326</v>
      </c>
      <c r="D1804" s="1">
        <v>524422.36</v>
      </c>
      <c r="E1804" s="1">
        <v>27521.02</v>
      </c>
      <c r="F1804" s="41">
        <v>44389</v>
      </c>
      <c r="G1804" s="41">
        <v>44754</v>
      </c>
      <c r="H1804" s="1" t="s">
        <v>3809</v>
      </c>
      <c r="I1804" s="1" t="s">
        <v>3324</v>
      </c>
      <c r="J1804" t="str">
        <f>IF(ISNA(_xlfn.XLOOKUP(B1804,customer_master!$A$2:$A$1649, customer_master!$A$2:$A$1649)), "Invalid", "Ok")</f>
        <v>Ok</v>
      </c>
      <c r="K1804" t="str">
        <f>IF(ISNA(_xlfn.XLOOKUP(H1804,agent_info!$A$2:$A$301, agent_info!$A$2:$A$301)), "Invalid", "Ok")</f>
        <v>Ok</v>
      </c>
    </row>
    <row r="1805" spans="1:11" x14ac:dyDescent="0.3">
      <c r="A1805" s="1" t="s">
        <v>5424</v>
      </c>
      <c r="B1805" s="1" t="s">
        <v>2322</v>
      </c>
      <c r="C1805" s="1" t="s">
        <v>3318</v>
      </c>
      <c r="D1805" s="1">
        <v>535950.5</v>
      </c>
      <c r="E1805" s="1">
        <v>27113.82</v>
      </c>
      <c r="F1805" s="41">
        <v>45452</v>
      </c>
      <c r="G1805" s="41">
        <v>45817</v>
      </c>
      <c r="H1805" s="1" t="s">
        <v>3949</v>
      </c>
      <c r="I1805" s="1" t="s">
        <v>3324</v>
      </c>
      <c r="J1805" t="str">
        <f>IF(ISNA(_xlfn.XLOOKUP(B1805,customer_master!$A$2:$A$1649, customer_master!$A$2:$A$1649)), "Invalid", "Ok")</f>
        <v>Ok</v>
      </c>
      <c r="K1805" t="str">
        <f>IF(ISNA(_xlfn.XLOOKUP(H1805,agent_info!$A$2:$A$301, agent_info!$A$2:$A$301)), "Invalid", "Ok")</f>
        <v>Ok</v>
      </c>
    </row>
    <row r="1806" spans="1:11" x14ac:dyDescent="0.3">
      <c r="A1806" s="1" t="s">
        <v>5425</v>
      </c>
      <c r="B1806" s="1" t="s">
        <v>389</v>
      </c>
      <c r="C1806" s="1" t="s">
        <v>3314</v>
      </c>
      <c r="D1806" s="1">
        <v>756309.01</v>
      </c>
      <c r="E1806" s="1">
        <v>35563.58</v>
      </c>
      <c r="F1806" s="41">
        <v>44106</v>
      </c>
      <c r="G1806" s="41">
        <v>44471</v>
      </c>
      <c r="H1806" s="1" t="s">
        <v>3490</v>
      </c>
      <c r="I1806" s="1" t="s">
        <v>3324</v>
      </c>
      <c r="J1806" t="str">
        <f>IF(ISNA(_xlfn.XLOOKUP(B1806,customer_master!$A$2:$A$1649, customer_master!$A$2:$A$1649)), "Invalid", "Ok")</f>
        <v>Ok</v>
      </c>
      <c r="K1806" t="str">
        <f>IF(ISNA(_xlfn.XLOOKUP(H1806,agent_info!$A$2:$A$301, agent_info!$A$2:$A$301)), "Invalid", "Ok")</f>
        <v>Ok</v>
      </c>
    </row>
    <row r="1807" spans="1:11" x14ac:dyDescent="0.3">
      <c r="A1807" s="1" t="s">
        <v>5426</v>
      </c>
      <c r="B1807" s="1" t="s">
        <v>2651</v>
      </c>
      <c r="C1807" s="1" t="s">
        <v>3331</v>
      </c>
      <c r="D1807" s="1">
        <v>407304.99</v>
      </c>
      <c r="E1807" s="1">
        <v>18354.419999999998</v>
      </c>
      <c r="F1807" s="41">
        <v>46195</v>
      </c>
      <c r="G1807" s="41">
        <v>46560</v>
      </c>
      <c r="H1807" s="1" t="s">
        <v>4469</v>
      </c>
      <c r="I1807" s="1" t="s">
        <v>3324</v>
      </c>
      <c r="J1807" t="str">
        <f>IF(ISNA(_xlfn.XLOOKUP(B1807,customer_master!$A$2:$A$1649, customer_master!$A$2:$A$1649)), "Invalid", "Ok")</f>
        <v>Ok</v>
      </c>
      <c r="K1807" t="str">
        <f>IF(ISNA(_xlfn.XLOOKUP(H1807,agent_info!$A$2:$A$301, agent_info!$A$2:$A$301)), "Invalid", "Ok")</f>
        <v>Ok</v>
      </c>
    </row>
    <row r="1808" spans="1:11" x14ac:dyDescent="0.3">
      <c r="A1808" s="1" t="s">
        <v>5427</v>
      </c>
      <c r="B1808" s="1" t="s">
        <v>2105</v>
      </c>
      <c r="C1808" s="1" t="s">
        <v>3326</v>
      </c>
      <c r="D1808" s="1">
        <v>555082.97</v>
      </c>
      <c r="E1808" s="1">
        <v>29071.24</v>
      </c>
      <c r="F1808" s="41">
        <v>46176</v>
      </c>
      <c r="G1808" s="41">
        <v>46541</v>
      </c>
      <c r="H1808" s="1" t="s">
        <v>3880</v>
      </c>
      <c r="I1808" s="1" t="s">
        <v>3316</v>
      </c>
      <c r="J1808" t="str">
        <f>IF(ISNA(_xlfn.XLOOKUP(B1808,customer_master!$A$2:$A$1649, customer_master!$A$2:$A$1649)), "Invalid", "Ok")</f>
        <v>Ok</v>
      </c>
      <c r="K1808" t="str">
        <f>IF(ISNA(_xlfn.XLOOKUP(H1808,agent_info!$A$2:$A$301, agent_info!$A$2:$A$301)), "Invalid", "Ok")</f>
        <v>Ok</v>
      </c>
    </row>
    <row r="1809" spans="1:11" x14ac:dyDescent="0.3">
      <c r="A1809" s="1" t="s">
        <v>5428</v>
      </c>
      <c r="B1809" s="1" t="s">
        <v>363</v>
      </c>
      <c r="C1809" s="1" t="s">
        <v>3331</v>
      </c>
      <c r="D1809" s="1">
        <v>455376.4</v>
      </c>
      <c r="E1809" s="1">
        <v>23222.44</v>
      </c>
      <c r="F1809" s="41">
        <v>44310</v>
      </c>
      <c r="G1809" s="41">
        <v>44675</v>
      </c>
      <c r="H1809" s="1" t="s">
        <v>3931</v>
      </c>
      <c r="I1809" s="1" t="s">
        <v>3324</v>
      </c>
      <c r="J1809" t="str">
        <f>IF(ISNA(_xlfn.XLOOKUP(B1809,customer_master!$A$2:$A$1649, customer_master!$A$2:$A$1649)), "Invalid", "Ok")</f>
        <v>Ok</v>
      </c>
      <c r="K1809" t="str">
        <f>IF(ISNA(_xlfn.XLOOKUP(H1809,agent_info!$A$2:$A$301, agent_info!$A$2:$A$301)), "Invalid", "Ok")</f>
        <v>Ok</v>
      </c>
    </row>
    <row r="1810" spans="1:11" x14ac:dyDescent="0.3">
      <c r="A1810" s="1" t="s">
        <v>5429</v>
      </c>
      <c r="B1810" s="1" t="s">
        <v>966</v>
      </c>
      <c r="C1810" s="1" t="s">
        <v>3326</v>
      </c>
      <c r="D1810" s="1">
        <v>481403.25</v>
      </c>
      <c r="E1810" s="1">
        <v>23697.3</v>
      </c>
      <c r="F1810" s="41">
        <v>45690</v>
      </c>
      <c r="G1810" s="41">
        <v>46055</v>
      </c>
      <c r="H1810" s="1" t="s">
        <v>3762</v>
      </c>
      <c r="I1810" s="1" t="s">
        <v>3324</v>
      </c>
      <c r="J1810" t="str">
        <f>IF(ISNA(_xlfn.XLOOKUP(B1810,customer_master!$A$2:$A$1649, customer_master!$A$2:$A$1649)), "Invalid", "Ok")</f>
        <v>Ok</v>
      </c>
      <c r="K1810" t="str">
        <f>IF(ISNA(_xlfn.XLOOKUP(H1810,agent_info!$A$2:$A$301, agent_info!$A$2:$A$301)), "Invalid", "Ok")</f>
        <v>Ok</v>
      </c>
    </row>
    <row r="1811" spans="1:11" x14ac:dyDescent="0.3">
      <c r="A1811" s="1" t="s">
        <v>5430</v>
      </c>
      <c r="B1811" s="1" t="s">
        <v>487</v>
      </c>
      <c r="C1811" s="1" t="s">
        <v>3334</v>
      </c>
      <c r="D1811" s="1">
        <v>595389.34</v>
      </c>
      <c r="E1811" s="1">
        <v>28064.16</v>
      </c>
      <c r="F1811" s="41">
        <v>44818</v>
      </c>
      <c r="G1811" s="41">
        <v>45183</v>
      </c>
      <c r="H1811" s="1" t="s">
        <v>3872</v>
      </c>
      <c r="I1811" s="1" t="s">
        <v>3324</v>
      </c>
      <c r="J1811" t="str">
        <f>IF(ISNA(_xlfn.XLOOKUP(B1811,customer_master!$A$2:$A$1649, customer_master!$A$2:$A$1649)), "Invalid", "Ok")</f>
        <v>Ok</v>
      </c>
      <c r="K1811" t="str">
        <f>IF(ISNA(_xlfn.XLOOKUP(H1811,agent_info!$A$2:$A$301, agent_info!$A$2:$A$301)), "Invalid", "Ok")</f>
        <v>Ok</v>
      </c>
    </row>
    <row r="1812" spans="1:11" x14ac:dyDescent="0.3">
      <c r="A1812" s="1" t="s">
        <v>5431</v>
      </c>
      <c r="B1812" s="1" t="s">
        <v>2643</v>
      </c>
      <c r="C1812" s="1" t="s">
        <v>3326</v>
      </c>
      <c r="D1812" s="1">
        <v>615933.31000000006</v>
      </c>
      <c r="E1812" s="1">
        <v>32410.01</v>
      </c>
      <c r="F1812" s="41">
        <v>45627</v>
      </c>
      <c r="G1812" s="41">
        <v>45992</v>
      </c>
      <c r="H1812" s="1" t="s">
        <v>3406</v>
      </c>
      <c r="I1812" s="1" t="s">
        <v>3324</v>
      </c>
      <c r="J1812" t="str">
        <f>IF(ISNA(_xlfn.XLOOKUP(B1812,customer_master!$A$2:$A$1649, customer_master!$A$2:$A$1649)), "Invalid", "Ok")</f>
        <v>Ok</v>
      </c>
      <c r="K1812" t="str">
        <f>IF(ISNA(_xlfn.XLOOKUP(H1812,agent_info!$A$2:$A$301, agent_info!$A$2:$A$301)), "Invalid", "Ok")</f>
        <v>Ok</v>
      </c>
    </row>
    <row r="1813" spans="1:11" x14ac:dyDescent="0.3">
      <c r="A1813" s="1" t="s">
        <v>5432</v>
      </c>
      <c r="B1813" s="1" t="s">
        <v>1787</v>
      </c>
      <c r="C1813" s="1" t="s">
        <v>3331</v>
      </c>
      <c r="D1813" s="1">
        <v>754504.42</v>
      </c>
      <c r="E1813" s="1">
        <v>34487.61</v>
      </c>
      <c r="F1813" s="41">
        <v>44520</v>
      </c>
      <c r="G1813" s="41">
        <v>44885</v>
      </c>
      <c r="H1813" s="1" t="s">
        <v>4093</v>
      </c>
      <c r="I1813" s="1" t="s">
        <v>3316</v>
      </c>
      <c r="J1813" t="str">
        <f>IF(ISNA(_xlfn.XLOOKUP(B1813,customer_master!$A$2:$A$1649, customer_master!$A$2:$A$1649)), "Invalid", "Ok")</f>
        <v>Ok</v>
      </c>
      <c r="K1813" t="str">
        <f>IF(ISNA(_xlfn.XLOOKUP(H1813,agent_info!$A$2:$A$301, agent_info!$A$2:$A$301)), "Invalid", "Ok")</f>
        <v>Ok</v>
      </c>
    </row>
    <row r="1814" spans="1:11" x14ac:dyDescent="0.3">
      <c r="A1814" s="1" t="s">
        <v>5433</v>
      </c>
      <c r="B1814" s="1" t="s">
        <v>39</v>
      </c>
      <c r="C1814" s="1" t="s">
        <v>3314</v>
      </c>
      <c r="D1814" s="1">
        <v>575044.34</v>
      </c>
      <c r="E1814" s="1">
        <v>29572.82</v>
      </c>
      <c r="F1814" s="41">
        <v>45130</v>
      </c>
      <c r="G1814" s="41">
        <v>45496</v>
      </c>
      <c r="H1814" s="1" t="s">
        <v>3319</v>
      </c>
      <c r="I1814" s="1" t="s">
        <v>3316</v>
      </c>
      <c r="J1814" t="str">
        <f>IF(ISNA(_xlfn.XLOOKUP(B1814,customer_master!$A$2:$A$1649, customer_master!$A$2:$A$1649)), "Invalid", "Ok")</f>
        <v>Ok</v>
      </c>
      <c r="K1814" t="str">
        <f>IF(ISNA(_xlfn.XLOOKUP(H1814,agent_info!$A$2:$A$301, agent_info!$A$2:$A$301)), "Invalid", "Ok")</f>
        <v>Ok</v>
      </c>
    </row>
    <row r="1815" spans="1:11" x14ac:dyDescent="0.3">
      <c r="A1815" s="1" t="s">
        <v>5434</v>
      </c>
      <c r="B1815" s="1" t="s">
        <v>1819</v>
      </c>
      <c r="C1815" s="1" t="s">
        <v>3326</v>
      </c>
      <c r="D1815" s="1">
        <v>439942.69</v>
      </c>
      <c r="E1815" s="1">
        <v>22825.98</v>
      </c>
      <c r="F1815" s="41">
        <v>45310</v>
      </c>
      <c r="G1815" s="41">
        <v>45676</v>
      </c>
      <c r="H1815" s="1" t="s">
        <v>3361</v>
      </c>
      <c r="I1815" s="1" t="s">
        <v>3316</v>
      </c>
      <c r="J1815" t="str">
        <f>IF(ISNA(_xlfn.XLOOKUP(B1815,customer_master!$A$2:$A$1649, customer_master!$A$2:$A$1649)), "Invalid", "Ok")</f>
        <v>Ok</v>
      </c>
      <c r="K1815" t="str">
        <f>IF(ISNA(_xlfn.XLOOKUP(H1815,agent_info!$A$2:$A$301, agent_info!$A$2:$A$301)), "Invalid", "Ok")</f>
        <v>Ok</v>
      </c>
    </row>
    <row r="1816" spans="1:11" x14ac:dyDescent="0.3">
      <c r="A1816" s="1" t="s">
        <v>5435</v>
      </c>
      <c r="B1816" s="1" t="s">
        <v>1620</v>
      </c>
      <c r="C1816" s="1" t="s">
        <v>3331</v>
      </c>
      <c r="D1816" s="1">
        <v>683485.95</v>
      </c>
      <c r="E1816" s="1">
        <v>32282.799999999999</v>
      </c>
      <c r="F1816" s="41">
        <v>45050</v>
      </c>
      <c r="G1816" s="41">
        <v>45416</v>
      </c>
      <c r="H1816" s="1" t="s">
        <v>3391</v>
      </c>
      <c r="I1816" s="1" t="s">
        <v>3324</v>
      </c>
      <c r="J1816" t="str">
        <f>IF(ISNA(_xlfn.XLOOKUP(B1816,customer_master!$A$2:$A$1649, customer_master!$A$2:$A$1649)), "Invalid", "Ok")</f>
        <v>Ok</v>
      </c>
      <c r="K1816" t="str">
        <f>IF(ISNA(_xlfn.XLOOKUP(H1816,agent_info!$A$2:$A$301, agent_info!$A$2:$A$301)), "Invalid", "Ok")</f>
        <v>Ok</v>
      </c>
    </row>
    <row r="1817" spans="1:11" x14ac:dyDescent="0.3">
      <c r="A1817" s="1" t="s">
        <v>5436</v>
      </c>
      <c r="B1817" s="1" t="s">
        <v>2158</v>
      </c>
      <c r="C1817" s="1" t="s">
        <v>3334</v>
      </c>
      <c r="D1817" s="1">
        <v>470305.39</v>
      </c>
      <c r="E1817" s="1">
        <v>23436.85</v>
      </c>
      <c r="F1817" s="41">
        <v>44434</v>
      </c>
      <c r="G1817" s="41">
        <v>44799</v>
      </c>
      <c r="H1817" s="1" t="s">
        <v>3464</v>
      </c>
      <c r="I1817" s="1" t="s">
        <v>3324</v>
      </c>
      <c r="J1817" t="str">
        <f>IF(ISNA(_xlfn.XLOOKUP(B1817,customer_master!$A$2:$A$1649, customer_master!$A$2:$A$1649)), "Invalid", "Ok")</f>
        <v>Ok</v>
      </c>
      <c r="K1817" t="str">
        <f>IF(ISNA(_xlfn.XLOOKUP(H1817,agent_info!$A$2:$A$301, agent_info!$A$2:$A$301)), "Invalid", "Ok")</f>
        <v>Ok</v>
      </c>
    </row>
    <row r="1818" spans="1:11" x14ac:dyDescent="0.3">
      <c r="A1818" s="1" t="s">
        <v>5437</v>
      </c>
      <c r="B1818" s="1" t="s">
        <v>148</v>
      </c>
      <c r="C1818" s="1" t="s">
        <v>3331</v>
      </c>
      <c r="D1818" s="1">
        <v>575241.22</v>
      </c>
      <c r="E1818" s="1">
        <v>28878.26</v>
      </c>
      <c r="F1818" s="41">
        <v>44804</v>
      </c>
      <c r="G1818" s="41">
        <v>45169</v>
      </c>
      <c r="H1818" s="1" t="s">
        <v>3347</v>
      </c>
      <c r="I1818" s="1" t="s">
        <v>3316</v>
      </c>
      <c r="J1818" t="str">
        <f>IF(ISNA(_xlfn.XLOOKUP(B1818,customer_master!$A$2:$A$1649, customer_master!$A$2:$A$1649)), "Invalid", "Ok")</f>
        <v>Ok</v>
      </c>
      <c r="K1818" t="str">
        <f>IF(ISNA(_xlfn.XLOOKUP(H1818,agent_info!$A$2:$A$301, agent_info!$A$2:$A$301)), "Invalid", "Ok")</f>
        <v>Ok</v>
      </c>
    </row>
    <row r="1819" spans="1:11" x14ac:dyDescent="0.3">
      <c r="A1819" s="1" t="s">
        <v>5438</v>
      </c>
      <c r="B1819" s="1" t="s">
        <v>150</v>
      </c>
      <c r="C1819" s="1" t="s">
        <v>3326</v>
      </c>
      <c r="D1819" s="1">
        <v>646348.94999999995</v>
      </c>
      <c r="E1819" s="1">
        <v>32907.449999999997</v>
      </c>
      <c r="F1819" s="41">
        <v>44415</v>
      </c>
      <c r="G1819" s="41">
        <v>44780</v>
      </c>
      <c r="H1819" s="1" t="s">
        <v>3472</v>
      </c>
      <c r="I1819" s="1" t="s">
        <v>3324</v>
      </c>
      <c r="J1819" t="str">
        <f>IF(ISNA(_xlfn.XLOOKUP(B1819,customer_master!$A$2:$A$1649, customer_master!$A$2:$A$1649)), "Invalid", "Ok")</f>
        <v>Ok</v>
      </c>
      <c r="K1819" t="str">
        <f>IF(ISNA(_xlfn.XLOOKUP(H1819,agent_info!$A$2:$A$301, agent_info!$A$2:$A$301)), "Invalid", "Ok")</f>
        <v>Ok</v>
      </c>
    </row>
    <row r="1820" spans="1:11" x14ac:dyDescent="0.3">
      <c r="A1820" s="1" t="s">
        <v>5439</v>
      </c>
      <c r="B1820" s="1" t="s">
        <v>1185</v>
      </c>
      <c r="C1820" s="1" t="s">
        <v>3334</v>
      </c>
      <c r="D1820" s="1">
        <v>540462.43000000005</v>
      </c>
      <c r="E1820" s="1">
        <v>29191.39</v>
      </c>
      <c r="F1820" s="41">
        <v>44199</v>
      </c>
      <c r="G1820" s="41">
        <v>44564</v>
      </c>
      <c r="H1820" s="1" t="s">
        <v>4175</v>
      </c>
      <c r="I1820" s="1" t="s">
        <v>3324</v>
      </c>
      <c r="J1820" t="str">
        <f>IF(ISNA(_xlfn.XLOOKUP(B1820,customer_master!$A$2:$A$1649, customer_master!$A$2:$A$1649)), "Invalid", "Ok")</f>
        <v>Ok</v>
      </c>
      <c r="K1820" t="str">
        <f>IF(ISNA(_xlfn.XLOOKUP(H1820,agent_info!$A$2:$A$301, agent_info!$A$2:$A$301)), "Invalid", "Ok")</f>
        <v>Ok</v>
      </c>
    </row>
    <row r="1821" spans="1:11" x14ac:dyDescent="0.3">
      <c r="A1821" s="1" t="s">
        <v>5440</v>
      </c>
      <c r="B1821" s="1" t="s">
        <v>2302</v>
      </c>
      <c r="C1821" s="1" t="s">
        <v>3334</v>
      </c>
      <c r="D1821" s="1">
        <v>599436.43999999994</v>
      </c>
      <c r="E1821" s="1">
        <v>30250.05</v>
      </c>
      <c r="F1821" s="41">
        <v>45593</v>
      </c>
      <c r="G1821" s="41">
        <v>45958</v>
      </c>
      <c r="H1821" s="1" t="s">
        <v>3767</v>
      </c>
      <c r="I1821" s="1" t="s">
        <v>3324</v>
      </c>
      <c r="J1821" t="str">
        <f>IF(ISNA(_xlfn.XLOOKUP(B1821,customer_master!$A$2:$A$1649, customer_master!$A$2:$A$1649)), "Invalid", "Ok")</f>
        <v>Ok</v>
      </c>
      <c r="K1821" t="str">
        <f>IF(ISNA(_xlfn.XLOOKUP(H1821,agent_info!$A$2:$A$301, agent_info!$A$2:$A$301)), "Invalid", "Ok")</f>
        <v>Ok</v>
      </c>
    </row>
    <row r="1822" spans="1:11" x14ac:dyDescent="0.3">
      <c r="A1822" s="1" t="s">
        <v>5441</v>
      </c>
      <c r="B1822" s="1" t="s">
        <v>2224</v>
      </c>
      <c r="C1822" s="1" t="s">
        <v>3314</v>
      </c>
      <c r="D1822" s="1">
        <v>431026.76</v>
      </c>
      <c r="E1822" s="1">
        <v>19686.36</v>
      </c>
      <c r="F1822" s="41">
        <v>45452</v>
      </c>
      <c r="G1822" s="41">
        <v>45817</v>
      </c>
      <c r="H1822" s="1" t="s">
        <v>3917</v>
      </c>
      <c r="I1822" s="1" t="s">
        <v>3324</v>
      </c>
      <c r="J1822" t="str">
        <f>IF(ISNA(_xlfn.XLOOKUP(B1822,customer_master!$A$2:$A$1649, customer_master!$A$2:$A$1649)), "Invalid", "Ok")</f>
        <v>Ok</v>
      </c>
      <c r="K1822" t="str">
        <f>IF(ISNA(_xlfn.XLOOKUP(H1822,agent_info!$A$2:$A$301, agent_info!$A$2:$A$301)), "Invalid", "Ok")</f>
        <v>Ok</v>
      </c>
    </row>
    <row r="1823" spans="1:11" x14ac:dyDescent="0.3">
      <c r="A1823" s="1" t="s">
        <v>5442</v>
      </c>
      <c r="B1823" s="1" t="s">
        <v>941</v>
      </c>
      <c r="C1823" s="1" t="s">
        <v>3326</v>
      </c>
      <c r="D1823" s="1">
        <v>369588.72</v>
      </c>
      <c r="E1823" s="1">
        <v>17906.47</v>
      </c>
      <c r="F1823" s="41">
        <v>44346</v>
      </c>
      <c r="G1823" s="41">
        <v>44711</v>
      </c>
      <c r="H1823" s="1" t="s">
        <v>4545</v>
      </c>
      <c r="I1823" s="1" t="s">
        <v>3324</v>
      </c>
      <c r="J1823" t="str">
        <f>IF(ISNA(_xlfn.XLOOKUP(B1823,customer_master!$A$2:$A$1649, customer_master!$A$2:$A$1649)), "Invalid", "Ok")</f>
        <v>Ok</v>
      </c>
      <c r="K1823" t="str">
        <f>IF(ISNA(_xlfn.XLOOKUP(H1823,agent_info!$A$2:$A$301, agent_info!$A$2:$A$301)), "Invalid", "Ok")</f>
        <v>Ok</v>
      </c>
    </row>
    <row r="1824" spans="1:11" x14ac:dyDescent="0.3">
      <c r="A1824" s="1" t="s">
        <v>5443</v>
      </c>
      <c r="B1824" s="1" t="s">
        <v>763</v>
      </c>
      <c r="C1824" s="1" t="s">
        <v>3318</v>
      </c>
      <c r="D1824" s="1">
        <v>750814.77</v>
      </c>
      <c r="E1824" s="1">
        <v>38504.239999999998</v>
      </c>
      <c r="F1824" s="41">
        <v>45885</v>
      </c>
      <c r="G1824" s="41">
        <v>46250</v>
      </c>
      <c r="H1824" s="1" t="s">
        <v>3393</v>
      </c>
      <c r="I1824" s="1" t="s">
        <v>3316</v>
      </c>
      <c r="J1824" t="str">
        <f>IF(ISNA(_xlfn.XLOOKUP(B1824,customer_master!$A$2:$A$1649, customer_master!$A$2:$A$1649)), "Invalid", "Ok")</f>
        <v>Ok</v>
      </c>
      <c r="K1824" t="str">
        <f>IF(ISNA(_xlfn.XLOOKUP(H1824,agent_info!$A$2:$A$301, agent_info!$A$2:$A$301)), "Invalid", "Ok")</f>
        <v>Ok</v>
      </c>
    </row>
    <row r="1825" spans="1:11" x14ac:dyDescent="0.3">
      <c r="A1825" s="1" t="s">
        <v>5444</v>
      </c>
      <c r="B1825" s="1" t="s">
        <v>2284</v>
      </c>
      <c r="C1825" s="1" t="s">
        <v>3326</v>
      </c>
      <c r="D1825" s="1">
        <v>412613.49</v>
      </c>
      <c r="E1825" s="1">
        <v>19942.189999999999</v>
      </c>
      <c r="F1825" s="41">
        <v>44302</v>
      </c>
      <c r="G1825" s="41">
        <v>44667</v>
      </c>
      <c r="H1825" s="1" t="s">
        <v>4001</v>
      </c>
      <c r="I1825" s="1" t="s">
        <v>3324</v>
      </c>
      <c r="J1825" t="str">
        <f>IF(ISNA(_xlfn.XLOOKUP(B1825,customer_master!$A$2:$A$1649, customer_master!$A$2:$A$1649)), "Invalid", "Ok")</f>
        <v>Ok</v>
      </c>
      <c r="K1825" t="str">
        <f>IF(ISNA(_xlfn.XLOOKUP(H1825,agent_info!$A$2:$A$301, agent_info!$A$2:$A$301)), "Invalid", "Ok")</f>
        <v>Ok</v>
      </c>
    </row>
    <row r="1826" spans="1:11" x14ac:dyDescent="0.3">
      <c r="A1826" s="1" t="s">
        <v>5445</v>
      </c>
      <c r="B1826" s="1" t="s">
        <v>125</v>
      </c>
      <c r="C1826" s="1" t="s">
        <v>3318</v>
      </c>
      <c r="D1826" s="1">
        <v>504837.54</v>
      </c>
      <c r="E1826" s="1">
        <v>26594.54</v>
      </c>
      <c r="F1826" s="41">
        <v>44727</v>
      </c>
      <c r="G1826" s="41">
        <v>45092</v>
      </c>
      <c r="H1826" s="1" t="s">
        <v>3441</v>
      </c>
      <c r="I1826" s="1" t="s">
        <v>3324</v>
      </c>
      <c r="J1826" t="str">
        <f>IF(ISNA(_xlfn.XLOOKUP(B1826,customer_master!$A$2:$A$1649, customer_master!$A$2:$A$1649)), "Invalid", "Ok")</f>
        <v>Ok</v>
      </c>
      <c r="K1826" t="str">
        <f>IF(ISNA(_xlfn.XLOOKUP(H1826,agent_info!$A$2:$A$301, agent_info!$A$2:$A$301)), "Invalid", "Ok")</f>
        <v>Ok</v>
      </c>
    </row>
    <row r="1827" spans="1:11" x14ac:dyDescent="0.3">
      <c r="A1827" s="1" t="s">
        <v>5446</v>
      </c>
      <c r="B1827" s="1" t="s">
        <v>1869</v>
      </c>
      <c r="C1827" s="1" t="s">
        <v>3331</v>
      </c>
      <c r="D1827" s="1">
        <v>574037.28</v>
      </c>
      <c r="E1827" s="1">
        <v>26921.81</v>
      </c>
      <c r="F1827" s="41">
        <v>45198</v>
      </c>
      <c r="G1827" s="41">
        <v>45564</v>
      </c>
      <c r="H1827" s="1" t="s">
        <v>3479</v>
      </c>
      <c r="I1827" s="1" t="s">
        <v>3316</v>
      </c>
      <c r="J1827" t="str">
        <f>IF(ISNA(_xlfn.XLOOKUP(B1827,customer_master!$A$2:$A$1649, customer_master!$A$2:$A$1649)), "Invalid", "Ok")</f>
        <v>Ok</v>
      </c>
      <c r="K1827" t="str">
        <f>IF(ISNA(_xlfn.XLOOKUP(H1827,agent_info!$A$2:$A$301, agent_info!$A$2:$A$301)), "Invalid", "Ok")</f>
        <v>Ok</v>
      </c>
    </row>
    <row r="1828" spans="1:11" x14ac:dyDescent="0.3">
      <c r="A1828" s="1" t="s">
        <v>5447</v>
      </c>
      <c r="B1828" s="1" t="s">
        <v>1433</v>
      </c>
      <c r="C1828" s="1" t="s">
        <v>3331</v>
      </c>
      <c r="D1828" s="1">
        <v>524360.92000000004</v>
      </c>
      <c r="E1828" s="1">
        <v>24346.1</v>
      </c>
      <c r="F1828" s="41">
        <v>45910</v>
      </c>
      <c r="G1828" s="41">
        <v>46275</v>
      </c>
      <c r="H1828" s="1" t="s">
        <v>3629</v>
      </c>
      <c r="I1828" s="1" t="s">
        <v>3316</v>
      </c>
      <c r="J1828" t="str">
        <f>IF(ISNA(_xlfn.XLOOKUP(B1828,customer_master!$A$2:$A$1649, customer_master!$A$2:$A$1649)), "Invalid", "Ok")</f>
        <v>Ok</v>
      </c>
      <c r="K1828" t="str">
        <f>IF(ISNA(_xlfn.XLOOKUP(H1828,agent_info!$A$2:$A$301, agent_info!$A$2:$A$301)), "Invalid", "Ok")</f>
        <v>Ok</v>
      </c>
    </row>
    <row r="1829" spans="1:11" x14ac:dyDescent="0.3">
      <c r="A1829" s="1" t="s">
        <v>5448</v>
      </c>
      <c r="B1829" s="1" t="s">
        <v>831</v>
      </c>
      <c r="C1829" s="1" t="s">
        <v>3326</v>
      </c>
      <c r="D1829" s="1">
        <v>384068.67</v>
      </c>
      <c r="E1829" s="1">
        <v>18170.41</v>
      </c>
      <c r="F1829" s="41">
        <v>44387</v>
      </c>
      <c r="G1829" s="41">
        <v>44752</v>
      </c>
      <c r="H1829" s="1" t="s">
        <v>3729</v>
      </c>
      <c r="I1829" s="1" t="s">
        <v>3324</v>
      </c>
      <c r="J1829" t="str">
        <f>IF(ISNA(_xlfn.XLOOKUP(B1829,customer_master!$A$2:$A$1649, customer_master!$A$2:$A$1649)), "Invalid", "Ok")</f>
        <v>Ok</v>
      </c>
      <c r="K1829" t="str">
        <f>IF(ISNA(_xlfn.XLOOKUP(H1829,agent_info!$A$2:$A$301, agent_info!$A$2:$A$301)), "Invalid", "Ok")</f>
        <v>Ok</v>
      </c>
    </row>
    <row r="1830" spans="1:11" x14ac:dyDescent="0.3">
      <c r="A1830" s="1" t="s">
        <v>5449</v>
      </c>
      <c r="B1830" s="1" t="s">
        <v>1745</v>
      </c>
      <c r="C1830" s="1" t="s">
        <v>3331</v>
      </c>
      <c r="D1830" s="1">
        <v>456622.74</v>
      </c>
      <c r="E1830" s="1">
        <v>24548.43</v>
      </c>
      <c r="F1830" s="41">
        <v>46076</v>
      </c>
      <c r="G1830" s="41">
        <v>46441</v>
      </c>
      <c r="H1830" s="1" t="s">
        <v>3381</v>
      </c>
      <c r="I1830" s="1" t="s">
        <v>3324</v>
      </c>
      <c r="J1830" t="str">
        <f>IF(ISNA(_xlfn.XLOOKUP(B1830,customer_master!$A$2:$A$1649, customer_master!$A$2:$A$1649)), "Invalid", "Ok")</f>
        <v>Ok</v>
      </c>
      <c r="K1830" t="str">
        <f>IF(ISNA(_xlfn.XLOOKUP(H1830,agent_info!$A$2:$A$301, agent_info!$A$2:$A$301)), "Invalid", "Ok")</f>
        <v>Ok</v>
      </c>
    </row>
    <row r="1831" spans="1:11" x14ac:dyDescent="0.3">
      <c r="A1831" s="1" t="s">
        <v>5450</v>
      </c>
      <c r="B1831" s="1" t="s">
        <v>769</v>
      </c>
      <c r="C1831" s="1" t="s">
        <v>3334</v>
      </c>
      <c r="D1831" s="1">
        <v>574977.35</v>
      </c>
      <c r="E1831" s="1">
        <v>29789.200000000001</v>
      </c>
      <c r="F1831" s="41">
        <v>44129</v>
      </c>
      <c r="G1831" s="41">
        <v>44494</v>
      </c>
      <c r="H1831" s="1" t="s">
        <v>4146</v>
      </c>
      <c r="I1831" s="1" t="s">
        <v>3324</v>
      </c>
      <c r="J1831" t="str">
        <f>IF(ISNA(_xlfn.XLOOKUP(B1831,customer_master!$A$2:$A$1649, customer_master!$A$2:$A$1649)), "Invalid", "Ok")</f>
        <v>Ok</v>
      </c>
      <c r="K1831" t="str">
        <f>IF(ISNA(_xlfn.XLOOKUP(H1831,agent_info!$A$2:$A$301, agent_info!$A$2:$A$301)), "Invalid", "Ok")</f>
        <v>Ok</v>
      </c>
    </row>
    <row r="1832" spans="1:11" x14ac:dyDescent="0.3">
      <c r="A1832" s="1" t="s">
        <v>5451</v>
      </c>
      <c r="B1832" s="1" t="s">
        <v>1891</v>
      </c>
      <c r="C1832" s="1" t="s">
        <v>3331</v>
      </c>
      <c r="D1832" s="1">
        <v>548902.80000000005</v>
      </c>
      <c r="E1832" s="1">
        <v>27555.19</v>
      </c>
      <c r="F1832" s="41">
        <v>45013</v>
      </c>
      <c r="G1832" s="41">
        <v>45379</v>
      </c>
      <c r="H1832" s="1" t="s">
        <v>3811</v>
      </c>
      <c r="I1832" s="1" t="s">
        <v>3324</v>
      </c>
      <c r="J1832" t="str">
        <f>IF(ISNA(_xlfn.XLOOKUP(B1832,customer_master!$A$2:$A$1649, customer_master!$A$2:$A$1649)), "Invalid", "Ok")</f>
        <v>Ok</v>
      </c>
      <c r="K1832" t="str">
        <f>IF(ISNA(_xlfn.XLOOKUP(H1832,agent_info!$A$2:$A$301, agent_info!$A$2:$A$301)), "Invalid", "Ok")</f>
        <v>Ok</v>
      </c>
    </row>
    <row r="1833" spans="1:11" x14ac:dyDescent="0.3">
      <c r="A1833" s="1" t="s">
        <v>5452</v>
      </c>
      <c r="B1833" s="1" t="s">
        <v>526</v>
      </c>
      <c r="C1833" s="1" t="s">
        <v>3314</v>
      </c>
      <c r="D1833" s="1">
        <v>692304.63</v>
      </c>
      <c r="E1833" s="1">
        <v>33232.959999999999</v>
      </c>
      <c r="F1833" s="41">
        <v>44400</v>
      </c>
      <c r="G1833" s="41">
        <v>44765</v>
      </c>
      <c r="H1833" s="1" t="s">
        <v>3485</v>
      </c>
      <c r="I1833" s="1" t="s">
        <v>3320</v>
      </c>
      <c r="J1833" t="str">
        <f>IF(ISNA(_xlfn.XLOOKUP(B1833,customer_master!$A$2:$A$1649, customer_master!$A$2:$A$1649)), "Invalid", "Ok")</f>
        <v>Ok</v>
      </c>
      <c r="K1833" t="str">
        <f>IF(ISNA(_xlfn.XLOOKUP(H1833,agent_info!$A$2:$A$301, agent_info!$A$2:$A$301)), "Invalid", "Ok")</f>
        <v>Ok</v>
      </c>
    </row>
    <row r="1834" spans="1:11" x14ac:dyDescent="0.3">
      <c r="A1834" s="1" t="s">
        <v>5453</v>
      </c>
      <c r="B1834" s="1" t="s">
        <v>1378</v>
      </c>
      <c r="C1834" s="1" t="s">
        <v>3326</v>
      </c>
      <c r="D1834" s="1">
        <v>459125.79</v>
      </c>
      <c r="E1834" s="1">
        <v>24878.15</v>
      </c>
      <c r="F1834" s="41">
        <v>45513</v>
      </c>
      <c r="G1834" s="41">
        <v>45878</v>
      </c>
      <c r="H1834" s="1" t="s">
        <v>3369</v>
      </c>
      <c r="I1834" s="1" t="s">
        <v>3324</v>
      </c>
      <c r="J1834" t="str">
        <f>IF(ISNA(_xlfn.XLOOKUP(B1834,customer_master!$A$2:$A$1649, customer_master!$A$2:$A$1649)), "Invalid", "Ok")</f>
        <v>Ok</v>
      </c>
      <c r="K1834" t="str">
        <f>IF(ISNA(_xlfn.XLOOKUP(H1834,agent_info!$A$2:$A$301, agent_info!$A$2:$A$301)), "Invalid", "Ok")</f>
        <v>Ok</v>
      </c>
    </row>
    <row r="1835" spans="1:11" x14ac:dyDescent="0.3">
      <c r="A1835" s="1" t="s">
        <v>5454</v>
      </c>
      <c r="B1835" s="1" t="s">
        <v>1715</v>
      </c>
      <c r="C1835" s="1" t="s">
        <v>3334</v>
      </c>
      <c r="D1835" s="1">
        <v>747021.32</v>
      </c>
      <c r="E1835" s="1">
        <v>40255.31</v>
      </c>
      <c r="F1835" s="41">
        <v>44572</v>
      </c>
      <c r="G1835" s="41">
        <v>44937</v>
      </c>
      <c r="H1835" s="1" t="s">
        <v>4639</v>
      </c>
      <c r="I1835" s="1" t="s">
        <v>3316</v>
      </c>
      <c r="J1835" t="str">
        <f>IF(ISNA(_xlfn.XLOOKUP(B1835,customer_master!$A$2:$A$1649, customer_master!$A$2:$A$1649)), "Invalid", "Ok")</f>
        <v>Ok</v>
      </c>
      <c r="K1835" t="str">
        <f>IF(ISNA(_xlfn.XLOOKUP(H1835,agent_info!$A$2:$A$301, agent_info!$A$2:$A$301)), "Invalid", "Ok")</f>
        <v>Ok</v>
      </c>
    </row>
    <row r="1836" spans="1:11" x14ac:dyDescent="0.3">
      <c r="A1836" s="1" t="s">
        <v>5455</v>
      </c>
      <c r="B1836" s="1" t="s">
        <v>139</v>
      </c>
      <c r="C1836" s="1" t="s">
        <v>3314</v>
      </c>
      <c r="D1836" s="1">
        <v>493881.99</v>
      </c>
      <c r="E1836" s="1">
        <v>24197.26</v>
      </c>
      <c r="F1836" s="41">
        <v>46003</v>
      </c>
      <c r="G1836" s="41">
        <v>46368</v>
      </c>
      <c r="H1836" s="1" t="s">
        <v>3872</v>
      </c>
      <c r="I1836" s="1" t="s">
        <v>3324</v>
      </c>
      <c r="J1836" t="str">
        <f>IF(ISNA(_xlfn.XLOOKUP(B1836,customer_master!$A$2:$A$1649, customer_master!$A$2:$A$1649)), "Invalid", "Ok")</f>
        <v>Ok</v>
      </c>
      <c r="K1836" t="str">
        <f>IF(ISNA(_xlfn.XLOOKUP(H1836,agent_info!$A$2:$A$301, agent_info!$A$2:$A$301)), "Invalid", "Ok")</f>
        <v>Ok</v>
      </c>
    </row>
    <row r="1837" spans="1:11" x14ac:dyDescent="0.3">
      <c r="A1837" s="1" t="s">
        <v>5456</v>
      </c>
      <c r="B1837" s="1" t="s">
        <v>2052</v>
      </c>
      <c r="C1837" s="1" t="s">
        <v>3326</v>
      </c>
      <c r="D1837" s="1">
        <v>465954.53</v>
      </c>
      <c r="E1837" s="1">
        <v>24475.3</v>
      </c>
      <c r="F1837" s="41">
        <v>44920</v>
      </c>
      <c r="G1837" s="41">
        <v>45285</v>
      </c>
      <c r="H1837" s="1" t="s">
        <v>3377</v>
      </c>
      <c r="I1837" s="1" t="s">
        <v>3324</v>
      </c>
      <c r="J1837" t="str">
        <f>IF(ISNA(_xlfn.XLOOKUP(B1837,customer_master!$A$2:$A$1649, customer_master!$A$2:$A$1649)), "Invalid", "Ok")</f>
        <v>Ok</v>
      </c>
      <c r="K1837" t="str">
        <f>IF(ISNA(_xlfn.XLOOKUP(H1837,agent_info!$A$2:$A$301, agent_info!$A$2:$A$301)), "Invalid", "Ok")</f>
        <v>Ok</v>
      </c>
    </row>
    <row r="1838" spans="1:11" x14ac:dyDescent="0.3">
      <c r="A1838" s="1" t="s">
        <v>5457</v>
      </c>
      <c r="B1838" s="1" t="s">
        <v>2498</v>
      </c>
      <c r="C1838" s="1" t="s">
        <v>3334</v>
      </c>
      <c r="D1838" s="1">
        <v>750485.63</v>
      </c>
      <c r="E1838" s="1">
        <v>40628.019999999997</v>
      </c>
      <c r="F1838" s="41">
        <v>46015</v>
      </c>
      <c r="G1838" s="41">
        <v>46380</v>
      </c>
      <c r="H1838" s="1" t="s">
        <v>3627</v>
      </c>
      <c r="I1838" s="1" t="s">
        <v>3316</v>
      </c>
      <c r="J1838" t="str">
        <f>IF(ISNA(_xlfn.XLOOKUP(B1838,customer_master!$A$2:$A$1649, customer_master!$A$2:$A$1649)), "Invalid", "Ok")</f>
        <v>Ok</v>
      </c>
      <c r="K1838" t="str">
        <f>IF(ISNA(_xlfn.XLOOKUP(H1838,agent_info!$A$2:$A$301, agent_info!$A$2:$A$301)), "Invalid", "Ok")</f>
        <v>Ok</v>
      </c>
    </row>
    <row r="1839" spans="1:11" x14ac:dyDescent="0.3">
      <c r="A1839" s="1" t="s">
        <v>5458</v>
      </c>
      <c r="B1839" s="1" t="s">
        <v>3170</v>
      </c>
      <c r="C1839" s="1" t="s">
        <v>3318</v>
      </c>
      <c r="D1839" s="1">
        <v>695702.72</v>
      </c>
      <c r="E1839" s="1">
        <v>33486.629999999997</v>
      </c>
      <c r="F1839" s="41">
        <v>45880</v>
      </c>
      <c r="G1839" s="41">
        <v>46245</v>
      </c>
      <c r="H1839" s="1" t="s">
        <v>3462</v>
      </c>
      <c r="I1839" s="1" t="s">
        <v>3324</v>
      </c>
      <c r="J1839" t="str">
        <f>IF(ISNA(_xlfn.XLOOKUP(B1839,customer_master!$A$2:$A$1649, customer_master!$A$2:$A$1649)), "Invalid", "Ok")</f>
        <v>Ok</v>
      </c>
      <c r="K1839" t="str">
        <f>IF(ISNA(_xlfn.XLOOKUP(H1839,agent_info!$A$2:$A$301, agent_info!$A$2:$A$301)), "Invalid", "Ok")</f>
        <v>Ok</v>
      </c>
    </row>
    <row r="1840" spans="1:11" x14ac:dyDescent="0.3">
      <c r="A1840" s="1" t="s">
        <v>5459</v>
      </c>
      <c r="B1840" s="1" t="s">
        <v>721</v>
      </c>
      <c r="C1840" s="1" t="s">
        <v>3314</v>
      </c>
      <c r="D1840" s="1">
        <v>507032.67</v>
      </c>
      <c r="E1840" s="1">
        <v>24483.18</v>
      </c>
      <c r="F1840" s="41">
        <v>44323</v>
      </c>
      <c r="G1840" s="41">
        <v>44688</v>
      </c>
      <c r="H1840" s="1" t="s">
        <v>3431</v>
      </c>
      <c r="I1840" s="1" t="s">
        <v>3324</v>
      </c>
      <c r="J1840" t="str">
        <f>IF(ISNA(_xlfn.XLOOKUP(B1840,customer_master!$A$2:$A$1649, customer_master!$A$2:$A$1649)), "Invalid", "Ok")</f>
        <v>Ok</v>
      </c>
      <c r="K1840" t="str">
        <f>IF(ISNA(_xlfn.XLOOKUP(H1840,agent_info!$A$2:$A$301, agent_info!$A$2:$A$301)), "Invalid", "Ok")</f>
        <v>Ok</v>
      </c>
    </row>
    <row r="1841" spans="1:11" x14ac:dyDescent="0.3">
      <c r="A1841" s="1" t="s">
        <v>5460</v>
      </c>
      <c r="B1841" s="1" t="s">
        <v>743</v>
      </c>
      <c r="C1841" s="1" t="s">
        <v>3334</v>
      </c>
      <c r="D1841" s="1">
        <v>537184.61</v>
      </c>
      <c r="E1841" s="1">
        <v>27105.29</v>
      </c>
      <c r="F1841" s="41">
        <v>44448</v>
      </c>
      <c r="G1841" s="41">
        <v>44813</v>
      </c>
      <c r="H1841" s="1" t="s">
        <v>4343</v>
      </c>
      <c r="I1841" s="1" t="s">
        <v>3320</v>
      </c>
      <c r="J1841" t="str">
        <f>IF(ISNA(_xlfn.XLOOKUP(B1841,customer_master!$A$2:$A$1649, customer_master!$A$2:$A$1649)), "Invalid", "Ok")</f>
        <v>Ok</v>
      </c>
      <c r="K1841" t="str">
        <f>IF(ISNA(_xlfn.XLOOKUP(H1841,agent_info!$A$2:$A$301, agent_info!$A$2:$A$301)), "Invalid", "Ok")</f>
        <v>Ok</v>
      </c>
    </row>
    <row r="1842" spans="1:11" x14ac:dyDescent="0.3">
      <c r="A1842" s="1" t="s">
        <v>5461</v>
      </c>
      <c r="B1842" s="1" t="s">
        <v>1029</v>
      </c>
      <c r="C1842" s="1" t="s">
        <v>3334</v>
      </c>
      <c r="D1842" s="1">
        <v>709270.21</v>
      </c>
      <c r="E1842" s="1">
        <v>34813.58</v>
      </c>
      <c r="F1842" s="41">
        <v>44318</v>
      </c>
      <c r="G1842" s="41">
        <v>44683</v>
      </c>
      <c r="H1842" s="1" t="s">
        <v>3821</v>
      </c>
      <c r="I1842" s="1" t="s">
        <v>3324</v>
      </c>
      <c r="J1842" t="str">
        <f>IF(ISNA(_xlfn.XLOOKUP(B1842,customer_master!$A$2:$A$1649, customer_master!$A$2:$A$1649)), "Invalid", "Ok")</f>
        <v>Ok</v>
      </c>
      <c r="K1842" t="str">
        <f>IF(ISNA(_xlfn.XLOOKUP(H1842,agent_info!$A$2:$A$301, agent_info!$A$2:$A$301)), "Invalid", "Ok")</f>
        <v>Ok</v>
      </c>
    </row>
    <row r="1843" spans="1:11" x14ac:dyDescent="0.3">
      <c r="A1843" s="1" t="s">
        <v>5462</v>
      </c>
      <c r="B1843" s="1" t="s">
        <v>2961</v>
      </c>
      <c r="C1843" s="1" t="s">
        <v>3331</v>
      </c>
      <c r="D1843" s="1">
        <v>414343.12</v>
      </c>
      <c r="E1843" s="1">
        <v>21800.58</v>
      </c>
      <c r="F1843" s="41">
        <v>44300</v>
      </c>
      <c r="G1843" s="41">
        <v>44665</v>
      </c>
      <c r="H1843" s="1" t="s">
        <v>3603</v>
      </c>
      <c r="I1843" s="1" t="s">
        <v>3324</v>
      </c>
      <c r="J1843" t="str">
        <f>IF(ISNA(_xlfn.XLOOKUP(B1843,customer_master!$A$2:$A$1649, customer_master!$A$2:$A$1649)), "Invalid", "Ok")</f>
        <v>Ok</v>
      </c>
      <c r="K1843" t="str">
        <f>IF(ISNA(_xlfn.XLOOKUP(H1843,agent_info!$A$2:$A$301, agent_info!$A$2:$A$301)), "Invalid", "Ok")</f>
        <v>Ok</v>
      </c>
    </row>
    <row r="1844" spans="1:11" x14ac:dyDescent="0.3">
      <c r="A1844" s="1" t="s">
        <v>5463</v>
      </c>
      <c r="B1844" s="1" t="s">
        <v>1382</v>
      </c>
      <c r="C1844" s="1" t="s">
        <v>3326</v>
      </c>
      <c r="D1844" s="1">
        <v>453136.71</v>
      </c>
      <c r="E1844" s="1">
        <v>22824.18</v>
      </c>
      <c r="F1844" s="41">
        <v>46172</v>
      </c>
      <c r="G1844" s="41">
        <v>46537</v>
      </c>
      <c r="H1844" s="1" t="s">
        <v>3365</v>
      </c>
      <c r="I1844" s="1" t="s">
        <v>3316</v>
      </c>
      <c r="J1844" t="str">
        <f>IF(ISNA(_xlfn.XLOOKUP(B1844,customer_master!$A$2:$A$1649, customer_master!$A$2:$A$1649)), "Invalid", "Ok")</f>
        <v>Ok</v>
      </c>
      <c r="K1844" t="str">
        <f>IF(ISNA(_xlfn.XLOOKUP(H1844,agent_info!$A$2:$A$301, agent_info!$A$2:$A$301)), "Invalid", "Ok")</f>
        <v>Ok</v>
      </c>
    </row>
    <row r="1845" spans="1:11" x14ac:dyDescent="0.3">
      <c r="A1845" s="1" t="s">
        <v>5464</v>
      </c>
      <c r="B1845" s="1" t="s">
        <v>1018</v>
      </c>
      <c r="C1845" s="1" t="s">
        <v>3334</v>
      </c>
      <c r="D1845" s="1">
        <v>589649.1</v>
      </c>
      <c r="E1845" s="1">
        <v>27783.41</v>
      </c>
      <c r="F1845" s="41">
        <v>44860</v>
      </c>
      <c r="G1845" s="41">
        <v>45225</v>
      </c>
      <c r="H1845" s="1" t="s">
        <v>3920</v>
      </c>
      <c r="I1845" s="1" t="s">
        <v>3316</v>
      </c>
      <c r="J1845" t="str">
        <f>IF(ISNA(_xlfn.XLOOKUP(B1845,customer_master!$A$2:$A$1649, customer_master!$A$2:$A$1649)), "Invalid", "Ok")</f>
        <v>Ok</v>
      </c>
      <c r="K1845" t="str">
        <f>IF(ISNA(_xlfn.XLOOKUP(H1845,agent_info!$A$2:$A$301, agent_info!$A$2:$A$301)), "Invalid", "Ok")</f>
        <v>Ok</v>
      </c>
    </row>
    <row r="1846" spans="1:11" x14ac:dyDescent="0.3">
      <c r="A1846" s="1" t="s">
        <v>5465</v>
      </c>
      <c r="B1846" s="1" t="s">
        <v>2466</v>
      </c>
      <c r="C1846" s="1" t="s">
        <v>3334</v>
      </c>
      <c r="D1846" s="1">
        <v>704128.11</v>
      </c>
      <c r="E1846" s="1">
        <v>34195.19</v>
      </c>
      <c r="F1846" s="41">
        <v>45426</v>
      </c>
      <c r="G1846" s="41">
        <v>45791</v>
      </c>
      <c r="H1846" s="1" t="s">
        <v>4093</v>
      </c>
      <c r="I1846" s="1" t="s">
        <v>3324</v>
      </c>
      <c r="J1846" t="str">
        <f>IF(ISNA(_xlfn.XLOOKUP(B1846,customer_master!$A$2:$A$1649, customer_master!$A$2:$A$1649)), "Invalid", "Ok")</f>
        <v>Ok</v>
      </c>
      <c r="K1846" t="str">
        <f>IF(ISNA(_xlfn.XLOOKUP(H1846,agent_info!$A$2:$A$301, agent_info!$A$2:$A$301)), "Invalid", "Ok")</f>
        <v>Ok</v>
      </c>
    </row>
    <row r="1847" spans="1:11" x14ac:dyDescent="0.3">
      <c r="A1847" s="1" t="s">
        <v>5466</v>
      </c>
      <c r="B1847" s="1" t="s">
        <v>158</v>
      </c>
      <c r="C1847" s="1" t="s">
        <v>3318</v>
      </c>
      <c r="D1847" s="1">
        <v>591425.1</v>
      </c>
      <c r="E1847" s="1">
        <v>30584.01</v>
      </c>
      <c r="F1847" s="41">
        <v>44336</v>
      </c>
      <c r="G1847" s="41">
        <v>44701</v>
      </c>
      <c r="H1847" s="1" t="s">
        <v>4539</v>
      </c>
      <c r="I1847" s="1" t="s">
        <v>3324</v>
      </c>
      <c r="J1847" t="str">
        <f>IF(ISNA(_xlfn.XLOOKUP(B1847,customer_master!$A$2:$A$1649, customer_master!$A$2:$A$1649)), "Invalid", "Ok")</f>
        <v>Ok</v>
      </c>
      <c r="K1847" t="str">
        <f>IF(ISNA(_xlfn.XLOOKUP(H1847,agent_info!$A$2:$A$301, agent_info!$A$2:$A$301)), "Invalid", "Ok")</f>
        <v>Ok</v>
      </c>
    </row>
    <row r="1848" spans="1:11" x14ac:dyDescent="0.3">
      <c r="A1848" s="1" t="s">
        <v>5467</v>
      </c>
      <c r="B1848" s="1" t="s">
        <v>1833</v>
      </c>
      <c r="C1848" s="1" t="s">
        <v>3318</v>
      </c>
      <c r="D1848" s="1">
        <v>563136.4</v>
      </c>
      <c r="E1848" s="1">
        <v>25642.05</v>
      </c>
      <c r="F1848" s="41">
        <v>46100</v>
      </c>
      <c r="G1848" s="41">
        <v>46465</v>
      </c>
      <c r="H1848" s="1" t="s">
        <v>4313</v>
      </c>
      <c r="I1848" s="1" t="s">
        <v>3324</v>
      </c>
      <c r="J1848" t="str">
        <f>IF(ISNA(_xlfn.XLOOKUP(B1848,customer_master!$A$2:$A$1649, customer_master!$A$2:$A$1649)), "Invalid", "Ok")</f>
        <v>Ok</v>
      </c>
      <c r="K1848" t="str">
        <f>IF(ISNA(_xlfn.XLOOKUP(H1848,agent_info!$A$2:$A$301, agent_info!$A$2:$A$301)), "Invalid", "Ok")</f>
        <v>Ok</v>
      </c>
    </row>
    <row r="1849" spans="1:11" x14ac:dyDescent="0.3">
      <c r="A1849" s="1" t="s">
        <v>5468</v>
      </c>
      <c r="B1849" s="1" t="s">
        <v>1511</v>
      </c>
      <c r="C1849" s="1" t="s">
        <v>3334</v>
      </c>
      <c r="D1849" s="1">
        <v>755415.26</v>
      </c>
      <c r="E1849" s="1">
        <v>36578.47</v>
      </c>
      <c r="F1849" s="41">
        <v>46093</v>
      </c>
      <c r="G1849" s="41">
        <v>46458</v>
      </c>
      <c r="H1849" s="1" t="s">
        <v>4469</v>
      </c>
      <c r="I1849" s="1" t="s">
        <v>3324</v>
      </c>
      <c r="J1849" t="str">
        <f>IF(ISNA(_xlfn.XLOOKUP(B1849,customer_master!$A$2:$A$1649, customer_master!$A$2:$A$1649)), "Invalid", "Ok")</f>
        <v>Ok</v>
      </c>
      <c r="K1849" t="str">
        <f>IF(ISNA(_xlfn.XLOOKUP(H1849,agent_info!$A$2:$A$301, agent_info!$A$2:$A$301)), "Invalid", "Ok")</f>
        <v>Ok</v>
      </c>
    </row>
    <row r="1850" spans="1:11" x14ac:dyDescent="0.3">
      <c r="A1850" s="1" t="s">
        <v>5469</v>
      </c>
      <c r="B1850" s="1" t="s">
        <v>2105</v>
      </c>
      <c r="C1850" s="1" t="s">
        <v>3334</v>
      </c>
      <c r="D1850" s="1">
        <v>429818</v>
      </c>
      <c r="E1850" s="1">
        <v>19410.990000000002</v>
      </c>
      <c r="F1850" s="41">
        <v>46040</v>
      </c>
      <c r="G1850" s="41">
        <v>46405</v>
      </c>
      <c r="H1850" s="1" t="s">
        <v>3803</v>
      </c>
      <c r="I1850" s="1" t="s">
        <v>3324</v>
      </c>
      <c r="J1850" t="str">
        <f>IF(ISNA(_xlfn.XLOOKUP(B1850,customer_master!$A$2:$A$1649, customer_master!$A$2:$A$1649)), "Invalid", "Ok")</f>
        <v>Ok</v>
      </c>
      <c r="K1850" t="str">
        <f>IF(ISNA(_xlfn.XLOOKUP(H1850,agent_info!$A$2:$A$301, agent_info!$A$2:$A$301)), "Invalid", "Ok")</f>
        <v>Ok</v>
      </c>
    </row>
    <row r="1851" spans="1:11" x14ac:dyDescent="0.3">
      <c r="A1851" s="1" t="s">
        <v>5470</v>
      </c>
      <c r="B1851" s="1" t="s">
        <v>2444</v>
      </c>
      <c r="C1851" s="1" t="s">
        <v>3314</v>
      </c>
      <c r="D1851" s="1">
        <v>685325.38</v>
      </c>
      <c r="E1851" s="1">
        <v>36465.25</v>
      </c>
      <c r="F1851" s="41">
        <v>45402</v>
      </c>
      <c r="G1851" s="41">
        <v>45767</v>
      </c>
      <c r="H1851" s="1" t="s">
        <v>3885</v>
      </c>
      <c r="I1851" s="1" t="s">
        <v>3316</v>
      </c>
      <c r="J1851" t="str">
        <f>IF(ISNA(_xlfn.XLOOKUP(B1851,customer_master!$A$2:$A$1649, customer_master!$A$2:$A$1649)), "Invalid", "Ok")</f>
        <v>Ok</v>
      </c>
      <c r="K1851" t="str">
        <f>IF(ISNA(_xlfn.XLOOKUP(H1851,agent_info!$A$2:$A$301, agent_info!$A$2:$A$301)), "Invalid", "Ok")</f>
        <v>Ok</v>
      </c>
    </row>
    <row r="1852" spans="1:11" x14ac:dyDescent="0.3">
      <c r="A1852" s="1" t="s">
        <v>5471</v>
      </c>
      <c r="B1852" s="1" t="s">
        <v>1099</v>
      </c>
      <c r="C1852" s="1" t="s">
        <v>3314</v>
      </c>
      <c r="D1852" s="1">
        <v>433908.42</v>
      </c>
      <c r="E1852" s="1">
        <v>20034.38</v>
      </c>
      <c r="F1852" s="41">
        <v>44467</v>
      </c>
      <c r="G1852" s="41">
        <v>44832</v>
      </c>
      <c r="H1852" s="1" t="s">
        <v>4198</v>
      </c>
      <c r="I1852" s="1" t="s">
        <v>3316</v>
      </c>
      <c r="J1852" t="str">
        <f>IF(ISNA(_xlfn.XLOOKUP(B1852,customer_master!$A$2:$A$1649, customer_master!$A$2:$A$1649)), "Invalid", "Ok")</f>
        <v>Ok</v>
      </c>
      <c r="K1852" t="str">
        <f>IF(ISNA(_xlfn.XLOOKUP(H1852,agent_info!$A$2:$A$301, agent_info!$A$2:$A$301)), "Invalid", "Ok")</f>
        <v>Ok</v>
      </c>
    </row>
    <row r="1853" spans="1:11" x14ac:dyDescent="0.3">
      <c r="A1853" s="1" t="s">
        <v>5472</v>
      </c>
      <c r="B1853" s="1" t="s">
        <v>2141</v>
      </c>
      <c r="C1853" s="1" t="s">
        <v>3314</v>
      </c>
      <c r="D1853" s="1">
        <v>667138.56000000006</v>
      </c>
      <c r="E1853" s="1">
        <v>30536.3</v>
      </c>
      <c r="F1853" s="41">
        <v>45239</v>
      </c>
      <c r="G1853" s="41">
        <v>45605</v>
      </c>
      <c r="H1853" s="1" t="s">
        <v>4391</v>
      </c>
      <c r="I1853" s="1" t="s">
        <v>3316</v>
      </c>
      <c r="J1853" t="str">
        <f>IF(ISNA(_xlfn.XLOOKUP(B1853,customer_master!$A$2:$A$1649, customer_master!$A$2:$A$1649)), "Invalid", "Ok")</f>
        <v>Ok</v>
      </c>
      <c r="K1853" t="str">
        <f>IF(ISNA(_xlfn.XLOOKUP(H1853,agent_info!$A$2:$A$301, agent_info!$A$2:$A$301)), "Invalid", "Ok")</f>
        <v>Ok</v>
      </c>
    </row>
    <row r="1854" spans="1:11" x14ac:dyDescent="0.3">
      <c r="A1854" s="1" t="s">
        <v>5473</v>
      </c>
      <c r="B1854" s="1" t="s">
        <v>1759</v>
      </c>
      <c r="C1854" s="1" t="s">
        <v>3331</v>
      </c>
      <c r="D1854" s="1">
        <v>588688.68999999994</v>
      </c>
      <c r="E1854" s="1">
        <v>31121.58</v>
      </c>
      <c r="F1854" s="41">
        <v>45391</v>
      </c>
      <c r="G1854" s="41">
        <v>45756</v>
      </c>
      <c r="H1854" s="1" t="s">
        <v>3585</v>
      </c>
      <c r="I1854" s="1" t="s">
        <v>3324</v>
      </c>
      <c r="J1854" t="str">
        <f>IF(ISNA(_xlfn.XLOOKUP(B1854,customer_master!$A$2:$A$1649, customer_master!$A$2:$A$1649)), "Invalid", "Ok")</f>
        <v>Ok</v>
      </c>
      <c r="K1854" t="str">
        <f>IF(ISNA(_xlfn.XLOOKUP(H1854,agent_info!$A$2:$A$301, agent_info!$A$2:$A$301)), "Invalid", "Ok")</f>
        <v>Ok</v>
      </c>
    </row>
    <row r="1855" spans="1:11" x14ac:dyDescent="0.3">
      <c r="A1855" s="1" t="s">
        <v>5474</v>
      </c>
      <c r="B1855" s="1" t="s">
        <v>477</v>
      </c>
      <c r="C1855" s="1" t="s">
        <v>3318</v>
      </c>
      <c r="D1855" s="1">
        <v>478036.27</v>
      </c>
      <c r="E1855" s="1">
        <v>21939.51</v>
      </c>
      <c r="F1855" s="41">
        <v>45566</v>
      </c>
      <c r="G1855" s="41">
        <v>45931</v>
      </c>
      <c r="H1855" s="1" t="s">
        <v>3686</v>
      </c>
      <c r="I1855" s="1" t="s">
        <v>3324</v>
      </c>
      <c r="J1855" t="str">
        <f>IF(ISNA(_xlfn.XLOOKUP(B1855,customer_master!$A$2:$A$1649, customer_master!$A$2:$A$1649)), "Invalid", "Ok")</f>
        <v>Ok</v>
      </c>
      <c r="K1855" t="str">
        <f>IF(ISNA(_xlfn.XLOOKUP(H1855,agent_info!$A$2:$A$301, agent_info!$A$2:$A$301)), "Invalid", "Ok")</f>
        <v>Ok</v>
      </c>
    </row>
    <row r="1856" spans="1:11" x14ac:dyDescent="0.3">
      <c r="A1856" s="1" t="s">
        <v>5475</v>
      </c>
      <c r="B1856" s="1" t="s">
        <v>2937</v>
      </c>
      <c r="C1856" s="1" t="s">
        <v>3334</v>
      </c>
      <c r="D1856" s="1">
        <v>594184.78</v>
      </c>
      <c r="E1856" s="1">
        <v>30804.1</v>
      </c>
      <c r="F1856" s="41">
        <v>44406</v>
      </c>
      <c r="G1856" s="41">
        <v>44771</v>
      </c>
      <c r="H1856" s="1" t="s">
        <v>3809</v>
      </c>
      <c r="I1856" s="1" t="s">
        <v>3324</v>
      </c>
      <c r="J1856" t="str">
        <f>IF(ISNA(_xlfn.XLOOKUP(B1856,customer_master!$A$2:$A$1649, customer_master!$A$2:$A$1649)), "Invalid", "Ok")</f>
        <v>Ok</v>
      </c>
      <c r="K1856" t="str">
        <f>IF(ISNA(_xlfn.XLOOKUP(H1856,agent_info!$A$2:$A$301, agent_info!$A$2:$A$301)), "Invalid", "Ok")</f>
        <v>Ok</v>
      </c>
    </row>
    <row r="1857" spans="1:11" x14ac:dyDescent="0.3">
      <c r="A1857" s="1" t="s">
        <v>5476</v>
      </c>
      <c r="B1857" s="1" t="s">
        <v>2516</v>
      </c>
      <c r="C1857" s="1" t="s">
        <v>3326</v>
      </c>
      <c r="D1857" s="1">
        <v>657795.63</v>
      </c>
      <c r="E1857" s="1">
        <v>32099.53</v>
      </c>
      <c r="F1857" s="41">
        <v>45539</v>
      </c>
      <c r="G1857" s="41">
        <v>45904</v>
      </c>
      <c r="H1857" s="1" t="s">
        <v>4106</v>
      </c>
      <c r="I1857" s="1" t="s">
        <v>3320</v>
      </c>
      <c r="J1857" t="str">
        <f>IF(ISNA(_xlfn.XLOOKUP(B1857,customer_master!$A$2:$A$1649, customer_master!$A$2:$A$1649)), "Invalid", "Ok")</f>
        <v>Ok</v>
      </c>
      <c r="K1857" t="str">
        <f>IF(ISNA(_xlfn.XLOOKUP(H1857,agent_info!$A$2:$A$301, agent_info!$A$2:$A$301)), "Invalid", "Ok")</f>
        <v>Ok</v>
      </c>
    </row>
    <row r="1858" spans="1:11" x14ac:dyDescent="0.3">
      <c r="A1858" s="1" t="s">
        <v>5477</v>
      </c>
      <c r="B1858" s="1" t="s">
        <v>3069</v>
      </c>
      <c r="C1858" s="1" t="s">
        <v>3318</v>
      </c>
      <c r="D1858" s="1">
        <v>556485.43000000005</v>
      </c>
      <c r="E1858" s="1">
        <v>29614.48</v>
      </c>
      <c r="F1858" s="41">
        <v>44738</v>
      </c>
      <c r="G1858" s="41">
        <v>45103</v>
      </c>
      <c r="H1858" s="1" t="s">
        <v>3701</v>
      </c>
      <c r="I1858" s="1" t="s">
        <v>3324</v>
      </c>
      <c r="J1858" t="str">
        <f>IF(ISNA(_xlfn.XLOOKUP(B1858,customer_master!$A$2:$A$1649, customer_master!$A$2:$A$1649)), "Invalid", "Ok")</f>
        <v>Ok</v>
      </c>
      <c r="K1858" t="str">
        <f>IF(ISNA(_xlfn.XLOOKUP(H1858,agent_info!$A$2:$A$301, agent_info!$A$2:$A$301)), "Invalid", "Ok")</f>
        <v>Ok</v>
      </c>
    </row>
    <row r="1859" spans="1:11" x14ac:dyDescent="0.3">
      <c r="A1859" s="1" t="s">
        <v>5478</v>
      </c>
      <c r="B1859" s="1" t="s">
        <v>2414</v>
      </c>
      <c r="C1859" s="1" t="s">
        <v>3318</v>
      </c>
      <c r="D1859" s="1">
        <v>380486.7</v>
      </c>
      <c r="E1859" s="1">
        <v>17817.63</v>
      </c>
      <c r="F1859" s="41">
        <v>45869</v>
      </c>
      <c r="G1859" s="41">
        <v>46234</v>
      </c>
      <c r="H1859" s="1" t="s">
        <v>4230</v>
      </c>
      <c r="I1859" s="1" t="s">
        <v>3316</v>
      </c>
      <c r="J1859" t="str">
        <f>IF(ISNA(_xlfn.XLOOKUP(B1859,customer_master!$A$2:$A$1649, customer_master!$A$2:$A$1649)), "Invalid", "Ok")</f>
        <v>Ok</v>
      </c>
      <c r="K1859" t="str">
        <f>IF(ISNA(_xlfn.XLOOKUP(H1859,agent_info!$A$2:$A$301, agent_info!$A$2:$A$301)), "Invalid", "Ok")</f>
        <v>Ok</v>
      </c>
    </row>
    <row r="1860" spans="1:11" x14ac:dyDescent="0.3">
      <c r="A1860" s="1" t="s">
        <v>5479</v>
      </c>
      <c r="B1860" s="1" t="s">
        <v>847</v>
      </c>
      <c r="C1860" s="1" t="s">
        <v>3331</v>
      </c>
      <c r="D1860" s="1">
        <v>403095.03999999998</v>
      </c>
      <c r="E1860" s="1">
        <v>18479.560000000001</v>
      </c>
      <c r="F1860" s="41">
        <v>44840</v>
      </c>
      <c r="G1860" s="41">
        <v>45205</v>
      </c>
      <c r="H1860" s="1" t="s">
        <v>3764</v>
      </c>
      <c r="I1860" s="1" t="s">
        <v>3324</v>
      </c>
      <c r="J1860" t="str">
        <f>IF(ISNA(_xlfn.XLOOKUP(B1860,customer_master!$A$2:$A$1649, customer_master!$A$2:$A$1649)), "Invalid", "Ok")</f>
        <v>Ok</v>
      </c>
      <c r="K1860" t="str">
        <f>IF(ISNA(_xlfn.XLOOKUP(H1860,agent_info!$A$2:$A$301, agent_info!$A$2:$A$301)), "Invalid", "Ok")</f>
        <v>Ok</v>
      </c>
    </row>
    <row r="1861" spans="1:11" x14ac:dyDescent="0.3">
      <c r="A1861" s="1" t="s">
        <v>5480</v>
      </c>
      <c r="B1861" s="1" t="s">
        <v>1449</v>
      </c>
      <c r="C1861" s="1" t="s">
        <v>3326</v>
      </c>
      <c r="D1861" s="1">
        <v>571422.93999999994</v>
      </c>
      <c r="E1861" s="1">
        <v>27019.200000000001</v>
      </c>
      <c r="F1861" s="41">
        <v>44304</v>
      </c>
      <c r="G1861" s="41">
        <v>44669</v>
      </c>
      <c r="H1861" s="1" t="s">
        <v>3738</v>
      </c>
      <c r="I1861" s="1" t="s">
        <v>3324</v>
      </c>
      <c r="J1861" t="str">
        <f>IF(ISNA(_xlfn.XLOOKUP(B1861,customer_master!$A$2:$A$1649, customer_master!$A$2:$A$1649)), "Invalid", "Ok")</f>
        <v>Ok</v>
      </c>
      <c r="K1861" t="str">
        <f>IF(ISNA(_xlfn.XLOOKUP(H1861,agent_info!$A$2:$A$301, agent_info!$A$2:$A$301)), "Invalid", "Ok")</f>
        <v>Ok</v>
      </c>
    </row>
    <row r="1862" spans="1:11" x14ac:dyDescent="0.3">
      <c r="A1862" s="1" t="s">
        <v>5481</v>
      </c>
      <c r="B1862" s="1" t="s">
        <v>1317</v>
      </c>
      <c r="C1862" s="1" t="s">
        <v>3314</v>
      </c>
      <c r="D1862" s="1">
        <v>646003.65</v>
      </c>
      <c r="E1862" s="1">
        <v>35091.79</v>
      </c>
      <c r="F1862" s="41">
        <v>46085</v>
      </c>
      <c r="G1862" s="41">
        <v>46450</v>
      </c>
      <c r="H1862" s="1" t="s">
        <v>3402</v>
      </c>
      <c r="I1862" s="1" t="s">
        <v>3320</v>
      </c>
      <c r="J1862" t="str">
        <f>IF(ISNA(_xlfn.XLOOKUP(B1862,customer_master!$A$2:$A$1649, customer_master!$A$2:$A$1649)), "Invalid", "Ok")</f>
        <v>Ok</v>
      </c>
      <c r="K1862" t="str">
        <f>IF(ISNA(_xlfn.XLOOKUP(H1862,agent_info!$A$2:$A$301, agent_info!$A$2:$A$301)), "Invalid", "Ok")</f>
        <v>Ok</v>
      </c>
    </row>
    <row r="1863" spans="1:11" x14ac:dyDescent="0.3">
      <c r="A1863" s="1" t="s">
        <v>5482</v>
      </c>
      <c r="B1863" s="1" t="s">
        <v>152</v>
      </c>
      <c r="C1863" s="1" t="s">
        <v>3326</v>
      </c>
      <c r="D1863" s="1">
        <v>490621.21</v>
      </c>
      <c r="E1863" s="1">
        <v>26145.8</v>
      </c>
      <c r="F1863" s="41">
        <v>45527</v>
      </c>
      <c r="G1863" s="41">
        <v>45892</v>
      </c>
      <c r="H1863" s="1" t="s">
        <v>4548</v>
      </c>
      <c r="I1863" s="1" t="s">
        <v>3324</v>
      </c>
      <c r="J1863" t="str">
        <f>IF(ISNA(_xlfn.XLOOKUP(B1863,customer_master!$A$2:$A$1649, customer_master!$A$2:$A$1649)), "Invalid", "Ok")</f>
        <v>Ok</v>
      </c>
      <c r="K1863" t="str">
        <f>IF(ISNA(_xlfn.XLOOKUP(H1863,agent_info!$A$2:$A$301, agent_info!$A$2:$A$301)), "Invalid", "Ok")</f>
        <v>Ok</v>
      </c>
    </row>
    <row r="1864" spans="1:11" x14ac:dyDescent="0.3">
      <c r="A1864" s="1" t="s">
        <v>5483</v>
      </c>
      <c r="B1864" s="1" t="s">
        <v>1394</v>
      </c>
      <c r="C1864" s="1" t="s">
        <v>3334</v>
      </c>
      <c r="D1864" s="1">
        <v>478470.45</v>
      </c>
      <c r="E1864" s="1">
        <v>22898.58</v>
      </c>
      <c r="F1864" s="41">
        <v>46121</v>
      </c>
      <c r="G1864" s="41">
        <v>46486</v>
      </c>
      <c r="H1864" s="1" t="s">
        <v>4678</v>
      </c>
      <c r="I1864" s="1" t="s">
        <v>3316</v>
      </c>
      <c r="J1864" t="str">
        <f>IF(ISNA(_xlfn.XLOOKUP(B1864,customer_master!$A$2:$A$1649, customer_master!$A$2:$A$1649)), "Invalid", "Ok")</f>
        <v>Ok</v>
      </c>
      <c r="K1864" t="str">
        <f>IF(ISNA(_xlfn.XLOOKUP(H1864,agent_info!$A$2:$A$301, agent_info!$A$2:$A$301)), "Invalid", "Ok")</f>
        <v>Ok</v>
      </c>
    </row>
    <row r="1865" spans="1:11" x14ac:dyDescent="0.3">
      <c r="A1865" s="1" t="s">
        <v>5484</v>
      </c>
      <c r="B1865" s="1" t="s">
        <v>1173</v>
      </c>
      <c r="C1865" s="1" t="s">
        <v>3334</v>
      </c>
      <c r="D1865" s="1">
        <v>660647.14</v>
      </c>
      <c r="E1865" s="1">
        <v>31090.81</v>
      </c>
      <c r="F1865" s="41">
        <v>45854</v>
      </c>
      <c r="G1865" s="41">
        <v>46219</v>
      </c>
      <c r="H1865" s="1" t="s">
        <v>3989</v>
      </c>
      <c r="I1865" s="1" t="s">
        <v>3324</v>
      </c>
      <c r="J1865" t="str">
        <f>IF(ISNA(_xlfn.XLOOKUP(B1865,customer_master!$A$2:$A$1649, customer_master!$A$2:$A$1649)), "Invalid", "Ok")</f>
        <v>Ok</v>
      </c>
      <c r="K1865" t="str">
        <f>IF(ISNA(_xlfn.XLOOKUP(H1865,agent_info!$A$2:$A$301, agent_info!$A$2:$A$301)), "Invalid", "Ok")</f>
        <v>Ok</v>
      </c>
    </row>
    <row r="1866" spans="1:11" x14ac:dyDescent="0.3">
      <c r="A1866" s="1" t="s">
        <v>5485</v>
      </c>
      <c r="B1866" s="1" t="s">
        <v>48</v>
      </c>
      <c r="C1866" s="1" t="s">
        <v>3314</v>
      </c>
      <c r="D1866" s="1">
        <v>502102.05</v>
      </c>
      <c r="E1866" s="1">
        <v>23382.1</v>
      </c>
      <c r="F1866" s="41">
        <v>45636</v>
      </c>
      <c r="G1866" s="41">
        <v>46001</v>
      </c>
      <c r="H1866" s="1" t="s">
        <v>3862</v>
      </c>
      <c r="I1866" s="1" t="s">
        <v>3324</v>
      </c>
      <c r="J1866" t="str">
        <f>IF(ISNA(_xlfn.XLOOKUP(B1866,customer_master!$A$2:$A$1649, customer_master!$A$2:$A$1649)), "Invalid", "Ok")</f>
        <v>Ok</v>
      </c>
      <c r="K1866" t="str">
        <f>IF(ISNA(_xlfn.XLOOKUP(H1866,agent_info!$A$2:$A$301, agent_info!$A$2:$A$301)), "Invalid", "Ok")</f>
        <v>Ok</v>
      </c>
    </row>
    <row r="1867" spans="1:11" x14ac:dyDescent="0.3">
      <c r="A1867" s="1" t="s">
        <v>5486</v>
      </c>
      <c r="B1867" s="1" t="s">
        <v>2815</v>
      </c>
      <c r="C1867" s="1" t="s">
        <v>3331</v>
      </c>
      <c r="D1867" s="1">
        <v>409735.42</v>
      </c>
      <c r="E1867" s="1">
        <v>19344.439999999999</v>
      </c>
      <c r="F1867" s="41">
        <v>44244</v>
      </c>
      <c r="G1867" s="41">
        <v>44609</v>
      </c>
      <c r="H1867" s="1" t="s">
        <v>4168</v>
      </c>
      <c r="I1867" s="1" t="s">
        <v>3324</v>
      </c>
      <c r="J1867" t="str">
        <f>IF(ISNA(_xlfn.XLOOKUP(B1867,customer_master!$A$2:$A$1649, customer_master!$A$2:$A$1649)), "Invalid", "Ok")</f>
        <v>Ok</v>
      </c>
      <c r="K1867" t="str">
        <f>IF(ISNA(_xlfn.XLOOKUP(H1867,agent_info!$A$2:$A$301, agent_info!$A$2:$A$301)), "Invalid", "Ok")</f>
        <v>Ok</v>
      </c>
    </row>
    <row r="1868" spans="1:11" x14ac:dyDescent="0.3">
      <c r="A1868" s="1" t="s">
        <v>5487</v>
      </c>
      <c r="B1868" s="1" t="s">
        <v>511</v>
      </c>
      <c r="C1868" s="1" t="s">
        <v>3326</v>
      </c>
      <c r="D1868" s="1">
        <v>493363.69</v>
      </c>
      <c r="E1868" s="1">
        <v>23212.98</v>
      </c>
      <c r="F1868" s="41">
        <v>44081</v>
      </c>
      <c r="G1868" s="41">
        <v>44446</v>
      </c>
      <c r="H1868" s="1" t="s">
        <v>3838</v>
      </c>
      <c r="I1868" s="1" t="s">
        <v>3324</v>
      </c>
      <c r="J1868" t="str">
        <f>IF(ISNA(_xlfn.XLOOKUP(B1868,customer_master!$A$2:$A$1649, customer_master!$A$2:$A$1649)), "Invalid", "Ok")</f>
        <v>Ok</v>
      </c>
      <c r="K1868" t="str">
        <f>IF(ISNA(_xlfn.XLOOKUP(H1868,agent_info!$A$2:$A$301, agent_info!$A$2:$A$301)), "Invalid", "Ok")</f>
        <v>Ok</v>
      </c>
    </row>
    <row r="1869" spans="1:11" x14ac:dyDescent="0.3">
      <c r="A1869" s="1" t="s">
        <v>5488</v>
      </c>
      <c r="B1869" s="1" t="s">
        <v>1682</v>
      </c>
      <c r="C1869" s="1" t="s">
        <v>3314</v>
      </c>
      <c r="D1869" s="1">
        <v>592568.36</v>
      </c>
      <c r="E1869" s="1">
        <v>31928.7</v>
      </c>
      <c r="F1869" s="41">
        <v>46122</v>
      </c>
      <c r="G1869" s="41">
        <v>46487</v>
      </c>
      <c r="H1869" s="1" t="s">
        <v>3882</v>
      </c>
      <c r="I1869" s="1" t="s">
        <v>3324</v>
      </c>
      <c r="J1869" t="str">
        <f>IF(ISNA(_xlfn.XLOOKUP(B1869,customer_master!$A$2:$A$1649, customer_master!$A$2:$A$1649)), "Invalid", "Ok")</f>
        <v>Ok</v>
      </c>
      <c r="K1869" t="str">
        <f>IF(ISNA(_xlfn.XLOOKUP(H1869,agent_info!$A$2:$A$301, agent_info!$A$2:$A$301)), "Invalid", "Ok")</f>
        <v>Ok</v>
      </c>
    </row>
    <row r="1870" spans="1:11" x14ac:dyDescent="0.3">
      <c r="A1870" s="1" t="s">
        <v>5489</v>
      </c>
      <c r="B1870" s="1" t="s">
        <v>2601</v>
      </c>
      <c r="C1870" s="1" t="s">
        <v>3331</v>
      </c>
      <c r="D1870" s="1">
        <v>749887.39</v>
      </c>
      <c r="E1870" s="1">
        <v>33894.800000000003</v>
      </c>
      <c r="F1870" s="41">
        <v>44402</v>
      </c>
      <c r="G1870" s="41">
        <v>44767</v>
      </c>
      <c r="H1870" s="1" t="s">
        <v>3751</v>
      </c>
      <c r="I1870" s="1" t="s">
        <v>3324</v>
      </c>
      <c r="J1870" t="str">
        <f>IF(ISNA(_xlfn.XLOOKUP(B1870,customer_master!$A$2:$A$1649, customer_master!$A$2:$A$1649)), "Invalid", "Ok")</f>
        <v>Ok</v>
      </c>
      <c r="K1870" t="str">
        <f>IF(ISNA(_xlfn.XLOOKUP(H1870,agent_info!$A$2:$A$301, agent_info!$A$2:$A$301)), "Invalid", "Ok")</f>
        <v>Ok</v>
      </c>
    </row>
    <row r="1871" spans="1:11" x14ac:dyDescent="0.3">
      <c r="A1871" s="1" t="s">
        <v>5490</v>
      </c>
      <c r="B1871" s="1" t="s">
        <v>2022</v>
      </c>
      <c r="C1871" s="1" t="s">
        <v>3326</v>
      </c>
      <c r="D1871" s="1">
        <v>557277.6</v>
      </c>
      <c r="E1871" s="1">
        <v>29982.22</v>
      </c>
      <c r="F1871" s="41">
        <v>45514</v>
      </c>
      <c r="G1871" s="41">
        <v>45879</v>
      </c>
      <c r="H1871" s="1" t="s">
        <v>3502</v>
      </c>
      <c r="I1871" s="1" t="s">
        <v>3324</v>
      </c>
      <c r="J1871" t="str">
        <f>IF(ISNA(_xlfn.XLOOKUP(B1871,customer_master!$A$2:$A$1649, customer_master!$A$2:$A$1649)), "Invalid", "Ok")</f>
        <v>Ok</v>
      </c>
      <c r="K1871" t="str">
        <f>IF(ISNA(_xlfn.XLOOKUP(H1871,agent_info!$A$2:$A$301, agent_info!$A$2:$A$301)), "Invalid", "Ok")</f>
        <v>Ok</v>
      </c>
    </row>
    <row r="1872" spans="1:11" x14ac:dyDescent="0.3">
      <c r="A1872" s="1" t="s">
        <v>5491</v>
      </c>
      <c r="B1872" s="1" t="s">
        <v>596</v>
      </c>
      <c r="C1872" s="1" t="s">
        <v>3331</v>
      </c>
      <c r="D1872" s="1">
        <v>460974.14</v>
      </c>
      <c r="E1872" s="1">
        <v>20934.79</v>
      </c>
      <c r="F1872" s="41">
        <v>44779</v>
      </c>
      <c r="G1872" s="41">
        <v>45144</v>
      </c>
      <c r="H1872" s="1" t="s">
        <v>4055</v>
      </c>
      <c r="I1872" s="1" t="s">
        <v>3316</v>
      </c>
      <c r="J1872" t="str">
        <f>IF(ISNA(_xlfn.XLOOKUP(B1872,customer_master!$A$2:$A$1649, customer_master!$A$2:$A$1649)), "Invalid", "Ok")</f>
        <v>Ok</v>
      </c>
      <c r="K1872" t="str">
        <f>IF(ISNA(_xlfn.XLOOKUP(H1872,agent_info!$A$2:$A$301, agent_info!$A$2:$A$301)), "Invalid", "Ok")</f>
        <v>Ok</v>
      </c>
    </row>
    <row r="1873" spans="1:11" x14ac:dyDescent="0.3">
      <c r="A1873" s="1" t="s">
        <v>5492</v>
      </c>
      <c r="B1873" s="1" t="s">
        <v>2081</v>
      </c>
      <c r="C1873" s="1" t="s">
        <v>3326</v>
      </c>
      <c r="D1873" s="1">
        <v>641267.75</v>
      </c>
      <c r="E1873" s="1">
        <v>34159.269999999997</v>
      </c>
      <c r="F1873" s="41">
        <v>44933</v>
      </c>
      <c r="G1873" s="41">
        <v>45298</v>
      </c>
      <c r="H1873" s="1" t="s">
        <v>3629</v>
      </c>
      <c r="I1873" s="1" t="s">
        <v>3324</v>
      </c>
      <c r="J1873" t="str">
        <f>IF(ISNA(_xlfn.XLOOKUP(B1873,customer_master!$A$2:$A$1649, customer_master!$A$2:$A$1649)), "Invalid", "Ok")</f>
        <v>Ok</v>
      </c>
      <c r="K1873" t="str">
        <f>IF(ISNA(_xlfn.XLOOKUP(H1873,agent_info!$A$2:$A$301, agent_info!$A$2:$A$301)), "Invalid", "Ok")</f>
        <v>Ok</v>
      </c>
    </row>
    <row r="1874" spans="1:11" x14ac:dyDescent="0.3">
      <c r="A1874" s="1" t="s">
        <v>5493</v>
      </c>
      <c r="B1874" s="1" t="s">
        <v>2525</v>
      </c>
      <c r="C1874" s="1" t="s">
        <v>3318</v>
      </c>
      <c r="D1874" s="1">
        <v>488180.19</v>
      </c>
      <c r="E1874" s="1">
        <v>24046.52</v>
      </c>
      <c r="F1874" s="41">
        <v>45658</v>
      </c>
      <c r="G1874" s="41">
        <v>46023</v>
      </c>
      <c r="H1874" s="1" t="s">
        <v>4025</v>
      </c>
      <c r="I1874" s="1" t="s">
        <v>3324</v>
      </c>
      <c r="J1874" t="str">
        <f>IF(ISNA(_xlfn.XLOOKUP(B1874,customer_master!$A$2:$A$1649, customer_master!$A$2:$A$1649)), "Invalid", "Ok")</f>
        <v>Ok</v>
      </c>
      <c r="K1874" t="str">
        <f>IF(ISNA(_xlfn.XLOOKUP(H1874,agent_info!$A$2:$A$301, agent_info!$A$2:$A$301)), "Invalid", "Ok")</f>
        <v>Ok</v>
      </c>
    </row>
    <row r="1875" spans="1:11" x14ac:dyDescent="0.3">
      <c r="A1875" s="1" t="s">
        <v>5494</v>
      </c>
      <c r="B1875" s="1" t="s">
        <v>2841</v>
      </c>
      <c r="C1875" s="1" t="s">
        <v>3326</v>
      </c>
      <c r="D1875" s="1">
        <v>685747.36</v>
      </c>
      <c r="E1875" s="1">
        <v>31388.07</v>
      </c>
      <c r="F1875" s="41">
        <v>45798</v>
      </c>
      <c r="G1875" s="41">
        <v>46163</v>
      </c>
      <c r="H1875" s="1" t="s">
        <v>3515</v>
      </c>
      <c r="I1875" s="1" t="s">
        <v>3324</v>
      </c>
      <c r="J1875" t="str">
        <f>IF(ISNA(_xlfn.XLOOKUP(B1875,customer_master!$A$2:$A$1649, customer_master!$A$2:$A$1649)), "Invalid", "Ok")</f>
        <v>Ok</v>
      </c>
      <c r="K1875" t="str">
        <f>IF(ISNA(_xlfn.XLOOKUP(H1875,agent_info!$A$2:$A$301, agent_info!$A$2:$A$301)), "Invalid", "Ok")</f>
        <v>Ok</v>
      </c>
    </row>
    <row r="1876" spans="1:11" x14ac:dyDescent="0.3">
      <c r="A1876" s="1" t="s">
        <v>5495</v>
      </c>
      <c r="B1876" s="1" t="s">
        <v>1077</v>
      </c>
      <c r="C1876" s="1" t="s">
        <v>3326</v>
      </c>
      <c r="D1876" s="1">
        <v>463859.29</v>
      </c>
      <c r="E1876" s="1">
        <v>24579.93</v>
      </c>
      <c r="F1876" s="41">
        <v>45125</v>
      </c>
      <c r="G1876" s="41">
        <v>45491</v>
      </c>
      <c r="H1876" s="1" t="s">
        <v>3391</v>
      </c>
      <c r="I1876" s="1" t="s">
        <v>3320</v>
      </c>
      <c r="J1876" t="str">
        <f>IF(ISNA(_xlfn.XLOOKUP(B1876,customer_master!$A$2:$A$1649, customer_master!$A$2:$A$1649)), "Invalid", "Ok")</f>
        <v>Ok</v>
      </c>
      <c r="K1876" t="str">
        <f>IF(ISNA(_xlfn.XLOOKUP(H1876,agent_info!$A$2:$A$301, agent_info!$A$2:$A$301)), "Invalid", "Ok")</f>
        <v>Ok</v>
      </c>
    </row>
    <row r="1877" spans="1:11" x14ac:dyDescent="0.3">
      <c r="A1877" s="1" t="s">
        <v>5496</v>
      </c>
      <c r="B1877" s="1" t="s">
        <v>146</v>
      </c>
      <c r="C1877" s="1" t="s">
        <v>3318</v>
      </c>
      <c r="D1877" s="1">
        <v>721797.79</v>
      </c>
      <c r="E1877" s="1">
        <v>34331.879999999997</v>
      </c>
      <c r="F1877" s="41">
        <v>44224</v>
      </c>
      <c r="G1877" s="41">
        <v>44589</v>
      </c>
      <c r="H1877" s="1" t="s">
        <v>4455</v>
      </c>
      <c r="I1877" s="1" t="s">
        <v>3324</v>
      </c>
      <c r="J1877" t="str">
        <f>IF(ISNA(_xlfn.XLOOKUP(B1877,customer_master!$A$2:$A$1649, customer_master!$A$2:$A$1649)), "Invalid", "Ok")</f>
        <v>Ok</v>
      </c>
      <c r="K1877" t="str">
        <f>IF(ISNA(_xlfn.XLOOKUP(H1877,agent_info!$A$2:$A$301, agent_info!$A$2:$A$301)), "Invalid", "Ok")</f>
        <v>Ok</v>
      </c>
    </row>
    <row r="1878" spans="1:11" x14ac:dyDescent="0.3">
      <c r="A1878" s="1" t="s">
        <v>5497</v>
      </c>
      <c r="B1878" s="1" t="s">
        <v>2040</v>
      </c>
      <c r="C1878" s="1" t="s">
        <v>3331</v>
      </c>
      <c r="D1878" s="1">
        <v>716820.94</v>
      </c>
      <c r="E1878" s="1">
        <v>38550.83</v>
      </c>
      <c r="F1878" s="41">
        <v>45343</v>
      </c>
      <c r="G1878" s="41">
        <v>45709</v>
      </c>
      <c r="H1878" s="1" t="s">
        <v>3515</v>
      </c>
      <c r="I1878" s="1" t="s">
        <v>3320</v>
      </c>
      <c r="J1878" t="str">
        <f>IF(ISNA(_xlfn.XLOOKUP(B1878,customer_master!$A$2:$A$1649, customer_master!$A$2:$A$1649)), "Invalid", "Ok")</f>
        <v>Ok</v>
      </c>
      <c r="K1878" t="str">
        <f>IF(ISNA(_xlfn.XLOOKUP(H1878,agent_info!$A$2:$A$301, agent_info!$A$2:$A$301)), "Invalid", "Ok")</f>
        <v>Ok</v>
      </c>
    </row>
    <row r="1879" spans="1:11" x14ac:dyDescent="0.3">
      <c r="A1879" s="1" t="s">
        <v>5498</v>
      </c>
      <c r="B1879" s="1" t="s">
        <v>801</v>
      </c>
      <c r="C1879" s="1" t="s">
        <v>3318</v>
      </c>
      <c r="D1879" s="1">
        <v>704589.26</v>
      </c>
      <c r="E1879" s="1">
        <v>37006.839999999997</v>
      </c>
      <c r="F1879" s="41">
        <v>46180</v>
      </c>
      <c r="G1879" s="41">
        <v>46545</v>
      </c>
      <c r="H1879" s="1" t="s">
        <v>3949</v>
      </c>
      <c r="I1879" s="1" t="s">
        <v>3316</v>
      </c>
      <c r="J1879" t="str">
        <f>IF(ISNA(_xlfn.XLOOKUP(B1879,customer_master!$A$2:$A$1649, customer_master!$A$2:$A$1649)), "Invalid", "Ok")</f>
        <v>Ok</v>
      </c>
      <c r="K1879" t="str">
        <f>IF(ISNA(_xlfn.XLOOKUP(H1879,agent_info!$A$2:$A$301, agent_info!$A$2:$A$301)), "Invalid", "Ok")</f>
        <v>Ok</v>
      </c>
    </row>
    <row r="1880" spans="1:11" x14ac:dyDescent="0.3">
      <c r="A1880" s="1" t="s">
        <v>5499</v>
      </c>
      <c r="B1880" s="1" t="s">
        <v>2595</v>
      </c>
      <c r="C1880" s="1" t="s">
        <v>3334</v>
      </c>
      <c r="D1880" s="1">
        <v>400163.33</v>
      </c>
      <c r="E1880" s="1">
        <v>21936.04</v>
      </c>
      <c r="F1880" s="41">
        <v>44687</v>
      </c>
      <c r="G1880" s="41">
        <v>45052</v>
      </c>
      <c r="H1880" s="1" t="s">
        <v>3589</v>
      </c>
      <c r="I1880" s="1" t="s">
        <v>3324</v>
      </c>
      <c r="J1880" t="str">
        <f>IF(ISNA(_xlfn.XLOOKUP(B1880,customer_master!$A$2:$A$1649, customer_master!$A$2:$A$1649)), "Invalid", "Ok")</f>
        <v>Ok</v>
      </c>
      <c r="K1880" t="str">
        <f>IF(ISNA(_xlfn.XLOOKUP(H1880,agent_info!$A$2:$A$301, agent_info!$A$2:$A$301)), "Invalid", "Ok")</f>
        <v>Ok</v>
      </c>
    </row>
    <row r="1881" spans="1:11" x14ac:dyDescent="0.3">
      <c r="A1881" s="1" t="s">
        <v>5500</v>
      </c>
      <c r="B1881" s="1" t="s">
        <v>2274</v>
      </c>
      <c r="C1881" s="1" t="s">
        <v>3318</v>
      </c>
      <c r="D1881" s="1">
        <v>699250.85</v>
      </c>
      <c r="E1881" s="1">
        <v>37283.17</v>
      </c>
      <c r="F1881" s="41">
        <v>44275</v>
      </c>
      <c r="G1881" s="41">
        <v>44640</v>
      </c>
      <c r="H1881" s="1" t="s">
        <v>3694</v>
      </c>
      <c r="I1881" s="1" t="s">
        <v>3324</v>
      </c>
      <c r="J1881" t="str">
        <f>IF(ISNA(_xlfn.XLOOKUP(B1881,customer_master!$A$2:$A$1649, customer_master!$A$2:$A$1649)), "Invalid", "Ok")</f>
        <v>Ok</v>
      </c>
      <c r="K1881" t="str">
        <f>IF(ISNA(_xlfn.XLOOKUP(H1881,agent_info!$A$2:$A$301, agent_info!$A$2:$A$301)), "Invalid", "Ok")</f>
        <v>Ok</v>
      </c>
    </row>
    <row r="1882" spans="1:11" x14ac:dyDescent="0.3">
      <c r="A1882" s="1" t="s">
        <v>5501</v>
      </c>
      <c r="B1882" s="1" t="s">
        <v>2573</v>
      </c>
      <c r="C1882" s="1" t="s">
        <v>3326</v>
      </c>
      <c r="D1882" s="1">
        <v>602455.04000000004</v>
      </c>
      <c r="E1882" s="1">
        <v>28562.16</v>
      </c>
      <c r="F1882" s="41">
        <v>46257</v>
      </c>
      <c r="G1882" s="41">
        <v>46622</v>
      </c>
      <c r="H1882" s="1" t="s">
        <v>3637</v>
      </c>
      <c r="I1882" s="1" t="s">
        <v>3324</v>
      </c>
      <c r="J1882" t="str">
        <f>IF(ISNA(_xlfn.XLOOKUP(B1882,customer_master!$A$2:$A$1649, customer_master!$A$2:$A$1649)), "Invalid", "Ok")</f>
        <v>Ok</v>
      </c>
      <c r="K1882" t="str">
        <f>IF(ISNA(_xlfn.XLOOKUP(H1882,agent_info!$A$2:$A$301, agent_info!$A$2:$A$301)), "Invalid", "Ok")</f>
        <v>Ok</v>
      </c>
    </row>
    <row r="1883" spans="1:11" x14ac:dyDescent="0.3">
      <c r="A1883" s="1" t="s">
        <v>5502</v>
      </c>
      <c r="B1883" s="1" t="s">
        <v>3208</v>
      </c>
      <c r="C1883" s="1" t="s">
        <v>3326</v>
      </c>
      <c r="D1883" s="1">
        <v>467004.4</v>
      </c>
      <c r="E1883" s="1">
        <v>22926.25</v>
      </c>
      <c r="F1883" s="41">
        <v>44475</v>
      </c>
      <c r="G1883" s="41">
        <v>44840</v>
      </c>
      <c r="H1883" s="1" t="s">
        <v>4391</v>
      </c>
      <c r="I1883" s="1" t="s">
        <v>3324</v>
      </c>
      <c r="J1883" t="str">
        <f>IF(ISNA(_xlfn.XLOOKUP(B1883,customer_master!$A$2:$A$1649, customer_master!$A$2:$A$1649)), "Invalid", "Ok")</f>
        <v>Ok</v>
      </c>
      <c r="K1883" t="str">
        <f>IF(ISNA(_xlfn.XLOOKUP(H1883,agent_info!$A$2:$A$301, agent_info!$A$2:$A$301)), "Invalid", "Ok")</f>
        <v>Ok</v>
      </c>
    </row>
    <row r="1884" spans="1:11" x14ac:dyDescent="0.3">
      <c r="A1884" s="1" t="s">
        <v>5503</v>
      </c>
      <c r="B1884" s="1" t="s">
        <v>1952</v>
      </c>
      <c r="C1884" s="1" t="s">
        <v>3326</v>
      </c>
      <c r="D1884" s="1">
        <v>521534.45</v>
      </c>
      <c r="E1884" s="1">
        <v>27102.22</v>
      </c>
      <c r="F1884" s="41">
        <v>44920</v>
      </c>
      <c r="G1884" s="41">
        <v>45285</v>
      </c>
      <c r="H1884" s="1" t="s">
        <v>4641</v>
      </c>
      <c r="I1884" s="1" t="s">
        <v>3324</v>
      </c>
      <c r="J1884" t="str">
        <f>IF(ISNA(_xlfn.XLOOKUP(B1884,customer_master!$A$2:$A$1649, customer_master!$A$2:$A$1649)), "Invalid", "Ok")</f>
        <v>Ok</v>
      </c>
      <c r="K1884" t="str">
        <f>IF(ISNA(_xlfn.XLOOKUP(H1884,agent_info!$A$2:$A$301, agent_info!$A$2:$A$301)), "Invalid", "Ok")</f>
        <v>Ok</v>
      </c>
    </row>
    <row r="1885" spans="1:11" x14ac:dyDescent="0.3">
      <c r="A1885" s="1" t="s">
        <v>5504</v>
      </c>
      <c r="B1885" s="1" t="s">
        <v>3003</v>
      </c>
      <c r="C1885" s="1" t="s">
        <v>3326</v>
      </c>
      <c r="D1885" s="1">
        <v>573970.26</v>
      </c>
      <c r="E1885" s="1">
        <v>27642.78</v>
      </c>
      <c r="F1885" s="41">
        <v>44776</v>
      </c>
      <c r="G1885" s="41">
        <v>45141</v>
      </c>
      <c r="H1885" s="1" t="s">
        <v>3550</v>
      </c>
      <c r="I1885" s="1" t="s">
        <v>3316</v>
      </c>
      <c r="J1885" t="str">
        <f>IF(ISNA(_xlfn.XLOOKUP(B1885,customer_master!$A$2:$A$1649, customer_master!$A$2:$A$1649)), "Invalid", "Ok")</f>
        <v>Ok</v>
      </c>
      <c r="K1885" t="str">
        <f>IF(ISNA(_xlfn.XLOOKUP(H1885,agent_info!$A$2:$A$301, agent_info!$A$2:$A$301)), "Invalid", "Ok")</f>
        <v>Ok</v>
      </c>
    </row>
    <row r="1886" spans="1:11" x14ac:dyDescent="0.3">
      <c r="A1886" s="1" t="s">
        <v>5505</v>
      </c>
      <c r="B1886" s="1" t="s">
        <v>2156</v>
      </c>
      <c r="C1886" s="1" t="s">
        <v>3331</v>
      </c>
      <c r="D1886" s="1">
        <v>741459.36</v>
      </c>
      <c r="E1886" s="1">
        <v>37417.769999999997</v>
      </c>
      <c r="F1886" s="41">
        <v>45006</v>
      </c>
      <c r="G1886" s="41">
        <v>45372</v>
      </c>
      <c r="H1886" s="1" t="s">
        <v>3404</v>
      </c>
      <c r="I1886" s="1" t="s">
        <v>3324</v>
      </c>
      <c r="J1886" t="str">
        <f>IF(ISNA(_xlfn.XLOOKUP(B1886,customer_master!$A$2:$A$1649, customer_master!$A$2:$A$1649)), "Invalid", "Ok")</f>
        <v>Ok</v>
      </c>
      <c r="K1886" t="str">
        <f>IF(ISNA(_xlfn.XLOOKUP(H1886,agent_info!$A$2:$A$301, agent_info!$A$2:$A$301)), "Invalid", "Ok")</f>
        <v>Ok</v>
      </c>
    </row>
    <row r="1887" spans="1:11" x14ac:dyDescent="0.3">
      <c r="A1887" s="1" t="s">
        <v>5506</v>
      </c>
      <c r="B1887" s="1" t="s">
        <v>644</v>
      </c>
      <c r="C1887" s="1" t="s">
        <v>3331</v>
      </c>
      <c r="D1887" s="1">
        <v>679102.23</v>
      </c>
      <c r="E1887" s="1">
        <v>32173.47</v>
      </c>
      <c r="F1887" s="41">
        <v>45596</v>
      </c>
      <c r="G1887" s="41">
        <v>45961</v>
      </c>
      <c r="H1887" s="1" t="s">
        <v>3701</v>
      </c>
      <c r="I1887" s="1" t="s">
        <v>3324</v>
      </c>
      <c r="J1887" t="str">
        <f>IF(ISNA(_xlfn.XLOOKUP(B1887,customer_master!$A$2:$A$1649, customer_master!$A$2:$A$1649)), "Invalid", "Ok")</f>
        <v>Ok</v>
      </c>
      <c r="K1887" t="str">
        <f>IF(ISNA(_xlfn.XLOOKUP(H1887,agent_info!$A$2:$A$301, agent_info!$A$2:$A$301)), "Invalid", "Ok")</f>
        <v>Ok</v>
      </c>
    </row>
    <row r="1888" spans="1:11" x14ac:dyDescent="0.3">
      <c r="A1888" s="1" t="s">
        <v>5507</v>
      </c>
      <c r="B1888" s="1" t="s">
        <v>2647</v>
      </c>
      <c r="C1888" s="1" t="s">
        <v>3326</v>
      </c>
      <c r="D1888" s="1">
        <v>499975.26</v>
      </c>
      <c r="E1888" s="1">
        <v>25813.48</v>
      </c>
      <c r="F1888" s="41">
        <v>44984</v>
      </c>
      <c r="G1888" s="41">
        <v>45349</v>
      </c>
      <c r="H1888" s="1" t="s">
        <v>3698</v>
      </c>
      <c r="I1888" s="1" t="s">
        <v>3324</v>
      </c>
      <c r="J1888" t="str">
        <f>IF(ISNA(_xlfn.XLOOKUP(B1888,customer_master!$A$2:$A$1649, customer_master!$A$2:$A$1649)), "Invalid", "Ok")</f>
        <v>Ok</v>
      </c>
      <c r="K1888" t="str">
        <f>IF(ISNA(_xlfn.XLOOKUP(H1888,agent_info!$A$2:$A$301, agent_info!$A$2:$A$301)), "Invalid", "Ok")</f>
        <v>Ok</v>
      </c>
    </row>
    <row r="1889" spans="1:11" x14ac:dyDescent="0.3">
      <c r="A1889" s="1" t="s">
        <v>5508</v>
      </c>
      <c r="B1889" s="1" t="s">
        <v>2318</v>
      </c>
      <c r="C1889" s="1" t="s">
        <v>3318</v>
      </c>
      <c r="D1889" s="1">
        <v>621969.03</v>
      </c>
      <c r="E1889" s="1">
        <v>30116.57</v>
      </c>
      <c r="F1889" s="41">
        <v>45816</v>
      </c>
      <c r="G1889" s="41">
        <v>46181</v>
      </c>
      <c r="H1889" s="1" t="s">
        <v>3745</v>
      </c>
      <c r="I1889" s="1" t="s">
        <v>3324</v>
      </c>
      <c r="J1889" t="str">
        <f>IF(ISNA(_xlfn.XLOOKUP(B1889,customer_master!$A$2:$A$1649, customer_master!$A$2:$A$1649)), "Invalid", "Ok")</f>
        <v>Ok</v>
      </c>
      <c r="K1889" t="str">
        <f>IF(ISNA(_xlfn.XLOOKUP(H1889,agent_info!$A$2:$A$301, agent_info!$A$2:$A$301)), "Invalid", "Ok")</f>
        <v>Ok</v>
      </c>
    </row>
    <row r="1890" spans="1:11" x14ac:dyDescent="0.3">
      <c r="A1890" s="1" t="s">
        <v>5509</v>
      </c>
      <c r="B1890" s="1" t="s">
        <v>3240</v>
      </c>
      <c r="C1890" s="1" t="s">
        <v>3318</v>
      </c>
      <c r="D1890" s="1">
        <v>448259.19</v>
      </c>
      <c r="E1890" s="1">
        <v>20419</v>
      </c>
      <c r="F1890" s="41">
        <v>44807</v>
      </c>
      <c r="G1890" s="41">
        <v>45172</v>
      </c>
      <c r="H1890" s="1" t="s">
        <v>3770</v>
      </c>
      <c r="I1890" s="1" t="s">
        <v>3324</v>
      </c>
      <c r="J1890" t="str">
        <f>IF(ISNA(_xlfn.XLOOKUP(B1890,customer_master!$A$2:$A$1649, customer_master!$A$2:$A$1649)), "Invalid", "Ok")</f>
        <v>Ok</v>
      </c>
      <c r="K1890" t="str">
        <f>IF(ISNA(_xlfn.XLOOKUP(H1890,agent_info!$A$2:$A$301, agent_info!$A$2:$A$301)), "Invalid", "Ok")</f>
        <v>Ok</v>
      </c>
    </row>
    <row r="1891" spans="1:11" x14ac:dyDescent="0.3">
      <c r="A1891" s="1" t="s">
        <v>5510</v>
      </c>
      <c r="B1891" s="1" t="s">
        <v>843</v>
      </c>
      <c r="C1891" s="1" t="s">
        <v>3326</v>
      </c>
      <c r="D1891" s="1">
        <v>498379.84</v>
      </c>
      <c r="E1891" s="1">
        <v>27250.28</v>
      </c>
      <c r="F1891" s="41">
        <v>45835</v>
      </c>
      <c r="G1891" s="41">
        <v>46200</v>
      </c>
      <c r="H1891" s="1" t="s">
        <v>3647</v>
      </c>
      <c r="I1891" s="1" t="s">
        <v>3316</v>
      </c>
      <c r="J1891" t="str">
        <f>IF(ISNA(_xlfn.XLOOKUP(B1891,customer_master!$A$2:$A$1649, customer_master!$A$2:$A$1649)), "Invalid", "Ok")</f>
        <v>Ok</v>
      </c>
      <c r="K1891" t="str">
        <f>IF(ISNA(_xlfn.XLOOKUP(H1891,agent_info!$A$2:$A$301, agent_info!$A$2:$A$301)), "Invalid", "Ok")</f>
        <v>Ok</v>
      </c>
    </row>
    <row r="1892" spans="1:11" x14ac:dyDescent="0.3">
      <c r="A1892" s="1" t="s">
        <v>5511</v>
      </c>
      <c r="B1892" s="1" t="s">
        <v>1127</v>
      </c>
      <c r="C1892" s="1" t="s">
        <v>3314</v>
      </c>
      <c r="D1892" s="1">
        <v>689651.01</v>
      </c>
      <c r="E1892" s="1">
        <v>36854.28</v>
      </c>
      <c r="F1892" s="41">
        <v>45510</v>
      </c>
      <c r="G1892" s="41">
        <v>45875</v>
      </c>
      <c r="H1892" s="1" t="s">
        <v>3589</v>
      </c>
      <c r="I1892" s="1" t="s">
        <v>3316</v>
      </c>
      <c r="J1892" t="str">
        <f>IF(ISNA(_xlfn.XLOOKUP(B1892,customer_master!$A$2:$A$1649, customer_master!$A$2:$A$1649)), "Invalid", "Ok")</f>
        <v>Ok</v>
      </c>
      <c r="K1892" t="str">
        <f>IF(ISNA(_xlfn.XLOOKUP(H1892,agent_info!$A$2:$A$301, agent_info!$A$2:$A$301)), "Invalid", "Ok")</f>
        <v>Ok</v>
      </c>
    </row>
    <row r="1893" spans="1:11" x14ac:dyDescent="0.3">
      <c r="A1893" s="1" t="s">
        <v>5512</v>
      </c>
      <c r="B1893" s="1" t="s">
        <v>2726</v>
      </c>
      <c r="C1893" s="1" t="s">
        <v>3314</v>
      </c>
      <c r="D1893" s="1">
        <v>618537.04</v>
      </c>
      <c r="E1893" s="1">
        <v>29712.77</v>
      </c>
      <c r="F1893" s="41">
        <v>44616</v>
      </c>
      <c r="G1893" s="41">
        <v>44981</v>
      </c>
      <c r="H1893" s="1" t="s">
        <v>3914</v>
      </c>
      <c r="I1893" s="1" t="s">
        <v>3316</v>
      </c>
      <c r="J1893" t="str">
        <f>IF(ISNA(_xlfn.XLOOKUP(B1893,customer_master!$A$2:$A$1649, customer_master!$A$2:$A$1649)), "Invalid", "Ok")</f>
        <v>Ok</v>
      </c>
      <c r="K1893" t="str">
        <f>IF(ISNA(_xlfn.XLOOKUP(H1893,agent_info!$A$2:$A$301, agent_info!$A$2:$A$301)), "Invalid", "Ok")</f>
        <v>Ok</v>
      </c>
    </row>
    <row r="1894" spans="1:11" x14ac:dyDescent="0.3">
      <c r="A1894" s="1" t="s">
        <v>5513</v>
      </c>
      <c r="B1894" s="1" t="s">
        <v>242</v>
      </c>
      <c r="C1894" s="1" t="s">
        <v>3331</v>
      </c>
      <c r="D1894" s="1">
        <v>680309.55</v>
      </c>
      <c r="E1894" s="1">
        <v>31495.78</v>
      </c>
      <c r="F1894" s="41">
        <v>44994</v>
      </c>
      <c r="G1894" s="41">
        <v>45360</v>
      </c>
      <c r="H1894" s="1" t="s">
        <v>3455</v>
      </c>
      <c r="I1894" s="1" t="s">
        <v>3320</v>
      </c>
      <c r="J1894" t="str">
        <f>IF(ISNA(_xlfn.XLOOKUP(B1894,customer_master!$A$2:$A$1649, customer_master!$A$2:$A$1649)), "Invalid", "Ok")</f>
        <v>Ok</v>
      </c>
      <c r="K1894" t="str">
        <f>IF(ISNA(_xlfn.XLOOKUP(H1894,agent_info!$A$2:$A$301, agent_info!$A$2:$A$301)), "Invalid", "Ok")</f>
        <v>Ok</v>
      </c>
    </row>
    <row r="1895" spans="1:11" x14ac:dyDescent="0.3">
      <c r="A1895" s="1" t="s">
        <v>5514</v>
      </c>
      <c r="B1895" s="1" t="s">
        <v>2133</v>
      </c>
      <c r="C1895" s="1" t="s">
        <v>3314</v>
      </c>
      <c r="D1895" s="1">
        <v>581279.43999999994</v>
      </c>
      <c r="E1895" s="1">
        <v>30431.29</v>
      </c>
      <c r="F1895" s="41">
        <v>45166</v>
      </c>
      <c r="G1895" s="41">
        <v>45532</v>
      </c>
      <c r="H1895" s="1" t="s">
        <v>3494</v>
      </c>
      <c r="I1895" s="1" t="s">
        <v>3324</v>
      </c>
      <c r="J1895" t="str">
        <f>IF(ISNA(_xlfn.XLOOKUP(B1895,customer_master!$A$2:$A$1649, customer_master!$A$2:$A$1649)), "Invalid", "Ok")</f>
        <v>Ok</v>
      </c>
      <c r="K1895" t="str">
        <f>IF(ISNA(_xlfn.XLOOKUP(H1895,agent_info!$A$2:$A$301, agent_info!$A$2:$A$301)), "Invalid", "Ok")</f>
        <v>Ok</v>
      </c>
    </row>
    <row r="1896" spans="1:11" x14ac:dyDescent="0.3">
      <c r="A1896" s="1" t="s">
        <v>5515</v>
      </c>
      <c r="B1896" s="1" t="s">
        <v>1799</v>
      </c>
      <c r="C1896" s="1" t="s">
        <v>3318</v>
      </c>
      <c r="D1896" s="1">
        <v>521694.22</v>
      </c>
      <c r="E1896" s="1">
        <v>24627.48</v>
      </c>
      <c r="F1896" s="41">
        <v>45247</v>
      </c>
      <c r="G1896" s="41">
        <v>45613</v>
      </c>
      <c r="H1896" s="1" t="s">
        <v>3431</v>
      </c>
      <c r="I1896" s="1" t="s">
        <v>3316</v>
      </c>
      <c r="J1896" t="str">
        <f>IF(ISNA(_xlfn.XLOOKUP(B1896,customer_master!$A$2:$A$1649, customer_master!$A$2:$A$1649)), "Invalid", "Ok")</f>
        <v>Ok</v>
      </c>
      <c r="K1896" t="str">
        <f>IF(ISNA(_xlfn.XLOOKUP(H1896,agent_info!$A$2:$A$301, agent_info!$A$2:$A$301)), "Invalid", "Ok")</f>
        <v>Ok</v>
      </c>
    </row>
    <row r="1897" spans="1:11" x14ac:dyDescent="0.3">
      <c r="A1897" s="1" t="s">
        <v>5516</v>
      </c>
      <c r="B1897" s="1" t="s">
        <v>596</v>
      </c>
      <c r="C1897" s="1" t="s">
        <v>3314</v>
      </c>
      <c r="D1897" s="1">
        <v>670878.05000000005</v>
      </c>
      <c r="E1897" s="1">
        <v>34251.370000000003</v>
      </c>
      <c r="F1897" s="41">
        <v>45244</v>
      </c>
      <c r="G1897" s="41">
        <v>45610</v>
      </c>
      <c r="H1897" s="1" t="s">
        <v>4033</v>
      </c>
      <c r="I1897" s="1" t="s">
        <v>3316</v>
      </c>
      <c r="J1897" t="str">
        <f>IF(ISNA(_xlfn.XLOOKUP(B1897,customer_master!$A$2:$A$1649, customer_master!$A$2:$A$1649)), "Invalid", "Ok")</f>
        <v>Ok</v>
      </c>
      <c r="K1897" t="str">
        <f>IF(ISNA(_xlfn.XLOOKUP(H1897,agent_info!$A$2:$A$301, agent_info!$A$2:$A$301)), "Invalid", "Ok")</f>
        <v>Ok</v>
      </c>
    </row>
    <row r="1898" spans="1:11" x14ac:dyDescent="0.3">
      <c r="A1898" s="1" t="s">
        <v>5517</v>
      </c>
      <c r="B1898" s="1" t="s">
        <v>584</v>
      </c>
      <c r="C1898" s="1" t="s">
        <v>3318</v>
      </c>
      <c r="D1898" s="1">
        <v>413439.34</v>
      </c>
      <c r="E1898" s="1">
        <v>21825.79</v>
      </c>
      <c r="F1898" s="41">
        <v>45877</v>
      </c>
      <c r="G1898" s="41">
        <v>46242</v>
      </c>
      <c r="H1898" s="1" t="s">
        <v>3408</v>
      </c>
      <c r="I1898" s="1" t="s">
        <v>3324</v>
      </c>
      <c r="J1898" t="str">
        <f>IF(ISNA(_xlfn.XLOOKUP(B1898,customer_master!$A$2:$A$1649, customer_master!$A$2:$A$1649)), "Invalid", "Ok")</f>
        <v>Ok</v>
      </c>
      <c r="K1898" t="str">
        <f>IF(ISNA(_xlfn.XLOOKUP(H1898,agent_info!$A$2:$A$301, agent_info!$A$2:$A$301)), "Invalid", "Ok")</f>
        <v>Ok</v>
      </c>
    </row>
    <row r="1899" spans="1:11" x14ac:dyDescent="0.3">
      <c r="A1899" s="1" t="s">
        <v>5518</v>
      </c>
      <c r="B1899" s="1" t="s">
        <v>2684</v>
      </c>
      <c r="C1899" s="1" t="s">
        <v>3326</v>
      </c>
      <c r="D1899" s="1">
        <v>692512.39</v>
      </c>
      <c r="E1899" s="1">
        <v>33049.629999999997</v>
      </c>
      <c r="F1899" s="41">
        <v>44920</v>
      </c>
      <c r="G1899" s="41">
        <v>45285</v>
      </c>
      <c r="H1899" s="1" t="s">
        <v>3617</v>
      </c>
      <c r="I1899" s="1" t="s">
        <v>3324</v>
      </c>
      <c r="J1899" t="str">
        <f>IF(ISNA(_xlfn.XLOOKUP(B1899,customer_master!$A$2:$A$1649, customer_master!$A$2:$A$1649)), "Invalid", "Ok")</f>
        <v>Ok</v>
      </c>
      <c r="K1899" t="str">
        <f>IF(ISNA(_xlfn.XLOOKUP(H1899,agent_info!$A$2:$A$301, agent_info!$A$2:$A$301)), "Invalid", "Ok")</f>
        <v>Ok</v>
      </c>
    </row>
    <row r="1900" spans="1:11" x14ac:dyDescent="0.3">
      <c r="A1900" s="1" t="s">
        <v>5519</v>
      </c>
      <c r="B1900" s="1" t="s">
        <v>87</v>
      </c>
      <c r="C1900" s="1" t="s">
        <v>3326</v>
      </c>
      <c r="D1900" s="1">
        <v>681930.82</v>
      </c>
      <c r="E1900" s="1">
        <v>32627.91</v>
      </c>
      <c r="F1900" s="41">
        <v>45350</v>
      </c>
      <c r="G1900" s="41">
        <v>45716</v>
      </c>
      <c r="H1900" s="1" t="s">
        <v>4095</v>
      </c>
      <c r="I1900" s="1" t="s">
        <v>3324</v>
      </c>
      <c r="J1900" t="str">
        <f>IF(ISNA(_xlfn.XLOOKUP(B1900,customer_master!$A$2:$A$1649, customer_master!$A$2:$A$1649)), "Invalid", "Ok")</f>
        <v>Ok</v>
      </c>
      <c r="K1900" t="str">
        <f>IF(ISNA(_xlfn.XLOOKUP(H1900,agent_info!$A$2:$A$301, agent_info!$A$2:$A$301)), "Invalid", "Ok")</f>
        <v>Ok</v>
      </c>
    </row>
    <row r="1901" spans="1:11" x14ac:dyDescent="0.3">
      <c r="A1901" s="1" t="s">
        <v>5520</v>
      </c>
      <c r="B1901" s="1" t="s">
        <v>2490</v>
      </c>
      <c r="C1901" s="1" t="s">
        <v>3314</v>
      </c>
      <c r="D1901" s="1">
        <v>723941.91</v>
      </c>
      <c r="E1901" s="1">
        <v>33023.43</v>
      </c>
      <c r="F1901" s="41">
        <v>45001</v>
      </c>
      <c r="G1901" s="41">
        <v>45367</v>
      </c>
      <c r="H1901" s="1" t="s">
        <v>3976</v>
      </c>
      <c r="I1901" s="1" t="s">
        <v>3324</v>
      </c>
      <c r="J1901" t="str">
        <f>IF(ISNA(_xlfn.XLOOKUP(B1901,customer_master!$A$2:$A$1649, customer_master!$A$2:$A$1649)), "Invalid", "Ok")</f>
        <v>Ok</v>
      </c>
      <c r="K1901" t="str">
        <f>IF(ISNA(_xlfn.XLOOKUP(H1901,agent_info!$A$2:$A$301, agent_info!$A$2:$A$301)), "Invalid", "Ok")</f>
        <v>Ok</v>
      </c>
    </row>
    <row r="1902" spans="1:11" x14ac:dyDescent="0.3">
      <c r="A1902" s="1" t="s">
        <v>5521</v>
      </c>
      <c r="B1902" s="1" t="s">
        <v>2446</v>
      </c>
      <c r="C1902" s="1" t="s">
        <v>3318</v>
      </c>
      <c r="D1902" s="1">
        <v>712257.12</v>
      </c>
      <c r="E1902" s="1">
        <v>34329.71</v>
      </c>
      <c r="F1902" s="41">
        <v>45343</v>
      </c>
      <c r="G1902" s="41">
        <v>45709</v>
      </c>
      <c r="H1902" s="1" t="s">
        <v>4524</v>
      </c>
      <c r="I1902" s="1" t="s">
        <v>3324</v>
      </c>
      <c r="J1902" t="str">
        <f>IF(ISNA(_xlfn.XLOOKUP(B1902,customer_master!$A$2:$A$1649, customer_master!$A$2:$A$1649)), "Invalid", "Ok")</f>
        <v>Ok</v>
      </c>
      <c r="K1902" t="str">
        <f>IF(ISNA(_xlfn.XLOOKUP(H1902,agent_info!$A$2:$A$301, agent_info!$A$2:$A$301)), "Invalid", "Ok")</f>
        <v>Ok</v>
      </c>
    </row>
    <row r="1903" spans="1:11" x14ac:dyDescent="0.3">
      <c r="A1903" s="1" t="s">
        <v>5522</v>
      </c>
      <c r="B1903" s="1" t="s">
        <v>2172</v>
      </c>
      <c r="C1903" s="1" t="s">
        <v>3331</v>
      </c>
      <c r="D1903" s="1">
        <v>576467.91</v>
      </c>
      <c r="E1903" s="1">
        <v>29385.17</v>
      </c>
      <c r="F1903" s="41">
        <v>45597</v>
      </c>
      <c r="G1903" s="41">
        <v>45962</v>
      </c>
      <c r="H1903" s="1" t="s">
        <v>3455</v>
      </c>
      <c r="I1903" s="1" t="s">
        <v>3324</v>
      </c>
      <c r="J1903" t="str">
        <f>IF(ISNA(_xlfn.XLOOKUP(B1903,customer_master!$A$2:$A$1649, customer_master!$A$2:$A$1649)), "Invalid", "Ok")</f>
        <v>Ok</v>
      </c>
      <c r="K1903" t="str">
        <f>IF(ISNA(_xlfn.XLOOKUP(H1903,agent_info!$A$2:$A$301, agent_info!$A$2:$A$301)), "Invalid", "Ok")</f>
        <v>Ok</v>
      </c>
    </row>
    <row r="1904" spans="1:11" x14ac:dyDescent="0.3">
      <c r="A1904" s="1" t="s">
        <v>5523</v>
      </c>
      <c r="B1904" s="1" t="s">
        <v>1392</v>
      </c>
      <c r="C1904" s="1" t="s">
        <v>3326</v>
      </c>
      <c r="D1904" s="1">
        <v>524281</v>
      </c>
      <c r="E1904" s="1">
        <v>24409.46</v>
      </c>
      <c r="F1904" s="41">
        <v>45717</v>
      </c>
      <c r="G1904" s="41">
        <v>46082</v>
      </c>
      <c r="H1904" s="1" t="s">
        <v>3772</v>
      </c>
      <c r="I1904" s="1" t="s">
        <v>3324</v>
      </c>
      <c r="J1904" t="str">
        <f>IF(ISNA(_xlfn.XLOOKUP(B1904,customer_master!$A$2:$A$1649, customer_master!$A$2:$A$1649)), "Invalid", "Ok")</f>
        <v>Ok</v>
      </c>
      <c r="K1904" t="str">
        <f>IF(ISNA(_xlfn.XLOOKUP(H1904,agent_info!$A$2:$A$301, agent_info!$A$2:$A$301)), "Invalid", "Ok")</f>
        <v>Ok</v>
      </c>
    </row>
    <row r="1905" spans="1:11" x14ac:dyDescent="0.3">
      <c r="A1905" s="1" t="s">
        <v>5524</v>
      </c>
      <c r="B1905" s="1" t="s">
        <v>129</v>
      </c>
      <c r="C1905" s="1" t="s">
        <v>3318</v>
      </c>
      <c r="D1905" s="1">
        <v>687991.06</v>
      </c>
      <c r="E1905" s="1">
        <v>37516.720000000001</v>
      </c>
      <c r="F1905" s="41">
        <v>45618</v>
      </c>
      <c r="G1905" s="41">
        <v>45983</v>
      </c>
      <c r="H1905" s="1" t="s">
        <v>3397</v>
      </c>
      <c r="I1905" s="1" t="s">
        <v>3316</v>
      </c>
      <c r="J1905" t="str">
        <f>IF(ISNA(_xlfn.XLOOKUP(B1905,customer_master!$A$2:$A$1649, customer_master!$A$2:$A$1649)), "Invalid", "Ok")</f>
        <v>Ok</v>
      </c>
      <c r="K1905" t="str">
        <f>IF(ISNA(_xlfn.XLOOKUP(H1905,agent_info!$A$2:$A$301, agent_info!$A$2:$A$301)), "Invalid", "Ok")</f>
        <v>Ok</v>
      </c>
    </row>
    <row r="1906" spans="1:11" x14ac:dyDescent="0.3">
      <c r="A1906" s="1" t="s">
        <v>5525</v>
      </c>
      <c r="B1906" s="1" t="s">
        <v>2653</v>
      </c>
      <c r="C1906" s="1" t="s">
        <v>3326</v>
      </c>
      <c r="D1906" s="1">
        <v>449139.78</v>
      </c>
      <c r="E1906" s="1">
        <v>23455.95</v>
      </c>
      <c r="F1906" s="41">
        <v>44592</v>
      </c>
      <c r="G1906" s="41">
        <v>44957</v>
      </c>
      <c r="H1906" s="1" t="s">
        <v>3885</v>
      </c>
      <c r="I1906" s="1" t="s">
        <v>3324</v>
      </c>
      <c r="J1906" t="str">
        <f>IF(ISNA(_xlfn.XLOOKUP(B1906,customer_master!$A$2:$A$1649, customer_master!$A$2:$A$1649)), "Invalid", "Ok")</f>
        <v>Ok</v>
      </c>
      <c r="K1906" t="str">
        <f>IF(ISNA(_xlfn.XLOOKUP(H1906,agent_info!$A$2:$A$301, agent_info!$A$2:$A$301)), "Invalid", "Ok")</f>
        <v>Ok</v>
      </c>
    </row>
    <row r="1907" spans="1:11" x14ac:dyDescent="0.3">
      <c r="A1907" s="1" t="s">
        <v>5526</v>
      </c>
      <c r="B1907" s="1" t="s">
        <v>453</v>
      </c>
      <c r="C1907" s="1" t="s">
        <v>3334</v>
      </c>
      <c r="D1907" s="1">
        <v>712216.81</v>
      </c>
      <c r="E1907" s="1">
        <v>33501.97</v>
      </c>
      <c r="F1907" s="41">
        <v>44083</v>
      </c>
      <c r="G1907" s="41">
        <v>44448</v>
      </c>
      <c r="H1907" s="1" t="s">
        <v>3329</v>
      </c>
      <c r="I1907" s="1" t="s">
        <v>3324</v>
      </c>
      <c r="J1907" t="str">
        <f>IF(ISNA(_xlfn.XLOOKUP(B1907,customer_master!$A$2:$A$1649, customer_master!$A$2:$A$1649)), "Invalid", "Ok")</f>
        <v>Ok</v>
      </c>
      <c r="K1907" t="str">
        <f>IF(ISNA(_xlfn.XLOOKUP(H1907,agent_info!$A$2:$A$301, agent_info!$A$2:$A$301)), "Invalid", "Ok")</f>
        <v>Ok</v>
      </c>
    </row>
    <row r="1908" spans="1:11" x14ac:dyDescent="0.3">
      <c r="A1908" s="1" t="s">
        <v>5527</v>
      </c>
      <c r="B1908" s="1" t="s">
        <v>947</v>
      </c>
      <c r="C1908" s="1" t="s">
        <v>3326</v>
      </c>
      <c r="D1908" s="1">
        <v>420308.07</v>
      </c>
      <c r="E1908" s="1">
        <v>21144.09</v>
      </c>
      <c r="F1908" s="41">
        <v>46255</v>
      </c>
      <c r="G1908" s="41">
        <v>46620</v>
      </c>
      <c r="H1908" s="1" t="s">
        <v>3466</v>
      </c>
      <c r="I1908" s="1" t="s">
        <v>3324</v>
      </c>
      <c r="J1908" t="str">
        <f>IF(ISNA(_xlfn.XLOOKUP(B1908,customer_master!$A$2:$A$1649, customer_master!$A$2:$A$1649)), "Invalid", "Ok")</f>
        <v>Ok</v>
      </c>
      <c r="K1908" t="str">
        <f>IF(ISNA(_xlfn.XLOOKUP(H1908,agent_info!$A$2:$A$301, agent_info!$A$2:$A$301)), "Invalid", "Ok")</f>
        <v>Ok</v>
      </c>
    </row>
    <row r="1909" spans="1:11" x14ac:dyDescent="0.3">
      <c r="A1909" s="1" t="s">
        <v>5528</v>
      </c>
      <c r="B1909" s="1" t="s">
        <v>3152</v>
      </c>
      <c r="C1909" s="1" t="s">
        <v>3334</v>
      </c>
      <c r="D1909" s="1">
        <v>723456.3</v>
      </c>
      <c r="E1909" s="1">
        <v>35387.440000000002</v>
      </c>
      <c r="F1909" s="41">
        <v>44114</v>
      </c>
      <c r="G1909" s="41">
        <v>44479</v>
      </c>
      <c r="H1909" s="1" t="s">
        <v>3496</v>
      </c>
      <c r="I1909" s="1" t="s">
        <v>3316</v>
      </c>
      <c r="J1909" t="str">
        <f>IF(ISNA(_xlfn.XLOOKUP(B1909,customer_master!$A$2:$A$1649, customer_master!$A$2:$A$1649)), "Invalid", "Ok")</f>
        <v>Ok</v>
      </c>
      <c r="K1909" t="str">
        <f>IF(ISNA(_xlfn.XLOOKUP(H1909,agent_info!$A$2:$A$301, agent_info!$A$2:$A$301)), "Invalid", "Ok")</f>
        <v>Ok</v>
      </c>
    </row>
    <row r="1910" spans="1:11" x14ac:dyDescent="0.3">
      <c r="A1910" s="1" t="s">
        <v>5529</v>
      </c>
      <c r="B1910" s="1" t="s">
        <v>1019</v>
      </c>
      <c r="C1910" s="1" t="s">
        <v>3331</v>
      </c>
      <c r="D1910" s="1">
        <v>587924.01</v>
      </c>
      <c r="E1910" s="1">
        <v>28704.53</v>
      </c>
      <c r="F1910" s="41">
        <v>45300</v>
      </c>
      <c r="G1910" s="41">
        <v>45666</v>
      </c>
      <c r="H1910" s="1" t="s">
        <v>4168</v>
      </c>
      <c r="I1910" s="1" t="s">
        <v>3324</v>
      </c>
      <c r="J1910" t="str">
        <f>IF(ISNA(_xlfn.XLOOKUP(B1910,customer_master!$A$2:$A$1649, customer_master!$A$2:$A$1649)), "Invalid", "Ok")</f>
        <v>Ok</v>
      </c>
      <c r="K1910" t="str">
        <f>IF(ISNA(_xlfn.XLOOKUP(H1910,agent_info!$A$2:$A$301, agent_info!$A$2:$A$301)), "Invalid", "Ok")</f>
        <v>Ok</v>
      </c>
    </row>
    <row r="1911" spans="1:11" x14ac:dyDescent="0.3">
      <c r="A1911" s="1" t="s">
        <v>5530</v>
      </c>
      <c r="B1911" s="1" t="s">
        <v>877</v>
      </c>
      <c r="C1911" s="1" t="s">
        <v>3326</v>
      </c>
      <c r="D1911" s="1">
        <v>645123.86</v>
      </c>
      <c r="E1911" s="1">
        <v>32643.19</v>
      </c>
      <c r="F1911" s="41">
        <v>46176</v>
      </c>
      <c r="G1911" s="41">
        <v>46541</v>
      </c>
      <c r="H1911" s="1" t="s">
        <v>3504</v>
      </c>
      <c r="I1911" s="1" t="s">
        <v>3324</v>
      </c>
      <c r="J1911" t="str">
        <f>IF(ISNA(_xlfn.XLOOKUP(B1911,customer_master!$A$2:$A$1649, customer_master!$A$2:$A$1649)), "Invalid", "Ok")</f>
        <v>Ok</v>
      </c>
      <c r="K1911" t="str">
        <f>IF(ISNA(_xlfn.XLOOKUP(H1911,agent_info!$A$2:$A$301, agent_info!$A$2:$A$301)), "Invalid", "Ok")</f>
        <v>Ok</v>
      </c>
    </row>
    <row r="1912" spans="1:11" x14ac:dyDescent="0.3">
      <c r="A1912" s="1" t="s">
        <v>5531</v>
      </c>
      <c r="B1912" s="1" t="s">
        <v>3226</v>
      </c>
      <c r="C1912" s="1" t="s">
        <v>3326</v>
      </c>
      <c r="D1912" s="1">
        <v>522599.97</v>
      </c>
      <c r="E1912" s="1">
        <v>24082.19</v>
      </c>
      <c r="F1912" s="41">
        <v>46095</v>
      </c>
      <c r="G1912" s="41">
        <v>46460</v>
      </c>
      <c r="H1912" s="1" t="s">
        <v>3477</v>
      </c>
      <c r="I1912" s="1" t="s">
        <v>3316</v>
      </c>
      <c r="J1912" t="str">
        <f>IF(ISNA(_xlfn.XLOOKUP(B1912,customer_master!$A$2:$A$1649, customer_master!$A$2:$A$1649)), "Invalid", "Ok")</f>
        <v>Ok</v>
      </c>
      <c r="K1912" t="str">
        <f>IF(ISNA(_xlfn.XLOOKUP(H1912,agent_info!$A$2:$A$301, agent_info!$A$2:$A$301)), "Invalid", "Ok")</f>
        <v>Ok</v>
      </c>
    </row>
    <row r="1913" spans="1:11" x14ac:dyDescent="0.3">
      <c r="A1913" s="1" t="s">
        <v>5532</v>
      </c>
      <c r="B1913" s="1" t="s">
        <v>320</v>
      </c>
      <c r="C1913" s="1" t="s">
        <v>3331</v>
      </c>
      <c r="D1913" s="1">
        <v>613616.88</v>
      </c>
      <c r="E1913" s="1">
        <v>28933.96</v>
      </c>
      <c r="F1913" s="41">
        <v>44207</v>
      </c>
      <c r="G1913" s="41">
        <v>44572</v>
      </c>
      <c r="H1913" s="1" t="s">
        <v>3880</v>
      </c>
      <c r="I1913" s="1" t="s">
        <v>3320</v>
      </c>
      <c r="J1913" t="str">
        <f>IF(ISNA(_xlfn.XLOOKUP(B1913,customer_master!$A$2:$A$1649, customer_master!$A$2:$A$1649)), "Invalid", "Ok")</f>
        <v>Ok</v>
      </c>
      <c r="K1913" t="str">
        <f>IF(ISNA(_xlfn.XLOOKUP(H1913,agent_info!$A$2:$A$301, agent_info!$A$2:$A$301)), "Invalid", "Ok")</f>
        <v>Ok</v>
      </c>
    </row>
    <row r="1914" spans="1:11" x14ac:dyDescent="0.3">
      <c r="A1914" s="1" t="s">
        <v>5533</v>
      </c>
      <c r="B1914" s="1" t="s">
        <v>568</v>
      </c>
      <c r="C1914" s="1" t="s">
        <v>3326</v>
      </c>
      <c r="D1914" s="1">
        <v>674375.15</v>
      </c>
      <c r="E1914" s="1">
        <v>31356.29</v>
      </c>
      <c r="F1914" s="41">
        <v>44842</v>
      </c>
      <c r="G1914" s="41">
        <v>45207</v>
      </c>
      <c r="H1914" s="1" t="s">
        <v>3365</v>
      </c>
      <c r="I1914" s="1" t="s">
        <v>3324</v>
      </c>
      <c r="J1914" t="str">
        <f>IF(ISNA(_xlfn.XLOOKUP(B1914,customer_master!$A$2:$A$1649, customer_master!$A$2:$A$1649)), "Invalid", "Ok")</f>
        <v>Ok</v>
      </c>
      <c r="K1914" t="str">
        <f>IF(ISNA(_xlfn.XLOOKUP(H1914,agent_info!$A$2:$A$301, agent_info!$A$2:$A$301)), "Invalid", "Ok")</f>
        <v>Ok</v>
      </c>
    </row>
    <row r="1915" spans="1:11" x14ac:dyDescent="0.3">
      <c r="A1915" s="1" t="s">
        <v>5534</v>
      </c>
      <c r="B1915" s="1" t="s">
        <v>1465</v>
      </c>
      <c r="C1915" s="1" t="s">
        <v>3318</v>
      </c>
      <c r="D1915" s="1">
        <v>536084.23</v>
      </c>
      <c r="E1915" s="1">
        <v>25056.47</v>
      </c>
      <c r="F1915" s="41">
        <v>45937</v>
      </c>
      <c r="G1915" s="41">
        <v>46302</v>
      </c>
      <c r="H1915" s="1" t="s">
        <v>3694</v>
      </c>
      <c r="I1915" s="1" t="s">
        <v>3316</v>
      </c>
      <c r="J1915" t="str">
        <f>IF(ISNA(_xlfn.XLOOKUP(B1915,customer_master!$A$2:$A$1649, customer_master!$A$2:$A$1649)), "Invalid", "Ok")</f>
        <v>Ok</v>
      </c>
      <c r="K1915" t="str">
        <f>IF(ISNA(_xlfn.XLOOKUP(H1915,agent_info!$A$2:$A$301, agent_info!$A$2:$A$301)), "Invalid", "Ok")</f>
        <v>Ok</v>
      </c>
    </row>
    <row r="1916" spans="1:11" x14ac:dyDescent="0.3">
      <c r="A1916" s="1" t="s">
        <v>5535</v>
      </c>
      <c r="B1916" s="1" t="s">
        <v>2613</v>
      </c>
      <c r="C1916" s="1" t="s">
        <v>3314</v>
      </c>
      <c r="D1916" s="1">
        <v>469810.26</v>
      </c>
      <c r="E1916" s="1">
        <v>24219.74</v>
      </c>
      <c r="F1916" s="41">
        <v>45976</v>
      </c>
      <c r="G1916" s="41">
        <v>46341</v>
      </c>
      <c r="H1916" s="1" t="s">
        <v>3747</v>
      </c>
      <c r="I1916" s="1" t="s">
        <v>3316</v>
      </c>
      <c r="J1916" t="str">
        <f>IF(ISNA(_xlfn.XLOOKUP(B1916,customer_master!$A$2:$A$1649, customer_master!$A$2:$A$1649)), "Invalid", "Ok")</f>
        <v>Ok</v>
      </c>
      <c r="K1916" t="str">
        <f>IF(ISNA(_xlfn.XLOOKUP(H1916,agent_info!$A$2:$A$301, agent_info!$A$2:$A$301)), "Invalid", "Ok")</f>
        <v>Ok</v>
      </c>
    </row>
    <row r="1917" spans="1:11" x14ac:dyDescent="0.3">
      <c r="A1917" s="1" t="s">
        <v>5536</v>
      </c>
      <c r="B1917" s="1" t="s">
        <v>2939</v>
      </c>
      <c r="C1917" s="1" t="s">
        <v>3331</v>
      </c>
      <c r="D1917" s="1">
        <v>416209</v>
      </c>
      <c r="E1917" s="1">
        <v>22875.53</v>
      </c>
      <c r="F1917" s="41">
        <v>45872</v>
      </c>
      <c r="G1917" s="41">
        <v>46237</v>
      </c>
      <c r="H1917" s="1" t="s">
        <v>3641</v>
      </c>
      <c r="I1917" s="1" t="s">
        <v>3316</v>
      </c>
      <c r="J1917" t="str">
        <f>IF(ISNA(_xlfn.XLOOKUP(B1917,customer_master!$A$2:$A$1649, customer_master!$A$2:$A$1649)), "Invalid", "Ok")</f>
        <v>Ok</v>
      </c>
      <c r="K1917" t="str">
        <f>IF(ISNA(_xlfn.XLOOKUP(H1917,agent_info!$A$2:$A$301, agent_info!$A$2:$A$301)), "Invalid", "Ok")</f>
        <v>Ok</v>
      </c>
    </row>
    <row r="1918" spans="1:11" x14ac:dyDescent="0.3">
      <c r="A1918" s="1" t="s">
        <v>5537</v>
      </c>
      <c r="B1918" s="1" t="s">
        <v>2521</v>
      </c>
      <c r="C1918" s="1" t="s">
        <v>3326</v>
      </c>
      <c r="D1918" s="1">
        <v>556492.67000000004</v>
      </c>
      <c r="E1918" s="1">
        <v>28665.53</v>
      </c>
      <c r="F1918" s="41">
        <v>44722</v>
      </c>
      <c r="G1918" s="41">
        <v>45087</v>
      </c>
      <c r="H1918" s="1" t="s">
        <v>3470</v>
      </c>
      <c r="I1918" s="1" t="s">
        <v>3324</v>
      </c>
      <c r="J1918" t="str">
        <f>IF(ISNA(_xlfn.XLOOKUP(B1918,customer_master!$A$2:$A$1649, customer_master!$A$2:$A$1649)), "Invalid", "Ok")</f>
        <v>Ok</v>
      </c>
      <c r="K1918" t="str">
        <f>IF(ISNA(_xlfn.XLOOKUP(H1918,agent_info!$A$2:$A$301, agent_info!$A$2:$A$301)), "Invalid", "Ok")</f>
        <v>Ok</v>
      </c>
    </row>
    <row r="1919" spans="1:11" x14ac:dyDescent="0.3">
      <c r="A1919" s="1" t="s">
        <v>5538</v>
      </c>
      <c r="B1919" s="1" t="s">
        <v>3234</v>
      </c>
      <c r="C1919" s="1" t="s">
        <v>3326</v>
      </c>
      <c r="D1919" s="1">
        <v>563879.79</v>
      </c>
      <c r="E1919" s="1">
        <v>30927.25</v>
      </c>
      <c r="F1919" s="41">
        <v>44392</v>
      </c>
      <c r="G1919" s="41">
        <v>44757</v>
      </c>
      <c r="H1919" s="1" t="s">
        <v>4472</v>
      </c>
      <c r="I1919" s="1" t="s">
        <v>3324</v>
      </c>
      <c r="J1919" t="str">
        <f>IF(ISNA(_xlfn.XLOOKUP(B1919,customer_master!$A$2:$A$1649, customer_master!$A$2:$A$1649)), "Invalid", "Ok")</f>
        <v>Ok</v>
      </c>
      <c r="K1919" t="str">
        <f>IF(ISNA(_xlfn.XLOOKUP(H1919,agent_info!$A$2:$A$301, agent_info!$A$2:$A$301)), "Invalid", "Ok")</f>
        <v>Ok</v>
      </c>
    </row>
    <row r="1920" spans="1:11" x14ac:dyDescent="0.3">
      <c r="A1920" s="1" t="s">
        <v>5539</v>
      </c>
      <c r="B1920" s="1" t="s">
        <v>91</v>
      </c>
      <c r="C1920" s="1" t="s">
        <v>3331</v>
      </c>
      <c r="D1920" s="1">
        <v>618299</v>
      </c>
      <c r="E1920" s="1">
        <v>31391.09</v>
      </c>
      <c r="F1920" s="41">
        <v>45947</v>
      </c>
      <c r="G1920" s="41">
        <v>46312</v>
      </c>
      <c r="H1920" s="1" t="s">
        <v>3658</v>
      </c>
      <c r="I1920" s="1" t="s">
        <v>3324</v>
      </c>
      <c r="J1920" t="str">
        <f>IF(ISNA(_xlfn.XLOOKUP(B1920,customer_master!$A$2:$A$1649, customer_master!$A$2:$A$1649)), "Invalid", "Ok")</f>
        <v>Ok</v>
      </c>
      <c r="K1920" t="str">
        <f>IF(ISNA(_xlfn.XLOOKUP(H1920,agent_info!$A$2:$A$301, agent_info!$A$2:$A$301)), "Invalid", "Ok")</f>
        <v>Ok</v>
      </c>
    </row>
    <row r="1921" spans="1:11" x14ac:dyDescent="0.3">
      <c r="A1921" s="1" t="s">
        <v>5540</v>
      </c>
      <c r="B1921" s="1" t="s">
        <v>2087</v>
      </c>
      <c r="C1921" s="1" t="s">
        <v>3334</v>
      </c>
      <c r="D1921" s="1">
        <v>399308.96</v>
      </c>
      <c r="E1921" s="1">
        <v>19100.18</v>
      </c>
      <c r="F1921" s="41">
        <v>46207</v>
      </c>
      <c r="G1921" s="41">
        <v>46572</v>
      </c>
      <c r="H1921" s="1" t="s">
        <v>4641</v>
      </c>
      <c r="I1921" s="1" t="s">
        <v>3324</v>
      </c>
      <c r="J1921" t="str">
        <f>IF(ISNA(_xlfn.XLOOKUP(B1921,customer_master!$A$2:$A$1649, customer_master!$A$2:$A$1649)), "Invalid", "Ok")</f>
        <v>Ok</v>
      </c>
      <c r="K1921" t="str">
        <f>IF(ISNA(_xlfn.XLOOKUP(H1921,agent_info!$A$2:$A$301, agent_info!$A$2:$A$301)), "Invalid", "Ok")</f>
        <v>Ok</v>
      </c>
    </row>
    <row r="1922" spans="1:11" x14ac:dyDescent="0.3">
      <c r="A1922" s="1" t="s">
        <v>5541</v>
      </c>
      <c r="B1922" s="1" t="s">
        <v>417</v>
      </c>
      <c r="C1922" s="1" t="s">
        <v>3318</v>
      </c>
      <c r="D1922" s="1">
        <v>388363.05</v>
      </c>
      <c r="E1922" s="1">
        <v>20864.05</v>
      </c>
      <c r="F1922" s="41">
        <v>46078</v>
      </c>
      <c r="G1922" s="41">
        <v>46443</v>
      </c>
      <c r="H1922" s="1" t="s">
        <v>4539</v>
      </c>
      <c r="I1922" s="1" t="s">
        <v>3316</v>
      </c>
      <c r="J1922" t="str">
        <f>IF(ISNA(_xlfn.XLOOKUP(B1922,customer_master!$A$2:$A$1649, customer_master!$A$2:$A$1649)), "Invalid", "Ok")</f>
        <v>Ok</v>
      </c>
      <c r="K1922" t="str">
        <f>IF(ISNA(_xlfn.XLOOKUP(H1922,agent_info!$A$2:$A$301, agent_info!$A$2:$A$301)), "Invalid", "Ok")</f>
        <v>Ok</v>
      </c>
    </row>
    <row r="1923" spans="1:11" x14ac:dyDescent="0.3">
      <c r="A1923" s="1" t="s">
        <v>5542</v>
      </c>
      <c r="B1923" s="1" t="s">
        <v>3027</v>
      </c>
      <c r="C1923" s="1" t="s">
        <v>3318</v>
      </c>
      <c r="D1923" s="1">
        <v>716467.63</v>
      </c>
      <c r="E1923" s="1">
        <v>32722.45</v>
      </c>
      <c r="F1923" s="41">
        <v>44608</v>
      </c>
      <c r="G1923" s="41">
        <v>44973</v>
      </c>
      <c r="H1923" s="1" t="s">
        <v>4095</v>
      </c>
      <c r="I1923" s="1" t="s">
        <v>3324</v>
      </c>
      <c r="J1923" t="str">
        <f>IF(ISNA(_xlfn.XLOOKUP(B1923,customer_master!$A$2:$A$1649, customer_master!$A$2:$A$1649)), "Invalid", "Ok")</f>
        <v>Ok</v>
      </c>
      <c r="K1923" t="str">
        <f>IF(ISNA(_xlfn.XLOOKUP(H1923,agent_info!$A$2:$A$301, agent_info!$A$2:$A$301)), "Invalid", "Ok")</f>
        <v>Ok</v>
      </c>
    </row>
    <row r="1924" spans="1:11" x14ac:dyDescent="0.3">
      <c r="A1924" s="1" t="s">
        <v>5543</v>
      </c>
      <c r="B1924" s="1" t="s">
        <v>3110</v>
      </c>
      <c r="C1924" s="1" t="s">
        <v>3318</v>
      </c>
      <c r="D1924" s="1">
        <v>640899.75</v>
      </c>
      <c r="E1924" s="1">
        <v>29496.95</v>
      </c>
      <c r="F1924" s="41">
        <v>45891</v>
      </c>
      <c r="G1924" s="41">
        <v>46256</v>
      </c>
      <c r="H1924" s="1" t="s">
        <v>3811</v>
      </c>
      <c r="I1924" s="1" t="s">
        <v>3324</v>
      </c>
      <c r="J1924" t="str">
        <f>IF(ISNA(_xlfn.XLOOKUP(B1924,customer_master!$A$2:$A$1649, customer_master!$A$2:$A$1649)), "Invalid", "Ok")</f>
        <v>Ok</v>
      </c>
      <c r="K1924" t="str">
        <f>IF(ISNA(_xlfn.XLOOKUP(H1924,agent_info!$A$2:$A$301, agent_info!$A$2:$A$301)), "Invalid", "Ok")</f>
        <v>Ok</v>
      </c>
    </row>
    <row r="1925" spans="1:11" x14ac:dyDescent="0.3">
      <c r="A1925" s="1" t="s">
        <v>5544</v>
      </c>
      <c r="B1925" s="1" t="s">
        <v>1019</v>
      </c>
      <c r="C1925" s="1" t="s">
        <v>3318</v>
      </c>
      <c r="D1925" s="1">
        <v>420833.9</v>
      </c>
      <c r="E1925" s="1">
        <v>22925.45</v>
      </c>
      <c r="F1925" s="41">
        <v>44199</v>
      </c>
      <c r="G1925" s="41">
        <v>44564</v>
      </c>
      <c r="H1925" s="1" t="s">
        <v>3522</v>
      </c>
      <c r="I1925" s="1" t="s">
        <v>3324</v>
      </c>
      <c r="J1925" t="str">
        <f>IF(ISNA(_xlfn.XLOOKUP(B1925,customer_master!$A$2:$A$1649, customer_master!$A$2:$A$1649)), "Invalid", "Ok")</f>
        <v>Ok</v>
      </c>
      <c r="K1925" t="str">
        <f>IF(ISNA(_xlfn.XLOOKUP(H1925,agent_info!$A$2:$A$301, agent_info!$A$2:$A$301)), "Invalid", "Ok")</f>
        <v>Ok</v>
      </c>
    </row>
    <row r="1926" spans="1:11" x14ac:dyDescent="0.3">
      <c r="A1926" s="1" t="s">
        <v>5545</v>
      </c>
      <c r="B1926" s="1" t="s">
        <v>2744</v>
      </c>
      <c r="C1926" s="1" t="s">
        <v>3326</v>
      </c>
      <c r="D1926" s="1">
        <v>376122.88</v>
      </c>
      <c r="E1926" s="1">
        <v>19371.02</v>
      </c>
      <c r="F1926" s="41">
        <v>44379</v>
      </c>
      <c r="G1926" s="41">
        <v>44744</v>
      </c>
      <c r="H1926" s="1" t="s">
        <v>3589</v>
      </c>
      <c r="I1926" s="1" t="s">
        <v>3324</v>
      </c>
      <c r="J1926" t="str">
        <f>IF(ISNA(_xlfn.XLOOKUP(B1926,customer_master!$A$2:$A$1649, customer_master!$A$2:$A$1649)), "Invalid", "Ok")</f>
        <v>Ok</v>
      </c>
      <c r="K1926" t="str">
        <f>IF(ISNA(_xlfn.XLOOKUP(H1926,agent_info!$A$2:$A$301, agent_info!$A$2:$A$301)), "Invalid", "Ok")</f>
        <v>Ok</v>
      </c>
    </row>
    <row r="1927" spans="1:11" x14ac:dyDescent="0.3">
      <c r="A1927" s="1" t="s">
        <v>5546</v>
      </c>
      <c r="B1927" s="1" t="s">
        <v>2125</v>
      </c>
      <c r="C1927" s="1" t="s">
        <v>3326</v>
      </c>
      <c r="D1927" s="1">
        <v>406649.95</v>
      </c>
      <c r="E1927" s="1">
        <v>22076.87</v>
      </c>
      <c r="F1927" s="41">
        <v>46185</v>
      </c>
      <c r="G1927" s="41">
        <v>46550</v>
      </c>
      <c r="H1927" s="1" t="s">
        <v>3524</v>
      </c>
      <c r="I1927" s="1" t="s">
        <v>3324</v>
      </c>
      <c r="J1927" t="str">
        <f>IF(ISNA(_xlfn.XLOOKUP(B1927,customer_master!$A$2:$A$1649, customer_master!$A$2:$A$1649)), "Invalid", "Ok")</f>
        <v>Ok</v>
      </c>
      <c r="K1927" t="str">
        <f>IF(ISNA(_xlfn.XLOOKUP(H1927,agent_info!$A$2:$A$301, agent_info!$A$2:$A$301)), "Invalid", "Ok")</f>
        <v>Ok</v>
      </c>
    </row>
    <row r="1928" spans="1:11" x14ac:dyDescent="0.3">
      <c r="A1928" s="1" t="s">
        <v>5547</v>
      </c>
      <c r="B1928" s="1" t="s">
        <v>363</v>
      </c>
      <c r="C1928" s="1" t="s">
        <v>3326</v>
      </c>
      <c r="D1928" s="1">
        <v>632421.64</v>
      </c>
      <c r="E1928" s="1">
        <v>29299.38</v>
      </c>
      <c r="F1928" s="41">
        <v>45620</v>
      </c>
      <c r="G1928" s="41">
        <v>45985</v>
      </c>
      <c r="H1928" s="1" t="s">
        <v>4040</v>
      </c>
      <c r="I1928" s="1" t="s">
        <v>3324</v>
      </c>
      <c r="J1928" t="str">
        <f>IF(ISNA(_xlfn.XLOOKUP(B1928,customer_master!$A$2:$A$1649, customer_master!$A$2:$A$1649)), "Invalid", "Ok")</f>
        <v>Ok</v>
      </c>
      <c r="K1928" t="str">
        <f>IF(ISNA(_xlfn.XLOOKUP(H1928,agent_info!$A$2:$A$301, agent_info!$A$2:$A$301)), "Invalid", "Ok")</f>
        <v>Ok</v>
      </c>
    </row>
    <row r="1929" spans="1:11" x14ac:dyDescent="0.3">
      <c r="A1929" s="1" t="s">
        <v>5548</v>
      </c>
      <c r="B1929" s="1" t="s">
        <v>2016</v>
      </c>
      <c r="C1929" s="1" t="s">
        <v>3334</v>
      </c>
      <c r="D1929" s="1">
        <v>663388.12</v>
      </c>
      <c r="E1929" s="1">
        <v>34949.019999999997</v>
      </c>
      <c r="F1929" s="41">
        <v>44904</v>
      </c>
      <c r="G1929" s="41">
        <v>45269</v>
      </c>
      <c r="H1929" s="1" t="s">
        <v>3643</v>
      </c>
      <c r="I1929" s="1" t="s">
        <v>3324</v>
      </c>
      <c r="J1929" t="str">
        <f>IF(ISNA(_xlfn.XLOOKUP(B1929,customer_master!$A$2:$A$1649, customer_master!$A$2:$A$1649)), "Invalid", "Ok")</f>
        <v>Ok</v>
      </c>
      <c r="K1929" t="str">
        <f>IF(ISNA(_xlfn.XLOOKUP(H1929,agent_info!$A$2:$A$301, agent_info!$A$2:$A$301)), "Invalid", "Ok")</f>
        <v>Ok</v>
      </c>
    </row>
    <row r="1930" spans="1:11" x14ac:dyDescent="0.3">
      <c r="A1930" s="1" t="s">
        <v>5549</v>
      </c>
      <c r="B1930" s="1" t="s">
        <v>3234</v>
      </c>
      <c r="C1930" s="1" t="s">
        <v>3314</v>
      </c>
      <c r="D1930" s="1">
        <v>630881.48</v>
      </c>
      <c r="E1930" s="1">
        <v>29871.040000000001</v>
      </c>
      <c r="F1930" s="41">
        <v>44134</v>
      </c>
      <c r="G1930" s="41">
        <v>44499</v>
      </c>
      <c r="H1930" s="1" t="s">
        <v>4033</v>
      </c>
      <c r="I1930" s="1" t="s">
        <v>3324</v>
      </c>
      <c r="J1930" t="str">
        <f>IF(ISNA(_xlfn.XLOOKUP(B1930,customer_master!$A$2:$A$1649, customer_master!$A$2:$A$1649)), "Invalid", "Ok")</f>
        <v>Ok</v>
      </c>
      <c r="K1930" t="str">
        <f>IF(ISNA(_xlfn.XLOOKUP(H1930,agent_info!$A$2:$A$301, agent_info!$A$2:$A$301)), "Invalid", "Ok")</f>
        <v>Ok</v>
      </c>
    </row>
    <row r="1931" spans="1:11" x14ac:dyDescent="0.3">
      <c r="A1931" s="1" t="s">
        <v>5550</v>
      </c>
      <c r="B1931" s="1" t="s">
        <v>1039</v>
      </c>
      <c r="C1931" s="1" t="s">
        <v>3314</v>
      </c>
      <c r="D1931" s="1">
        <v>631704.44999999995</v>
      </c>
      <c r="E1931" s="1">
        <v>30595.68</v>
      </c>
      <c r="F1931" s="41">
        <v>46192</v>
      </c>
      <c r="G1931" s="41">
        <v>46557</v>
      </c>
      <c r="H1931" s="1" t="s">
        <v>4703</v>
      </c>
      <c r="I1931" s="1" t="s">
        <v>3324</v>
      </c>
      <c r="J1931" t="str">
        <f>IF(ISNA(_xlfn.XLOOKUP(B1931,customer_master!$A$2:$A$1649, customer_master!$A$2:$A$1649)), "Invalid", "Ok")</f>
        <v>Ok</v>
      </c>
      <c r="K1931" t="str">
        <f>IF(ISNA(_xlfn.XLOOKUP(H1931,agent_info!$A$2:$A$301, agent_info!$A$2:$A$301)), "Invalid", "Ok")</f>
        <v>Ok</v>
      </c>
    </row>
    <row r="1932" spans="1:11" x14ac:dyDescent="0.3">
      <c r="A1932" s="1" t="s">
        <v>5551</v>
      </c>
      <c r="B1932" s="1" t="s">
        <v>26</v>
      </c>
      <c r="C1932" s="1" t="s">
        <v>3318</v>
      </c>
      <c r="D1932" s="1">
        <v>702654.32</v>
      </c>
      <c r="E1932" s="1">
        <v>37936.25</v>
      </c>
      <c r="F1932" s="41">
        <v>44891</v>
      </c>
      <c r="G1932" s="41">
        <v>45256</v>
      </c>
      <c r="H1932" s="1" t="s">
        <v>4055</v>
      </c>
      <c r="I1932" s="1" t="s">
        <v>3324</v>
      </c>
      <c r="J1932" t="str">
        <f>IF(ISNA(_xlfn.XLOOKUP(B1932,customer_master!$A$2:$A$1649, customer_master!$A$2:$A$1649)), "Invalid", "Ok")</f>
        <v>Ok</v>
      </c>
      <c r="K1932" t="str">
        <f>IF(ISNA(_xlfn.XLOOKUP(H1932,agent_info!$A$2:$A$301, agent_info!$A$2:$A$301)), "Invalid", "Ok")</f>
        <v>Ok</v>
      </c>
    </row>
    <row r="1933" spans="1:11" x14ac:dyDescent="0.3">
      <c r="A1933" s="1" t="s">
        <v>5552</v>
      </c>
      <c r="B1933" s="1" t="s">
        <v>3236</v>
      </c>
      <c r="C1933" s="1" t="s">
        <v>3326</v>
      </c>
      <c r="D1933" s="1">
        <v>466710.56</v>
      </c>
      <c r="E1933" s="1">
        <v>22921.35</v>
      </c>
      <c r="F1933" s="41">
        <v>45614</v>
      </c>
      <c r="G1933" s="41">
        <v>45979</v>
      </c>
      <c r="H1933" s="1" t="s">
        <v>4545</v>
      </c>
      <c r="I1933" s="1" t="s">
        <v>3324</v>
      </c>
      <c r="J1933" t="str">
        <f>IF(ISNA(_xlfn.XLOOKUP(B1933,customer_master!$A$2:$A$1649, customer_master!$A$2:$A$1649)), "Invalid", "Ok")</f>
        <v>Ok</v>
      </c>
      <c r="K1933" t="str">
        <f>IF(ISNA(_xlfn.XLOOKUP(H1933,agent_info!$A$2:$A$301, agent_info!$A$2:$A$301)), "Invalid", "Ok")</f>
        <v>Ok</v>
      </c>
    </row>
    <row r="1934" spans="1:11" x14ac:dyDescent="0.3">
      <c r="A1934" s="1" t="s">
        <v>5553</v>
      </c>
      <c r="B1934" s="1" t="s">
        <v>1404</v>
      </c>
      <c r="C1934" s="1" t="s">
        <v>3326</v>
      </c>
      <c r="D1934" s="1">
        <v>462780.51</v>
      </c>
      <c r="E1934" s="1">
        <v>23928.240000000002</v>
      </c>
      <c r="F1934" s="41">
        <v>45529</v>
      </c>
      <c r="G1934" s="41">
        <v>45894</v>
      </c>
      <c r="H1934" s="1" t="s">
        <v>3319</v>
      </c>
      <c r="I1934" s="1" t="s">
        <v>3324</v>
      </c>
      <c r="J1934" t="str">
        <f>IF(ISNA(_xlfn.XLOOKUP(B1934,customer_master!$A$2:$A$1649, customer_master!$A$2:$A$1649)), "Invalid", "Ok")</f>
        <v>Ok</v>
      </c>
      <c r="K1934" t="str">
        <f>IF(ISNA(_xlfn.XLOOKUP(H1934,agent_info!$A$2:$A$301, agent_info!$A$2:$A$301)), "Invalid", "Ok")</f>
        <v>Ok</v>
      </c>
    </row>
    <row r="1935" spans="1:11" x14ac:dyDescent="0.3">
      <c r="A1935" s="1" t="s">
        <v>5554</v>
      </c>
      <c r="B1935" s="1" t="s">
        <v>1451</v>
      </c>
      <c r="C1935" s="1" t="s">
        <v>3314</v>
      </c>
      <c r="D1935" s="1">
        <v>548789.32999999996</v>
      </c>
      <c r="E1935" s="1">
        <v>29564.799999999999</v>
      </c>
      <c r="F1935" s="41">
        <v>44238</v>
      </c>
      <c r="G1935" s="41">
        <v>44603</v>
      </c>
      <c r="H1935" s="1" t="s">
        <v>4469</v>
      </c>
      <c r="I1935" s="1" t="s">
        <v>3324</v>
      </c>
      <c r="J1935" t="str">
        <f>IF(ISNA(_xlfn.XLOOKUP(B1935,customer_master!$A$2:$A$1649, customer_master!$A$2:$A$1649)), "Invalid", "Ok")</f>
        <v>Ok</v>
      </c>
      <c r="K1935" t="str">
        <f>IF(ISNA(_xlfn.XLOOKUP(H1935,agent_info!$A$2:$A$301, agent_info!$A$2:$A$301)), "Invalid", "Ok")</f>
        <v>Ok</v>
      </c>
    </row>
    <row r="1936" spans="1:11" x14ac:dyDescent="0.3">
      <c r="A1936" s="1" t="s">
        <v>5555</v>
      </c>
      <c r="B1936" s="1" t="s">
        <v>2386</v>
      </c>
      <c r="C1936" s="1" t="s">
        <v>3334</v>
      </c>
      <c r="D1936" s="1">
        <v>766025.26</v>
      </c>
      <c r="E1936" s="1">
        <v>41142.25</v>
      </c>
      <c r="F1936" s="41">
        <v>45912</v>
      </c>
      <c r="G1936" s="41">
        <v>46277</v>
      </c>
      <c r="H1936" s="1" t="s">
        <v>3603</v>
      </c>
      <c r="I1936" s="1" t="s">
        <v>3324</v>
      </c>
      <c r="J1936" t="str">
        <f>IF(ISNA(_xlfn.XLOOKUP(B1936,customer_master!$A$2:$A$1649, customer_master!$A$2:$A$1649)), "Invalid", "Ok")</f>
        <v>Ok</v>
      </c>
      <c r="K1936" t="str">
        <f>IF(ISNA(_xlfn.XLOOKUP(H1936,agent_info!$A$2:$A$301, agent_info!$A$2:$A$301)), "Invalid", "Ok")</f>
        <v>Ok</v>
      </c>
    </row>
    <row r="1937" spans="1:11" x14ac:dyDescent="0.3">
      <c r="A1937" s="1" t="s">
        <v>5556</v>
      </c>
      <c r="B1937" s="1" t="s">
        <v>2022</v>
      </c>
      <c r="C1937" s="1" t="s">
        <v>3314</v>
      </c>
      <c r="D1937" s="1">
        <v>598636.09</v>
      </c>
      <c r="E1937" s="1">
        <v>26991.95</v>
      </c>
      <c r="F1937" s="41">
        <v>45985</v>
      </c>
      <c r="G1937" s="41">
        <v>46350</v>
      </c>
      <c r="H1937" s="1" t="s">
        <v>3764</v>
      </c>
      <c r="I1937" s="1" t="s">
        <v>3324</v>
      </c>
      <c r="J1937" t="str">
        <f>IF(ISNA(_xlfn.XLOOKUP(B1937,customer_master!$A$2:$A$1649, customer_master!$A$2:$A$1649)), "Invalid", "Ok")</f>
        <v>Ok</v>
      </c>
      <c r="K1937" t="str">
        <f>IF(ISNA(_xlfn.XLOOKUP(H1937,agent_info!$A$2:$A$301, agent_info!$A$2:$A$301)), "Invalid", "Ok")</f>
        <v>Ok</v>
      </c>
    </row>
    <row r="1938" spans="1:11" x14ac:dyDescent="0.3">
      <c r="A1938" s="1" t="s">
        <v>5557</v>
      </c>
      <c r="B1938" s="1" t="s">
        <v>1019</v>
      </c>
      <c r="C1938" s="1" t="s">
        <v>3318</v>
      </c>
      <c r="D1938" s="1">
        <v>584728.63</v>
      </c>
      <c r="E1938" s="1">
        <v>27237.919999999998</v>
      </c>
      <c r="F1938" s="41">
        <v>44143</v>
      </c>
      <c r="G1938" s="41">
        <v>44508</v>
      </c>
      <c r="H1938" s="1" t="s">
        <v>3319</v>
      </c>
      <c r="I1938" s="1" t="s">
        <v>3316</v>
      </c>
      <c r="J1938" t="str">
        <f>IF(ISNA(_xlfn.XLOOKUP(B1938,customer_master!$A$2:$A$1649, customer_master!$A$2:$A$1649)), "Invalid", "Ok")</f>
        <v>Ok</v>
      </c>
      <c r="K1938" t="str">
        <f>IF(ISNA(_xlfn.XLOOKUP(H1938,agent_info!$A$2:$A$301, agent_info!$A$2:$A$301)), "Invalid", "Ok")</f>
        <v>Ok</v>
      </c>
    </row>
    <row r="1939" spans="1:11" x14ac:dyDescent="0.3">
      <c r="A1939" s="1" t="s">
        <v>5558</v>
      </c>
      <c r="B1939" s="1" t="s">
        <v>361</v>
      </c>
      <c r="C1939" s="1" t="s">
        <v>3314</v>
      </c>
      <c r="D1939" s="1">
        <v>696693.61</v>
      </c>
      <c r="E1939" s="1">
        <v>37751.19</v>
      </c>
      <c r="F1939" s="41">
        <v>44877</v>
      </c>
      <c r="G1939" s="41">
        <v>45242</v>
      </c>
      <c r="H1939" s="1" t="s">
        <v>3420</v>
      </c>
      <c r="I1939" s="1" t="s">
        <v>3324</v>
      </c>
      <c r="J1939" t="str">
        <f>IF(ISNA(_xlfn.XLOOKUP(B1939,customer_master!$A$2:$A$1649, customer_master!$A$2:$A$1649)), "Invalid", "Ok")</f>
        <v>Ok</v>
      </c>
      <c r="K1939" t="str">
        <f>IF(ISNA(_xlfn.XLOOKUP(H1939,agent_info!$A$2:$A$301, agent_info!$A$2:$A$301)), "Invalid", "Ok")</f>
        <v>Ok</v>
      </c>
    </row>
    <row r="1940" spans="1:11" x14ac:dyDescent="0.3">
      <c r="A1940" s="1" t="s">
        <v>5559</v>
      </c>
      <c r="B1940" s="1" t="s">
        <v>2744</v>
      </c>
      <c r="C1940" s="1" t="s">
        <v>3326</v>
      </c>
      <c r="D1940" s="1">
        <v>412322.57</v>
      </c>
      <c r="E1940" s="1">
        <v>20873.48</v>
      </c>
      <c r="F1940" s="41">
        <v>44250</v>
      </c>
      <c r="G1940" s="41">
        <v>44615</v>
      </c>
      <c r="H1940" s="1" t="s">
        <v>3550</v>
      </c>
      <c r="I1940" s="1" t="s">
        <v>3324</v>
      </c>
      <c r="J1940" t="str">
        <f>IF(ISNA(_xlfn.XLOOKUP(B1940,customer_master!$A$2:$A$1649, customer_master!$A$2:$A$1649)), "Invalid", "Ok")</f>
        <v>Ok</v>
      </c>
      <c r="K1940" t="str">
        <f>IF(ISNA(_xlfn.XLOOKUP(H1940,agent_info!$A$2:$A$301, agent_info!$A$2:$A$301)), "Invalid", "Ok")</f>
        <v>Ok</v>
      </c>
    </row>
    <row r="1941" spans="1:11" x14ac:dyDescent="0.3">
      <c r="A1941" s="1" t="s">
        <v>5560</v>
      </c>
      <c r="B1941" s="1" t="s">
        <v>1624</v>
      </c>
      <c r="C1941" s="1" t="s">
        <v>3314</v>
      </c>
      <c r="D1941" s="1">
        <v>541079.39</v>
      </c>
      <c r="E1941" s="1">
        <v>26946.84</v>
      </c>
      <c r="F1941" s="41">
        <v>44245</v>
      </c>
      <c r="G1941" s="41">
        <v>44610</v>
      </c>
      <c r="H1941" s="1" t="s">
        <v>3762</v>
      </c>
      <c r="I1941" s="1" t="s">
        <v>3324</v>
      </c>
      <c r="J1941" t="str">
        <f>IF(ISNA(_xlfn.XLOOKUP(B1941,customer_master!$A$2:$A$1649, customer_master!$A$2:$A$1649)), "Invalid", "Ok")</f>
        <v>Ok</v>
      </c>
      <c r="K1941" t="str">
        <f>IF(ISNA(_xlfn.XLOOKUP(H1941,agent_info!$A$2:$A$301, agent_info!$A$2:$A$301)), "Invalid", "Ok")</f>
        <v>Ok</v>
      </c>
    </row>
    <row r="1942" spans="1:11" x14ac:dyDescent="0.3">
      <c r="A1942" s="1" t="s">
        <v>5561</v>
      </c>
      <c r="B1942" s="1" t="s">
        <v>2246</v>
      </c>
      <c r="C1942" s="1" t="s">
        <v>3318</v>
      </c>
      <c r="D1942" s="1">
        <v>620434.99</v>
      </c>
      <c r="E1942" s="1">
        <v>28324.46</v>
      </c>
      <c r="F1942" s="41">
        <v>45324</v>
      </c>
      <c r="G1942" s="41">
        <v>45690</v>
      </c>
      <c r="H1942" s="1" t="s">
        <v>4282</v>
      </c>
      <c r="I1942" s="1" t="s">
        <v>3324</v>
      </c>
      <c r="J1942" t="str">
        <f>IF(ISNA(_xlfn.XLOOKUP(B1942,customer_master!$A$2:$A$1649, customer_master!$A$2:$A$1649)), "Invalid", "Ok")</f>
        <v>Ok</v>
      </c>
      <c r="K1942" t="str">
        <f>IF(ISNA(_xlfn.XLOOKUP(H1942,agent_info!$A$2:$A$301, agent_info!$A$2:$A$301)), "Invalid", "Ok")</f>
        <v>Ok</v>
      </c>
    </row>
    <row r="1943" spans="1:11" x14ac:dyDescent="0.3">
      <c r="A1943" s="1" t="s">
        <v>5562</v>
      </c>
      <c r="B1943" s="1" t="s">
        <v>2861</v>
      </c>
      <c r="C1943" s="1" t="s">
        <v>3318</v>
      </c>
      <c r="D1943" s="1">
        <v>751470.34</v>
      </c>
      <c r="E1943" s="1">
        <v>34004.43</v>
      </c>
      <c r="F1943" s="41">
        <v>45860</v>
      </c>
      <c r="G1943" s="41">
        <v>46225</v>
      </c>
      <c r="H1943" s="1" t="s">
        <v>3479</v>
      </c>
      <c r="I1943" s="1" t="s">
        <v>3324</v>
      </c>
      <c r="J1943" t="str">
        <f>IF(ISNA(_xlfn.XLOOKUP(B1943,customer_master!$A$2:$A$1649, customer_master!$A$2:$A$1649)), "Invalid", "Ok")</f>
        <v>Ok</v>
      </c>
      <c r="K1943" t="str">
        <f>IF(ISNA(_xlfn.XLOOKUP(H1943,agent_info!$A$2:$A$301, agent_info!$A$2:$A$301)), "Invalid", "Ok")</f>
        <v>Ok</v>
      </c>
    </row>
    <row r="1944" spans="1:11" x14ac:dyDescent="0.3">
      <c r="A1944" s="1" t="s">
        <v>5563</v>
      </c>
      <c r="B1944" s="1" t="s">
        <v>95</v>
      </c>
      <c r="C1944" s="1" t="s">
        <v>3318</v>
      </c>
      <c r="D1944" s="1">
        <v>436389.51</v>
      </c>
      <c r="E1944" s="1">
        <v>23798.13</v>
      </c>
      <c r="F1944" s="41">
        <v>44405</v>
      </c>
      <c r="G1944" s="41">
        <v>44770</v>
      </c>
      <c r="H1944" s="1" t="s">
        <v>3598</v>
      </c>
      <c r="I1944" s="1" t="s">
        <v>3324</v>
      </c>
      <c r="J1944" t="str">
        <f>IF(ISNA(_xlfn.XLOOKUP(B1944,customer_master!$A$2:$A$1649, customer_master!$A$2:$A$1649)), "Invalid", "Ok")</f>
        <v>Ok</v>
      </c>
      <c r="K1944" t="str">
        <f>IF(ISNA(_xlfn.XLOOKUP(H1944,agent_info!$A$2:$A$301, agent_info!$A$2:$A$301)), "Invalid", "Ok")</f>
        <v>Ok</v>
      </c>
    </row>
    <row r="1945" spans="1:11" x14ac:dyDescent="0.3">
      <c r="A1945" s="1" t="s">
        <v>5564</v>
      </c>
      <c r="B1945" s="1" t="s">
        <v>2859</v>
      </c>
      <c r="C1945" s="1" t="s">
        <v>3334</v>
      </c>
      <c r="D1945" s="1">
        <v>559030.31000000006</v>
      </c>
      <c r="E1945" s="1">
        <v>27805.34</v>
      </c>
      <c r="F1945" s="41">
        <v>44476</v>
      </c>
      <c r="G1945" s="41">
        <v>44841</v>
      </c>
      <c r="H1945" s="1" t="s">
        <v>3872</v>
      </c>
      <c r="I1945" s="1" t="s">
        <v>3324</v>
      </c>
      <c r="J1945" t="str">
        <f>IF(ISNA(_xlfn.XLOOKUP(B1945,customer_master!$A$2:$A$1649, customer_master!$A$2:$A$1649)), "Invalid", "Ok")</f>
        <v>Ok</v>
      </c>
      <c r="K1945" t="str">
        <f>IF(ISNA(_xlfn.XLOOKUP(H1945,agent_info!$A$2:$A$301, agent_info!$A$2:$A$301)), "Invalid", "Ok")</f>
        <v>Ok</v>
      </c>
    </row>
    <row r="1946" spans="1:11" x14ac:dyDescent="0.3">
      <c r="A1946" s="1" t="s">
        <v>5565</v>
      </c>
      <c r="B1946" s="1" t="s">
        <v>2504</v>
      </c>
      <c r="C1946" s="1" t="s">
        <v>3331</v>
      </c>
      <c r="D1946" s="1">
        <v>726979.46</v>
      </c>
      <c r="E1946" s="1">
        <v>38431.17</v>
      </c>
      <c r="F1946" s="41">
        <v>45706</v>
      </c>
      <c r="G1946" s="41">
        <v>46071</v>
      </c>
      <c r="H1946" s="1" t="s">
        <v>4052</v>
      </c>
      <c r="I1946" s="1" t="s">
        <v>3316</v>
      </c>
      <c r="J1946" t="str">
        <f>IF(ISNA(_xlfn.XLOOKUP(B1946,customer_master!$A$2:$A$1649, customer_master!$A$2:$A$1649)), "Invalid", "Ok")</f>
        <v>Ok</v>
      </c>
      <c r="K1946" t="str">
        <f>IF(ISNA(_xlfn.XLOOKUP(H1946,agent_info!$A$2:$A$301, agent_info!$A$2:$A$301)), "Invalid", "Ok")</f>
        <v>Ok</v>
      </c>
    </row>
    <row r="1947" spans="1:11" x14ac:dyDescent="0.3">
      <c r="A1947" s="1" t="s">
        <v>5566</v>
      </c>
      <c r="B1947" s="1" t="s">
        <v>3152</v>
      </c>
      <c r="C1947" s="1" t="s">
        <v>3331</v>
      </c>
      <c r="D1947" s="1">
        <v>658290.1</v>
      </c>
      <c r="E1947" s="1">
        <v>31071.3</v>
      </c>
      <c r="F1947" s="41">
        <v>45716</v>
      </c>
      <c r="G1947" s="41">
        <v>46081</v>
      </c>
      <c r="H1947" s="1" t="s">
        <v>4539</v>
      </c>
      <c r="I1947" s="1" t="s">
        <v>3324</v>
      </c>
      <c r="J1947" t="str">
        <f>IF(ISNA(_xlfn.XLOOKUP(B1947,customer_master!$A$2:$A$1649, customer_master!$A$2:$A$1649)), "Invalid", "Ok")</f>
        <v>Ok</v>
      </c>
      <c r="K1947" t="str">
        <f>IF(ISNA(_xlfn.XLOOKUP(H1947,agent_info!$A$2:$A$301, agent_info!$A$2:$A$301)), "Invalid", "Ok")</f>
        <v>Ok</v>
      </c>
    </row>
    <row r="1948" spans="1:11" x14ac:dyDescent="0.3">
      <c r="A1948" s="1" t="s">
        <v>5567</v>
      </c>
      <c r="B1948" s="1" t="s">
        <v>817</v>
      </c>
      <c r="C1948" s="1" t="s">
        <v>3314</v>
      </c>
      <c r="D1948" s="1">
        <v>621305.39</v>
      </c>
      <c r="E1948" s="1">
        <v>29431.68</v>
      </c>
      <c r="F1948" s="41">
        <v>45608</v>
      </c>
      <c r="G1948" s="41">
        <v>45973</v>
      </c>
      <c r="H1948" s="1" t="s">
        <v>3509</v>
      </c>
      <c r="I1948" s="1" t="s">
        <v>3316</v>
      </c>
      <c r="J1948" t="str">
        <f>IF(ISNA(_xlfn.XLOOKUP(B1948,customer_master!$A$2:$A$1649, customer_master!$A$2:$A$1649)), "Invalid", "Ok")</f>
        <v>Ok</v>
      </c>
      <c r="K1948" t="str">
        <f>IF(ISNA(_xlfn.XLOOKUP(H1948,agent_info!$A$2:$A$301, agent_info!$A$2:$A$301)), "Invalid", "Ok")</f>
        <v>Ok</v>
      </c>
    </row>
    <row r="1949" spans="1:11" x14ac:dyDescent="0.3">
      <c r="A1949" s="1" t="s">
        <v>5568</v>
      </c>
      <c r="B1949" s="1" t="s">
        <v>1087</v>
      </c>
      <c r="C1949" s="1" t="s">
        <v>3314</v>
      </c>
      <c r="D1949" s="1">
        <v>483986.72</v>
      </c>
      <c r="E1949" s="1">
        <v>24490.959999999999</v>
      </c>
      <c r="F1949" s="41">
        <v>44733</v>
      </c>
      <c r="G1949" s="41">
        <v>45098</v>
      </c>
      <c r="H1949" s="1" t="s">
        <v>4586</v>
      </c>
      <c r="I1949" s="1" t="s">
        <v>3316</v>
      </c>
      <c r="J1949" t="str">
        <f>IF(ISNA(_xlfn.XLOOKUP(B1949,customer_master!$A$2:$A$1649, customer_master!$A$2:$A$1649)), "Invalid", "Ok")</f>
        <v>Ok</v>
      </c>
      <c r="K1949" t="str">
        <f>IF(ISNA(_xlfn.XLOOKUP(H1949,agent_info!$A$2:$A$301, agent_info!$A$2:$A$301)), "Invalid", "Ok")</f>
        <v>Ok</v>
      </c>
    </row>
    <row r="1950" spans="1:11" x14ac:dyDescent="0.3">
      <c r="A1950" s="1" t="s">
        <v>5569</v>
      </c>
      <c r="B1950" s="1" t="s">
        <v>2206</v>
      </c>
      <c r="C1950" s="1" t="s">
        <v>3318</v>
      </c>
      <c r="D1950" s="1">
        <v>448765.66</v>
      </c>
      <c r="E1950" s="1">
        <v>24125.759999999998</v>
      </c>
      <c r="F1950" s="41">
        <v>44979</v>
      </c>
      <c r="G1950" s="41">
        <v>45344</v>
      </c>
      <c r="H1950" s="1" t="s">
        <v>3637</v>
      </c>
      <c r="I1950" s="1" t="s">
        <v>3324</v>
      </c>
      <c r="J1950" t="str">
        <f>IF(ISNA(_xlfn.XLOOKUP(B1950,customer_master!$A$2:$A$1649, customer_master!$A$2:$A$1649)), "Invalid", "Ok")</f>
        <v>Ok</v>
      </c>
      <c r="K1950" t="str">
        <f>IF(ISNA(_xlfn.XLOOKUP(H1950,agent_info!$A$2:$A$301, agent_info!$A$2:$A$301)), "Invalid", "Ok")</f>
        <v>Ok</v>
      </c>
    </row>
    <row r="1951" spans="1:11" x14ac:dyDescent="0.3">
      <c r="A1951" s="1" t="s">
        <v>5570</v>
      </c>
      <c r="B1951" s="1" t="s">
        <v>3078</v>
      </c>
      <c r="C1951" s="1" t="s">
        <v>3331</v>
      </c>
      <c r="D1951" s="1">
        <v>524261.99</v>
      </c>
      <c r="E1951" s="1">
        <v>25104.7</v>
      </c>
      <c r="F1951" s="41">
        <v>44816</v>
      </c>
      <c r="G1951" s="41">
        <v>45181</v>
      </c>
      <c r="H1951" s="1" t="s">
        <v>3984</v>
      </c>
      <c r="I1951" s="1" t="s">
        <v>3324</v>
      </c>
      <c r="J1951" t="str">
        <f>IF(ISNA(_xlfn.XLOOKUP(B1951,customer_master!$A$2:$A$1649, customer_master!$A$2:$A$1649)), "Invalid", "Ok")</f>
        <v>Ok</v>
      </c>
      <c r="K1951" t="str">
        <f>IF(ISNA(_xlfn.XLOOKUP(H1951,agent_info!$A$2:$A$301, agent_info!$A$2:$A$301)), "Invalid", "Ok")</f>
        <v>Ok</v>
      </c>
    </row>
    <row r="1952" spans="1:11" x14ac:dyDescent="0.3">
      <c r="A1952" s="1" t="s">
        <v>5571</v>
      </c>
      <c r="B1952" s="1" t="s">
        <v>3287</v>
      </c>
      <c r="C1952" s="1" t="s">
        <v>3314</v>
      </c>
      <c r="D1952" s="1">
        <v>483216.54</v>
      </c>
      <c r="E1952" s="1">
        <v>23333.56</v>
      </c>
      <c r="F1952" s="41">
        <v>45789</v>
      </c>
      <c r="G1952" s="41">
        <v>46154</v>
      </c>
      <c r="H1952" s="1" t="s">
        <v>4220</v>
      </c>
      <c r="I1952" s="1" t="s">
        <v>3320</v>
      </c>
      <c r="J1952" t="str">
        <f>IF(ISNA(_xlfn.XLOOKUP(B1952,customer_master!$A$2:$A$1649, customer_master!$A$2:$A$1649)), "Invalid", "Ok")</f>
        <v>Ok</v>
      </c>
      <c r="K1952" t="str">
        <f>IF(ISNA(_xlfn.XLOOKUP(H1952,agent_info!$A$2:$A$301, agent_info!$A$2:$A$301)), "Invalid", "Ok")</f>
        <v>Ok</v>
      </c>
    </row>
    <row r="1953" spans="1:11" x14ac:dyDescent="0.3">
      <c r="A1953" s="1" t="s">
        <v>5572</v>
      </c>
      <c r="B1953" s="1" t="s">
        <v>1410</v>
      </c>
      <c r="C1953" s="1" t="s">
        <v>3326</v>
      </c>
      <c r="D1953" s="1">
        <v>632966.56000000006</v>
      </c>
      <c r="E1953" s="1">
        <v>31968.79</v>
      </c>
      <c r="F1953" s="41">
        <v>45600</v>
      </c>
      <c r="G1953" s="41">
        <v>45965</v>
      </c>
      <c r="H1953" s="1" t="s">
        <v>3882</v>
      </c>
      <c r="I1953" s="1" t="s">
        <v>3316</v>
      </c>
      <c r="J1953" t="str">
        <f>IF(ISNA(_xlfn.XLOOKUP(B1953,customer_master!$A$2:$A$1649, customer_master!$A$2:$A$1649)), "Invalid", "Ok")</f>
        <v>Ok</v>
      </c>
      <c r="K1953" t="str">
        <f>IF(ISNA(_xlfn.XLOOKUP(H1953,agent_info!$A$2:$A$301, agent_info!$A$2:$A$301)), "Invalid", "Ok")</f>
        <v>Ok</v>
      </c>
    </row>
    <row r="1954" spans="1:11" x14ac:dyDescent="0.3">
      <c r="A1954" s="1" t="s">
        <v>5573</v>
      </c>
      <c r="B1954" s="1" t="s">
        <v>1807</v>
      </c>
      <c r="C1954" s="1" t="s">
        <v>3318</v>
      </c>
      <c r="D1954" s="1">
        <v>650425.9</v>
      </c>
      <c r="E1954" s="1">
        <v>29529.37</v>
      </c>
      <c r="F1954" s="41">
        <v>44705</v>
      </c>
      <c r="G1954" s="41">
        <v>45070</v>
      </c>
      <c r="H1954" s="1" t="s">
        <v>3788</v>
      </c>
      <c r="I1954" s="1" t="s">
        <v>3324</v>
      </c>
      <c r="J1954" t="str">
        <f>IF(ISNA(_xlfn.XLOOKUP(B1954,customer_master!$A$2:$A$1649, customer_master!$A$2:$A$1649)), "Invalid", "Ok")</f>
        <v>Ok</v>
      </c>
      <c r="K1954" t="str">
        <f>IF(ISNA(_xlfn.XLOOKUP(H1954,agent_info!$A$2:$A$301, agent_info!$A$2:$A$301)), "Invalid", "Ok")</f>
        <v>Ok</v>
      </c>
    </row>
    <row r="1955" spans="1:11" x14ac:dyDescent="0.3">
      <c r="A1955" s="1" t="s">
        <v>5574</v>
      </c>
      <c r="B1955" s="1" t="s">
        <v>602</v>
      </c>
      <c r="C1955" s="1" t="s">
        <v>3331</v>
      </c>
      <c r="D1955" s="1">
        <v>700128.08</v>
      </c>
      <c r="E1955" s="1">
        <v>34157.58</v>
      </c>
      <c r="F1955" s="41">
        <v>44418</v>
      </c>
      <c r="G1955" s="41">
        <v>44783</v>
      </c>
      <c r="H1955" s="1" t="s">
        <v>3984</v>
      </c>
      <c r="I1955" s="1" t="s">
        <v>3324</v>
      </c>
      <c r="J1955" t="str">
        <f>IF(ISNA(_xlfn.XLOOKUP(B1955,customer_master!$A$2:$A$1649, customer_master!$A$2:$A$1649)), "Invalid", "Ok")</f>
        <v>Ok</v>
      </c>
      <c r="K1955" t="str">
        <f>IF(ISNA(_xlfn.XLOOKUP(H1955,agent_info!$A$2:$A$301, agent_info!$A$2:$A$301)), "Invalid", "Ok")</f>
        <v>Ok</v>
      </c>
    </row>
    <row r="1956" spans="1:11" x14ac:dyDescent="0.3">
      <c r="A1956" s="1" t="s">
        <v>5575</v>
      </c>
      <c r="B1956" s="1" t="s">
        <v>2320</v>
      </c>
      <c r="C1956" s="1" t="s">
        <v>3318</v>
      </c>
      <c r="D1956" s="1">
        <v>442669.11</v>
      </c>
      <c r="E1956" s="1">
        <v>22382.6</v>
      </c>
      <c r="F1956" s="41">
        <v>46008</v>
      </c>
      <c r="G1956" s="41">
        <v>46373</v>
      </c>
      <c r="H1956" s="1" t="s">
        <v>4336</v>
      </c>
      <c r="I1956" s="1" t="s">
        <v>3320</v>
      </c>
      <c r="J1956" t="str">
        <f>IF(ISNA(_xlfn.XLOOKUP(B1956,customer_master!$A$2:$A$1649, customer_master!$A$2:$A$1649)), "Invalid", "Ok")</f>
        <v>Ok</v>
      </c>
      <c r="K1956" t="str">
        <f>IF(ISNA(_xlfn.XLOOKUP(H1956,agent_info!$A$2:$A$301, agent_info!$A$2:$A$301)), "Invalid", "Ok")</f>
        <v>Ok</v>
      </c>
    </row>
    <row r="1957" spans="1:11" x14ac:dyDescent="0.3">
      <c r="A1957" s="1" t="s">
        <v>5576</v>
      </c>
      <c r="B1957" s="1" t="s">
        <v>2776</v>
      </c>
      <c r="C1957" s="1" t="s">
        <v>3326</v>
      </c>
      <c r="D1957" s="1">
        <v>458489.28</v>
      </c>
      <c r="E1957" s="1">
        <v>20654.150000000001</v>
      </c>
      <c r="F1957" s="41">
        <v>44147</v>
      </c>
      <c r="G1957" s="41">
        <v>44512</v>
      </c>
      <c r="H1957" s="1" t="s">
        <v>3872</v>
      </c>
      <c r="I1957" s="1" t="s">
        <v>3324</v>
      </c>
      <c r="J1957" t="str">
        <f>IF(ISNA(_xlfn.XLOOKUP(B1957,customer_master!$A$2:$A$1649, customer_master!$A$2:$A$1649)), "Invalid", "Ok")</f>
        <v>Ok</v>
      </c>
      <c r="K1957" t="str">
        <f>IF(ISNA(_xlfn.XLOOKUP(H1957,agent_info!$A$2:$A$301, agent_info!$A$2:$A$301)), "Invalid", "Ok")</f>
        <v>Ok</v>
      </c>
    </row>
    <row r="1958" spans="1:11" x14ac:dyDescent="0.3">
      <c r="A1958" s="1" t="s">
        <v>5577</v>
      </c>
      <c r="B1958" s="1" t="s">
        <v>2643</v>
      </c>
      <c r="C1958" s="1" t="s">
        <v>3331</v>
      </c>
      <c r="D1958" s="1">
        <v>674702.38</v>
      </c>
      <c r="E1958" s="1">
        <v>34666.230000000003</v>
      </c>
      <c r="F1958" s="41">
        <v>45723</v>
      </c>
      <c r="G1958" s="41">
        <v>46088</v>
      </c>
      <c r="H1958" s="1" t="s">
        <v>3817</v>
      </c>
      <c r="I1958" s="1" t="s">
        <v>3324</v>
      </c>
      <c r="J1958" t="str">
        <f>IF(ISNA(_xlfn.XLOOKUP(B1958,customer_master!$A$2:$A$1649, customer_master!$A$2:$A$1649)), "Invalid", "Ok")</f>
        <v>Ok</v>
      </c>
      <c r="K1958" t="str">
        <f>IF(ISNA(_xlfn.XLOOKUP(H1958,agent_info!$A$2:$A$301, agent_info!$A$2:$A$301)), "Invalid", "Ok")</f>
        <v>Ok</v>
      </c>
    </row>
    <row r="1959" spans="1:11" x14ac:dyDescent="0.3">
      <c r="A1959" s="1" t="s">
        <v>5578</v>
      </c>
      <c r="B1959" s="1" t="s">
        <v>1175</v>
      </c>
      <c r="C1959" s="1" t="s">
        <v>3318</v>
      </c>
      <c r="D1959" s="1">
        <v>439821.3</v>
      </c>
      <c r="E1959" s="1">
        <v>20016.099999999999</v>
      </c>
      <c r="F1959" s="41">
        <v>45180</v>
      </c>
      <c r="G1959" s="41">
        <v>45546</v>
      </c>
      <c r="H1959" s="1" t="s">
        <v>3349</v>
      </c>
      <c r="I1959" s="1" t="s">
        <v>3324</v>
      </c>
      <c r="J1959" t="str">
        <f>IF(ISNA(_xlfn.XLOOKUP(B1959,customer_master!$A$2:$A$1649, customer_master!$A$2:$A$1649)), "Invalid", "Ok")</f>
        <v>Ok</v>
      </c>
      <c r="K1959" t="str">
        <f>IF(ISNA(_xlfn.XLOOKUP(H1959,agent_info!$A$2:$A$301, agent_info!$A$2:$A$301)), "Invalid", "Ok")</f>
        <v>Ok</v>
      </c>
    </row>
    <row r="1960" spans="1:11" x14ac:dyDescent="0.3">
      <c r="A1960" s="1" t="s">
        <v>5579</v>
      </c>
      <c r="B1960" s="1" t="s">
        <v>3194</v>
      </c>
      <c r="C1960" s="1" t="s">
        <v>3331</v>
      </c>
      <c r="D1960" s="1">
        <v>437048.33</v>
      </c>
      <c r="E1960" s="1">
        <v>22813.74</v>
      </c>
      <c r="F1960" s="41">
        <v>44100</v>
      </c>
      <c r="G1960" s="41">
        <v>44465</v>
      </c>
      <c r="H1960" s="1" t="s">
        <v>3351</v>
      </c>
      <c r="I1960" s="1" t="s">
        <v>3324</v>
      </c>
      <c r="J1960" t="str">
        <f>IF(ISNA(_xlfn.XLOOKUP(B1960,customer_master!$A$2:$A$1649, customer_master!$A$2:$A$1649)), "Invalid", "Ok")</f>
        <v>Ok</v>
      </c>
      <c r="K1960" t="str">
        <f>IF(ISNA(_xlfn.XLOOKUP(H1960,agent_info!$A$2:$A$301, agent_info!$A$2:$A$301)), "Invalid", "Ok")</f>
        <v>Ok</v>
      </c>
    </row>
    <row r="1961" spans="1:11" x14ac:dyDescent="0.3">
      <c r="A1961" s="1" t="s">
        <v>5580</v>
      </c>
      <c r="B1961" s="1" t="s">
        <v>433</v>
      </c>
      <c r="C1961" s="1" t="s">
        <v>3326</v>
      </c>
      <c r="D1961" s="1">
        <v>484070.61</v>
      </c>
      <c r="E1961" s="1">
        <v>25663.87</v>
      </c>
      <c r="F1961" s="41">
        <v>45902</v>
      </c>
      <c r="G1961" s="41">
        <v>46267</v>
      </c>
      <c r="H1961" s="1" t="s">
        <v>3758</v>
      </c>
      <c r="I1961" s="1" t="s">
        <v>3324</v>
      </c>
      <c r="J1961" t="str">
        <f>IF(ISNA(_xlfn.XLOOKUP(B1961,customer_master!$A$2:$A$1649, customer_master!$A$2:$A$1649)), "Invalid", "Ok")</f>
        <v>Ok</v>
      </c>
      <c r="K1961" t="str">
        <f>IF(ISNA(_xlfn.XLOOKUP(H1961,agent_info!$A$2:$A$301, agent_info!$A$2:$A$301)), "Invalid", "Ok")</f>
        <v>Ok</v>
      </c>
    </row>
    <row r="1962" spans="1:11" x14ac:dyDescent="0.3">
      <c r="A1962" s="1" t="s">
        <v>5581</v>
      </c>
      <c r="B1962" s="1" t="s">
        <v>1662</v>
      </c>
      <c r="C1962" s="1" t="s">
        <v>3326</v>
      </c>
      <c r="D1962" s="1">
        <v>415252.91</v>
      </c>
      <c r="E1962" s="1">
        <v>22169.5</v>
      </c>
      <c r="F1962" s="41">
        <v>45567</v>
      </c>
      <c r="G1962" s="41">
        <v>45932</v>
      </c>
      <c r="H1962" s="1" t="s">
        <v>3332</v>
      </c>
      <c r="I1962" s="1" t="s">
        <v>3324</v>
      </c>
      <c r="J1962" t="str">
        <f>IF(ISNA(_xlfn.XLOOKUP(B1962,customer_master!$A$2:$A$1649, customer_master!$A$2:$A$1649)), "Invalid", "Ok")</f>
        <v>Ok</v>
      </c>
      <c r="K1962" t="str">
        <f>IF(ISNA(_xlfn.XLOOKUP(H1962,agent_info!$A$2:$A$301, agent_info!$A$2:$A$301)), "Invalid", "Ok")</f>
        <v>Ok</v>
      </c>
    </row>
    <row r="1963" spans="1:11" x14ac:dyDescent="0.3">
      <c r="A1963" s="1" t="s">
        <v>5582</v>
      </c>
      <c r="B1963" s="1" t="s">
        <v>1857</v>
      </c>
      <c r="C1963" s="1" t="s">
        <v>3331</v>
      </c>
      <c r="D1963" s="1">
        <v>411601.36</v>
      </c>
      <c r="E1963" s="1">
        <v>21293.74</v>
      </c>
      <c r="F1963" s="41">
        <v>45997</v>
      </c>
      <c r="G1963" s="41">
        <v>46362</v>
      </c>
      <c r="H1963" s="1" t="s">
        <v>3574</v>
      </c>
      <c r="I1963" s="1" t="s">
        <v>3316</v>
      </c>
      <c r="J1963" t="str">
        <f>IF(ISNA(_xlfn.XLOOKUP(B1963,customer_master!$A$2:$A$1649, customer_master!$A$2:$A$1649)), "Invalid", "Ok")</f>
        <v>Ok</v>
      </c>
      <c r="K1963" t="str">
        <f>IF(ISNA(_xlfn.XLOOKUP(H1963,agent_info!$A$2:$A$301, agent_info!$A$2:$A$301)), "Invalid", "Ok")</f>
        <v>Ok</v>
      </c>
    </row>
    <row r="1964" spans="1:11" x14ac:dyDescent="0.3">
      <c r="A1964" s="1" t="s">
        <v>5583</v>
      </c>
      <c r="B1964" s="1" t="s">
        <v>1801</v>
      </c>
      <c r="C1964" s="1" t="s">
        <v>3314</v>
      </c>
      <c r="D1964" s="1">
        <v>505418.19</v>
      </c>
      <c r="E1964" s="1">
        <v>25582.1</v>
      </c>
      <c r="F1964" s="41">
        <v>45291</v>
      </c>
      <c r="G1964" s="41">
        <v>45657</v>
      </c>
      <c r="H1964" s="1" t="s">
        <v>3555</v>
      </c>
      <c r="I1964" s="1" t="s">
        <v>3324</v>
      </c>
      <c r="J1964" t="str">
        <f>IF(ISNA(_xlfn.XLOOKUP(B1964,customer_master!$A$2:$A$1649, customer_master!$A$2:$A$1649)), "Invalid", "Ok")</f>
        <v>Ok</v>
      </c>
      <c r="K1964" t="str">
        <f>IF(ISNA(_xlfn.XLOOKUP(H1964,agent_info!$A$2:$A$301, agent_info!$A$2:$A$301)), "Invalid", "Ok")</f>
        <v>Ok</v>
      </c>
    </row>
    <row r="1965" spans="1:11" x14ac:dyDescent="0.3">
      <c r="A1965" s="1" t="s">
        <v>5584</v>
      </c>
      <c r="B1965" s="1" t="s">
        <v>2527</v>
      </c>
      <c r="C1965" s="1" t="s">
        <v>3331</v>
      </c>
      <c r="D1965" s="1">
        <v>715541.21</v>
      </c>
      <c r="E1965" s="1">
        <v>34400.080000000002</v>
      </c>
      <c r="F1965" s="41">
        <v>45895</v>
      </c>
      <c r="G1965" s="41">
        <v>46260</v>
      </c>
      <c r="H1965" s="1" t="s">
        <v>3987</v>
      </c>
      <c r="I1965" s="1" t="s">
        <v>3324</v>
      </c>
      <c r="J1965" t="str">
        <f>IF(ISNA(_xlfn.XLOOKUP(B1965,customer_master!$A$2:$A$1649, customer_master!$A$2:$A$1649)), "Invalid", "Ok")</f>
        <v>Ok</v>
      </c>
      <c r="K1965" t="str">
        <f>IF(ISNA(_xlfn.XLOOKUP(H1965,agent_info!$A$2:$A$301, agent_info!$A$2:$A$301)), "Invalid", "Ok")</f>
        <v>Ok</v>
      </c>
    </row>
    <row r="1966" spans="1:11" x14ac:dyDescent="0.3">
      <c r="A1966" s="1" t="s">
        <v>5585</v>
      </c>
      <c r="B1966" s="1" t="s">
        <v>2046</v>
      </c>
      <c r="C1966" s="1" t="s">
        <v>3314</v>
      </c>
      <c r="D1966" s="1">
        <v>406765.18</v>
      </c>
      <c r="E1966" s="1">
        <v>20031.61</v>
      </c>
      <c r="F1966" s="41">
        <v>46091</v>
      </c>
      <c r="G1966" s="41">
        <v>46456</v>
      </c>
      <c r="H1966" s="1" t="s">
        <v>3794</v>
      </c>
      <c r="I1966" s="1" t="s">
        <v>3316</v>
      </c>
      <c r="J1966" t="str">
        <f>IF(ISNA(_xlfn.XLOOKUP(B1966,customer_master!$A$2:$A$1649, customer_master!$A$2:$A$1649)), "Invalid", "Ok")</f>
        <v>Ok</v>
      </c>
      <c r="K1966" t="str">
        <f>IF(ISNA(_xlfn.XLOOKUP(H1966,agent_info!$A$2:$A$301, agent_info!$A$2:$A$301)), "Invalid", "Ok")</f>
        <v>Ok</v>
      </c>
    </row>
    <row r="1967" spans="1:11" x14ac:dyDescent="0.3">
      <c r="A1967" s="1" t="s">
        <v>5586</v>
      </c>
      <c r="B1967" s="1" t="s">
        <v>292</v>
      </c>
      <c r="C1967" s="1" t="s">
        <v>3314</v>
      </c>
      <c r="D1967" s="1">
        <v>602950.47</v>
      </c>
      <c r="E1967" s="1">
        <v>27657.68</v>
      </c>
      <c r="F1967" s="41">
        <v>45177</v>
      </c>
      <c r="G1967" s="41">
        <v>45543</v>
      </c>
      <c r="H1967" s="1" t="s">
        <v>3464</v>
      </c>
      <c r="I1967" s="1" t="s">
        <v>3316</v>
      </c>
      <c r="J1967" t="str">
        <f>IF(ISNA(_xlfn.XLOOKUP(B1967,customer_master!$A$2:$A$1649, customer_master!$A$2:$A$1649)), "Invalid", "Ok")</f>
        <v>Ok</v>
      </c>
      <c r="K1967" t="str">
        <f>IF(ISNA(_xlfn.XLOOKUP(H1967,agent_info!$A$2:$A$301, agent_info!$A$2:$A$301)), "Invalid", "Ok")</f>
        <v>Ok</v>
      </c>
    </row>
    <row r="1968" spans="1:11" x14ac:dyDescent="0.3">
      <c r="A1968" s="1" t="s">
        <v>5587</v>
      </c>
      <c r="B1968" s="1" t="s">
        <v>638</v>
      </c>
      <c r="C1968" s="1" t="s">
        <v>3334</v>
      </c>
      <c r="D1968" s="1">
        <v>601756.5</v>
      </c>
      <c r="E1968" s="1">
        <v>31334.07</v>
      </c>
      <c r="F1968" s="41">
        <v>45631</v>
      </c>
      <c r="G1968" s="41">
        <v>45996</v>
      </c>
      <c r="H1968" s="1" t="s">
        <v>3443</v>
      </c>
      <c r="I1968" s="1" t="s">
        <v>3316</v>
      </c>
      <c r="J1968" t="str">
        <f>IF(ISNA(_xlfn.XLOOKUP(B1968,customer_master!$A$2:$A$1649, customer_master!$A$2:$A$1649)), "Invalid", "Ok")</f>
        <v>Ok</v>
      </c>
      <c r="K1968" t="str">
        <f>IF(ISNA(_xlfn.XLOOKUP(H1968,agent_info!$A$2:$A$301, agent_info!$A$2:$A$301)), "Invalid", "Ok")</f>
        <v>Ok</v>
      </c>
    </row>
    <row r="1969" spans="1:11" x14ac:dyDescent="0.3">
      <c r="A1969" s="1" t="s">
        <v>5588</v>
      </c>
      <c r="B1969" s="1" t="s">
        <v>1785</v>
      </c>
      <c r="C1969" s="1" t="s">
        <v>3326</v>
      </c>
      <c r="D1969" s="1">
        <v>535794.19999999995</v>
      </c>
      <c r="E1969" s="1">
        <v>24243</v>
      </c>
      <c r="F1969" s="41">
        <v>45005</v>
      </c>
      <c r="G1969" s="41">
        <v>45371</v>
      </c>
      <c r="H1969" s="1" t="s">
        <v>3794</v>
      </c>
      <c r="I1969" s="1" t="s">
        <v>3324</v>
      </c>
      <c r="J1969" t="str">
        <f>IF(ISNA(_xlfn.XLOOKUP(B1969,customer_master!$A$2:$A$1649, customer_master!$A$2:$A$1649)), "Invalid", "Ok")</f>
        <v>Ok</v>
      </c>
      <c r="K1969" t="str">
        <f>IF(ISNA(_xlfn.XLOOKUP(H1969,agent_info!$A$2:$A$301, agent_info!$A$2:$A$301)), "Invalid", "Ok")</f>
        <v>Ok</v>
      </c>
    </row>
    <row r="1970" spans="1:11" x14ac:dyDescent="0.3">
      <c r="A1970" s="1" t="s">
        <v>5589</v>
      </c>
      <c r="B1970" s="1" t="s">
        <v>2324</v>
      </c>
      <c r="C1970" s="1" t="s">
        <v>3318</v>
      </c>
      <c r="D1970" s="1">
        <v>569082.30000000005</v>
      </c>
      <c r="E1970" s="1">
        <v>27961.5</v>
      </c>
      <c r="F1970" s="41">
        <v>44420</v>
      </c>
      <c r="G1970" s="41">
        <v>44785</v>
      </c>
      <c r="H1970" s="1" t="s">
        <v>3402</v>
      </c>
      <c r="I1970" s="1" t="s">
        <v>3324</v>
      </c>
      <c r="J1970" t="str">
        <f>IF(ISNA(_xlfn.XLOOKUP(B1970,customer_master!$A$2:$A$1649, customer_master!$A$2:$A$1649)), "Invalid", "Ok")</f>
        <v>Ok</v>
      </c>
      <c r="K1970" t="str">
        <f>IF(ISNA(_xlfn.XLOOKUP(H1970,agent_info!$A$2:$A$301, agent_info!$A$2:$A$301)), "Invalid", "Ok")</f>
        <v>Ok</v>
      </c>
    </row>
    <row r="1971" spans="1:11" x14ac:dyDescent="0.3">
      <c r="A1971" s="1" t="s">
        <v>5590</v>
      </c>
      <c r="B1971" s="1" t="s">
        <v>1729</v>
      </c>
      <c r="C1971" s="1" t="s">
        <v>3331</v>
      </c>
      <c r="D1971" s="1">
        <v>388075.71</v>
      </c>
      <c r="E1971" s="1">
        <v>19427.89</v>
      </c>
      <c r="F1971" s="41">
        <v>46210</v>
      </c>
      <c r="G1971" s="41">
        <v>46575</v>
      </c>
      <c r="H1971" s="1" t="s">
        <v>3379</v>
      </c>
      <c r="I1971" s="1" t="s">
        <v>3324</v>
      </c>
      <c r="J1971" t="str">
        <f>IF(ISNA(_xlfn.XLOOKUP(B1971,customer_master!$A$2:$A$1649, customer_master!$A$2:$A$1649)), "Invalid", "Ok")</f>
        <v>Ok</v>
      </c>
      <c r="K1971" t="str">
        <f>IF(ISNA(_xlfn.XLOOKUP(H1971,agent_info!$A$2:$A$301, agent_info!$A$2:$A$301)), "Invalid", "Ok")</f>
        <v>Ok</v>
      </c>
    </row>
    <row r="1972" spans="1:11" x14ac:dyDescent="0.3">
      <c r="A1972" s="1" t="s">
        <v>5591</v>
      </c>
      <c r="B1972" s="1" t="s">
        <v>1205</v>
      </c>
      <c r="C1972" s="1" t="s">
        <v>3331</v>
      </c>
      <c r="D1972" s="1">
        <v>399602.63</v>
      </c>
      <c r="E1972" s="1">
        <v>20579.89</v>
      </c>
      <c r="F1972" s="41">
        <v>45220</v>
      </c>
      <c r="G1972" s="41">
        <v>45586</v>
      </c>
      <c r="H1972" s="1" t="s">
        <v>4014</v>
      </c>
      <c r="I1972" s="1" t="s">
        <v>3324</v>
      </c>
      <c r="J1972" t="str">
        <f>IF(ISNA(_xlfn.XLOOKUP(B1972,customer_master!$A$2:$A$1649, customer_master!$A$2:$A$1649)), "Invalid", "Ok")</f>
        <v>Ok</v>
      </c>
      <c r="K1972" t="str">
        <f>IF(ISNA(_xlfn.XLOOKUP(H1972,agent_info!$A$2:$A$301, agent_info!$A$2:$A$301)), "Invalid", "Ok")</f>
        <v>Ok</v>
      </c>
    </row>
    <row r="1973" spans="1:11" x14ac:dyDescent="0.3">
      <c r="A1973" s="1" t="s">
        <v>5592</v>
      </c>
      <c r="B1973" s="1" t="s">
        <v>202</v>
      </c>
      <c r="C1973" s="1" t="s">
        <v>3318</v>
      </c>
      <c r="D1973" s="1">
        <v>571236.25</v>
      </c>
      <c r="E1973" s="1">
        <v>27666.11</v>
      </c>
      <c r="F1973" s="41">
        <v>46220</v>
      </c>
      <c r="G1973" s="41">
        <v>46585</v>
      </c>
      <c r="H1973" s="1" t="s">
        <v>3383</v>
      </c>
      <c r="I1973" s="1" t="s">
        <v>3320</v>
      </c>
      <c r="J1973" t="str">
        <f>IF(ISNA(_xlfn.XLOOKUP(B1973,customer_master!$A$2:$A$1649, customer_master!$A$2:$A$1649)), "Invalid", "Ok")</f>
        <v>Ok</v>
      </c>
      <c r="K1973" t="str">
        <f>IF(ISNA(_xlfn.XLOOKUP(H1973,agent_info!$A$2:$A$301, agent_info!$A$2:$A$301)), "Invalid", "Ok")</f>
        <v>Ok</v>
      </c>
    </row>
    <row r="1974" spans="1:11" x14ac:dyDescent="0.3">
      <c r="A1974" s="1" t="s">
        <v>5593</v>
      </c>
      <c r="B1974" s="1" t="s">
        <v>2605</v>
      </c>
      <c r="C1974" s="1" t="s">
        <v>3314</v>
      </c>
      <c r="D1974" s="1">
        <v>757799.07</v>
      </c>
      <c r="E1974" s="1">
        <v>37456.400000000001</v>
      </c>
      <c r="F1974" s="41">
        <v>44351</v>
      </c>
      <c r="G1974" s="41">
        <v>44716</v>
      </c>
      <c r="H1974" s="1" t="s">
        <v>3408</v>
      </c>
      <c r="I1974" s="1" t="s">
        <v>3324</v>
      </c>
      <c r="J1974" t="str">
        <f>IF(ISNA(_xlfn.XLOOKUP(B1974,customer_master!$A$2:$A$1649, customer_master!$A$2:$A$1649)), "Invalid", "Ok")</f>
        <v>Ok</v>
      </c>
      <c r="K1974" t="str">
        <f>IF(ISNA(_xlfn.XLOOKUP(H1974,agent_info!$A$2:$A$301, agent_info!$A$2:$A$301)), "Invalid", "Ok")</f>
        <v>Ok</v>
      </c>
    </row>
    <row r="1975" spans="1:11" x14ac:dyDescent="0.3">
      <c r="A1975" s="1" t="s">
        <v>5594</v>
      </c>
      <c r="B1975" s="1" t="s">
        <v>1676</v>
      </c>
      <c r="C1975" s="1" t="s">
        <v>3314</v>
      </c>
      <c r="D1975" s="1">
        <v>542070.68000000005</v>
      </c>
      <c r="E1975" s="1">
        <v>27577.17</v>
      </c>
      <c r="F1975" s="41">
        <v>44541</v>
      </c>
      <c r="G1975" s="41">
        <v>44906</v>
      </c>
      <c r="H1975" s="1" t="s">
        <v>3395</v>
      </c>
      <c r="I1975" s="1" t="s">
        <v>3324</v>
      </c>
      <c r="J1975" t="str">
        <f>IF(ISNA(_xlfn.XLOOKUP(B1975,customer_master!$A$2:$A$1649, customer_master!$A$2:$A$1649)), "Invalid", "Ok")</f>
        <v>Ok</v>
      </c>
      <c r="K1975" t="str">
        <f>IF(ISNA(_xlfn.XLOOKUP(H1975,agent_info!$A$2:$A$301, agent_info!$A$2:$A$301)), "Invalid", "Ok")</f>
        <v>Ok</v>
      </c>
    </row>
    <row r="1976" spans="1:11" x14ac:dyDescent="0.3">
      <c r="A1976" s="1" t="s">
        <v>5595</v>
      </c>
      <c r="B1976" s="1" t="s">
        <v>1807</v>
      </c>
      <c r="C1976" s="1" t="s">
        <v>3318</v>
      </c>
      <c r="D1976" s="1">
        <v>556539.52</v>
      </c>
      <c r="E1976" s="1">
        <v>30182.11</v>
      </c>
      <c r="F1976" s="41">
        <v>45433</v>
      </c>
      <c r="G1976" s="41">
        <v>45798</v>
      </c>
      <c r="H1976" s="1" t="s">
        <v>3427</v>
      </c>
      <c r="I1976" s="1" t="s">
        <v>3316</v>
      </c>
      <c r="J1976" t="str">
        <f>IF(ISNA(_xlfn.XLOOKUP(B1976,customer_master!$A$2:$A$1649, customer_master!$A$2:$A$1649)), "Invalid", "Ok")</f>
        <v>Ok</v>
      </c>
      <c r="K1976" t="str">
        <f>IF(ISNA(_xlfn.XLOOKUP(H1976,agent_info!$A$2:$A$301, agent_info!$A$2:$A$301)), "Invalid", "Ok")</f>
        <v>Ok</v>
      </c>
    </row>
    <row r="1977" spans="1:11" x14ac:dyDescent="0.3">
      <c r="A1977" s="1" t="s">
        <v>5596</v>
      </c>
      <c r="B1977" s="1" t="s">
        <v>1570</v>
      </c>
      <c r="C1977" s="1" t="s">
        <v>3318</v>
      </c>
      <c r="D1977" s="1">
        <v>749219.86</v>
      </c>
      <c r="E1977" s="1">
        <v>38749.440000000002</v>
      </c>
      <c r="F1977" s="41">
        <v>44556</v>
      </c>
      <c r="G1977" s="41">
        <v>44921</v>
      </c>
      <c r="H1977" s="1" t="s">
        <v>3620</v>
      </c>
      <c r="I1977" s="1" t="s">
        <v>3324</v>
      </c>
      <c r="J1977" t="str">
        <f>IF(ISNA(_xlfn.XLOOKUP(B1977,customer_master!$A$2:$A$1649, customer_master!$A$2:$A$1649)), "Invalid", "Ok")</f>
        <v>Ok</v>
      </c>
      <c r="K1977" t="str">
        <f>IF(ISNA(_xlfn.XLOOKUP(H1977,agent_info!$A$2:$A$301, agent_info!$A$2:$A$301)), "Invalid", "Ok")</f>
        <v>Ok</v>
      </c>
    </row>
    <row r="1978" spans="1:11" x14ac:dyDescent="0.3">
      <c r="A1978" s="1" t="s">
        <v>5597</v>
      </c>
      <c r="B1978" s="1" t="s">
        <v>901</v>
      </c>
      <c r="C1978" s="1" t="s">
        <v>3326</v>
      </c>
      <c r="D1978" s="1">
        <v>622689.68999999994</v>
      </c>
      <c r="E1978" s="1">
        <v>29605.37</v>
      </c>
      <c r="F1978" s="41">
        <v>44479</v>
      </c>
      <c r="G1978" s="41">
        <v>44844</v>
      </c>
      <c r="H1978" s="1" t="s">
        <v>3557</v>
      </c>
      <c r="I1978" s="1" t="s">
        <v>3324</v>
      </c>
      <c r="J1978" t="str">
        <f>IF(ISNA(_xlfn.XLOOKUP(B1978,customer_master!$A$2:$A$1649, customer_master!$A$2:$A$1649)), "Invalid", "Ok")</f>
        <v>Ok</v>
      </c>
      <c r="K1978" t="str">
        <f>IF(ISNA(_xlfn.XLOOKUP(H1978,agent_info!$A$2:$A$301, agent_info!$A$2:$A$301)), "Invalid", "Ok")</f>
        <v>Ok</v>
      </c>
    </row>
    <row r="1979" spans="1:11" x14ac:dyDescent="0.3">
      <c r="A1979" s="1" t="s">
        <v>5598</v>
      </c>
      <c r="B1979" s="1" t="s">
        <v>935</v>
      </c>
      <c r="C1979" s="1" t="s">
        <v>3331</v>
      </c>
      <c r="D1979" s="1">
        <v>675296.91</v>
      </c>
      <c r="E1979" s="1">
        <v>36109.910000000003</v>
      </c>
      <c r="F1979" s="41">
        <v>45712</v>
      </c>
      <c r="G1979" s="41">
        <v>46077</v>
      </c>
      <c r="H1979" s="1" t="s">
        <v>4678</v>
      </c>
      <c r="I1979" s="1" t="s">
        <v>3324</v>
      </c>
      <c r="J1979" t="str">
        <f>IF(ISNA(_xlfn.XLOOKUP(B1979,customer_master!$A$2:$A$1649, customer_master!$A$2:$A$1649)), "Invalid", "Ok")</f>
        <v>Ok</v>
      </c>
      <c r="K1979" t="str">
        <f>IF(ISNA(_xlfn.XLOOKUP(H1979,agent_info!$A$2:$A$301, agent_info!$A$2:$A$301)), "Invalid", "Ok")</f>
        <v>Ok</v>
      </c>
    </row>
    <row r="1980" spans="1:11" x14ac:dyDescent="0.3">
      <c r="A1980" s="1" t="s">
        <v>5599</v>
      </c>
      <c r="B1980" s="1" t="s">
        <v>242</v>
      </c>
      <c r="C1980" s="1" t="s">
        <v>3331</v>
      </c>
      <c r="D1980" s="1">
        <v>574056.56999999995</v>
      </c>
      <c r="E1980" s="1">
        <v>26148.65</v>
      </c>
      <c r="F1980" s="41">
        <v>45302</v>
      </c>
      <c r="G1980" s="41">
        <v>45668</v>
      </c>
      <c r="H1980" s="1" t="s">
        <v>3341</v>
      </c>
      <c r="I1980" s="1" t="s">
        <v>3316</v>
      </c>
      <c r="J1980" t="str">
        <f>IF(ISNA(_xlfn.XLOOKUP(B1980,customer_master!$A$2:$A$1649, customer_master!$A$2:$A$1649)), "Invalid", "Ok")</f>
        <v>Ok</v>
      </c>
      <c r="K1980" t="str">
        <f>IF(ISNA(_xlfn.XLOOKUP(H1980,agent_info!$A$2:$A$301, agent_info!$A$2:$A$301)), "Invalid", "Ok")</f>
        <v>Ok</v>
      </c>
    </row>
    <row r="1981" spans="1:11" x14ac:dyDescent="0.3">
      <c r="A1981" s="1" t="s">
        <v>5600</v>
      </c>
      <c r="B1981" s="1" t="s">
        <v>2364</v>
      </c>
      <c r="C1981" s="1" t="s">
        <v>3314</v>
      </c>
      <c r="D1981" s="1">
        <v>730696.37</v>
      </c>
      <c r="E1981" s="1">
        <v>34871.019999999997</v>
      </c>
      <c r="F1981" s="41">
        <v>45922</v>
      </c>
      <c r="G1981" s="41">
        <v>46287</v>
      </c>
      <c r="H1981" s="1" t="s">
        <v>3332</v>
      </c>
      <c r="I1981" s="1" t="s">
        <v>3324</v>
      </c>
      <c r="J1981" t="str">
        <f>IF(ISNA(_xlfn.XLOOKUP(B1981,customer_master!$A$2:$A$1649, customer_master!$A$2:$A$1649)), "Invalid", "Ok")</f>
        <v>Ok</v>
      </c>
      <c r="K1981" t="str">
        <f>IF(ISNA(_xlfn.XLOOKUP(H1981,agent_info!$A$2:$A$301, agent_info!$A$2:$A$301)), "Invalid", "Ok")</f>
        <v>Ok</v>
      </c>
    </row>
    <row r="1982" spans="1:11" x14ac:dyDescent="0.3">
      <c r="A1982" s="1" t="s">
        <v>5601</v>
      </c>
      <c r="B1982" s="1" t="s">
        <v>919</v>
      </c>
      <c r="C1982" s="1" t="s">
        <v>3326</v>
      </c>
      <c r="D1982" s="1">
        <v>553411.71</v>
      </c>
      <c r="E1982" s="1">
        <v>25502.05</v>
      </c>
      <c r="F1982" s="41">
        <v>45866</v>
      </c>
      <c r="G1982" s="41">
        <v>46231</v>
      </c>
      <c r="H1982" s="1" t="s">
        <v>3641</v>
      </c>
      <c r="I1982" s="1" t="s">
        <v>3324</v>
      </c>
      <c r="J1982" t="str">
        <f>IF(ISNA(_xlfn.XLOOKUP(B1982,customer_master!$A$2:$A$1649, customer_master!$A$2:$A$1649)), "Invalid", "Ok")</f>
        <v>Ok</v>
      </c>
      <c r="K1982" t="str">
        <f>IF(ISNA(_xlfn.XLOOKUP(H1982,agent_info!$A$2:$A$301, agent_info!$A$2:$A$301)), "Invalid", "Ok")</f>
        <v>Ok</v>
      </c>
    </row>
    <row r="1983" spans="1:11" x14ac:dyDescent="0.3">
      <c r="A1983" s="1" t="s">
        <v>5602</v>
      </c>
      <c r="B1983" s="1" t="s">
        <v>1008</v>
      </c>
      <c r="C1983" s="1" t="s">
        <v>3326</v>
      </c>
      <c r="D1983" s="1">
        <v>579844.06000000006</v>
      </c>
      <c r="E1983" s="1">
        <v>28685.11</v>
      </c>
      <c r="F1983" s="41">
        <v>45103</v>
      </c>
      <c r="G1983" s="41">
        <v>45469</v>
      </c>
      <c r="H1983" s="1" t="s">
        <v>4505</v>
      </c>
      <c r="I1983" s="1" t="s">
        <v>3324</v>
      </c>
      <c r="J1983" t="str">
        <f>IF(ISNA(_xlfn.XLOOKUP(B1983,customer_master!$A$2:$A$1649, customer_master!$A$2:$A$1649)), "Invalid", "Ok")</f>
        <v>Ok</v>
      </c>
      <c r="K1983" t="str">
        <f>IF(ISNA(_xlfn.XLOOKUP(H1983,agent_info!$A$2:$A$301, agent_info!$A$2:$A$301)), "Invalid", "Ok")</f>
        <v>Ok</v>
      </c>
    </row>
    <row r="1984" spans="1:11" x14ac:dyDescent="0.3">
      <c r="A1984" s="1" t="s">
        <v>5603</v>
      </c>
      <c r="B1984" s="1" t="s">
        <v>3289</v>
      </c>
      <c r="C1984" s="1" t="s">
        <v>3331</v>
      </c>
      <c r="D1984" s="1">
        <v>681952.43</v>
      </c>
      <c r="E1984" s="1">
        <v>35031.4</v>
      </c>
      <c r="F1984" s="41">
        <v>44763</v>
      </c>
      <c r="G1984" s="41">
        <v>45128</v>
      </c>
      <c r="H1984" s="1" t="s">
        <v>3749</v>
      </c>
      <c r="I1984" s="1" t="s">
        <v>3324</v>
      </c>
      <c r="J1984" t="str">
        <f>IF(ISNA(_xlfn.XLOOKUP(B1984,customer_master!$A$2:$A$1649, customer_master!$A$2:$A$1649)), "Invalid", "Ok")</f>
        <v>Ok</v>
      </c>
      <c r="K1984" t="str">
        <f>IF(ISNA(_xlfn.XLOOKUP(H1984,agent_info!$A$2:$A$301, agent_info!$A$2:$A$301)), "Invalid", "Ok")</f>
        <v>Ok</v>
      </c>
    </row>
    <row r="1985" spans="1:11" x14ac:dyDescent="0.3">
      <c r="A1985" s="1" t="s">
        <v>5604</v>
      </c>
      <c r="B1985" s="1" t="s">
        <v>1317</v>
      </c>
      <c r="C1985" s="1" t="s">
        <v>3318</v>
      </c>
      <c r="D1985" s="1">
        <v>531689.07999999996</v>
      </c>
      <c r="E1985" s="1">
        <v>26749.25</v>
      </c>
      <c r="F1985" s="41">
        <v>45484</v>
      </c>
      <c r="G1985" s="41">
        <v>45849</v>
      </c>
      <c r="H1985" s="1" t="s">
        <v>4586</v>
      </c>
      <c r="I1985" s="1" t="s">
        <v>3324</v>
      </c>
      <c r="J1985" t="str">
        <f>IF(ISNA(_xlfn.XLOOKUP(B1985,customer_master!$A$2:$A$1649, customer_master!$A$2:$A$1649)), "Invalid", "Ok")</f>
        <v>Ok</v>
      </c>
      <c r="K1985" t="str">
        <f>IF(ISNA(_xlfn.XLOOKUP(H1985,agent_info!$A$2:$A$301, agent_info!$A$2:$A$301)), "Invalid", "Ok")</f>
        <v>Ok</v>
      </c>
    </row>
    <row r="1986" spans="1:11" x14ac:dyDescent="0.3">
      <c r="A1986" s="1" t="s">
        <v>5605</v>
      </c>
      <c r="B1986" s="1" t="s">
        <v>1715</v>
      </c>
      <c r="C1986" s="1" t="s">
        <v>3318</v>
      </c>
      <c r="D1986" s="1">
        <v>738336.17</v>
      </c>
      <c r="E1986" s="1">
        <v>39214.97</v>
      </c>
      <c r="F1986" s="41">
        <v>45890</v>
      </c>
      <c r="G1986" s="41">
        <v>46255</v>
      </c>
      <c r="H1986" s="1" t="s">
        <v>3433</v>
      </c>
      <c r="I1986" s="1" t="s">
        <v>3316</v>
      </c>
      <c r="J1986" t="str">
        <f>IF(ISNA(_xlfn.XLOOKUP(B1986,customer_master!$A$2:$A$1649, customer_master!$A$2:$A$1649)), "Invalid", "Ok")</f>
        <v>Ok</v>
      </c>
      <c r="K1986" t="str">
        <f>IF(ISNA(_xlfn.XLOOKUP(H1986,agent_info!$A$2:$A$301, agent_info!$A$2:$A$301)), "Invalid", "Ok")</f>
        <v>Ok</v>
      </c>
    </row>
    <row r="1987" spans="1:11" x14ac:dyDescent="0.3">
      <c r="A1987" s="1" t="s">
        <v>5606</v>
      </c>
      <c r="B1987" s="1" t="s">
        <v>1317</v>
      </c>
      <c r="C1987" s="1" t="s">
        <v>3318</v>
      </c>
      <c r="D1987" s="1">
        <v>751466.73</v>
      </c>
      <c r="E1987" s="1">
        <v>38080.49</v>
      </c>
      <c r="F1987" s="41">
        <v>44438</v>
      </c>
      <c r="G1987" s="41">
        <v>44803</v>
      </c>
      <c r="H1987" s="1" t="s">
        <v>3504</v>
      </c>
      <c r="I1987" s="1" t="s">
        <v>3324</v>
      </c>
      <c r="J1987" t="str">
        <f>IF(ISNA(_xlfn.XLOOKUP(B1987,customer_master!$A$2:$A$1649, customer_master!$A$2:$A$1649)), "Invalid", "Ok")</f>
        <v>Ok</v>
      </c>
      <c r="K1987" t="str">
        <f>IF(ISNA(_xlfn.XLOOKUP(H1987,agent_info!$A$2:$A$301, agent_info!$A$2:$A$301)), "Invalid", "Ok")</f>
        <v>Ok</v>
      </c>
    </row>
    <row r="1988" spans="1:11" x14ac:dyDescent="0.3">
      <c r="A1988" s="1" t="s">
        <v>5607</v>
      </c>
      <c r="B1988" s="1" t="s">
        <v>978</v>
      </c>
      <c r="C1988" s="1" t="s">
        <v>3331</v>
      </c>
      <c r="D1988" s="1">
        <v>605493.07999999996</v>
      </c>
      <c r="E1988" s="1">
        <v>28655.97</v>
      </c>
      <c r="F1988" s="41">
        <v>45837</v>
      </c>
      <c r="G1988" s="41">
        <v>46202</v>
      </c>
      <c r="H1988" s="1" t="s">
        <v>4087</v>
      </c>
      <c r="I1988" s="1" t="s">
        <v>3324</v>
      </c>
      <c r="J1988" t="str">
        <f>IF(ISNA(_xlfn.XLOOKUP(B1988,customer_master!$A$2:$A$1649, customer_master!$A$2:$A$1649)), "Invalid", "Ok")</f>
        <v>Ok</v>
      </c>
      <c r="K1988" t="str">
        <f>IF(ISNA(_xlfn.XLOOKUP(H1988,agent_info!$A$2:$A$301, agent_info!$A$2:$A$301)), "Invalid", "Ok")</f>
        <v>Ok</v>
      </c>
    </row>
    <row r="1989" spans="1:11" x14ac:dyDescent="0.3">
      <c r="A1989" s="1" t="s">
        <v>5608</v>
      </c>
      <c r="B1989" s="1" t="s">
        <v>50</v>
      </c>
      <c r="C1989" s="1" t="s">
        <v>3331</v>
      </c>
      <c r="D1989" s="1">
        <v>466214.13</v>
      </c>
      <c r="E1989" s="1">
        <v>23480.51</v>
      </c>
      <c r="F1989" s="41">
        <v>45494</v>
      </c>
      <c r="G1989" s="41">
        <v>45859</v>
      </c>
      <c r="H1989" s="1" t="s">
        <v>3725</v>
      </c>
      <c r="I1989" s="1" t="s">
        <v>3324</v>
      </c>
      <c r="J1989" t="str">
        <f>IF(ISNA(_xlfn.XLOOKUP(B1989,customer_master!$A$2:$A$1649, customer_master!$A$2:$A$1649)), "Invalid", "Ok")</f>
        <v>Ok</v>
      </c>
      <c r="K1989" t="str">
        <f>IF(ISNA(_xlfn.XLOOKUP(H1989,agent_info!$A$2:$A$301, agent_info!$A$2:$A$301)), "Invalid", "Ok")</f>
        <v>Ok</v>
      </c>
    </row>
    <row r="1990" spans="1:11" x14ac:dyDescent="0.3">
      <c r="A1990" s="1" t="s">
        <v>5609</v>
      </c>
      <c r="B1990" s="1" t="s">
        <v>2841</v>
      </c>
      <c r="C1990" s="1" t="s">
        <v>3326</v>
      </c>
      <c r="D1990" s="1">
        <v>621215.71</v>
      </c>
      <c r="E1990" s="1">
        <v>32523.68</v>
      </c>
      <c r="F1990" s="41">
        <v>44503</v>
      </c>
      <c r="G1990" s="41">
        <v>44868</v>
      </c>
      <c r="H1990" s="1" t="s">
        <v>3686</v>
      </c>
      <c r="I1990" s="1" t="s">
        <v>3316</v>
      </c>
      <c r="J1990" t="str">
        <f>IF(ISNA(_xlfn.XLOOKUP(B1990,customer_master!$A$2:$A$1649, customer_master!$A$2:$A$1649)), "Invalid", "Ok")</f>
        <v>Ok</v>
      </c>
      <c r="K1990" t="str">
        <f>IF(ISNA(_xlfn.XLOOKUP(H1990,agent_info!$A$2:$A$301, agent_info!$A$2:$A$301)), "Invalid", "Ok")</f>
        <v>Ok</v>
      </c>
    </row>
    <row r="1991" spans="1:11" x14ac:dyDescent="0.3">
      <c r="A1991" s="1" t="s">
        <v>5610</v>
      </c>
      <c r="B1991" s="1" t="s">
        <v>1586</v>
      </c>
      <c r="C1991" s="1" t="s">
        <v>3331</v>
      </c>
      <c r="D1991" s="1">
        <v>504395.88</v>
      </c>
      <c r="E1991" s="1">
        <v>25234.69</v>
      </c>
      <c r="F1991" s="41">
        <v>44314</v>
      </c>
      <c r="G1991" s="41">
        <v>44679</v>
      </c>
      <c r="H1991" s="1" t="s">
        <v>3655</v>
      </c>
      <c r="I1991" s="1" t="s">
        <v>3316</v>
      </c>
      <c r="J1991" t="str">
        <f>IF(ISNA(_xlfn.XLOOKUP(B1991,customer_master!$A$2:$A$1649, customer_master!$A$2:$A$1649)), "Invalid", "Ok")</f>
        <v>Ok</v>
      </c>
      <c r="K1991" t="str">
        <f>IF(ISNA(_xlfn.XLOOKUP(H1991,agent_info!$A$2:$A$301, agent_info!$A$2:$A$301)), "Invalid", "Ok")</f>
        <v>Ok</v>
      </c>
    </row>
    <row r="1992" spans="1:11" x14ac:dyDescent="0.3">
      <c r="A1992" s="1" t="s">
        <v>5611</v>
      </c>
      <c r="B1992" s="1" t="s">
        <v>2414</v>
      </c>
      <c r="C1992" s="1" t="s">
        <v>3318</v>
      </c>
      <c r="D1992" s="1">
        <v>596145.12</v>
      </c>
      <c r="E1992" s="1">
        <v>29461.31</v>
      </c>
      <c r="F1992" s="41">
        <v>44247</v>
      </c>
      <c r="G1992" s="41">
        <v>44612</v>
      </c>
      <c r="H1992" s="1" t="s">
        <v>3545</v>
      </c>
      <c r="I1992" s="1" t="s">
        <v>3324</v>
      </c>
      <c r="J1992" t="str">
        <f>IF(ISNA(_xlfn.XLOOKUP(B1992,customer_master!$A$2:$A$1649, customer_master!$A$2:$A$1649)), "Invalid", "Ok")</f>
        <v>Ok</v>
      </c>
      <c r="K1992" t="str">
        <f>IF(ISNA(_xlfn.XLOOKUP(H1992,agent_info!$A$2:$A$301, agent_info!$A$2:$A$301)), "Invalid", "Ok")</f>
        <v>Ok</v>
      </c>
    </row>
    <row r="1993" spans="1:11" x14ac:dyDescent="0.3">
      <c r="A1993" s="1" t="s">
        <v>5612</v>
      </c>
      <c r="B1993" s="1" t="s">
        <v>3182</v>
      </c>
      <c r="C1993" s="1" t="s">
        <v>3318</v>
      </c>
      <c r="D1993" s="1">
        <v>410773.93</v>
      </c>
      <c r="E1993" s="1">
        <v>20658.22</v>
      </c>
      <c r="F1993" s="41">
        <v>45399</v>
      </c>
      <c r="G1993" s="41">
        <v>45764</v>
      </c>
      <c r="H1993" s="1" t="s">
        <v>3315</v>
      </c>
      <c r="I1993" s="1" t="s">
        <v>3324</v>
      </c>
      <c r="J1993" t="str">
        <f>IF(ISNA(_xlfn.XLOOKUP(B1993,customer_master!$A$2:$A$1649, customer_master!$A$2:$A$1649)), "Invalid", "Ok")</f>
        <v>Ok</v>
      </c>
      <c r="K1993" t="str">
        <f>IF(ISNA(_xlfn.XLOOKUP(H1993,agent_info!$A$2:$A$301, agent_info!$A$2:$A$301)), "Invalid", "Ok")</f>
        <v>Ok</v>
      </c>
    </row>
    <row r="1994" spans="1:11" x14ac:dyDescent="0.3">
      <c r="A1994" s="1" t="s">
        <v>5613</v>
      </c>
      <c r="B1994" s="1" t="s">
        <v>39</v>
      </c>
      <c r="C1994" s="1" t="s">
        <v>3331</v>
      </c>
      <c r="D1994" s="1">
        <v>689519.55</v>
      </c>
      <c r="E1994" s="1">
        <v>34807.35</v>
      </c>
      <c r="F1994" s="41">
        <v>45932</v>
      </c>
      <c r="G1994" s="41">
        <v>46297</v>
      </c>
      <c r="H1994" s="1" t="s">
        <v>4055</v>
      </c>
      <c r="I1994" s="1" t="s">
        <v>3316</v>
      </c>
      <c r="J1994" t="str">
        <f>IF(ISNA(_xlfn.XLOOKUP(B1994,customer_master!$A$2:$A$1649, customer_master!$A$2:$A$1649)), "Invalid", "Ok")</f>
        <v>Ok</v>
      </c>
      <c r="K1994" t="str">
        <f>IF(ISNA(_xlfn.XLOOKUP(H1994,agent_info!$A$2:$A$301, agent_info!$A$2:$A$301)), "Invalid", "Ok")</f>
        <v>Ok</v>
      </c>
    </row>
    <row r="1995" spans="1:11" x14ac:dyDescent="0.3">
      <c r="A1995" s="1" t="s">
        <v>5614</v>
      </c>
      <c r="B1995" s="1" t="s">
        <v>2256</v>
      </c>
      <c r="C1995" s="1" t="s">
        <v>3331</v>
      </c>
      <c r="D1995" s="1">
        <v>747391.67</v>
      </c>
      <c r="E1995" s="1">
        <v>35953.699999999997</v>
      </c>
      <c r="F1995" s="41">
        <v>44138</v>
      </c>
      <c r="G1995" s="41">
        <v>44503</v>
      </c>
      <c r="H1995" s="1" t="s">
        <v>3443</v>
      </c>
      <c r="I1995" s="1" t="s">
        <v>3316</v>
      </c>
      <c r="J1995" t="str">
        <f>IF(ISNA(_xlfn.XLOOKUP(B1995,customer_master!$A$2:$A$1649, customer_master!$A$2:$A$1649)), "Invalid", "Ok")</f>
        <v>Ok</v>
      </c>
      <c r="K1995" t="str">
        <f>IF(ISNA(_xlfn.XLOOKUP(H1995,agent_info!$A$2:$A$301, agent_info!$A$2:$A$301)), "Invalid", "Ok")</f>
        <v>Ok</v>
      </c>
    </row>
    <row r="1996" spans="1:11" x14ac:dyDescent="0.3">
      <c r="A1996" s="1" t="s">
        <v>5615</v>
      </c>
      <c r="B1996" s="1" t="s">
        <v>427</v>
      </c>
      <c r="C1996" s="1" t="s">
        <v>3334</v>
      </c>
      <c r="D1996" s="1">
        <v>421275.29</v>
      </c>
      <c r="E1996" s="1">
        <v>22556.03</v>
      </c>
      <c r="F1996" s="41">
        <v>44695</v>
      </c>
      <c r="G1996" s="41">
        <v>45060</v>
      </c>
      <c r="H1996" s="1" t="s">
        <v>3408</v>
      </c>
      <c r="I1996" s="1" t="s">
        <v>3324</v>
      </c>
      <c r="J1996" t="str">
        <f>IF(ISNA(_xlfn.XLOOKUP(B1996,customer_master!$A$2:$A$1649, customer_master!$A$2:$A$1649)), "Invalid", "Ok")</f>
        <v>Ok</v>
      </c>
      <c r="K1996" t="str">
        <f>IF(ISNA(_xlfn.XLOOKUP(H1996,agent_info!$A$2:$A$301, agent_info!$A$2:$A$301)), "Invalid", "Ok")</f>
        <v>Ok</v>
      </c>
    </row>
    <row r="1997" spans="1:11" x14ac:dyDescent="0.3">
      <c r="A1997" s="1" t="s">
        <v>5616</v>
      </c>
      <c r="B1997" s="1" t="s">
        <v>1539</v>
      </c>
      <c r="C1997" s="1" t="s">
        <v>3326</v>
      </c>
      <c r="D1997" s="1">
        <v>606059.67000000004</v>
      </c>
      <c r="E1997" s="1">
        <v>28531.37</v>
      </c>
      <c r="F1997" s="41">
        <v>45264</v>
      </c>
      <c r="G1997" s="41">
        <v>45630</v>
      </c>
      <c r="H1997" s="1" t="s">
        <v>4132</v>
      </c>
      <c r="I1997" s="1" t="s">
        <v>3324</v>
      </c>
      <c r="J1997" t="str">
        <f>IF(ISNA(_xlfn.XLOOKUP(B1997,customer_master!$A$2:$A$1649, customer_master!$A$2:$A$1649)), "Invalid", "Ok")</f>
        <v>Ok</v>
      </c>
      <c r="K1997" t="str">
        <f>IF(ISNA(_xlfn.XLOOKUP(H1997,agent_info!$A$2:$A$301, agent_info!$A$2:$A$301)), "Invalid", "Ok")</f>
        <v>Ok</v>
      </c>
    </row>
    <row r="1998" spans="1:11" x14ac:dyDescent="0.3">
      <c r="A1998" s="1" t="s">
        <v>5617</v>
      </c>
      <c r="B1998" s="1" t="s">
        <v>2815</v>
      </c>
      <c r="C1998" s="1" t="s">
        <v>3326</v>
      </c>
      <c r="D1998" s="1">
        <v>651293.6</v>
      </c>
      <c r="E1998" s="1">
        <v>29522.05</v>
      </c>
      <c r="F1998" s="41">
        <v>44220</v>
      </c>
      <c r="G1998" s="41">
        <v>44585</v>
      </c>
      <c r="H1998" s="1" t="s">
        <v>3555</v>
      </c>
      <c r="I1998" s="1" t="s">
        <v>3316</v>
      </c>
      <c r="J1998" t="str">
        <f>IF(ISNA(_xlfn.XLOOKUP(B1998,customer_master!$A$2:$A$1649, customer_master!$A$2:$A$1649)), "Invalid", "Ok")</f>
        <v>Ok</v>
      </c>
      <c r="K1998" t="str">
        <f>IF(ISNA(_xlfn.XLOOKUP(H1998,agent_info!$A$2:$A$301, agent_info!$A$2:$A$301)), "Invalid", "Ok")</f>
        <v>Ok</v>
      </c>
    </row>
    <row r="1999" spans="1:11" x14ac:dyDescent="0.3">
      <c r="A1999" s="1" t="s">
        <v>5618</v>
      </c>
      <c r="B1999" s="1" t="s">
        <v>268</v>
      </c>
      <c r="C1999" s="1" t="s">
        <v>3314</v>
      </c>
      <c r="D1999" s="1">
        <v>427159.89</v>
      </c>
      <c r="E1999" s="1">
        <v>22389.55</v>
      </c>
      <c r="F1999" s="41">
        <v>45385</v>
      </c>
      <c r="G1999" s="41">
        <v>45750</v>
      </c>
      <c r="H1999" s="1" t="s">
        <v>3796</v>
      </c>
      <c r="I1999" s="1" t="s">
        <v>3316</v>
      </c>
      <c r="J1999" t="str">
        <f>IF(ISNA(_xlfn.XLOOKUP(B1999,customer_master!$A$2:$A$1649, customer_master!$A$2:$A$1649)), "Invalid", "Ok")</f>
        <v>Ok</v>
      </c>
      <c r="K1999" t="str">
        <f>IF(ISNA(_xlfn.XLOOKUP(H1999,agent_info!$A$2:$A$301, agent_info!$A$2:$A$301)), "Invalid", "Ok")</f>
        <v>Ok</v>
      </c>
    </row>
    <row r="2000" spans="1:11" x14ac:dyDescent="0.3">
      <c r="A2000" s="1" t="s">
        <v>5619</v>
      </c>
      <c r="B2000" s="1" t="s">
        <v>3279</v>
      </c>
      <c r="C2000" s="1" t="s">
        <v>3334</v>
      </c>
      <c r="D2000" s="1">
        <v>480016.64000000001</v>
      </c>
      <c r="E2000" s="1">
        <v>25644</v>
      </c>
      <c r="F2000" s="41">
        <v>45735</v>
      </c>
      <c r="G2000" s="41">
        <v>46100</v>
      </c>
      <c r="H2000" s="1" t="s">
        <v>4012</v>
      </c>
      <c r="I2000" s="1" t="s">
        <v>3324</v>
      </c>
      <c r="J2000" t="str">
        <f>IF(ISNA(_xlfn.XLOOKUP(B2000,customer_master!$A$2:$A$1649, customer_master!$A$2:$A$1649)), "Invalid", "Ok")</f>
        <v>Ok</v>
      </c>
      <c r="K2000" t="str">
        <f>IF(ISNA(_xlfn.XLOOKUP(H2000,agent_info!$A$2:$A$301, agent_info!$A$2:$A$301)), "Invalid", "Ok")</f>
        <v>Ok</v>
      </c>
    </row>
    <row r="2001" spans="1:11" x14ac:dyDescent="0.3">
      <c r="A2001" s="1" t="s">
        <v>5620</v>
      </c>
      <c r="B2001" s="1" t="s">
        <v>1938</v>
      </c>
      <c r="C2001" s="1" t="s">
        <v>3334</v>
      </c>
      <c r="D2001" s="1">
        <v>535870.43000000005</v>
      </c>
      <c r="E2001" s="1">
        <v>27558.400000000001</v>
      </c>
      <c r="F2001" s="41">
        <v>44754</v>
      </c>
      <c r="G2001" s="41">
        <v>45119</v>
      </c>
      <c r="H2001" s="1" t="s">
        <v>4058</v>
      </c>
      <c r="I2001" s="1" t="s">
        <v>3324</v>
      </c>
      <c r="J2001" t="str">
        <f>IF(ISNA(_xlfn.XLOOKUP(B2001,customer_master!$A$2:$A$1649, customer_master!$A$2:$A$1649)), "Invalid", "Ok")</f>
        <v>Ok</v>
      </c>
      <c r="K2001" t="str">
        <f>IF(ISNA(_xlfn.XLOOKUP(H2001,agent_info!$A$2:$A$301, agent_info!$A$2:$A$301)), "Invalid", "Ok")</f>
        <v>Ok</v>
      </c>
    </row>
    <row r="2002" spans="1:11" x14ac:dyDescent="0.3">
      <c r="A2002" s="1" t="s">
        <v>5621</v>
      </c>
      <c r="B2002" s="1" t="s">
        <v>1349</v>
      </c>
      <c r="C2002" s="1" t="s">
        <v>3314</v>
      </c>
      <c r="D2002" s="1">
        <v>707152.73</v>
      </c>
      <c r="E2002" s="1">
        <v>35138.03</v>
      </c>
      <c r="F2002" s="41">
        <v>45286</v>
      </c>
      <c r="G2002" s="41">
        <v>45652</v>
      </c>
      <c r="H2002" s="1" t="s">
        <v>4771</v>
      </c>
      <c r="I2002" s="1" t="s">
        <v>3324</v>
      </c>
      <c r="J2002" t="str">
        <f>IF(ISNA(_xlfn.XLOOKUP(B2002,customer_master!$A$2:$A$1649, customer_master!$A$2:$A$1649)), "Invalid", "Ok")</f>
        <v>Ok</v>
      </c>
      <c r="K2002" t="str">
        <f>IF(ISNA(_xlfn.XLOOKUP(H2002,agent_info!$A$2:$A$301, agent_info!$A$2:$A$301)), "Invalid", "Ok")</f>
        <v>Ok</v>
      </c>
    </row>
    <row r="2003" spans="1:11" x14ac:dyDescent="0.3">
      <c r="A2003" s="1" t="s">
        <v>5622</v>
      </c>
      <c r="B2003" s="1" t="s">
        <v>99</v>
      </c>
      <c r="C2003" s="1" t="s">
        <v>3334</v>
      </c>
      <c r="D2003" s="1">
        <v>574971.04</v>
      </c>
      <c r="E2003" s="1">
        <v>31480.85</v>
      </c>
      <c r="F2003" s="41">
        <v>45476</v>
      </c>
      <c r="G2003" s="41">
        <v>45841</v>
      </c>
      <c r="H2003" s="1" t="s">
        <v>4545</v>
      </c>
      <c r="I2003" s="1" t="s">
        <v>3324</v>
      </c>
      <c r="J2003" t="str">
        <f>IF(ISNA(_xlfn.XLOOKUP(B2003,customer_master!$A$2:$A$1649, customer_master!$A$2:$A$1649)), "Invalid", "Ok")</f>
        <v>Ok</v>
      </c>
      <c r="K2003" t="str">
        <f>IF(ISNA(_xlfn.XLOOKUP(H2003,agent_info!$A$2:$A$301, agent_info!$A$2:$A$301)), "Invalid", "Ok")</f>
        <v>Ok</v>
      </c>
    </row>
    <row r="2004" spans="1:11" x14ac:dyDescent="0.3">
      <c r="A2004" s="1" t="s">
        <v>5623</v>
      </c>
      <c r="B2004" s="1" t="s">
        <v>1958</v>
      </c>
      <c r="C2004" s="1" t="s">
        <v>3318</v>
      </c>
      <c r="D2004" s="1">
        <v>429772.13</v>
      </c>
      <c r="E2004" s="1">
        <v>20933.169999999998</v>
      </c>
      <c r="F2004" s="41">
        <v>44147</v>
      </c>
      <c r="G2004" s="41">
        <v>44512</v>
      </c>
      <c r="H2004" s="1" t="s">
        <v>3846</v>
      </c>
      <c r="I2004" s="1" t="s">
        <v>3316</v>
      </c>
      <c r="J2004" t="str">
        <f>IF(ISNA(_xlfn.XLOOKUP(B2004,customer_master!$A$2:$A$1649, customer_master!$A$2:$A$1649)), "Invalid", "Ok")</f>
        <v>Ok</v>
      </c>
      <c r="K2004" t="str">
        <f>IF(ISNA(_xlfn.XLOOKUP(H2004,agent_info!$A$2:$A$301, agent_info!$A$2:$A$301)), "Invalid", "Ok")</f>
        <v>Ok</v>
      </c>
    </row>
    <row r="2005" spans="1:11" x14ac:dyDescent="0.3">
      <c r="A2005" s="1" t="s">
        <v>5624</v>
      </c>
      <c r="B2005" s="1" t="s">
        <v>1664</v>
      </c>
      <c r="C2005" s="1" t="s">
        <v>3334</v>
      </c>
      <c r="D2005" s="1">
        <v>483702.86</v>
      </c>
      <c r="E2005" s="1">
        <v>23729.97</v>
      </c>
      <c r="F2005" s="41">
        <v>44667</v>
      </c>
      <c r="G2005" s="41">
        <v>45032</v>
      </c>
      <c r="H2005" s="1" t="s">
        <v>3846</v>
      </c>
      <c r="I2005" s="1" t="s">
        <v>3324</v>
      </c>
      <c r="J2005" t="str">
        <f>IF(ISNA(_xlfn.XLOOKUP(B2005,customer_master!$A$2:$A$1649, customer_master!$A$2:$A$1649)), "Invalid", "Ok")</f>
        <v>Ok</v>
      </c>
      <c r="K2005" t="str">
        <f>IF(ISNA(_xlfn.XLOOKUP(H2005,agent_info!$A$2:$A$301, agent_info!$A$2:$A$301)), "Invalid", "Ok")</f>
        <v>Ok</v>
      </c>
    </row>
    <row r="2006" spans="1:11" x14ac:dyDescent="0.3">
      <c r="A2006" s="1" t="s">
        <v>5625</v>
      </c>
      <c r="B2006" s="1" t="s">
        <v>761</v>
      </c>
      <c r="C2006" s="1" t="s">
        <v>3331</v>
      </c>
      <c r="D2006" s="1">
        <v>559804.65</v>
      </c>
      <c r="E2006" s="1">
        <v>28500.29</v>
      </c>
      <c r="F2006" s="41">
        <v>46217</v>
      </c>
      <c r="G2006" s="41">
        <v>46582</v>
      </c>
      <c r="H2006" s="1" t="s">
        <v>3496</v>
      </c>
      <c r="I2006" s="1" t="s">
        <v>3324</v>
      </c>
      <c r="J2006" t="str">
        <f>IF(ISNA(_xlfn.XLOOKUP(B2006,customer_master!$A$2:$A$1649, customer_master!$A$2:$A$1649)), "Invalid", "Ok")</f>
        <v>Ok</v>
      </c>
      <c r="K2006" t="str">
        <f>IF(ISNA(_xlfn.XLOOKUP(H2006,agent_info!$A$2:$A$301, agent_info!$A$2:$A$301)), "Invalid", "Ok")</f>
        <v>Ok</v>
      </c>
    </row>
    <row r="2007" spans="1:11" x14ac:dyDescent="0.3">
      <c r="A2007" s="1" t="s">
        <v>5626</v>
      </c>
      <c r="B2007" s="1" t="s">
        <v>1650</v>
      </c>
      <c r="C2007" s="1" t="s">
        <v>3318</v>
      </c>
      <c r="D2007" s="1">
        <v>392841.89</v>
      </c>
      <c r="E2007" s="1">
        <v>19368.78</v>
      </c>
      <c r="F2007" s="41">
        <v>45315</v>
      </c>
      <c r="G2007" s="41">
        <v>45681</v>
      </c>
      <c r="H2007" s="1" t="s">
        <v>4052</v>
      </c>
      <c r="I2007" s="1" t="s">
        <v>3324</v>
      </c>
      <c r="J2007" t="str">
        <f>IF(ISNA(_xlfn.XLOOKUP(B2007,customer_master!$A$2:$A$1649, customer_master!$A$2:$A$1649)), "Invalid", "Ok")</f>
        <v>Ok</v>
      </c>
      <c r="K2007" t="str">
        <f>IF(ISNA(_xlfn.XLOOKUP(H2007,agent_info!$A$2:$A$301, agent_info!$A$2:$A$301)), "Invalid", "Ok")</f>
        <v>Ok</v>
      </c>
    </row>
    <row r="2008" spans="1:11" x14ac:dyDescent="0.3">
      <c r="A2008" s="1" t="s">
        <v>5627</v>
      </c>
      <c r="B2008" s="1" t="s">
        <v>77</v>
      </c>
      <c r="C2008" s="1" t="s">
        <v>3318</v>
      </c>
      <c r="D2008" s="1">
        <v>616516.89</v>
      </c>
      <c r="E2008" s="1">
        <v>31166.77</v>
      </c>
      <c r="F2008" s="41">
        <v>45312</v>
      </c>
      <c r="G2008" s="41">
        <v>45678</v>
      </c>
      <c r="H2008" s="1" t="s">
        <v>3830</v>
      </c>
      <c r="I2008" s="1" t="s">
        <v>3324</v>
      </c>
      <c r="J2008" t="str">
        <f>IF(ISNA(_xlfn.XLOOKUP(B2008,customer_master!$A$2:$A$1649, customer_master!$A$2:$A$1649)), "Invalid", "Ok")</f>
        <v>Ok</v>
      </c>
      <c r="K2008" t="str">
        <f>IF(ISNA(_xlfn.XLOOKUP(H2008,agent_info!$A$2:$A$301, agent_info!$A$2:$A$301)), "Invalid", "Ok")</f>
        <v>Ok</v>
      </c>
    </row>
    <row r="2009" spans="1:11" x14ac:dyDescent="0.3">
      <c r="A2009" s="1" t="s">
        <v>5628</v>
      </c>
      <c r="B2009" s="1" t="s">
        <v>3303</v>
      </c>
      <c r="C2009" s="1" t="s">
        <v>3318</v>
      </c>
      <c r="D2009" s="1">
        <v>387571.68</v>
      </c>
      <c r="E2009" s="1">
        <v>21186.85</v>
      </c>
      <c r="F2009" s="41">
        <v>45809</v>
      </c>
      <c r="G2009" s="41">
        <v>46174</v>
      </c>
      <c r="H2009" s="1" t="s">
        <v>3788</v>
      </c>
      <c r="I2009" s="1" t="s">
        <v>3324</v>
      </c>
      <c r="J2009" t="str">
        <f>IF(ISNA(_xlfn.XLOOKUP(B2009,customer_master!$A$2:$A$1649, customer_master!$A$2:$A$1649)), "Invalid", "Ok")</f>
        <v>Ok</v>
      </c>
      <c r="K2009" t="str">
        <f>IF(ISNA(_xlfn.XLOOKUP(H2009,agent_info!$A$2:$A$301, agent_info!$A$2:$A$301)), "Invalid", "Ok")</f>
        <v>Ok</v>
      </c>
    </row>
    <row r="2010" spans="1:11" x14ac:dyDescent="0.3">
      <c r="A2010" s="1" t="s">
        <v>5629</v>
      </c>
      <c r="B2010" s="1" t="s">
        <v>1125</v>
      </c>
      <c r="C2010" s="1" t="s">
        <v>3314</v>
      </c>
      <c r="D2010" s="1">
        <v>685635.47</v>
      </c>
      <c r="E2010" s="1">
        <v>32481.97</v>
      </c>
      <c r="F2010" s="41">
        <v>44177</v>
      </c>
      <c r="G2010" s="41">
        <v>44542</v>
      </c>
      <c r="H2010" s="1" t="s">
        <v>4240</v>
      </c>
      <c r="I2010" s="1" t="s">
        <v>3316</v>
      </c>
      <c r="J2010" t="str">
        <f>IF(ISNA(_xlfn.XLOOKUP(B2010,customer_master!$A$2:$A$1649, customer_master!$A$2:$A$1649)), "Invalid", "Ok")</f>
        <v>Ok</v>
      </c>
      <c r="K2010" t="str">
        <f>IF(ISNA(_xlfn.XLOOKUP(H2010,agent_info!$A$2:$A$301, agent_info!$A$2:$A$301)), "Invalid", "Ok")</f>
        <v>Ok</v>
      </c>
    </row>
    <row r="2011" spans="1:11" x14ac:dyDescent="0.3">
      <c r="A2011" s="1" t="s">
        <v>5630</v>
      </c>
      <c r="B2011" s="1" t="s">
        <v>1608</v>
      </c>
      <c r="C2011" s="1" t="s">
        <v>3318</v>
      </c>
      <c r="D2011" s="1">
        <v>655395.65</v>
      </c>
      <c r="E2011" s="1">
        <v>30466.48</v>
      </c>
      <c r="F2011" s="41">
        <v>44766</v>
      </c>
      <c r="G2011" s="41">
        <v>45131</v>
      </c>
      <c r="H2011" s="1" t="s">
        <v>4370</v>
      </c>
      <c r="I2011" s="1" t="s">
        <v>3316</v>
      </c>
      <c r="J2011" t="str">
        <f>IF(ISNA(_xlfn.XLOOKUP(B2011,customer_master!$A$2:$A$1649, customer_master!$A$2:$A$1649)), "Invalid", "Ok")</f>
        <v>Ok</v>
      </c>
      <c r="K2011" t="str">
        <f>IF(ISNA(_xlfn.XLOOKUP(H2011,agent_info!$A$2:$A$301, agent_info!$A$2:$A$301)), "Invalid", "Ok")</f>
        <v>Ok</v>
      </c>
    </row>
    <row r="2012" spans="1:11" x14ac:dyDescent="0.3">
      <c r="A2012" s="1" t="s">
        <v>5631</v>
      </c>
      <c r="B2012" s="1" t="s">
        <v>2601</v>
      </c>
      <c r="C2012" s="1" t="s">
        <v>3318</v>
      </c>
      <c r="D2012" s="1">
        <v>705136.32</v>
      </c>
      <c r="E2012" s="1">
        <v>34717.75</v>
      </c>
      <c r="F2012" s="41">
        <v>46145</v>
      </c>
      <c r="G2012" s="41">
        <v>46510</v>
      </c>
      <c r="H2012" s="1" t="s">
        <v>4835</v>
      </c>
      <c r="I2012" s="1" t="s">
        <v>3316</v>
      </c>
      <c r="J2012" t="str">
        <f>IF(ISNA(_xlfn.XLOOKUP(B2012,customer_master!$A$2:$A$1649, customer_master!$A$2:$A$1649)), "Invalid", "Ok")</f>
        <v>Ok</v>
      </c>
      <c r="K2012" t="str">
        <f>IF(ISNA(_xlfn.XLOOKUP(H2012,agent_info!$A$2:$A$301, agent_info!$A$2:$A$301)), "Invalid", "Ok")</f>
        <v>Ok</v>
      </c>
    </row>
    <row r="2013" spans="1:11" x14ac:dyDescent="0.3">
      <c r="A2013" s="1" t="s">
        <v>5632</v>
      </c>
      <c r="B2013" s="1" t="s">
        <v>2386</v>
      </c>
      <c r="C2013" s="1" t="s">
        <v>3314</v>
      </c>
      <c r="D2013" s="1">
        <v>445719.41</v>
      </c>
      <c r="E2013" s="1">
        <v>22303.79</v>
      </c>
      <c r="F2013" s="41">
        <v>44095</v>
      </c>
      <c r="G2013" s="41">
        <v>44460</v>
      </c>
      <c r="H2013" s="1" t="s">
        <v>4313</v>
      </c>
      <c r="I2013" s="1" t="s">
        <v>3324</v>
      </c>
      <c r="J2013" t="str">
        <f>IF(ISNA(_xlfn.XLOOKUP(B2013,customer_master!$A$2:$A$1649, customer_master!$A$2:$A$1649)), "Invalid", "Ok")</f>
        <v>Ok</v>
      </c>
      <c r="K2013" t="str">
        <f>IF(ISNA(_xlfn.XLOOKUP(H2013,agent_info!$A$2:$A$301, agent_info!$A$2:$A$301)), "Invalid", "Ok")</f>
        <v>Ok</v>
      </c>
    </row>
    <row r="2014" spans="1:11" x14ac:dyDescent="0.3">
      <c r="A2014" s="1" t="s">
        <v>5633</v>
      </c>
      <c r="B2014" s="1" t="s">
        <v>2955</v>
      </c>
      <c r="C2014" s="1" t="s">
        <v>3326</v>
      </c>
      <c r="D2014" s="1">
        <v>560904.81999999995</v>
      </c>
      <c r="E2014" s="1">
        <v>29241.07</v>
      </c>
      <c r="F2014" s="41">
        <v>44858</v>
      </c>
      <c r="G2014" s="41">
        <v>45223</v>
      </c>
      <c r="H2014" s="1" t="s">
        <v>3815</v>
      </c>
      <c r="I2014" s="1" t="s">
        <v>3324</v>
      </c>
      <c r="J2014" t="str">
        <f>IF(ISNA(_xlfn.XLOOKUP(B2014,customer_master!$A$2:$A$1649, customer_master!$A$2:$A$1649)), "Invalid", "Ok")</f>
        <v>Ok</v>
      </c>
      <c r="K2014" t="str">
        <f>IF(ISNA(_xlfn.XLOOKUP(H2014,agent_info!$A$2:$A$301, agent_info!$A$2:$A$301)), "Invalid", "Ok")</f>
        <v>Ok</v>
      </c>
    </row>
    <row r="2015" spans="1:11" x14ac:dyDescent="0.3">
      <c r="A2015" s="1" t="s">
        <v>5634</v>
      </c>
      <c r="B2015" s="1" t="s">
        <v>3130</v>
      </c>
      <c r="C2015" s="1" t="s">
        <v>3314</v>
      </c>
      <c r="D2015" s="1">
        <v>685695.62</v>
      </c>
      <c r="E2015" s="1">
        <v>37405.879999999997</v>
      </c>
      <c r="F2015" s="41">
        <v>44696</v>
      </c>
      <c r="G2015" s="41">
        <v>45061</v>
      </c>
      <c r="H2015" s="1" t="s">
        <v>3583</v>
      </c>
      <c r="I2015" s="1" t="s">
        <v>3316</v>
      </c>
      <c r="J2015" t="str">
        <f>IF(ISNA(_xlfn.XLOOKUP(B2015,customer_master!$A$2:$A$1649, customer_master!$A$2:$A$1649)), "Invalid", "Ok")</f>
        <v>Ok</v>
      </c>
      <c r="K2015" t="str">
        <f>IF(ISNA(_xlfn.XLOOKUP(H2015,agent_info!$A$2:$A$301, agent_info!$A$2:$A$301)), "Invalid", "Ok")</f>
        <v>Ok</v>
      </c>
    </row>
    <row r="2016" spans="1:11" x14ac:dyDescent="0.3">
      <c r="A2016" s="1" t="s">
        <v>5635</v>
      </c>
      <c r="B2016" s="1" t="s">
        <v>676</v>
      </c>
      <c r="C2016" s="1" t="s">
        <v>3326</v>
      </c>
      <c r="D2016" s="1">
        <v>530512.06999999995</v>
      </c>
      <c r="E2016" s="1">
        <v>27526.52</v>
      </c>
      <c r="F2016" s="41">
        <v>44949</v>
      </c>
      <c r="G2016" s="41">
        <v>45314</v>
      </c>
      <c r="H2016" s="1" t="s">
        <v>3807</v>
      </c>
      <c r="I2016" s="1" t="s">
        <v>3324</v>
      </c>
      <c r="J2016" t="str">
        <f>IF(ISNA(_xlfn.XLOOKUP(B2016,customer_master!$A$2:$A$1649, customer_master!$A$2:$A$1649)), "Invalid", "Ok")</f>
        <v>Ok</v>
      </c>
      <c r="K2016" t="str">
        <f>IF(ISNA(_xlfn.XLOOKUP(H2016,agent_info!$A$2:$A$301, agent_info!$A$2:$A$301)), "Invalid", "Ok")</f>
        <v>Ok</v>
      </c>
    </row>
    <row r="2017" spans="1:11" x14ac:dyDescent="0.3">
      <c r="A2017" s="1" t="s">
        <v>5636</v>
      </c>
      <c r="B2017" s="1" t="s">
        <v>1331</v>
      </c>
      <c r="C2017" s="1" t="s">
        <v>3334</v>
      </c>
      <c r="D2017" s="1">
        <v>435359.67</v>
      </c>
      <c r="E2017" s="1">
        <v>23888.95</v>
      </c>
      <c r="F2017" s="41">
        <v>44504</v>
      </c>
      <c r="G2017" s="41">
        <v>44869</v>
      </c>
      <c r="H2017" s="1" t="s">
        <v>3492</v>
      </c>
      <c r="I2017" s="1" t="s">
        <v>3324</v>
      </c>
      <c r="J2017" t="str">
        <f>IF(ISNA(_xlfn.XLOOKUP(B2017,customer_master!$A$2:$A$1649, customer_master!$A$2:$A$1649)), "Invalid", "Ok")</f>
        <v>Ok</v>
      </c>
      <c r="K2017" t="str">
        <f>IF(ISNA(_xlfn.XLOOKUP(H2017,agent_info!$A$2:$A$301, agent_info!$A$2:$A$301)), "Invalid", "Ok")</f>
        <v>Ok</v>
      </c>
    </row>
    <row r="2018" spans="1:11" x14ac:dyDescent="0.3">
      <c r="A2018" s="1" t="s">
        <v>5637</v>
      </c>
      <c r="B2018" s="1" t="s">
        <v>2296</v>
      </c>
      <c r="C2018" s="1" t="s">
        <v>3326</v>
      </c>
      <c r="D2018" s="1">
        <v>384623.97</v>
      </c>
      <c r="E2018" s="1">
        <v>18255.560000000001</v>
      </c>
      <c r="F2018" s="41">
        <v>45725</v>
      </c>
      <c r="G2018" s="41">
        <v>46090</v>
      </c>
      <c r="H2018" s="1" t="s">
        <v>3391</v>
      </c>
      <c r="I2018" s="1" t="s">
        <v>3316</v>
      </c>
      <c r="J2018" t="str">
        <f>IF(ISNA(_xlfn.XLOOKUP(B2018,customer_master!$A$2:$A$1649, customer_master!$A$2:$A$1649)), "Invalid", "Ok")</f>
        <v>Ok</v>
      </c>
      <c r="K2018" t="str">
        <f>IF(ISNA(_xlfn.XLOOKUP(H2018,agent_info!$A$2:$A$301, agent_info!$A$2:$A$301)), "Invalid", "Ok")</f>
        <v>Ok</v>
      </c>
    </row>
    <row r="2019" spans="1:11" x14ac:dyDescent="0.3">
      <c r="A2019" s="1" t="s">
        <v>5638</v>
      </c>
      <c r="B2019" s="1" t="s">
        <v>184</v>
      </c>
      <c r="C2019" s="1" t="s">
        <v>3318</v>
      </c>
      <c r="D2019" s="1">
        <v>607029.22</v>
      </c>
      <c r="E2019" s="1">
        <v>28584.34</v>
      </c>
      <c r="F2019" s="41">
        <v>45667</v>
      </c>
      <c r="G2019" s="41">
        <v>46032</v>
      </c>
      <c r="H2019" s="1" t="s">
        <v>3714</v>
      </c>
      <c r="I2019" s="1" t="s">
        <v>3324</v>
      </c>
      <c r="J2019" t="str">
        <f>IF(ISNA(_xlfn.XLOOKUP(B2019,customer_master!$A$2:$A$1649, customer_master!$A$2:$A$1649)), "Invalid", "Ok")</f>
        <v>Ok</v>
      </c>
      <c r="K2019" t="str">
        <f>IF(ISNA(_xlfn.XLOOKUP(H2019,agent_info!$A$2:$A$301, agent_info!$A$2:$A$301)), "Invalid", "Ok")</f>
        <v>Ok</v>
      </c>
    </row>
    <row r="2020" spans="1:11" x14ac:dyDescent="0.3">
      <c r="A2020" s="1" t="s">
        <v>5639</v>
      </c>
      <c r="B2020" s="1" t="s">
        <v>2398</v>
      </c>
      <c r="C2020" s="1" t="s">
        <v>3314</v>
      </c>
      <c r="D2020" s="1">
        <v>576578.93000000005</v>
      </c>
      <c r="E2020" s="1">
        <v>27713.47</v>
      </c>
      <c r="F2020" s="41">
        <v>46211</v>
      </c>
      <c r="G2020" s="41">
        <v>46576</v>
      </c>
      <c r="H2020" s="1" t="s">
        <v>3389</v>
      </c>
      <c r="I2020" s="1" t="s">
        <v>3324</v>
      </c>
      <c r="J2020" t="str">
        <f>IF(ISNA(_xlfn.XLOOKUP(B2020,customer_master!$A$2:$A$1649, customer_master!$A$2:$A$1649)), "Invalid", "Ok")</f>
        <v>Ok</v>
      </c>
      <c r="K2020" t="str">
        <f>IF(ISNA(_xlfn.XLOOKUP(H2020,agent_info!$A$2:$A$301, agent_info!$A$2:$A$301)), "Invalid", "Ok")</f>
        <v>Ok</v>
      </c>
    </row>
    <row r="2021" spans="1:11" x14ac:dyDescent="0.3">
      <c r="A2021" s="1" t="s">
        <v>5640</v>
      </c>
      <c r="B2021" s="1" t="s">
        <v>48</v>
      </c>
      <c r="C2021" s="1" t="s">
        <v>3334</v>
      </c>
      <c r="D2021" s="1">
        <v>742880.65</v>
      </c>
      <c r="E2021" s="1">
        <v>39277.019999999997</v>
      </c>
      <c r="F2021" s="41">
        <v>45617</v>
      </c>
      <c r="G2021" s="41">
        <v>45982</v>
      </c>
      <c r="H2021" s="1" t="s">
        <v>4058</v>
      </c>
      <c r="I2021" s="1" t="s">
        <v>3324</v>
      </c>
      <c r="J2021" t="str">
        <f>IF(ISNA(_xlfn.XLOOKUP(B2021,customer_master!$A$2:$A$1649, customer_master!$A$2:$A$1649)), "Invalid", "Ok")</f>
        <v>Ok</v>
      </c>
      <c r="K2021" t="str">
        <f>IF(ISNA(_xlfn.XLOOKUP(H2021,agent_info!$A$2:$A$301, agent_info!$A$2:$A$301)), "Invalid", "Ok")</f>
        <v>Ok</v>
      </c>
    </row>
    <row r="2022" spans="1:11" x14ac:dyDescent="0.3">
      <c r="A2022" s="1" t="s">
        <v>5641</v>
      </c>
      <c r="B2022" s="1" t="s">
        <v>3035</v>
      </c>
      <c r="C2022" s="1" t="s">
        <v>3331</v>
      </c>
      <c r="D2022" s="1">
        <v>699610.25</v>
      </c>
      <c r="E2022" s="1">
        <v>32787.339999999997</v>
      </c>
      <c r="F2022" s="41">
        <v>44290</v>
      </c>
      <c r="G2022" s="41">
        <v>44655</v>
      </c>
      <c r="H2022" s="1" t="s">
        <v>3570</v>
      </c>
      <c r="I2022" s="1" t="s">
        <v>3324</v>
      </c>
      <c r="J2022" t="str">
        <f>IF(ISNA(_xlfn.XLOOKUP(B2022,customer_master!$A$2:$A$1649, customer_master!$A$2:$A$1649)), "Invalid", "Ok")</f>
        <v>Ok</v>
      </c>
      <c r="K2022" t="str">
        <f>IF(ISNA(_xlfn.XLOOKUP(H2022,agent_info!$A$2:$A$301, agent_info!$A$2:$A$301)), "Invalid", "Ok")</f>
        <v>Ok</v>
      </c>
    </row>
    <row r="2023" spans="1:11" x14ac:dyDescent="0.3">
      <c r="A2023" s="1" t="s">
        <v>5642</v>
      </c>
      <c r="B2023" s="1" t="s">
        <v>2402</v>
      </c>
      <c r="C2023" s="1" t="s">
        <v>3334</v>
      </c>
      <c r="D2023" s="1">
        <v>663643.43999999994</v>
      </c>
      <c r="E2023" s="1">
        <v>31165.96</v>
      </c>
      <c r="F2023" s="41">
        <v>44969</v>
      </c>
      <c r="G2023" s="41">
        <v>45334</v>
      </c>
      <c r="H2023" s="1" t="s">
        <v>3674</v>
      </c>
      <c r="I2023" s="1" t="s">
        <v>3324</v>
      </c>
      <c r="J2023" t="str">
        <f>IF(ISNA(_xlfn.XLOOKUP(B2023,customer_master!$A$2:$A$1649, customer_master!$A$2:$A$1649)), "Invalid", "Ok")</f>
        <v>Ok</v>
      </c>
      <c r="K2023" t="str">
        <f>IF(ISNA(_xlfn.XLOOKUP(H2023,agent_info!$A$2:$A$301, agent_info!$A$2:$A$301)), "Invalid", "Ok")</f>
        <v>Ok</v>
      </c>
    </row>
    <row r="2024" spans="1:11" x14ac:dyDescent="0.3">
      <c r="A2024" s="1" t="s">
        <v>5643</v>
      </c>
      <c r="B2024" s="1" t="s">
        <v>1895</v>
      </c>
      <c r="C2024" s="1" t="s">
        <v>3331</v>
      </c>
      <c r="D2024" s="1">
        <v>756284.36</v>
      </c>
      <c r="E2024" s="1">
        <v>37146.69</v>
      </c>
      <c r="F2024" s="41">
        <v>45702</v>
      </c>
      <c r="G2024" s="41">
        <v>46067</v>
      </c>
      <c r="H2024" s="1" t="s">
        <v>3527</v>
      </c>
      <c r="I2024" s="1" t="s">
        <v>3324</v>
      </c>
      <c r="J2024" t="str">
        <f>IF(ISNA(_xlfn.XLOOKUP(B2024,customer_master!$A$2:$A$1649, customer_master!$A$2:$A$1649)), "Invalid", "Ok")</f>
        <v>Ok</v>
      </c>
      <c r="K2024" t="str">
        <f>IF(ISNA(_xlfn.XLOOKUP(H2024,agent_info!$A$2:$A$301, agent_info!$A$2:$A$301)), "Invalid", "Ok")</f>
        <v>Ok</v>
      </c>
    </row>
    <row r="2025" spans="1:11" x14ac:dyDescent="0.3">
      <c r="A2025" s="1" t="s">
        <v>5644</v>
      </c>
      <c r="B2025" s="1" t="s">
        <v>1443</v>
      </c>
      <c r="C2025" s="1" t="s">
        <v>3314</v>
      </c>
      <c r="D2025" s="1">
        <v>652425.11</v>
      </c>
      <c r="E2025" s="1">
        <v>31430.87</v>
      </c>
      <c r="F2025" s="41">
        <v>44298</v>
      </c>
      <c r="G2025" s="41">
        <v>44663</v>
      </c>
      <c r="H2025" s="1" t="s">
        <v>3710</v>
      </c>
      <c r="I2025" s="1" t="s">
        <v>3324</v>
      </c>
      <c r="J2025" t="str">
        <f>IF(ISNA(_xlfn.XLOOKUP(B2025,customer_master!$A$2:$A$1649, customer_master!$A$2:$A$1649)), "Invalid", "Ok")</f>
        <v>Ok</v>
      </c>
      <c r="K2025" t="str">
        <f>IF(ISNA(_xlfn.XLOOKUP(H2025,agent_info!$A$2:$A$301, agent_info!$A$2:$A$301)), "Invalid", "Ok")</f>
        <v>Ok</v>
      </c>
    </row>
    <row r="2026" spans="1:11" x14ac:dyDescent="0.3">
      <c r="A2026" s="1" t="s">
        <v>5645</v>
      </c>
      <c r="B2026" s="1" t="s">
        <v>3275</v>
      </c>
      <c r="C2026" s="1" t="s">
        <v>3331</v>
      </c>
      <c r="D2026" s="1">
        <v>416736.38</v>
      </c>
      <c r="E2026" s="1">
        <v>21447.25</v>
      </c>
      <c r="F2026" s="41">
        <v>45847</v>
      </c>
      <c r="G2026" s="41">
        <v>46212</v>
      </c>
      <c r="H2026" s="1" t="s">
        <v>4116</v>
      </c>
      <c r="I2026" s="1" t="s">
        <v>3316</v>
      </c>
      <c r="J2026" t="str">
        <f>IF(ISNA(_xlfn.XLOOKUP(B2026,customer_master!$A$2:$A$1649, customer_master!$A$2:$A$1649)), "Invalid", "Ok")</f>
        <v>Ok</v>
      </c>
      <c r="K2026" t="str">
        <f>IF(ISNA(_xlfn.XLOOKUP(H2026,agent_info!$A$2:$A$301, agent_info!$A$2:$A$301)), "Invalid", "Ok")</f>
        <v>Ok</v>
      </c>
    </row>
    <row r="2027" spans="1:11" x14ac:dyDescent="0.3">
      <c r="A2027" s="1" t="s">
        <v>5646</v>
      </c>
      <c r="B2027" s="1" t="s">
        <v>2452</v>
      </c>
      <c r="C2027" s="1" t="s">
        <v>3334</v>
      </c>
      <c r="D2027" s="1">
        <v>414861.75</v>
      </c>
      <c r="E2027" s="1">
        <v>22361.74</v>
      </c>
      <c r="F2027" s="41">
        <v>44406</v>
      </c>
      <c r="G2027" s="41">
        <v>44771</v>
      </c>
      <c r="H2027" s="1" t="s">
        <v>4095</v>
      </c>
      <c r="I2027" s="1" t="s">
        <v>3316</v>
      </c>
      <c r="J2027" t="str">
        <f>IF(ISNA(_xlfn.XLOOKUP(B2027,customer_master!$A$2:$A$1649, customer_master!$A$2:$A$1649)), "Invalid", "Ok")</f>
        <v>Ok</v>
      </c>
      <c r="K2027" t="str">
        <f>IF(ISNA(_xlfn.XLOOKUP(H2027,agent_info!$A$2:$A$301, agent_info!$A$2:$A$301)), "Invalid", "Ok")</f>
        <v>Ok</v>
      </c>
    </row>
    <row r="2028" spans="1:11" x14ac:dyDescent="0.3">
      <c r="A2028" s="1" t="s">
        <v>5647</v>
      </c>
      <c r="B2028" s="1" t="s">
        <v>2674</v>
      </c>
      <c r="C2028" s="1" t="s">
        <v>3314</v>
      </c>
      <c r="D2028" s="1">
        <v>699109.64</v>
      </c>
      <c r="E2028" s="1">
        <v>32429.32</v>
      </c>
      <c r="F2028" s="41">
        <v>45364</v>
      </c>
      <c r="G2028" s="41">
        <v>45729</v>
      </c>
      <c r="H2028" s="1" t="s">
        <v>3949</v>
      </c>
      <c r="I2028" s="1" t="s">
        <v>3324</v>
      </c>
      <c r="J2028" t="str">
        <f>IF(ISNA(_xlfn.XLOOKUP(B2028,customer_master!$A$2:$A$1649, customer_master!$A$2:$A$1649)), "Invalid", "Ok")</f>
        <v>Ok</v>
      </c>
      <c r="K2028" t="str">
        <f>IF(ISNA(_xlfn.XLOOKUP(H2028,agent_info!$A$2:$A$301, agent_info!$A$2:$A$301)), "Invalid", "Ok")</f>
        <v>Ok</v>
      </c>
    </row>
    <row r="2029" spans="1:11" x14ac:dyDescent="0.3">
      <c r="A2029" s="1" t="s">
        <v>5648</v>
      </c>
      <c r="B2029" s="1" t="s">
        <v>2738</v>
      </c>
      <c r="C2029" s="1" t="s">
        <v>3326</v>
      </c>
      <c r="D2029" s="1">
        <v>476246.25</v>
      </c>
      <c r="E2029" s="1">
        <v>24034.98</v>
      </c>
      <c r="F2029" s="41">
        <v>44914</v>
      </c>
      <c r="G2029" s="41">
        <v>45279</v>
      </c>
      <c r="H2029" s="1" t="s">
        <v>3701</v>
      </c>
      <c r="I2029" s="1" t="s">
        <v>3324</v>
      </c>
      <c r="J2029" t="str">
        <f>IF(ISNA(_xlfn.XLOOKUP(B2029,customer_master!$A$2:$A$1649, customer_master!$A$2:$A$1649)), "Invalid", "Ok")</f>
        <v>Ok</v>
      </c>
      <c r="K2029" t="str">
        <f>IF(ISNA(_xlfn.XLOOKUP(H2029,agent_info!$A$2:$A$301, agent_info!$A$2:$A$301)), "Invalid", "Ok")</f>
        <v>Ok</v>
      </c>
    </row>
    <row r="2030" spans="1:11" x14ac:dyDescent="0.3">
      <c r="A2030" s="1" t="s">
        <v>5649</v>
      </c>
      <c r="B2030" s="1" t="s">
        <v>109</v>
      </c>
      <c r="C2030" s="1" t="s">
        <v>3314</v>
      </c>
      <c r="D2030" s="1">
        <v>740849.26</v>
      </c>
      <c r="E2030" s="1">
        <v>33993.129999999997</v>
      </c>
      <c r="F2030" s="41">
        <v>45362</v>
      </c>
      <c r="G2030" s="41">
        <v>45727</v>
      </c>
      <c r="H2030" s="1" t="s">
        <v>4518</v>
      </c>
      <c r="I2030" s="1" t="s">
        <v>3324</v>
      </c>
      <c r="J2030" t="str">
        <f>IF(ISNA(_xlfn.XLOOKUP(B2030,customer_master!$A$2:$A$1649, customer_master!$A$2:$A$1649)), "Invalid", "Ok")</f>
        <v>Ok</v>
      </c>
      <c r="K2030" t="str">
        <f>IF(ISNA(_xlfn.XLOOKUP(H2030,agent_info!$A$2:$A$301, agent_info!$A$2:$A$301)), "Invalid", "Ok")</f>
        <v>Ok</v>
      </c>
    </row>
    <row r="2031" spans="1:11" x14ac:dyDescent="0.3">
      <c r="A2031" s="1" t="s">
        <v>5650</v>
      </c>
      <c r="B2031" s="1" t="s">
        <v>216</v>
      </c>
      <c r="C2031" s="1" t="s">
        <v>3314</v>
      </c>
      <c r="D2031" s="1">
        <v>430525.26</v>
      </c>
      <c r="E2031" s="1">
        <v>20327.22</v>
      </c>
      <c r="F2031" s="41">
        <v>45944</v>
      </c>
      <c r="G2031" s="41">
        <v>46309</v>
      </c>
      <c r="H2031" s="1" t="s">
        <v>3363</v>
      </c>
      <c r="I2031" s="1" t="s">
        <v>3316</v>
      </c>
      <c r="J2031" t="str">
        <f>IF(ISNA(_xlfn.XLOOKUP(B2031,customer_master!$A$2:$A$1649, customer_master!$A$2:$A$1649)), "Invalid", "Ok")</f>
        <v>Ok</v>
      </c>
      <c r="K2031" t="str">
        <f>IF(ISNA(_xlfn.XLOOKUP(H2031,agent_info!$A$2:$A$301, agent_info!$A$2:$A$301)), "Invalid", "Ok")</f>
        <v>Ok</v>
      </c>
    </row>
    <row r="2032" spans="1:11" x14ac:dyDescent="0.3">
      <c r="A2032" s="1" t="s">
        <v>5651</v>
      </c>
      <c r="B2032" s="1" t="s">
        <v>703</v>
      </c>
      <c r="C2032" s="1" t="s">
        <v>3331</v>
      </c>
      <c r="D2032" s="1">
        <v>457337.25</v>
      </c>
      <c r="E2032" s="1">
        <v>21993.81</v>
      </c>
      <c r="F2032" s="41">
        <v>44712</v>
      </c>
      <c r="G2032" s="41">
        <v>45077</v>
      </c>
      <c r="H2032" s="1" t="s">
        <v>4391</v>
      </c>
      <c r="I2032" s="1" t="s">
        <v>3324</v>
      </c>
      <c r="J2032" t="str">
        <f>IF(ISNA(_xlfn.XLOOKUP(B2032,customer_master!$A$2:$A$1649, customer_master!$A$2:$A$1649)), "Invalid", "Ok")</f>
        <v>Ok</v>
      </c>
      <c r="K2032" t="str">
        <f>IF(ISNA(_xlfn.XLOOKUP(H2032,agent_info!$A$2:$A$301, agent_info!$A$2:$A$301)), "Invalid", "Ok")</f>
        <v>Ok</v>
      </c>
    </row>
    <row r="2033" spans="1:11" x14ac:dyDescent="0.3">
      <c r="A2033" s="1" t="s">
        <v>5652</v>
      </c>
      <c r="B2033" s="1" t="s">
        <v>2186</v>
      </c>
      <c r="C2033" s="1" t="s">
        <v>3331</v>
      </c>
      <c r="D2033" s="1">
        <v>676463.4</v>
      </c>
      <c r="E2033" s="1">
        <v>34358.269999999997</v>
      </c>
      <c r="F2033" s="41">
        <v>44409</v>
      </c>
      <c r="G2033" s="41">
        <v>44774</v>
      </c>
      <c r="H2033" s="1" t="s">
        <v>3576</v>
      </c>
      <c r="I2033" s="1" t="s">
        <v>3324</v>
      </c>
      <c r="J2033" t="str">
        <f>IF(ISNA(_xlfn.XLOOKUP(B2033,customer_master!$A$2:$A$1649, customer_master!$A$2:$A$1649)), "Invalid", "Ok")</f>
        <v>Ok</v>
      </c>
      <c r="K2033" t="str">
        <f>IF(ISNA(_xlfn.XLOOKUP(H2033,agent_info!$A$2:$A$301, agent_info!$A$2:$A$301)), "Invalid", "Ok")</f>
        <v>Ok</v>
      </c>
    </row>
    <row r="2034" spans="1:11" x14ac:dyDescent="0.3">
      <c r="A2034" s="1" t="s">
        <v>5653</v>
      </c>
      <c r="B2034" s="1" t="s">
        <v>2101</v>
      </c>
      <c r="C2034" s="1" t="s">
        <v>3334</v>
      </c>
      <c r="D2034" s="1">
        <v>711277.66</v>
      </c>
      <c r="E2034" s="1">
        <v>35954.230000000003</v>
      </c>
      <c r="F2034" s="41">
        <v>45092</v>
      </c>
      <c r="G2034" s="41">
        <v>45458</v>
      </c>
      <c r="H2034" s="1" t="s">
        <v>3494</v>
      </c>
      <c r="I2034" s="1" t="s">
        <v>3324</v>
      </c>
      <c r="J2034" t="str">
        <f>IF(ISNA(_xlfn.XLOOKUP(B2034,customer_master!$A$2:$A$1649, customer_master!$A$2:$A$1649)), "Invalid", "Ok")</f>
        <v>Ok</v>
      </c>
      <c r="K2034" t="str">
        <f>IF(ISNA(_xlfn.XLOOKUP(H2034,agent_info!$A$2:$A$301, agent_info!$A$2:$A$301)), "Invalid", "Ok")</f>
        <v>Ok</v>
      </c>
    </row>
    <row r="2035" spans="1:11" x14ac:dyDescent="0.3">
      <c r="A2035" s="1" t="s">
        <v>5654</v>
      </c>
      <c r="B2035" s="1" t="s">
        <v>1101</v>
      </c>
      <c r="C2035" s="1" t="s">
        <v>3318</v>
      </c>
      <c r="D2035" s="1">
        <v>705800.22</v>
      </c>
      <c r="E2035" s="1">
        <v>36299.769999999997</v>
      </c>
      <c r="F2035" s="41">
        <v>46017</v>
      </c>
      <c r="G2035" s="41">
        <v>46382</v>
      </c>
      <c r="H2035" s="1" t="s">
        <v>3470</v>
      </c>
      <c r="I2035" s="1" t="s">
        <v>3316</v>
      </c>
      <c r="J2035" t="str">
        <f>IF(ISNA(_xlfn.XLOOKUP(B2035,customer_master!$A$2:$A$1649, customer_master!$A$2:$A$1649)), "Invalid", "Ok")</f>
        <v>Ok</v>
      </c>
      <c r="K2035" t="str">
        <f>IF(ISNA(_xlfn.XLOOKUP(H2035,agent_info!$A$2:$A$301, agent_info!$A$2:$A$301)), "Invalid", "Ok")</f>
        <v>Ok</v>
      </c>
    </row>
    <row r="2036" spans="1:11" x14ac:dyDescent="0.3">
      <c r="A2036" s="1" t="s">
        <v>5655</v>
      </c>
      <c r="B2036" s="1" t="s">
        <v>3226</v>
      </c>
      <c r="C2036" s="1" t="s">
        <v>3326</v>
      </c>
      <c r="D2036" s="1">
        <v>384698.74</v>
      </c>
      <c r="E2036" s="1">
        <v>20461.77</v>
      </c>
      <c r="F2036" s="41">
        <v>44281</v>
      </c>
      <c r="G2036" s="41">
        <v>44646</v>
      </c>
      <c r="H2036" s="1" t="s">
        <v>3617</v>
      </c>
      <c r="I2036" s="1" t="s">
        <v>3324</v>
      </c>
      <c r="J2036" t="str">
        <f>IF(ISNA(_xlfn.XLOOKUP(B2036,customer_master!$A$2:$A$1649, customer_master!$A$2:$A$1649)), "Invalid", "Ok")</f>
        <v>Ok</v>
      </c>
      <c r="K2036" t="str">
        <f>IF(ISNA(_xlfn.XLOOKUP(H2036,agent_info!$A$2:$A$301, agent_info!$A$2:$A$301)), "Invalid", "Ok")</f>
        <v>Ok</v>
      </c>
    </row>
    <row r="2037" spans="1:11" x14ac:dyDescent="0.3">
      <c r="A2037" s="1" t="s">
        <v>5656</v>
      </c>
      <c r="B2037" s="1" t="s">
        <v>342</v>
      </c>
      <c r="C2037" s="1" t="s">
        <v>3334</v>
      </c>
      <c r="D2037" s="1">
        <v>531993.89</v>
      </c>
      <c r="E2037" s="1">
        <v>24935.78</v>
      </c>
      <c r="F2037" s="41">
        <v>45651</v>
      </c>
      <c r="G2037" s="41">
        <v>46016</v>
      </c>
      <c r="H2037" s="1" t="s">
        <v>4586</v>
      </c>
      <c r="I2037" s="1" t="s">
        <v>3324</v>
      </c>
      <c r="J2037" t="str">
        <f>IF(ISNA(_xlfn.XLOOKUP(B2037,customer_master!$A$2:$A$1649, customer_master!$A$2:$A$1649)), "Invalid", "Ok")</f>
        <v>Ok</v>
      </c>
      <c r="K2037" t="str">
        <f>IF(ISNA(_xlfn.XLOOKUP(H2037,agent_info!$A$2:$A$301, agent_info!$A$2:$A$301)), "Invalid", "Ok")</f>
        <v>Ok</v>
      </c>
    </row>
    <row r="2038" spans="1:11" x14ac:dyDescent="0.3">
      <c r="A2038" s="1" t="s">
        <v>5657</v>
      </c>
      <c r="B2038" s="1" t="s">
        <v>2585</v>
      </c>
      <c r="C2038" s="1" t="s">
        <v>3318</v>
      </c>
      <c r="D2038" s="1">
        <v>622334.04</v>
      </c>
      <c r="E2038" s="1">
        <v>32631.35</v>
      </c>
      <c r="F2038" s="41">
        <v>46015</v>
      </c>
      <c r="G2038" s="41">
        <v>46380</v>
      </c>
      <c r="H2038" s="1" t="s">
        <v>3682</v>
      </c>
      <c r="I2038" s="1" t="s">
        <v>3320</v>
      </c>
      <c r="J2038" t="str">
        <f>IF(ISNA(_xlfn.XLOOKUP(B2038,customer_master!$A$2:$A$1649, customer_master!$A$2:$A$1649)), "Invalid", "Ok")</f>
        <v>Ok</v>
      </c>
      <c r="K2038" t="str">
        <f>IF(ISNA(_xlfn.XLOOKUP(H2038,agent_info!$A$2:$A$301, agent_info!$A$2:$A$301)), "Invalid", "Ok")</f>
        <v>Ok</v>
      </c>
    </row>
    <row r="2039" spans="1:11" x14ac:dyDescent="0.3">
      <c r="A2039" s="1" t="s">
        <v>5658</v>
      </c>
      <c r="B2039" s="1" t="s">
        <v>1610</v>
      </c>
      <c r="C2039" s="1" t="s">
        <v>3334</v>
      </c>
      <c r="D2039" s="1">
        <v>738736.31</v>
      </c>
      <c r="E2039" s="1">
        <v>38170.660000000003</v>
      </c>
      <c r="F2039" s="41">
        <v>45846</v>
      </c>
      <c r="G2039" s="41">
        <v>46211</v>
      </c>
      <c r="H2039" s="1" t="s">
        <v>4309</v>
      </c>
      <c r="I2039" s="1" t="s">
        <v>3324</v>
      </c>
      <c r="J2039" t="str">
        <f>IF(ISNA(_xlfn.XLOOKUP(B2039,customer_master!$A$2:$A$1649, customer_master!$A$2:$A$1649)), "Invalid", "Ok")</f>
        <v>Ok</v>
      </c>
      <c r="K2039" t="str">
        <f>IF(ISNA(_xlfn.XLOOKUP(H2039,agent_info!$A$2:$A$301, agent_info!$A$2:$A$301)), "Invalid", "Ok")</f>
        <v>Ok</v>
      </c>
    </row>
    <row r="2040" spans="1:11" x14ac:dyDescent="0.3">
      <c r="A2040" s="1" t="s">
        <v>5659</v>
      </c>
      <c r="B2040" s="1" t="s">
        <v>1415</v>
      </c>
      <c r="C2040" s="1" t="s">
        <v>3331</v>
      </c>
      <c r="D2040" s="1">
        <v>472684.23</v>
      </c>
      <c r="E2040" s="1">
        <v>21647.57</v>
      </c>
      <c r="F2040" s="41">
        <v>45511</v>
      </c>
      <c r="G2040" s="41">
        <v>45876</v>
      </c>
      <c r="H2040" s="1" t="s">
        <v>4511</v>
      </c>
      <c r="I2040" s="1" t="s">
        <v>3316</v>
      </c>
      <c r="J2040" t="str">
        <f>IF(ISNA(_xlfn.XLOOKUP(B2040,customer_master!$A$2:$A$1649, customer_master!$A$2:$A$1649)), "Invalid", "Ok")</f>
        <v>Ok</v>
      </c>
      <c r="K2040" t="str">
        <f>IF(ISNA(_xlfn.XLOOKUP(H2040,agent_info!$A$2:$A$301, agent_info!$A$2:$A$301)), "Invalid", "Ok")</f>
        <v>Ok</v>
      </c>
    </row>
    <row r="2041" spans="1:11" x14ac:dyDescent="0.3">
      <c r="A2041" s="1" t="s">
        <v>5660</v>
      </c>
      <c r="B2041" s="1" t="s">
        <v>119</v>
      </c>
      <c r="C2041" s="1" t="s">
        <v>3314</v>
      </c>
      <c r="D2041" s="1">
        <v>616132.01</v>
      </c>
      <c r="E2041" s="1">
        <v>29849.72</v>
      </c>
      <c r="F2041" s="41">
        <v>45762</v>
      </c>
      <c r="G2041" s="41">
        <v>46127</v>
      </c>
      <c r="H2041" s="1" t="s">
        <v>3767</v>
      </c>
      <c r="I2041" s="1" t="s">
        <v>3324</v>
      </c>
      <c r="J2041" t="str">
        <f>IF(ISNA(_xlfn.XLOOKUP(B2041,customer_master!$A$2:$A$1649, customer_master!$A$2:$A$1649)), "Invalid", "Ok")</f>
        <v>Ok</v>
      </c>
      <c r="K2041" t="str">
        <f>IF(ISNA(_xlfn.XLOOKUP(H2041,agent_info!$A$2:$A$301, agent_info!$A$2:$A$301)), "Invalid", "Ok")</f>
        <v>Ok</v>
      </c>
    </row>
    <row r="2042" spans="1:11" x14ac:dyDescent="0.3">
      <c r="A2042" s="1" t="s">
        <v>5661</v>
      </c>
      <c r="B2042" s="1" t="s">
        <v>2438</v>
      </c>
      <c r="C2042" s="1" t="s">
        <v>3318</v>
      </c>
      <c r="D2042" s="1">
        <v>432250.29</v>
      </c>
      <c r="E2042" s="1">
        <v>19570.990000000002</v>
      </c>
      <c r="F2042" s="41">
        <v>44430</v>
      </c>
      <c r="G2042" s="41">
        <v>44795</v>
      </c>
      <c r="H2042" s="1" t="s">
        <v>3830</v>
      </c>
      <c r="I2042" s="1" t="s">
        <v>3320</v>
      </c>
      <c r="J2042" t="str">
        <f>IF(ISNA(_xlfn.XLOOKUP(B2042,customer_master!$A$2:$A$1649, customer_master!$A$2:$A$1649)), "Invalid", "Ok")</f>
        <v>Ok</v>
      </c>
      <c r="K2042" t="str">
        <f>IF(ISNA(_xlfn.XLOOKUP(H2042,agent_info!$A$2:$A$301, agent_info!$A$2:$A$301)), "Invalid", "Ok")</f>
        <v>Ok</v>
      </c>
    </row>
    <row r="2043" spans="1:11" x14ac:dyDescent="0.3">
      <c r="A2043" s="1" t="s">
        <v>5662</v>
      </c>
      <c r="B2043" s="1" t="s">
        <v>2571</v>
      </c>
      <c r="C2043" s="1" t="s">
        <v>3334</v>
      </c>
      <c r="D2043" s="1">
        <v>672702.3</v>
      </c>
      <c r="E2043" s="1">
        <v>30878.28</v>
      </c>
      <c r="F2043" s="41">
        <v>46189</v>
      </c>
      <c r="G2043" s="41">
        <v>46554</v>
      </c>
      <c r="H2043" s="1" t="s">
        <v>4343</v>
      </c>
      <c r="I2043" s="1" t="s">
        <v>3324</v>
      </c>
      <c r="J2043" t="str">
        <f>IF(ISNA(_xlfn.XLOOKUP(B2043,customer_master!$A$2:$A$1649, customer_master!$A$2:$A$1649)), "Invalid", "Ok")</f>
        <v>Ok</v>
      </c>
      <c r="K2043" t="str">
        <f>IF(ISNA(_xlfn.XLOOKUP(H2043,agent_info!$A$2:$A$301, agent_info!$A$2:$A$301)), "Invalid", "Ok")</f>
        <v>Ok</v>
      </c>
    </row>
    <row r="2044" spans="1:11" x14ac:dyDescent="0.3">
      <c r="A2044" s="1" t="s">
        <v>5663</v>
      </c>
      <c r="B2044" s="1" t="s">
        <v>1079</v>
      </c>
      <c r="C2044" s="1" t="s">
        <v>3334</v>
      </c>
      <c r="D2044" s="1">
        <v>434096.92</v>
      </c>
      <c r="E2044" s="1">
        <v>20766.27</v>
      </c>
      <c r="F2044" s="41">
        <v>45208</v>
      </c>
      <c r="G2044" s="41">
        <v>45574</v>
      </c>
      <c r="H2044" s="1" t="s">
        <v>4132</v>
      </c>
      <c r="I2044" s="1" t="s">
        <v>3324</v>
      </c>
      <c r="J2044" t="str">
        <f>IF(ISNA(_xlfn.XLOOKUP(B2044,customer_master!$A$2:$A$1649, customer_master!$A$2:$A$1649)), "Invalid", "Ok")</f>
        <v>Ok</v>
      </c>
      <c r="K2044" t="str">
        <f>IF(ISNA(_xlfn.XLOOKUP(H2044,agent_info!$A$2:$A$301, agent_info!$A$2:$A$301)), "Invalid", "Ok")</f>
        <v>Ok</v>
      </c>
    </row>
    <row r="2045" spans="1:11" x14ac:dyDescent="0.3">
      <c r="A2045" s="1" t="s">
        <v>5664</v>
      </c>
      <c r="B2045" s="1" t="s">
        <v>1737</v>
      </c>
      <c r="C2045" s="1" t="s">
        <v>3318</v>
      </c>
      <c r="D2045" s="1">
        <v>755993.38</v>
      </c>
      <c r="E2045" s="1">
        <v>35857.64</v>
      </c>
      <c r="F2045" s="41">
        <v>45674</v>
      </c>
      <c r="G2045" s="41">
        <v>46039</v>
      </c>
      <c r="H2045" s="1" t="s">
        <v>4518</v>
      </c>
      <c r="I2045" s="1" t="s">
        <v>3324</v>
      </c>
      <c r="J2045" t="str">
        <f>IF(ISNA(_xlfn.XLOOKUP(B2045,customer_master!$A$2:$A$1649, customer_master!$A$2:$A$1649)), "Invalid", "Ok")</f>
        <v>Ok</v>
      </c>
      <c r="K2045" t="str">
        <f>IF(ISNA(_xlfn.XLOOKUP(H2045,agent_info!$A$2:$A$301, agent_info!$A$2:$A$301)), "Invalid", "Ok")</f>
        <v>Ok</v>
      </c>
    </row>
    <row r="2046" spans="1:11" x14ac:dyDescent="0.3">
      <c r="A2046" s="1" t="s">
        <v>5665</v>
      </c>
      <c r="B2046" s="1" t="s">
        <v>2030</v>
      </c>
      <c r="C2046" s="1" t="s">
        <v>3331</v>
      </c>
      <c r="D2046" s="1">
        <v>416699.82</v>
      </c>
      <c r="E2046" s="1">
        <v>22502.51</v>
      </c>
      <c r="F2046" s="41">
        <v>45504</v>
      </c>
      <c r="G2046" s="41">
        <v>45869</v>
      </c>
      <c r="H2046" s="1" t="s">
        <v>3565</v>
      </c>
      <c r="I2046" s="1" t="s">
        <v>3324</v>
      </c>
      <c r="J2046" t="str">
        <f>IF(ISNA(_xlfn.XLOOKUP(B2046,customer_master!$A$2:$A$1649, customer_master!$A$2:$A$1649)), "Invalid", "Ok")</f>
        <v>Ok</v>
      </c>
      <c r="K2046" t="str">
        <f>IF(ISNA(_xlfn.XLOOKUP(H2046,agent_info!$A$2:$A$301, agent_info!$A$2:$A$301)), "Invalid", "Ok")</f>
        <v>Ok</v>
      </c>
    </row>
    <row r="2047" spans="1:11" x14ac:dyDescent="0.3">
      <c r="A2047" s="1" t="s">
        <v>5666</v>
      </c>
      <c r="B2047" s="1" t="s">
        <v>1245</v>
      </c>
      <c r="C2047" s="1" t="s">
        <v>3326</v>
      </c>
      <c r="D2047" s="1">
        <v>589868</v>
      </c>
      <c r="E2047" s="1">
        <v>31816.23</v>
      </c>
      <c r="F2047" s="41">
        <v>46116</v>
      </c>
      <c r="G2047" s="41">
        <v>46481</v>
      </c>
      <c r="H2047" s="1" t="s">
        <v>3809</v>
      </c>
      <c r="I2047" s="1" t="s">
        <v>3316</v>
      </c>
      <c r="J2047" t="str">
        <f>IF(ISNA(_xlfn.XLOOKUP(B2047,customer_master!$A$2:$A$1649, customer_master!$A$2:$A$1649)), "Invalid", "Ok")</f>
        <v>Ok</v>
      </c>
      <c r="K2047" t="str">
        <f>IF(ISNA(_xlfn.XLOOKUP(H2047,agent_info!$A$2:$A$301, agent_info!$A$2:$A$301)), "Invalid", "Ok")</f>
        <v>Ok</v>
      </c>
    </row>
    <row r="2048" spans="1:11" x14ac:dyDescent="0.3">
      <c r="A2048" s="1" t="s">
        <v>5667</v>
      </c>
      <c r="B2048" s="1" t="s">
        <v>2069</v>
      </c>
      <c r="C2048" s="1" t="s">
        <v>3318</v>
      </c>
      <c r="D2048" s="1">
        <v>671720.68</v>
      </c>
      <c r="E2048" s="1">
        <v>34109.089999999997</v>
      </c>
      <c r="F2048" s="41">
        <v>44825</v>
      </c>
      <c r="G2048" s="41">
        <v>45190</v>
      </c>
      <c r="H2048" s="1" t="s">
        <v>3485</v>
      </c>
      <c r="I2048" s="1" t="s">
        <v>3316</v>
      </c>
      <c r="J2048" t="str">
        <f>IF(ISNA(_xlfn.XLOOKUP(B2048,customer_master!$A$2:$A$1649, customer_master!$A$2:$A$1649)), "Invalid", "Ok")</f>
        <v>Ok</v>
      </c>
      <c r="K2048" t="str">
        <f>IF(ISNA(_xlfn.XLOOKUP(H2048,agent_info!$A$2:$A$301, agent_info!$A$2:$A$301)), "Invalid", "Ok")</f>
        <v>Ok</v>
      </c>
    </row>
    <row r="2049" spans="1:11" x14ac:dyDescent="0.3">
      <c r="A2049" s="1" t="s">
        <v>5668</v>
      </c>
      <c r="B2049" s="1" t="s">
        <v>1457</v>
      </c>
      <c r="C2049" s="1" t="s">
        <v>3318</v>
      </c>
      <c r="D2049" s="1">
        <v>475520.14</v>
      </c>
      <c r="E2049" s="1">
        <v>24893.65</v>
      </c>
      <c r="F2049" s="41">
        <v>45798</v>
      </c>
      <c r="G2049" s="41">
        <v>46163</v>
      </c>
      <c r="H2049" s="1" t="s">
        <v>3357</v>
      </c>
      <c r="I2049" s="1" t="s">
        <v>3316</v>
      </c>
      <c r="J2049" t="str">
        <f>IF(ISNA(_xlfn.XLOOKUP(B2049,customer_master!$A$2:$A$1649, customer_master!$A$2:$A$1649)), "Invalid", "Ok")</f>
        <v>Ok</v>
      </c>
      <c r="K2049" t="str">
        <f>IF(ISNA(_xlfn.XLOOKUP(H2049,agent_info!$A$2:$A$301, agent_info!$A$2:$A$301)), "Invalid", "Ok")</f>
        <v>Ok</v>
      </c>
    </row>
    <row r="2050" spans="1:11" x14ac:dyDescent="0.3">
      <c r="A2050" s="1" t="s">
        <v>5669</v>
      </c>
      <c r="B2050" s="1" t="s">
        <v>2922</v>
      </c>
      <c r="C2050" s="1" t="s">
        <v>3334</v>
      </c>
      <c r="D2050" s="1">
        <v>483109.04</v>
      </c>
      <c r="E2050" s="1">
        <v>26569.07</v>
      </c>
      <c r="F2050" s="41">
        <v>44820</v>
      </c>
      <c r="G2050" s="41">
        <v>45185</v>
      </c>
      <c r="H2050" s="1" t="s">
        <v>3674</v>
      </c>
      <c r="I2050" s="1" t="s">
        <v>3324</v>
      </c>
      <c r="J2050" t="str">
        <f>IF(ISNA(_xlfn.XLOOKUP(B2050,customer_master!$A$2:$A$1649, customer_master!$A$2:$A$1649)), "Invalid", "Ok")</f>
        <v>Ok</v>
      </c>
      <c r="K2050" t="str">
        <f>IF(ISNA(_xlfn.XLOOKUP(H2050,agent_info!$A$2:$A$301, agent_info!$A$2:$A$301)), "Invalid", "Ok")</f>
        <v>Ok</v>
      </c>
    </row>
    <row r="2051" spans="1:11" x14ac:dyDescent="0.3">
      <c r="A2051" s="1" t="s">
        <v>5670</v>
      </c>
      <c r="B2051" s="1" t="s">
        <v>2406</v>
      </c>
      <c r="C2051" s="1" t="s">
        <v>3334</v>
      </c>
      <c r="D2051" s="1">
        <v>614516.61</v>
      </c>
      <c r="E2051" s="1">
        <v>30173.95</v>
      </c>
      <c r="F2051" s="41">
        <v>44866</v>
      </c>
      <c r="G2051" s="41">
        <v>45231</v>
      </c>
      <c r="H2051" s="1" t="s">
        <v>3500</v>
      </c>
      <c r="I2051" s="1" t="s">
        <v>3324</v>
      </c>
      <c r="J2051" t="str">
        <f>IF(ISNA(_xlfn.XLOOKUP(B2051,customer_master!$A$2:$A$1649, customer_master!$A$2:$A$1649)), "Invalid", "Ok")</f>
        <v>Ok</v>
      </c>
      <c r="K2051" t="str">
        <f>IF(ISNA(_xlfn.XLOOKUP(H2051,agent_info!$A$2:$A$301, agent_info!$A$2:$A$301)), "Invalid", "Ok")</f>
        <v>Ok</v>
      </c>
    </row>
    <row r="2052" spans="1:11" x14ac:dyDescent="0.3">
      <c r="A2052" s="1" t="s">
        <v>5671</v>
      </c>
      <c r="B2052" s="1" t="s">
        <v>393</v>
      </c>
      <c r="C2052" s="1" t="s">
        <v>3314</v>
      </c>
      <c r="D2052" s="1">
        <v>627732.72</v>
      </c>
      <c r="E2052" s="1">
        <v>31527.41</v>
      </c>
      <c r="F2052" s="41">
        <v>45953</v>
      </c>
      <c r="G2052" s="41">
        <v>46318</v>
      </c>
      <c r="H2052" s="1" t="s">
        <v>3629</v>
      </c>
      <c r="I2052" s="1" t="s">
        <v>3316</v>
      </c>
      <c r="J2052" t="str">
        <f>IF(ISNA(_xlfn.XLOOKUP(B2052,customer_master!$A$2:$A$1649, customer_master!$A$2:$A$1649)), "Invalid", "Ok")</f>
        <v>Ok</v>
      </c>
      <c r="K2052" t="str">
        <f>IF(ISNA(_xlfn.XLOOKUP(H2052,agent_info!$A$2:$A$301, agent_info!$A$2:$A$301)), "Invalid", "Ok")</f>
        <v>Ok</v>
      </c>
    </row>
    <row r="2053" spans="1:11" x14ac:dyDescent="0.3">
      <c r="A2053" s="1" t="s">
        <v>5672</v>
      </c>
      <c r="B2053" s="1" t="s">
        <v>2647</v>
      </c>
      <c r="C2053" s="1" t="s">
        <v>3318</v>
      </c>
      <c r="D2053" s="1">
        <v>650358.81999999995</v>
      </c>
      <c r="E2053" s="1">
        <v>33500.959999999999</v>
      </c>
      <c r="F2053" s="41">
        <v>45021</v>
      </c>
      <c r="G2053" s="41">
        <v>45387</v>
      </c>
      <c r="H2053" s="1" t="s">
        <v>3541</v>
      </c>
      <c r="I2053" s="1" t="s">
        <v>3324</v>
      </c>
      <c r="J2053" t="str">
        <f>IF(ISNA(_xlfn.XLOOKUP(B2053,customer_master!$A$2:$A$1649, customer_master!$A$2:$A$1649)), "Invalid", "Ok")</f>
        <v>Ok</v>
      </c>
      <c r="K2053" t="str">
        <f>IF(ISNA(_xlfn.XLOOKUP(H2053,agent_info!$A$2:$A$301, agent_info!$A$2:$A$301)), "Invalid", "Ok")</f>
        <v>Ok</v>
      </c>
    </row>
    <row r="2054" spans="1:11" x14ac:dyDescent="0.3">
      <c r="A2054" s="1" t="s">
        <v>5673</v>
      </c>
      <c r="B2054" s="1" t="s">
        <v>1143</v>
      </c>
      <c r="C2054" s="1" t="s">
        <v>3318</v>
      </c>
      <c r="D2054" s="1">
        <v>597351.13</v>
      </c>
      <c r="E2054" s="1">
        <v>32379.77</v>
      </c>
      <c r="F2054" s="41">
        <v>46029</v>
      </c>
      <c r="G2054" s="41">
        <v>46394</v>
      </c>
      <c r="H2054" s="1" t="s">
        <v>4055</v>
      </c>
      <c r="I2054" s="1" t="s">
        <v>3324</v>
      </c>
      <c r="J2054" t="str">
        <f>IF(ISNA(_xlfn.XLOOKUP(B2054,customer_master!$A$2:$A$1649, customer_master!$A$2:$A$1649)), "Invalid", "Ok")</f>
        <v>Ok</v>
      </c>
      <c r="K2054" t="str">
        <f>IF(ISNA(_xlfn.XLOOKUP(H2054,agent_info!$A$2:$A$301, agent_info!$A$2:$A$301)), "Invalid", "Ok")</f>
        <v>Ok</v>
      </c>
    </row>
    <row r="2055" spans="1:11" x14ac:dyDescent="0.3">
      <c r="A2055" s="1" t="s">
        <v>5674</v>
      </c>
      <c r="B2055" s="1" t="s">
        <v>3110</v>
      </c>
      <c r="C2055" s="1" t="s">
        <v>3326</v>
      </c>
      <c r="D2055" s="1">
        <v>411063.37</v>
      </c>
      <c r="E2055" s="1">
        <v>21774.09</v>
      </c>
      <c r="F2055" s="41">
        <v>45773</v>
      </c>
      <c r="G2055" s="41">
        <v>46138</v>
      </c>
      <c r="H2055" s="1" t="s">
        <v>3872</v>
      </c>
      <c r="I2055" s="1" t="s">
        <v>3324</v>
      </c>
      <c r="J2055" t="str">
        <f>IF(ISNA(_xlfn.XLOOKUP(B2055,customer_master!$A$2:$A$1649, customer_master!$A$2:$A$1649)), "Invalid", "Ok")</f>
        <v>Ok</v>
      </c>
      <c r="K2055" t="str">
        <f>IF(ISNA(_xlfn.XLOOKUP(H2055,agent_info!$A$2:$A$301, agent_info!$A$2:$A$301)), "Invalid", "Ok")</f>
        <v>Ok</v>
      </c>
    </row>
    <row r="2056" spans="1:11" x14ac:dyDescent="0.3">
      <c r="A2056" s="1" t="s">
        <v>5675</v>
      </c>
      <c r="B2056" s="1" t="s">
        <v>2020</v>
      </c>
      <c r="C2056" s="1" t="s">
        <v>3334</v>
      </c>
      <c r="D2056" s="1">
        <v>740795.24</v>
      </c>
      <c r="E2056" s="1">
        <v>33813.019999999997</v>
      </c>
      <c r="F2056" s="41">
        <v>44926</v>
      </c>
      <c r="G2056" s="41">
        <v>45291</v>
      </c>
      <c r="H2056" s="1" t="s">
        <v>3824</v>
      </c>
      <c r="I2056" s="1" t="s">
        <v>3320</v>
      </c>
      <c r="J2056" t="str">
        <f>IF(ISNA(_xlfn.XLOOKUP(B2056,customer_master!$A$2:$A$1649, customer_master!$A$2:$A$1649)), "Invalid", "Ok")</f>
        <v>Ok</v>
      </c>
      <c r="K2056" t="str">
        <f>IF(ISNA(_xlfn.XLOOKUP(H2056,agent_info!$A$2:$A$301, agent_info!$A$2:$A$301)), "Invalid", "Ok")</f>
        <v>Ok</v>
      </c>
    </row>
    <row r="2057" spans="1:11" x14ac:dyDescent="0.3">
      <c r="A2057" s="1" t="s">
        <v>5676</v>
      </c>
      <c r="B2057" s="1" t="s">
        <v>127</v>
      </c>
      <c r="C2057" s="1" t="s">
        <v>3334</v>
      </c>
      <c r="D2057" s="1">
        <v>449145.46</v>
      </c>
      <c r="E2057" s="1">
        <v>23413.73</v>
      </c>
      <c r="F2057" s="41">
        <v>44534</v>
      </c>
      <c r="G2057" s="41">
        <v>44899</v>
      </c>
      <c r="H2057" s="1" t="s">
        <v>3329</v>
      </c>
      <c r="I2057" s="1" t="s">
        <v>3324</v>
      </c>
      <c r="J2057" t="str">
        <f>IF(ISNA(_xlfn.XLOOKUP(B2057,customer_master!$A$2:$A$1649, customer_master!$A$2:$A$1649)), "Invalid", "Ok")</f>
        <v>Ok</v>
      </c>
      <c r="K2057" t="str">
        <f>IF(ISNA(_xlfn.XLOOKUP(H2057,agent_info!$A$2:$A$301, agent_info!$A$2:$A$301)), "Invalid", "Ok")</f>
        <v>Ok</v>
      </c>
    </row>
    <row r="2058" spans="1:11" x14ac:dyDescent="0.3">
      <c r="A2058" s="1" t="s">
        <v>5677</v>
      </c>
      <c r="B2058" s="1" t="s">
        <v>2448</v>
      </c>
      <c r="C2058" s="1" t="s">
        <v>3334</v>
      </c>
      <c r="D2058" s="1">
        <v>602616.82999999996</v>
      </c>
      <c r="E2058" s="1">
        <v>28635.96</v>
      </c>
      <c r="F2058" s="41">
        <v>45414</v>
      </c>
      <c r="G2058" s="41">
        <v>45779</v>
      </c>
      <c r="H2058" s="1" t="s">
        <v>3351</v>
      </c>
      <c r="I2058" s="1" t="s">
        <v>3324</v>
      </c>
      <c r="J2058" t="str">
        <f>IF(ISNA(_xlfn.XLOOKUP(B2058,customer_master!$A$2:$A$1649, customer_master!$A$2:$A$1649)), "Invalid", "Ok")</f>
        <v>Ok</v>
      </c>
      <c r="K2058" t="str">
        <f>IF(ISNA(_xlfn.XLOOKUP(H2058,agent_info!$A$2:$A$301, agent_info!$A$2:$A$301)), "Invalid", "Ok")</f>
        <v>Ok</v>
      </c>
    </row>
    <row r="2059" spans="1:11" x14ac:dyDescent="0.3">
      <c r="A2059" s="1" t="s">
        <v>5678</v>
      </c>
      <c r="B2059" s="1" t="s">
        <v>467</v>
      </c>
      <c r="C2059" s="1" t="s">
        <v>3314</v>
      </c>
      <c r="D2059" s="1">
        <v>739201.1</v>
      </c>
      <c r="E2059" s="1">
        <v>35148.29</v>
      </c>
      <c r="F2059" s="41">
        <v>44241</v>
      </c>
      <c r="G2059" s="41">
        <v>44606</v>
      </c>
      <c r="H2059" s="1" t="s">
        <v>4273</v>
      </c>
      <c r="I2059" s="1" t="s">
        <v>3324</v>
      </c>
      <c r="J2059" t="str">
        <f>IF(ISNA(_xlfn.XLOOKUP(B2059,customer_master!$A$2:$A$1649, customer_master!$A$2:$A$1649)), "Invalid", "Ok")</f>
        <v>Ok</v>
      </c>
      <c r="K2059" t="str">
        <f>IF(ISNA(_xlfn.XLOOKUP(H2059,agent_info!$A$2:$A$301, agent_info!$A$2:$A$301)), "Invalid", "Ok")</f>
        <v>Ok</v>
      </c>
    </row>
    <row r="2060" spans="1:11" x14ac:dyDescent="0.3">
      <c r="A2060" s="1" t="s">
        <v>5679</v>
      </c>
      <c r="B2060" s="1" t="s">
        <v>2918</v>
      </c>
      <c r="C2060" s="1" t="s">
        <v>3318</v>
      </c>
      <c r="D2060" s="1">
        <v>723102.51</v>
      </c>
      <c r="E2060" s="1">
        <v>36496.71</v>
      </c>
      <c r="F2060" s="41">
        <v>44411</v>
      </c>
      <c r="G2060" s="41">
        <v>44776</v>
      </c>
      <c r="H2060" s="1" t="s">
        <v>3389</v>
      </c>
      <c r="I2060" s="1" t="s">
        <v>3324</v>
      </c>
      <c r="J2060" t="str">
        <f>IF(ISNA(_xlfn.XLOOKUP(B2060,customer_master!$A$2:$A$1649, customer_master!$A$2:$A$1649)), "Invalid", "Ok")</f>
        <v>Ok</v>
      </c>
      <c r="K2060" t="str">
        <f>IF(ISNA(_xlfn.XLOOKUP(H2060,agent_info!$A$2:$A$301, agent_info!$A$2:$A$301)), "Invalid", "Ok")</f>
        <v>Ok</v>
      </c>
    </row>
    <row r="2061" spans="1:11" x14ac:dyDescent="0.3">
      <c r="A2061" s="1" t="s">
        <v>5680</v>
      </c>
      <c r="B2061" s="1" t="s">
        <v>3154</v>
      </c>
      <c r="C2061" s="1" t="s">
        <v>3314</v>
      </c>
      <c r="D2061" s="1">
        <v>449643.99</v>
      </c>
      <c r="E2061" s="1">
        <v>23364.85</v>
      </c>
      <c r="F2061" s="41">
        <v>45453</v>
      </c>
      <c r="G2061" s="41">
        <v>45818</v>
      </c>
      <c r="H2061" s="1" t="s">
        <v>3466</v>
      </c>
      <c r="I2061" s="1" t="s">
        <v>3320</v>
      </c>
      <c r="J2061" t="str">
        <f>IF(ISNA(_xlfn.XLOOKUP(B2061,customer_master!$A$2:$A$1649, customer_master!$A$2:$A$1649)), "Invalid", "Ok")</f>
        <v>Ok</v>
      </c>
      <c r="K2061" t="str">
        <f>IF(ISNA(_xlfn.XLOOKUP(H2061,agent_info!$A$2:$A$301, agent_info!$A$2:$A$301)), "Invalid", "Ok")</f>
        <v>Ok</v>
      </c>
    </row>
    <row r="2062" spans="1:11" x14ac:dyDescent="0.3">
      <c r="A2062" s="1" t="s">
        <v>5681</v>
      </c>
      <c r="B2062" s="1" t="s">
        <v>2324</v>
      </c>
      <c r="C2062" s="1" t="s">
        <v>3318</v>
      </c>
      <c r="D2062" s="1">
        <v>468191.82</v>
      </c>
      <c r="E2062" s="1">
        <v>21814.12</v>
      </c>
      <c r="F2062" s="41">
        <v>45167</v>
      </c>
      <c r="G2062" s="41">
        <v>45533</v>
      </c>
      <c r="H2062" s="1" t="s">
        <v>3637</v>
      </c>
      <c r="I2062" s="1" t="s">
        <v>3324</v>
      </c>
      <c r="J2062" t="str">
        <f>IF(ISNA(_xlfn.XLOOKUP(B2062,customer_master!$A$2:$A$1649, customer_master!$A$2:$A$1649)), "Invalid", "Ok")</f>
        <v>Ok</v>
      </c>
      <c r="K2062" t="str">
        <f>IF(ISNA(_xlfn.XLOOKUP(H2062,agent_info!$A$2:$A$301, agent_info!$A$2:$A$301)), "Invalid", "Ok")</f>
        <v>Ok</v>
      </c>
    </row>
    <row r="2063" spans="1:11" x14ac:dyDescent="0.3">
      <c r="A2063" s="1" t="s">
        <v>5682</v>
      </c>
      <c r="B2063" s="1" t="s">
        <v>1787</v>
      </c>
      <c r="C2063" s="1" t="s">
        <v>3331</v>
      </c>
      <c r="D2063" s="1">
        <v>611106</v>
      </c>
      <c r="E2063" s="1">
        <v>29421.77</v>
      </c>
      <c r="F2063" s="41">
        <v>45840</v>
      </c>
      <c r="G2063" s="41">
        <v>46205</v>
      </c>
      <c r="H2063" s="1" t="s">
        <v>4033</v>
      </c>
      <c r="I2063" s="1" t="s">
        <v>3324</v>
      </c>
      <c r="J2063" t="str">
        <f>IF(ISNA(_xlfn.XLOOKUP(B2063,customer_master!$A$2:$A$1649, customer_master!$A$2:$A$1649)), "Invalid", "Ok")</f>
        <v>Ok</v>
      </c>
      <c r="K2063" t="str">
        <f>IF(ISNA(_xlfn.XLOOKUP(H2063,agent_info!$A$2:$A$301, agent_info!$A$2:$A$301)), "Invalid", "Ok")</f>
        <v>Ok</v>
      </c>
    </row>
    <row r="2064" spans="1:11" x14ac:dyDescent="0.3">
      <c r="A2064" s="1" t="s">
        <v>5683</v>
      </c>
      <c r="B2064" s="1" t="s">
        <v>2016</v>
      </c>
      <c r="C2064" s="1" t="s">
        <v>3326</v>
      </c>
      <c r="D2064" s="1">
        <v>468007.52</v>
      </c>
      <c r="E2064" s="1">
        <v>24411.84</v>
      </c>
      <c r="F2064" s="41">
        <v>44389</v>
      </c>
      <c r="G2064" s="41">
        <v>44754</v>
      </c>
      <c r="H2064" s="1" t="s">
        <v>3701</v>
      </c>
      <c r="I2064" s="1" t="s">
        <v>3324</v>
      </c>
      <c r="J2064" t="str">
        <f>IF(ISNA(_xlfn.XLOOKUP(B2064,customer_master!$A$2:$A$1649, customer_master!$A$2:$A$1649)), "Invalid", "Ok")</f>
        <v>Ok</v>
      </c>
      <c r="K2064" t="str">
        <f>IF(ISNA(_xlfn.XLOOKUP(H2064,agent_info!$A$2:$A$301, agent_info!$A$2:$A$301)), "Invalid", "Ok")</f>
        <v>Ok</v>
      </c>
    </row>
    <row r="2065" spans="1:11" x14ac:dyDescent="0.3">
      <c r="A2065" s="1" t="s">
        <v>5684</v>
      </c>
      <c r="B2065" s="1" t="s">
        <v>1443</v>
      </c>
      <c r="C2065" s="1" t="s">
        <v>3314</v>
      </c>
      <c r="D2065" s="1">
        <v>666390.05000000005</v>
      </c>
      <c r="E2065" s="1">
        <v>31000.48</v>
      </c>
      <c r="F2065" s="41">
        <v>45985</v>
      </c>
      <c r="G2065" s="41">
        <v>46350</v>
      </c>
      <c r="H2065" s="1" t="s">
        <v>4313</v>
      </c>
      <c r="I2065" s="1" t="s">
        <v>3324</v>
      </c>
      <c r="J2065" t="str">
        <f>IF(ISNA(_xlfn.XLOOKUP(B2065,customer_master!$A$2:$A$1649, customer_master!$A$2:$A$1649)), "Invalid", "Ok")</f>
        <v>Ok</v>
      </c>
      <c r="K2065" t="str">
        <f>IF(ISNA(_xlfn.XLOOKUP(H2065,agent_info!$A$2:$A$301, agent_info!$A$2:$A$301)), "Invalid", "Ok")</f>
        <v>Ok</v>
      </c>
    </row>
    <row r="2066" spans="1:11" x14ac:dyDescent="0.3">
      <c r="A2066" s="1" t="s">
        <v>5685</v>
      </c>
      <c r="B2066" s="1" t="s">
        <v>316</v>
      </c>
      <c r="C2066" s="1" t="s">
        <v>3331</v>
      </c>
      <c r="D2066" s="1">
        <v>580797.25</v>
      </c>
      <c r="E2066" s="1">
        <v>31070.959999999999</v>
      </c>
      <c r="F2066" s="41">
        <v>45276</v>
      </c>
      <c r="G2066" s="41">
        <v>45642</v>
      </c>
      <c r="H2066" s="1" t="s">
        <v>3565</v>
      </c>
      <c r="I2066" s="1" t="s">
        <v>3324</v>
      </c>
      <c r="J2066" t="str">
        <f>IF(ISNA(_xlfn.XLOOKUP(B2066,customer_master!$A$2:$A$1649, customer_master!$A$2:$A$1649)), "Invalid", "Ok")</f>
        <v>Ok</v>
      </c>
      <c r="K2066" t="str">
        <f>IF(ISNA(_xlfn.XLOOKUP(H2066,agent_info!$A$2:$A$301, agent_info!$A$2:$A$301)), "Invalid", "Ok")</f>
        <v>Ok</v>
      </c>
    </row>
    <row r="2067" spans="1:11" x14ac:dyDescent="0.3">
      <c r="A2067" s="1" t="s">
        <v>5686</v>
      </c>
      <c r="B2067" s="1" t="s">
        <v>3088</v>
      </c>
      <c r="C2067" s="1" t="s">
        <v>3326</v>
      </c>
      <c r="D2067" s="1">
        <v>443131.52</v>
      </c>
      <c r="E2067" s="1">
        <v>21961.79</v>
      </c>
      <c r="F2067" s="41">
        <v>46200</v>
      </c>
      <c r="G2067" s="41">
        <v>46565</v>
      </c>
      <c r="H2067" s="1" t="s">
        <v>4058</v>
      </c>
      <c r="I2067" s="1" t="s">
        <v>3324</v>
      </c>
      <c r="J2067" t="str">
        <f>IF(ISNA(_xlfn.XLOOKUP(B2067,customer_master!$A$2:$A$1649, customer_master!$A$2:$A$1649)), "Invalid", "Ok")</f>
        <v>Ok</v>
      </c>
      <c r="K2067" t="str">
        <f>IF(ISNA(_xlfn.XLOOKUP(H2067,agent_info!$A$2:$A$301, agent_info!$A$2:$A$301)), "Invalid", "Ok")</f>
        <v>Ok</v>
      </c>
    </row>
    <row r="2068" spans="1:11" x14ac:dyDescent="0.3">
      <c r="A2068" s="1" t="s">
        <v>5687</v>
      </c>
      <c r="B2068" s="1" t="s">
        <v>1117</v>
      </c>
      <c r="C2068" s="1" t="s">
        <v>3331</v>
      </c>
      <c r="D2068" s="1">
        <v>538310.97</v>
      </c>
      <c r="E2068" s="1">
        <v>27378.44</v>
      </c>
      <c r="F2068" s="41">
        <v>45789</v>
      </c>
      <c r="G2068" s="41">
        <v>46154</v>
      </c>
      <c r="H2068" s="1" t="s">
        <v>3760</v>
      </c>
      <c r="I2068" s="1" t="s">
        <v>3316</v>
      </c>
      <c r="J2068" t="str">
        <f>IF(ISNA(_xlfn.XLOOKUP(B2068,customer_master!$A$2:$A$1649, customer_master!$A$2:$A$1649)), "Invalid", "Ok")</f>
        <v>Ok</v>
      </c>
      <c r="K2068" t="str">
        <f>IF(ISNA(_xlfn.XLOOKUP(H2068,agent_info!$A$2:$A$301, agent_info!$A$2:$A$301)), "Invalid", "Ok")</f>
        <v>Ok</v>
      </c>
    </row>
    <row r="2069" spans="1:11" x14ac:dyDescent="0.3">
      <c r="A2069" s="1" t="s">
        <v>5688</v>
      </c>
      <c r="B2069" s="1" t="s">
        <v>1059</v>
      </c>
      <c r="C2069" s="1" t="s">
        <v>3318</v>
      </c>
      <c r="D2069" s="1">
        <v>639239.98</v>
      </c>
      <c r="E2069" s="1">
        <v>29279.74</v>
      </c>
      <c r="F2069" s="41">
        <v>44268</v>
      </c>
      <c r="G2069" s="41">
        <v>44633</v>
      </c>
      <c r="H2069" s="1" t="s">
        <v>3617</v>
      </c>
      <c r="I2069" s="1" t="s">
        <v>3324</v>
      </c>
      <c r="J2069" t="str">
        <f>IF(ISNA(_xlfn.XLOOKUP(B2069,customer_master!$A$2:$A$1649, customer_master!$A$2:$A$1649)), "Invalid", "Ok")</f>
        <v>Ok</v>
      </c>
      <c r="K2069" t="str">
        <f>IF(ISNA(_xlfn.XLOOKUP(H2069,agent_info!$A$2:$A$301, agent_info!$A$2:$A$301)), "Invalid", "Ok")</f>
        <v>Ok</v>
      </c>
    </row>
    <row r="2070" spans="1:11" x14ac:dyDescent="0.3">
      <c r="A2070" s="1" t="s">
        <v>5689</v>
      </c>
      <c r="B2070" s="1" t="s">
        <v>682</v>
      </c>
      <c r="C2070" s="1" t="s">
        <v>3326</v>
      </c>
      <c r="D2070" s="1">
        <v>624799.48</v>
      </c>
      <c r="E2070" s="1">
        <v>34079.699999999997</v>
      </c>
      <c r="F2070" s="41">
        <v>44283</v>
      </c>
      <c r="G2070" s="41">
        <v>44648</v>
      </c>
      <c r="H2070" s="1" t="s">
        <v>3976</v>
      </c>
      <c r="I2070" s="1" t="s">
        <v>3320</v>
      </c>
      <c r="J2070" t="str">
        <f>IF(ISNA(_xlfn.XLOOKUP(B2070,customer_master!$A$2:$A$1649, customer_master!$A$2:$A$1649)), "Invalid", "Ok")</f>
        <v>Ok</v>
      </c>
      <c r="K2070" t="str">
        <f>IF(ISNA(_xlfn.XLOOKUP(H2070,agent_info!$A$2:$A$301, agent_info!$A$2:$A$301)), "Invalid", "Ok")</f>
        <v>Ok</v>
      </c>
    </row>
    <row r="2071" spans="1:11" x14ac:dyDescent="0.3">
      <c r="A2071" s="1" t="s">
        <v>5690</v>
      </c>
      <c r="B2071" s="1" t="s">
        <v>3285</v>
      </c>
      <c r="C2071" s="1" t="s">
        <v>3314</v>
      </c>
      <c r="D2071" s="1">
        <v>527280.98</v>
      </c>
      <c r="E2071" s="1">
        <v>28512.89</v>
      </c>
      <c r="F2071" s="41">
        <v>44764</v>
      </c>
      <c r="G2071" s="41">
        <v>45129</v>
      </c>
      <c r="H2071" s="1" t="s">
        <v>3714</v>
      </c>
      <c r="I2071" s="1" t="s">
        <v>3316</v>
      </c>
      <c r="J2071" t="str">
        <f>IF(ISNA(_xlfn.XLOOKUP(B2071,customer_master!$A$2:$A$1649, customer_master!$A$2:$A$1649)), "Invalid", "Ok")</f>
        <v>Ok</v>
      </c>
      <c r="K2071" t="str">
        <f>IF(ISNA(_xlfn.XLOOKUP(H2071,agent_info!$A$2:$A$301, agent_info!$A$2:$A$301)), "Invalid", "Ok")</f>
        <v>Ok</v>
      </c>
    </row>
    <row r="2072" spans="1:11" x14ac:dyDescent="0.3">
      <c r="A2072" s="1" t="s">
        <v>5691</v>
      </c>
      <c r="B2072" s="1" t="s">
        <v>3134</v>
      </c>
      <c r="C2072" s="1" t="s">
        <v>3318</v>
      </c>
      <c r="D2072" s="1">
        <v>417684.47</v>
      </c>
      <c r="E2072" s="1">
        <v>19589.73</v>
      </c>
      <c r="F2072" s="41">
        <v>46124</v>
      </c>
      <c r="G2072" s="41">
        <v>46489</v>
      </c>
      <c r="H2072" s="1" t="s">
        <v>3751</v>
      </c>
      <c r="I2072" s="1" t="s">
        <v>3316</v>
      </c>
      <c r="J2072" t="str">
        <f>IF(ISNA(_xlfn.XLOOKUP(B2072,customer_master!$A$2:$A$1649, customer_master!$A$2:$A$1649)), "Invalid", "Ok")</f>
        <v>Ok</v>
      </c>
      <c r="K2072" t="str">
        <f>IF(ISNA(_xlfn.XLOOKUP(H2072,agent_info!$A$2:$A$301, agent_info!$A$2:$A$301)), "Invalid", "Ok")</f>
        <v>Ok</v>
      </c>
    </row>
    <row r="2073" spans="1:11" x14ac:dyDescent="0.3">
      <c r="A2073" s="1" t="s">
        <v>5692</v>
      </c>
      <c r="B2073" s="1" t="s">
        <v>1185</v>
      </c>
      <c r="C2073" s="1" t="s">
        <v>3331</v>
      </c>
      <c r="D2073" s="1">
        <v>516275.18</v>
      </c>
      <c r="E2073" s="1">
        <v>26655.82</v>
      </c>
      <c r="F2073" s="41">
        <v>44430</v>
      </c>
      <c r="G2073" s="41">
        <v>44795</v>
      </c>
      <c r="H2073" s="1" t="s">
        <v>3562</v>
      </c>
      <c r="I2073" s="1" t="s">
        <v>3316</v>
      </c>
      <c r="J2073" t="str">
        <f>IF(ISNA(_xlfn.XLOOKUP(B2073,customer_master!$A$2:$A$1649, customer_master!$A$2:$A$1649)), "Invalid", "Ok")</f>
        <v>Ok</v>
      </c>
      <c r="K2073" t="str">
        <f>IF(ISNA(_xlfn.XLOOKUP(H2073,agent_info!$A$2:$A$301, agent_info!$A$2:$A$301)), "Invalid", "Ok")</f>
        <v>Ok</v>
      </c>
    </row>
    <row r="2074" spans="1:11" x14ac:dyDescent="0.3">
      <c r="A2074" s="1" t="s">
        <v>5693</v>
      </c>
      <c r="B2074" s="1" t="s">
        <v>891</v>
      </c>
      <c r="C2074" s="1" t="s">
        <v>3318</v>
      </c>
      <c r="D2074" s="1">
        <v>616317.93000000005</v>
      </c>
      <c r="E2074" s="1">
        <v>32622.43</v>
      </c>
      <c r="F2074" s="41">
        <v>44691</v>
      </c>
      <c r="G2074" s="41">
        <v>45056</v>
      </c>
      <c r="H2074" s="1" t="s">
        <v>4004</v>
      </c>
      <c r="I2074" s="1" t="s">
        <v>3324</v>
      </c>
      <c r="J2074" t="str">
        <f>IF(ISNA(_xlfn.XLOOKUP(B2074,customer_master!$A$2:$A$1649, customer_master!$A$2:$A$1649)), "Invalid", "Ok")</f>
        <v>Ok</v>
      </c>
      <c r="K2074" t="str">
        <f>IF(ISNA(_xlfn.XLOOKUP(H2074,agent_info!$A$2:$A$301, agent_info!$A$2:$A$301)), "Invalid", "Ok")</f>
        <v>Ok</v>
      </c>
    </row>
    <row r="2075" spans="1:11" x14ac:dyDescent="0.3">
      <c r="A2075" s="1" t="s">
        <v>5694</v>
      </c>
      <c r="B2075" s="1" t="s">
        <v>2668</v>
      </c>
      <c r="C2075" s="1" t="s">
        <v>3326</v>
      </c>
      <c r="D2075" s="1">
        <v>615941.26</v>
      </c>
      <c r="E2075" s="1">
        <v>28468.6</v>
      </c>
      <c r="F2075" s="41">
        <v>44873</v>
      </c>
      <c r="G2075" s="41">
        <v>45238</v>
      </c>
      <c r="H2075" s="1" t="s">
        <v>3836</v>
      </c>
      <c r="I2075" s="1" t="s">
        <v>3316</v>
      </c>
      <c r="J2075" t="str">
        <f>IF(ISNA(_xlfn.XLOOKUP(B2075,customer_master!$A$2:$A$1649, customer_master!$A$2:$A$1649)), "Invalid", "Ok")</f>
        <v>Ok</v>
      </c>
      <c r="K2075" t="str">
        <f>IF(ISNA(_xlfn.XLOOKUP(H2075,agent_info!$A$2:$A$301, agent_info!$A$2:$A$301)), "Invalid", "Ok")</f>
        <v>Ok</v>
      </c>
    </row>
    <row r="2076" spans="1:11" x14ac:dyDescent="0.3">
      <c r="A2076" s="1" t="s">
        <v>5695</v>
      </c>
      <c r="B2076" s="1" t="s">
        <v>1427</v>
      </c>
      <c r="C2076" s="1" t="s">
        <v>3334</v>
      </c>
      <c r="D2076" s="1">
        <v>723668.81</v>
      </c>
      <c r="E2076" s="1">
        <v>36743.949999999997</v>
      </c>
      <c r="F2076" s="41">
        <v>44272</v>
      </c>
      <c r="G2076" s="41">
        <v>44637</v>
      </c>
      <c r="H2076" s="1" t="s">
        <v>3772</v>
      </c>
      <c r="I2076" s="1" t="s">
        <v>3316</v>
      </c>
      <c r="J2076" t="str">
        <f>IF(ISNA(_xlfn.XLOOKUP(B2076,customer_master!$A$2:$A$1649, customer_master!$A$2:$A$1649)), "Invalid", "Ok")</f>
        <v>Ok</v>
      </c>
      <c r="K2076" t="str">
        <f>IF(ISNA(_xlfn.XLOOKUP(H2076,agent_info!$A$2:$A$301, agent_info!$A$2:$A$301)), "Invalid", "Ok")</f>
        <v>Ok</v>
      </c>
    </row>
    <row r="2077" spans="1:11" x14ac:dyDescent="0.3">
      <c r="A2077" s="1" t="s">
        <v>5696</v>
      </c>
      <c r="B2077" s="1" t="s">
        <v>3210</v>
      </c>
      <c r="C2077" s="1" t="s">
        <v>3331</v>
      </c>
      <c r="D2077" s="1">
        <v>748480.83</v>
      </c>
      <c r="E2077" s="1">
        <v>40047.120000000003</v>
      </c>
      <c r="F2077" s="41">
        <v>44469</v>
      </c>
      <c r="G2077" s="41">
        <v>44834</v>
      </c>
      <c r="H2077" s="1" t="s">
        <v>3472</v>
      </c>
      <c r="I2077" s="1" t="s">
        <v>3324</v>
      </c>
      <c r="J2077" t="str">
        <f>IF(ISNA(_xlfn.XLOOKUP(B2077,customer_master!$A$2:$A$1649, customer_master!$A$2:$A$1649)), "Invalid", "Ok")</f>
        <v>Ok</v>
      </c>
      <c r="K2077" t="str">
        <f>IF(ISNA(_xlfn.XLOOKUP(H2077,agent_info!$A$2:$A$301, agent_info!$A$2:$A$301)), "Invalid", "Ok")</f>
        <v>Ok</v>
      </c>
    </row>
    <row r="2078" spans="1:11" x14ac:dyDescent="0.3">
      <c r="A2078" s="1" t="s">
        <v>5697</v>
      </c>
      <c r="B2078" s="1" t="s">
        <v>2993</v>
      </c>
      <c r="C2078" s="1" t="s">
        <v>3334</v>
      </c>
      <c r="D2078" s="1">
        <v>588805.21</v>
      </c>
      <c r="E2078" s="1">
        <v>29479.79</v>
      </c>
      <c r="F2078" s="41">
        <v>45769</v>
      </c>
      <c r="G2078" s="41">
        <v>46134</v>
      </c>
      <c r="H2078" s="1" t="s">
        <v>3698</v>
      </c>
      <c r="I2078" s="1" t="s">
        <v>3324</v>
      </c>
      <c r="J2078" t="str">
        <f>IF(ISNA(_xlfn.XLOOKUP(B2078,customer_master!$A$2:$A$1649, customer_master!$A$2:$A$1649)), "Invalid", "Ok")</f>
        <v>Ok</v>
      </c>
      <c r="K2078" t="str">
        <f>IF(ISNA(_xlfn.XLOOKUP(H2078,agent_info!$A$2:$A$301, agent_info!$A$2:$A$301)), "Invalid", "Ok")</f>
        <v>Ok</v>
      </c>
    </row>
    <row r="2079" spans="1:11" x14ac:dyDescent="0.3">
      <c r="A2079" s="1" t="s">
        <v>5698</v>
      </c>
      <c r="B2079" s="1" t="s">
        <v>2531</v>
      </c>
      <c r="C2079" s="1" t="s">
        <v>3314</v>
      </c>
      <c r="D2079" s="1">
        <v>723879.87</v>
      </c>
      <c r="E2079" s="1">
        <v>39261.69</v>
      </c>
      <c r="F2079" s="41">
        <v>44642</v>
      </c>
      <c r="G2079" s="41">
        <v>45007</v>
      </c>
      <c r="H2079" s="1" t="s">
        <v>3349</v>
      </c>
      <c r="I2079" s="1" t="s">
        <v>3324</v>
      </c>
      <c r="J2079" t="str">
        <f>IF(ISNA(_xlfn.XLOOKUP(B2079,customer_master!$A$2:$A$1649, customer_master!$A$2:$A$1649)), "Invalid", "Ok")</f>
        <v>Ok</v>
      </c>
      <c r="K2079" t="str">
        <f>IF(ISNA(_xlfn.XLOOKUP(H2079,agent_info!$A$2:$A$301, agent_info!$A$2:$A$301)), "Invalid", "Ok")</f>
        <v>Ok</v>
      </c>
    </row>
    <row r="2080" spans="1:11" x14ac:dyDescent="0.3">
      <c r="A2080" s="1" t="s">
        <v>5699</v>
      </c>
      <c r="B2080" s="1" t="s">
        <v>330</v>
      </c>
      <c r="C2080" s="1" t="s">
        <v>3334</v>
      </c>
      <c r="D2080" s="1">
        <v>485900.04</v>
      </c>
      <c r="E2080" s="1">
        <v>22097.77</v>
      </c>
      <c r="F2080" s="41">
        <v>45114</v>
      </c>
      <c r="G2080" s="41">
        <v>45480</v>
      </c>
      <c r="H2080" s="1" t="s">
        <v>4273</v>
      </c>
      <c r="I2080" s="1" t="s">
        <v>3324</v>
      </c>
      <c r="J2080" t="str">
        <f>IF(ISNA(_xlfn.XLOOKUP(B2080,customer_master!$A$2:$A$1649, customer_master!$A$2:$A$1649)), "Invalid", "Ok")</f>
        <v>Ok</v>
      </c>
      <c r="K2080" t="str">
        <f>IF(ISNA(_xlfn.XLOOKUP(H2080,agent_info!$A$2:$A$301, agent_info!$A$2:$A$301)), "Invalid", "Ok")</f>
        <v>Ok</v>
      </c>
    </row>
    <row r="2081" spans="1:11" x14ac:dyDescent="0.3">
      <c r="A2081" s="1" t="s">
        <v>5700</v>
      </c>
      <c r="B2081" s="1" t="s">
        <v>2345</v>
      </c>
      <c r="C2081" s="1" t="s">
        <v>3318</v>
      </c>
      <c r="D2081" s="1">
        <v>589548.35</v>
      </c>
      <c r="E2081" s="1">
        <v>31948.87</v>
      </c>
      <c r="F2081" s="41">
        <v>44638</v>
      </c>
      <c r="G2081" s="41">
        <v>45003</v>
      </c>
      <c r="H2081" s="1" t="s">
        <v>5396</v>
      </c>
      <c r="I2081" s="1" t="s">
        <v>3324</v>
      </c>
      <c r="J2081" t="str">
        <f>IF(ISNA(_xlfn.XLOOKUP(B2081,customer_master!$A$2:$A$1649, customer_master!$A$2:$A$1649)), "Invalid", "Ok")</f>
        <v>Ok</v>
      </c>
      <c r="K2081" t="str">
        <f>IF(ISNA(_xlfn.XLOOKUP(H2081,agent_info!$A$2:$A$301, agent_info!$A$2:$A$301)), "Invalid", "Ok")</f>
        <v>Ok</v>
      </c>
    </row>
    <row r="2082" spans="1:11" x14ac:dyDescent="0.3">
      <c r="A2082" s="1" t="s">
        <v>5701</v>
      </c>
      <c r="B2082" s="1" t="s">
        <v>3273</v>
      </c>
      <c r="C2082" s="1" t="s">
        <v>3318</v>
      </c>
      <c r="D2082" s="1">
        <v>581887.5</v>
      </c>
      <c r="E2082" s="1">
        <v>31871.25</v>
      </c>
      <c r="F2082" s="41">
        <v>45998</v>
      </c>
      <c r="G2082" s="41">
        <v>46363</v>
      </c>
      <c r="H2082" s="1" t="s">
        <v>3530</v>
      </c>
      <c r="I2082" s="1" t="s">
        <v>3316</v>
      </c>
      <c r="J2082" t="str">
        <f>IF(ISNA(_xlfn.XLOOKUP(B2082,customer_master!$A$2:$A$1649, customer_master!$A$2:$A$1649)), "Invalid", "Ok")</f>
        <v>Ok</v>
      </c>
      <c r="K2082" t="str">
        <f>IF(ISNA(_xlfn.XLOOKUP(H2082,agent_info!$A$2:$A$301, agent_info!$A$2:$A$301)), "Invalid", "Ok")</f>
        <v>Ok</v>
      </c>
    </row>
    <row r="2083" spans="1:11" x14ac:dyDescent="0.3">
      <c r="A2083" s="1" t="s">
        <v>5702</v>
      </c>
      <c r="B2083" s="1" t="s">
        <v>1267</v>
      </c>
      <c r="C2083" s="1" t="s">
        <v>3326</v>
      </c>
      <c r="D2083" s="1">
        <v>619042.94999999995</v>
      </c>
      <c r="E2083" s="1">
        <v>28822.28</v>
      </c>
      <c r="F2083" s="41">
        <v>45502</v>
      </c>
      <c r="G2083" s="41">
        <v>45867</v>
      </c>
      <c r="H2083" s="1" t="s">
        <v>3858</v>
      </c>
      <c r="I2083" s="1" t="s">
        <v>3324</v>
      </c>
      <c r="J2083" t="str">
        <f>IF(ISNA(_xlfn.XLOOKUP(B2083,customer_master!$A$2:$A$1649, customer_master!$A$2:$A$1649)), "Invalid", "Ok")</f>
        <v>Ok</v>
      </c>
      <c r="K2083" t="str">
        <f>IF(ISNA(_xlfn.XLOOKUP(H2083,agent_info!$A$2:$A$301, agent_info!$A$2:$A$301)), "Invalid", "Ok")</f>
        <v>Ok</v>
      </c>
    </row>
    <row r="2084" spans="1:11" x14ac:dyDescent="0.3">
      <c r="A2084" s="1" t="s">
        <v>5703</v>
      </c>
      <c r="B2084" s="1" t="s">
        <v>2935</v>
      </c>
      <c r="C2084" s="1" t="s">
        <v>3314</v>
      </c>
      <c r="D2084" s="1">
        <v>682652.3</v>
      </c>
      <c r="E2084" s="1">
        <v>33661.24</v>
      </c>
      <c r="F2084" s="41">
        <v>44384</v>
      </c>
      <c r="G2084" s="41">
        <v>44749</v>
      </c>
      <c r="H2084" s="1" t="s">
        <v>3754</v>
      </c>
      <c r="I2084" s="1" t="s">
        <v>3316</v>
      </c>
      <c r="J2084" t="str">
        <f>IF(ISNA(_xlfn.XLOOKUP(B2084,customer_master!$A$2:$A$1649, customer_master!$A$2:$A$1649)), "Invalid", "Ok")</f>
        <v>Ok</v>
      </c>
      <c r="K2084" t="str">
        <f>IF(ISNA(_xlfn.XLOOKUP(H2084,agent_info!$A$2:$A$301, agent_info!$A$2:$A$301)), "Invalid", "Ok")</f>
        <v>Ok</v>
      </c>
    </row>
    <row r="2085" spans="1:11" x14ac:dyDescent="0.3">
      <c r="A2085" s="1" t="s">
        <v>5704</v>
      </c>
      <c r="B2085" s="1" t="s">
        <v>1388</v>
      </c>
      <c r="C2085" s="1" t="s">
        <v>3326</v>
      </c>
      <c r="D2085" s="1">
        <v>449870.04</v>
      </c>
      <c r="E2085" s="1">
        <v>23036.79</v>
      </c>
      <c r="F2085" s="41">
        <v>44348</v>
      </c>
      <c r="G2085" s="41">
        <v>44713</v>
      </c>
      <c r="H2085" s="1" t="s">
        <v>3598</v>
      </c>
      <c r="I2085" s="1" t="s">
        <v>3316</v>
      </c>
      <c r="J2085" t="str">
        <f>IF(ISNA(_xlfn.XLOOKUP(B2085,customer_master!$A$2:$A$1649, customer_master!$A$2:$A$1649)), "Invalid", "Ok")</f>
        <v>Ok</v>
      </c>
      <c r="K2085" t="str">
        <f>IF(ISNA(_xlfn.XLOOKUP(H2085,agent_info!$A$2:$A$301, agent_info!$A$2:$A$301)), "Invalid", "Ok")</f>
        <v>Ok</v>
      </c>
    </row>
    <row r="2086" spans="1:11" x14ac:dyDescent="0.3">
      <c r="A2086" s="1" t="s">
        <v>5705</v>
      </c>
      <c r="B2086" s="1" t="s">
        <v>3220</v>
      </c>
      <c r="C2086" s="1" t="s">
        <v>3318</v>
      </c>
      <c r="D2086" s="1">
        <v>712855.62</v>
      </c>
      <c r="E2086" s="1">
        <v>38446</v>
      </c>
      <c r="F2086" s="41">
        <v>45323</v>
      </c>
      <c r="G2086" s="41">
        <v>45689</v>
      </c>
      <c r="H2086" s="1" t="s">
        <v>3451</v>
      </c>
      <c r="I2086" s="1" t="s">
        <v>3316</v>
      </c>
      <c r="J2086" t="str">
        <f>IF(ISNA(_xlfn.XLOOKUP(B2086,customer_master!$A$2:$A$1649, customer_master!$A$2:$A$1649)), "Invalid", "Ok")</f>
        <v>Ok</v>
      </c>
      <c r="K2086" t="str">
        <f>IF(ISNA(_xlfn.XLOOKUP(H2086,agent_info!$A$2:$A$301, agent_info!$A$2:$A$301)), "Invalid", "Ok")</f>
        <v>Ok</v>
      </c>
    </row>
    <row r="2087" spans="1:11" x14ac:dyDescent="0.3">
      <c r="A2087" s="1" t="s">
        <v>5706</v>
      </c>
      <c r="B2087" s="1" t="s">
        <v>2182</v>
      </c>
      <c r="C2087" s="1" t="s">
        <v>3314</v>
      </c>
      <c r="D2087" s="1">
        <v>728224.8</v>
      </c>
      <c r="E2087" s="1">
        <v>33931.83</v>
      </c>
      <c r="F2087" s="41">
        <v>44163</v>
      </c>
      <c r="G2087" s="41">
        <v>44528</v>
      </c>
      <c r="H2087" s="1" t="s">
        <v>3840</v>
      </c>
      <c r="I2087" s="1" t="s">
        <v>3316</v>
      </c>
      <c r="J2087" t="str">
        <f>IF(ISNA(_xlfn.XLOOKUP(B2087,customer_master!$A$2:$A$1649, customer_master!$A$2:$A$1649)), "Invalid", "Ok")</f>
        <v>Ok</v>
      </c>
      <c r="K2087" t="str">
        <f>IF(ISNA(_xlfn.XLOOKUP(H2087,agent_info!$A$2:$A$301, agent_info!$A$2:$A$301)), "Invalid", "Ok")</f>
        <v>Ok</v>
      </c>
    </row>
    <row r="2088" spans="1:11" x14ac:dyDescent="0.3">
      <c r="A2088" s="1" t="s">
        <v>5707</v>
      </c>
      <c r="B2088" s="1" t="s">
        <v>352</v>
      </c>
      <c r="C2088" s="1" t="s">
        <v>3314</v>
      </c>
      <c r="D2088" s="1">
        <v>750072.99</v>
      </c>
      <c r="E2088" s="1">
        <v>36258.74</v>
      </c>
      <c r="F2088" s="41">
        <v>45959</v>
      </c>
      <c r="G2088" s="41">
        <v>46324</v>
      </c>
      <c r="H2088" s="1" t="s">
        <v>4400</v>
      </c>
      <c r="I2088" s="1" t="s">
        <v>3316</v>
      </c>
      <c r="J2088" t="str">
        <f>IF(ISNA(_xlfn.XLOOKUP(B2088,customer_master!$A$2:$A$1649, customer_master!$A$2:$A$1649)), "Invalid", "Ok")</f>
        <v>Ok</v>
      </c>
      <c r="K2088" t="str">
        <f>IF(ISNA(_xlfn.XLOOKUP(H2088,agent_info!$A$2:$A$301, agent_info!$A$2:$A$301)), "Invalid", "Ok")</f>
        <v>Ok</v>
      </c>
    </row>
    <row r="2089" spans="1:11" x14ac:dyDescent="0.3">
      <c r="A2089" s="1" t="s">
        <v>5708</v>
      </c>
      <c r="B2089" s="1" t="s">
        <v>1604</v>
      </c>
      <c r="C2089" s="1" t="s">
        <v>3334</v>
      </c>
      <c r="D2089" s="1">
        <v>561193.06999999995</v>
      </c>
      <c r="E2089" s="1">
        <v>29731.61</v>
      </c>
      <c r="F2089" s="41">
        <v>44955</v>
      </c>
      <c r="G2089" s="41">
        <v>45320</v>
      </c>
      <c r="H2089" s="1" t="s">
        <v>4095</v>
      </c>
      <c r="I2089" s="1" t="s">
        <v>3324</v>
      </c>
      <c r="J2089" t="str">
        <f>IF(ISNA(_xlfn.XLOOKUP(B2089,customer_master!$A$2:$A$1649, customer_master!$A$2:$A$1649)), "Invalid", "Ok")</f>
        <v>Ok</v>
      </c>
      <c r="K2089" t="str">
        <f>IF(ISNA(_xlfn.XLOOKUP(H2089,agent_info!$A$2:$A$301, agent_info!$A$2:$A$301)), "Invalid", "Ok")</f>
        <v>Ok</v>
      </c>
    </row>
    <row r="2090" spans="1:11" x14ac:dyDescent="0.3">
      <c r="A2090" s="1" t="s">
        <v>5709</v>
      </c>
      <c r="B2090" s="1" t="s">
        <v>200</v>
      </c>
      <c r="C2090" s="1" t="s">
        <v>3334</v>
      </c>
      <c r="D2090" s="1">
        <v>765154.51</v>
      </c>
      <c r="E2090" s="1">
        <v>37569.120000000003</v>
      </c>
      <c r="F2090" s="41">
        <v>45955</v>
      </c>
      <c r="G2090" s="41">
        <v>46320</v>
      </c>
      <c r="H2090" s="1" t="s">
        <v>4058</v>
      </c>
      <c r="I2090" s="1" t="s">
        <v>3324</v>
      </c>
      <c r="J2090" t="str">
        <f>IF(ISNA(_xlfn.XLOOKUP(B2090,customer_master!$A$2:$A$1649, customer_master!$A$2:$A$1649)), "Invalid", "Ok")</f>
        <v>Ok</v>
      </c>
      <c r="K2090" t="str">
        <f>IF(ISNA(_xlfn.XLOOKUP(H2090,agent_info!$A$2:$A$301, agent_info!$A$2:$A$301)), "Invalid", "Ok")</f>
        <v>Ok</v>
      </c>
    </row>
    <row r="2091" spans="1:11" x14ac:dyDescent="0.3">
      <c r="A2091" s="1" t="s">
        <v>5710</v>
      </c>
      <c r="B2091" s="1" t="s">
        <v>1349</v>
      </c>
      <c r="C2091" s="1" t="s">
        <v>3318</v>
      </c>
      <c r="D2091" s="1">
        <v>674696.48</v>
      </c>
      <c r="E2091" s="1">
        <v>34442.870000000003</v>
      </c>
      <c r="F2091" s="41">
        <v>46087</v>
      </c>
      <c r="G2091" s="41">
        <v>46452</v>
      </c>
      <c r="H2091" s="1" t="s">
        <v>3710</v>
      </c>
      <c r="I2091" s="1" t="s">
        <v>3316</v>
      </c>
      <c r="J2091" t="str">
        <f>IF(ISNA(_xlfn.XLOOKUP(B2091,customer_master!$A$2:$A$1649, customer_master!$A$2:$A$1649)), "Invalid", "Ok")</f>
        <v>Ok</v>
      </c>
      <c r="K2091" t="str">
        <f>IF(ISNA(_xlfn.XLOOKUP(H2091,agent_info!$A$2:$A$301, agent_info!$A$2:$A$301)), "Invalid", "Ok")</f>
        <v>Ok</v>
      </c>
    </row>
    <row r="2092" spans="1:11" x14ac:dyDescent="0.3">
      <c r="A2092" s="1" t="s">
        <v>5711</v>
      </c>
      <c r="B2092" s="1" t="s">
        <v>3043</v>
      </c>
      <c r="C2092" s="1" t="s">
        <v>3331</v>
      </c>
      <c r="D2092" s="1">
        <v>630690.99</v>
      </c>
      <c r="E2092" s="1">
        <v>31913</v>
      </c>
      <c r="F2092" s="41">
        <v>44359</v>
      </c>
      <c r="G2092" s="41">
        <v>44724</v>
      </c>
      <c r="H2092" s="1" t="s">
        <v>4187</v>
      </c>
      <c r="I2092" s="1" t="s">
        <v>3324</v>
      </c>
      <c r="J2092" t="str">
        <f>IF(ISNA(_xlfn.XLOOKUP(B2092,customer_master!$A$2:$A$1649, customer_master!$A$2:$A$1649)), "Invalid", "Ok")</f>
        <v>Ok</v>
      </c>
      <c r="K2092" t="str">
        <f>IF(ISNA(_xlfn.XLOOKUP(H2092,agent_info!$A$2:$A$301, agent_info!$A$2:$A$301)), "Invalid", "Ok")</f>
        <v>Ok</v>
      </c>
    </row>
    <row r="2093" spans="1:11" x14ac:dyDescent="0.3">
      <c r="A2093" s="1" t="s">
        <v>5712</v>
      </c>
      <c r="B2093" s="1" t="s">
        <v>815</v>
      </c>
      <c r="C2093" s="1" t="s">
        <v>3334</v>
      </c>
      <c r="D2093" s="1">
        <v>551419.31999999995</v>
      </c>
      <c r="E2093" s="1">
        <v>30180.13</v>
      </c>
      <c r="F2093" s="41">
        <v>44880</v>
      </c>
      <c r="G2093" s="41">
        <v>45245</v>
      </c>
      <c r="H2093" s="1" t="s">
        <v>3427</v>
      </c>
      <c r="I2093" s="1" t="s">
        <v>3324</v>
      </c>
      <c r="J2093" t="str">
        <f>IF(ISNA(_xlfn.XLOOKUP(B2093,customer_master!$A$2:$A$1649, customer_master!$A$2:$A$1649)), "Invalid", "Ok")</f>
        <v>Ok</v>
      </c>
      <c r="K2093" t="str">
        <f>IF(ISNA(_xlfn.XLOOKUP(H2093,agent_info!$A$2:$A$301, agent_info!$A$2:$A$301)), "Invalid", "Ok")</f>
        <v>Ok</v>
      </c>
    </row>
    <row r="2094" spans="1:11" x14ac:dyDescent="0.3">
      <c r="A2094" s="1" t="s">
        <v>5713</v>
      </c>
      <c r="B2094" s="1" t="s">
        <v>3158</v>
      </c>
      <c r="C2094" s="1" t="s">
        <v>3318</v>
      </c>
      <c r="D2094" s="1">
        <v>696439</v>
      </c>
      <c r="E2094" s="1">
        <v>32325.43</v>
      </c>
      <c r="F2094" s="41">
        <v>45928</v>
      </c>
      <c r="G2094" s="41">
        <v>46293</v>
      </c>
      <c r="H2094" s="1" t="s">
        <v>3502</v>
      </c>
      <c r="I2094" s="1" t="s">
        <v>3324</v>
      </c>
      <c r="J2094" t="str">
        <f>IF(ISNA(_xlfn.XLOOKUP(B2094,customer_master!$A$2:$A$1649, customer_master!$A$2:$A$1649)), "Invalid", "Ok")</f>
        <v>Ok</v>
      </c>
      <c r="K2094" t="str">
        <f>IF(ISNA(_xlfn.XLOOKUP(H2094,agent_info!$A$2:$A$301, agent_info!$A$2:$A$301)), "Invalid", "Ok")</f>
        <v>Ok</v>
      </c>
    </row>
    <row r="2095" spans="1:11" x14ac:dyDescent="0.3">
      <c r="A2095" s="1" t="s">
        <v>5714</v>
      </c>
      <c r="B2095" s="1" t="s">
        <v>361</v>
      </c>
      <c r="C2095" s="1" t="s">
        <v>3314</v>
      </c>
      <c r="D2095" s="1">
        <v>679192.96</v>
      </c>
      <c r="E2095" s="1">
        <v>37005.42</v>
      </c>
      <c r="F2095" s="41">
        <v>46163</v>
      </c>
      <c r="G2095" s="41">
        <v>46528</v>
      </c>
      <c r="H2095" s="1" t="s">
        <v>3714</v>
      </c>
      <c r="I2095" s="1" t="s">
        <v>3316</v>
      </c>
      <c r="J2095" t="str">
        <f>IF(ISNA(_xlfn.XLOOKUP(B2095,customer_master!$A$2:$A$1649, customer_master!$A$2:$A$1649)), "Invalid", "Ok")</f>
        <v>Ok</v>
      </c>
      <c r="K2095" t="str">
        <f>IF(ISNA(_xlfn.XLOOKUP(H2095,agent_info!$A$2:$A$301, agent_info!$A$2:$A$301)), "Invalid", "Ok")</f>
        <v>Ok</v>
      </c>
    </row>
    <row r="2096" spans="1:11" x14ac:dyDescent="0.3">
      <c r="A2096" s="1" t="s">
        <v>5715</v>
      </c>
      <c r="B2096" s="1" t="s">
        <v>2220</v>
      </c>
      <c r="C2096" s="1" t="s">
        <v>3331</v>
      </c>
      <c r="D2096" s="1">
        <v>604890.48</v>
      </c>
      <c r="E2096" s="1">
        <v>30632.57</v>
      </c>
      <c r="F2096" s="41">
        <v>44896</v>
      </c>
      <c r="G2096" s="41">
        <v>45261</v>
      </c>
      <c r="H2096" s="1" t="s">
        <v>4282</v>
      </c>
      <c r="I2096" s="1" t="s">
        <v>3324</v>
      </c>
      <c r="J2096" t="str">
        <f>IF(ISNA(_xlfn.XLOOKUP(B2096,customer_master!$A$2:$A$1649, customer_master!$A$2:$A$1649)), "Invalid", "Ok")</f>
        <v>Ok</v>
      </c>
      <c r="K2096" t="str">
        <f>IF(ISNA(_xlfn.XLOOKUP(H2096,agent_info!$A$2:$A$301, agent_info!$A$2:$A$301)), "Invalid", "Ok")</f>
        <v>Ok</v>
      </c>
    </row>
    <row r="2097" spans="1:11" x14ac:dyDescent="0.3">
      <c r="A2097" s="1" t="s">
        <v>5716</v>
      </c>
      <c r="B2097" s="1" t="s">
        <v>3204</v>
      </c>
      <c r="C2097" s="1" t="s">
        <v>3314</v>
      </c>
      <c r="D2097" s="1">
        <v>768901.17</v>
      </c>
      <c r="E2097" s="1">
        <v>41552.589999999997</v>
      </c>
      <c r="F2097" s="41">
        <v>45572</v>
      </c>
      <c r="G2097" s="41">
        <v>45937</v>
      </c>
      <c r="H2097" s="1" t="s">
        <v>3532</v>
      </c>
      <c r="I2097" s="1" t="s">
        <v>3324</v>
      </c>
      <c r="J2097" t="str">
        <f>IF(ISNA(_xlfn.XLOOKUP(B2097,customer_master!$A$2:$A$1649, customer_master!$A$2:$A$1649)), "Invalid", "Ok")</f>
        <v>Ok</v>
      </c>
      <c r="K2097" t="str">
        <f>IF(ISNA(_xlfn.XLOOKUP(H2097,agent_info!$A$2:$A$301, agent_info!$A$2:$A$301)), "Invalid", "Ok")</f>
        <v>Ok</v>
      </c>
    </row>
    <row r="2098" spans="1:11" x14ac:dyDescent="0.3">
      <c r="A2098" s="1" t="s">
        <v>5717</v>
      </c>
      <c r="B2098" s="1" t="s">
        <v>2186</v>
      </c>
      <c r="C2098" s="1" t="s">
        <v>3314</v>
      </c>
      <c r="D2098" s="1">
        <v>481042.63</v>
      </c>
      <c r="E2098" s="1">
        <v>22214.27</v>
      </c>
      <c r="F2098" s="41">
        <v>45186</v>
      </c>
      <c r="G2098" s="41">
        <v>45552</v>
      </c>
      <c r="H2098" s="1" t="s">
        <v>3329</v>
      </c>
      <c r="I2098" s="1" t="s">
        <v>3324</v>
      </c>
      <c r="J2098" t="str">
        <f>IF(ISNA(_xlfn.XLOOKUP(B2098,customer_master!$A$2:$A$1649, customer_master!$A$2:$A$1649)), "Invalid", "Ok")</f>
        <v>Ok</v>
      </c>
      <c r="K2098" t="str">
        <f>IF(ISNA(_xlfn.XLOOKUP(H2098,agent_info!$A$2:$A$301, agent_info!$A$2:$A$301)), "Invalid", "Ok")</f>
        <v>Ok</v>
      </c>
    </row>
    <row r="2099" spans="1:11" x14ac:dyDescent="0.3">
      <c r="A2099" s="1" t="s">
        <v>5718</v>
      </c>
      <c r="B2099" s="1" t="s">
        <v>2985</v>
      </c>
      <c r="C2099" s="1" t="s">
        <v>3314</v>
      </c>
      <c r="D2099" s="1">
        <v>632075.32999999996</v>
      </c>
      <c r="E2099" s="1">
        <v>32498.17</v>
      </c>
      <c r="F2099" s="41">
        <v>44653</v>
      </c>
      <c r="G2099" s="41">
        <v>45018</v>
      </c>
      <c r="H2099" s="1" t="s">
        <v>3647</v>
      </c>
      <c r="I2099" s="1" t="s">
        <v>3320</v>
      </c>
      <c r="J2099" t="str">
        <f>IF(ISNA(_xlfn.XLOOKUP(B2099,customer_master!$A$2:$A$1649, customer_master!$A$2:$A$1649)), "Invalid", "Ok")</f>
        <v>Ok</v>
      </c>
      <c r="K2099" t="str">
        <f>IF(ISNA(_xlfn.XLOOKUP(H2099,agent_info!$A$2:$A$301, agent_info!$A$2:$A$301)), "Invalid", "Ok")</f>
        <v>Ok</v>
      </c>
    </row>
    <row r="2100" spans="1:11" x14ac:dyDescent="0.3">
      <c r="A2100" s="1" t="s">
        <v>5719</v>
      </c>
      <c r="B2100" s="1" t="s">
        <v>3283</v>
      </c>
      <c r="C2100" s="1" t="s">
        <v>3318</v>
      </c>
      <c r="D2100" s="1">
        <v>499386.07</v>
      </c>
      <c r="E2100" s="1">
        <v>26667.77</v>
      </c>
      <c r="F2100" s="41">
        <v>45996</v>
      </c>
      <c r="G2100" s="41">
        <v>46361</v>
      </c>
      <c r="H2100" s="1" t="s">
        <v>4469</v>
      </c>
      <c r="I2100" s="1" t="s">
        <v>3324</v>
      </c>
      <c r="J2100" t="str">
        <f>IF(ISNA(_xlfn.XLOOKUP(B2100,customer_master!$A$2:$A$1649, customer_master!$A$2:$A$1649)), "Invalid", "Ok")</f>
        <v>Ok</v>
      </c>
      <c r="K2100" t="str">
        <f>IF(ISNA(_xlfn.XLOOKUP(H2100,agent_info!$A$2:$A$301, agent_info!$A$2:$A$301)), "Invalid", "Ok")</f>
        <v>Ok</v>
      </c>
    </row>
    <row r="2101" spans="1:11" x14ac:dyDescent="0.3">
      <c r="A2101" s="1" t="s">
        <v>5720</v>
      </c>
      <c r="B2101" s="1" t="s">
        <v>2154</v>
      </c>
      <c r="C2101" s="1" t="s">
        <v>3314</v>
      </c>
      <c r="D2101" s="1">
        <v>561269.65</v>
      </c>
      <c r="E2101" s="1">
        <v>29673.66</v>
      </c>
      <c r="F2101" s="41">
        <v>45573</v>
      </c>
      <c r="G2101" s="41">
        <v>45938</v>
      </c>
      <c r="H2101" s="1" t="s">
        <v>4505</v>
      </c>
      <c r="I2101" s="1" t="s">
        <v>3316</v>
      </c>
      <c r="J2101" t="str">
        <f>IF(ISNA(_xlfn.XLOOKUP(B2101,customer_master!$A$2:$A$1649, customer_master!$A$2:$A$1649)), "Invalid", "Ok")</f>
        <v>Ok</v>
      </c>
      <c r="K2101" t="str">
        <f>IF(ISNA(_xlfn.XLOOKUP(H2101,agent_info!$A$2:$A$301, agent_info!$A$2:$A$301)), "Invalid", "Ok")</f>
        <v>Ok</v>
      </c>
    </row>
    <row r="2102" spans="1:11" x14ac:dyDescent="0.3">
      <c r="A2102" s="1" t="s">
        <v>5721</v>
      </c>
      <c r="B2102" s="1" t="s">
        <v>2599</v>
      </c>
      <c r="C2102" s="1" t="s">
        <v>3318</v>
      </c>
      <c r="D2102" s="1">
        <v>506121.77</v>
      </c>
      <c r="E2102" s="1">
        <v>22825.78</v>
      </c>
      <c r="F2102" s="41">
        <v>45437</v>
      </c>
      <c r="G2102" s="41">
        <v>45802</v>
      </c>
      <c r="H2102" s="1" t="s">
        <v>3437</v>
      </c>
      <c r="I2102" s="1" t="s">
        <v>3324</v>
      </c>
      <c r="J2102" t="str">
        <f>IF(ISNA(_xlfn.XLOOKUP(B2102,customer_master!$A$2:$A$1649, customer_master!$A$2:$A$1649)), "Invalid", "Ok")</f>
        <v>Ok</v>
      </c>
      <c r="K2102" t="str">
        <f>IF(ISNA(_xlfn.XLOOKUP(H2102,agent_info!$A$2:$A$301, agent_info!$A$2:$A$301)), "Invalid", "Ok")</f>
        <v>Ok</v>
      </c>
    </row>
    <row r="2103" spans="1:11" x14ac:dyDescent="0.3">
      <c r="A2103" s="1" t="s">
        <v>5722</v>
      </c>
      <c r="B2103" s="1" t="s">
        <v>139</v>
      </c>
      <c r="C2103" s="1" t="s">
        <v>3331</v>
      </c>
      <c r="D2103" s="1">
        <v>509132.81</v>
      </c>
      <c r="E2103" s="1">
        <v>25213.3</v>
      </c>
      <c r="F2103" s="41">
        <v>45488</v>
      </c>
      <c r="G2103" s="41">
        <v>45853</v>
      </c>
      <c r="H2103" s="1" t="s">
        <v>3498</v>
      </c>
      <c r="I2103" s="1" t="s">
        <v>3324</v>
      </c>
      <c r="J2103" t="str">
        <f>IF(ISNA(_xlfn.XLOOKUP(B2103,customer_master!$A$2:$A$1649, customer_master!$A$2:$A$1649)), "Invalid", "Ok")</f>
        <v>Ok</v>
      </c>
      <c r="K2103" t="str">
        <f>IF(ISNA(_xlfn.XLOOKUP(H2103,agent_info!$A$2:$A$301, agent_info!$A$2:$A$301)), "Invalid", "Ok")</f>
        <v>Ok</v>
      </c>
    </row>
    <row r="2104" spans="1:11" x14ac:dyDescent="0.3">
      <c r="A2104" s="1" t="s">
        <v>5723</v>
      </c>
      <c r="B2104" s="1" t="s">
        <v>1441</v>
      </c>
      <c r="C2104" s="1" t="s">
        <v>3314</v>
      </c>
      <c r="D2104" s="1">
        <v>530078.05000000005</v>
      </c>
      <c r="E2104" s="1">
        <v>24464.94</v>
      </c>
      <c r="F2104" s="41">
        <v>45701</v>
      </c>
      <c r="G2104" s="41">
        <v>46066</v>
      </c>
      <c r="H2104" s="1" t="s">
        <v>3576</v>
      </c>
      <c r="I2104" s="1" t="s">
        <v>3316</v>
      </c>
      <c r="J2104" t="str">
        <f>IF(ISNA(_xlfn.XLOOKUP(B2104,customer_master!$A$2:$A$1649, customer_master!$A$2:$A$1649)), "Invalid", "Ok")</f>
        <v>Ok</v>
      </c>
      <c r="K2104" t="str">
        <f>IF(ISNA(_xlfn.XLOOKUP(H2104,agent_info!$A$2:$A$301, agent_info!$A$2:$A$301)), "Invalid", "Ok")</f>
        <v>Ok</v>
      </c>
    </row>
    <row r="2105" spans="1:11" x14ac:dyDescent="0.3">
      <c r="A2105" s="1" t="s">
        <v>5724</v>
      </c>
      <c r="B2105" s="1" t="s">
        <v>970</v>
      </c>
      <c r="C2105" s="1" t="s">
        <v>3326</v>
      </c>
      <c r="D2105" s="1">
        <v>369837.85</v>
      </c>
      <c r="E2105" s="1">
        <v>17207.91</v>
      </c>
      <c r="F2105" s="41">
        <v>44613</v>
      </c>
      <c r="G2105" s="41">
        <v>44978</v>
      </c>
      <c r="H2105" s="1" t="s">
        <v>3375</v>
      </c>
      <c r="I2105" s="1" t="s">
        <v>3320</v>
      </c>
      <c r="J2105" t="str">
        <f>IF(ISNA(_xlfn.XLOOKUP(B2105,customer_master!$A$2:$A$1649, customer_master!$A$2:$A$1649)), "Invalid", "Ok")</f>
        <v>Ok</v>
      </c>
      <c r="K2105" t="str">
        <f>IF(ISNA(_xlfn.XLOOKUP(H2105,agent_info!$A$2:$A$301, agent_info!$A$2:$A$301)), "Invalid", "Ok")</f>
        <v>Ok</v>
      </c>
    </row>
    <row r="2106" spans="1:11" x14ac:dyDescent="0.3">
      <c r="A2106" s="1" t="s">
        <v>5725</v>
      </c>
      <c r="B2106" s="1" t="s">
        <v>2732</v>
      </c>
      <c r="C2106" s="1" t="s">
        <v>3314</v>
      </c>
      <c r="D2106" s="1">
        <v>400346.52</v>
      </c>
      <c r="E2106" s="1">
        <v>20843.189999999999</v>
      </c>
      <c r="F2106" s="41">
        <v>45877</v>
      </c>
      <c r="G2106" s="41">
        <v>46242</v>
      </c>
      <c r="H2106" s="1" t="s">
        <v>4175</v>
      </c>
      <c r="I2106" s="1" t="s">
        <v>3324</v>
      </c>
      <c r="J2106" t="str">
        <f>IF(ISNA(_xlfn.XLOOKUP(B2106,customer_master!$A$2:$A$1649, customer_master!$A$2:$A$1649)), "Invalid", "Ok")</f>
        <v>Ok</v>
      </c>
      <c r="K2106" t="str">
        <f>IF(ISNA(_xlfn.XLOOKUP(H2106,agent_info!$A$2:$A$301, agent_info!$A$2:$A$301)), "Invalid", "Ok")</f>
        <v>Ok</v>
      </c>
    </row>
    <row r="2107" spans="1:11" x14ac:dyDescent="0.3">
      <c r="A2107" s="1" t="s">
        <v>5726</v>
      </c>
      <c r="B2107" s="1" t="s">
        <v>2264</v>
      </c>
      <c r="C2107" s="1" t="s">
        <v>3314</v>
      </c>
      <c r="D2107" s="1">
        <v>664095.06999999995</v>
      </c>
      <c r="E2107" s="1">
        <v>36236.879999999997</v>
      </c>
      <c r="F2107" s="41">
        <v>44094</v>
      </c>
      <c r="G2107" s="41">
        <v>44459</v>
      </c>
      <c r="H2107" s="1" t="s">
        <v>4122</v>
      </c>
      <c r="I2107" s="1" t="s">
        <v>3324</v>
      </c>
      <c r="J2107" t="str">
        <f>IF(ISNA(_xlfn.XLOOKUP(B2107,customer_master!$A$2:$A$1649, customer_master!$A$2:$A$1649)), "Invalid", "Ok")</f>
        <v>Ok</v>
      </c>
      <c r="K2107" t="str">
        <f>IF(ISNA(_xlfn.XLOOKUP(H2107,agent_info!$A$2:$A$301, agent_info!$A$2:$A$301)), "Invalid", "Ok")</f>
        <v>Ok</v>
      </c>
    </row>
    <row r="2108" spans="1:11" x14ac:dyDescent="0.3">
      <c r="A2108" s="1" t="s">
        <v>5727</v>
      </c>
      <c r="B2108" s="1" t="s">
        <v>2066</v>
      </c>
      <c r="C2108" s="1" t="s">
        <v>3314</v>
      </c>
      <c r="D2108" s="1">
        <v>504699.79</v>
      </c>
      <c r="E2108" s="1">
        <v>25911.78</v>
      </c>
      <c r="F2108" s="41">
        <v>45946</v>
      </c>
      <c r="G2108" s="41">
        <v>46311</v>
      </c>
      <c r="H2108" s="1" t="s">
        <v>4095</v>
      </c>
      <c r="I2108" s="1" t="s">
        <v>3324</v>
      </c>
      <c r="J2108" t="str">
        <f>IF(ISNA(_xlfn.XLOOKUP(B2108,customer_master!$A$2:$A$1649, customer_master!$A$2:$A$1649)), "Invalid", "Ok")</f>
        <v>Ok</v>
      </c>
      <c r="K2108" t="str">
        <f>IF(ISNA(_xlfn.XLOOKUP(H2108,agent_info!$A$2:$A$301, agent_info!$A$2:$A$301)), "Invalid", "Ok")</f>
        <v>Ok</v>
      </c>
    </row>
    <row r="2109" spans="1:11" x14ac:dyDescent="0.3">
      <c r="A2109" s="1" t="s">
        <v>5728</v>
      </c>
      <c r="B2109" s="1" t="s">
        <v>3094</v>
      </c>
      <c r="C2109" s="1" t="s">
        <v>3331</v>
      </c>
      <c r="D2109" s="1">
        <v>389593.37</v>
      </c>
      <c r="E2109" s="1">
        <v>17930.560000000001</v>
      </c>
      <c r="F2109" s="41">
        <v>44714</v>
      </c>
      <c r="G2109" s="41">
        <v>45079</v>
      </c>
      <c r="H2109" s="1" t="s">
        <v>3522</v>
      </c>
      <c r="I2109" s="1" t="s">
        <v>3324</v>
      </c>
      <c r="J2109" t="str">
        <f>IF(ISNA(_xlfn.XLOOKUP(B2109,customer_master!$A$2:$A$1649, customer_master!$A$2:$A$1649)), "Invalid", "Ok")</f>
        <v>Ok</v>
      </c>
      <c r="K2109" t="str">
        <f>IF(ISNA(_xlfn.XLOOKUP(H2109,agent_info!$A$2:$A$301, agent_info!$A$2:$A$301)), "Invalid", "Ok")</f>
        <v>Ok</v>
      </c>
    </row>
    <row r="2110" spans="1:11" x14ac:dyDescent="0.3">
      <c r="A2110" s="1" t="s">
        <v>5729</v>
      </c>
      <c r="B2110" s="1" t="s">
        <v>326</v>
      </c>
      <c r="C2110" s="1" t="s">
        <v>3326</v>
      </c>
      <c r="D2110" s="1">
        <v>378518.4</v>
      </c>
      <c r="E2110" s="1">
        <v>17956.900000000001</v>
      </c>
      <c r="F2110" s="41">
        <v>44423</v>
      </c>
      <c r="G2110" s="41">
        <v>44788</v>
      </c>
      <c r="H2110" s="1" t="s">
        <v>3593</v>
      </c>
      <c r="I2110" s="1" t="s">
        <v>3316</v>
      </c>
      <c r="J2110" t="str">
        <f>IF(ISNA(_xlfn.XLOOKUP(B2110,customer_master!$A$2:$A$1649, customer_master!$A$2:$A$1649)), "Invalid", "Ok")</f>
        <v>Ok</v>
      </c>
      <c r="K2110" t="str">
        <f>IF(ISNA(_xlfn.XLOOKUP(H2110,agent_info!$A$2:$A$301, agent_info!$A$2:$A$301)), "Invalid", "Ok")</f>
        <v>Ok</v>
      </c>
    </row>
    <row r="2111" spans="1:11" x14ac:dyDescent="0.3">
      <c r="A2111" s="1" t="s">
        <v>5730</v>
      </c>
      <c r="B2111" s="1" t="s">
        <v>3164</v>
      </c>
      <c r="C2111" s="1" t="s">
        <v>3334</v>
      </c>
      <c r="D2111" s="1">
        <v>460401.96</v>
      </c>
      <c r="E2111" s="1">
        <v>22462.43</v>
      </c>
      <c r="F2111" s="41">
        <v>44952</v>
      </c>
      <c r="G2111" s="41">
        <v>45317</v>
      </c>
      <c r="H2111" s="1" t="s">
        <v>4012</v>
      </c>
      <c r="I2111" s="1" t="s">
        <v>3324</v>
      </c>
      <c r="J2111" t="str">
        <f>IF(ISNA(_xlfn.XLOOKUP(B2111,customer_master!$A$2:$A$1649, customer_master!$A$2:$A$1649)), "Invalid", "Ok")</f>
        <v>Ok</v>
      </c>
      <c r="K2111" t="str">
        <f>IF(ISNA(_xlfn.XLOOKUP(H2111,agent_info!$A$2:$A$301, agent_info!$A$2:$A$301)), "Invalid", "Ok")</f>
        <v>Ok</v>
      </c>
    </row>
    <row r="2112" spans="1:11" x14ac:dyDescent="0.3">
      <c r="A2112" s="1" t="s">
        <v>5731</v>
      </c>
      <c r="B2112" s="1" t="s">
        <v>363</v>
      </c>
      <c r="C2112" s="1" t="s">
        <v>3326</v>
      </c>
      <c r="D2112" s="1">
        <v>366874.29</v>
      </c>
      <c r="E2112" s="1">
        <v>16969.25</v>
      </c>
      <c r="F2112" s="41">
        <v>44236</v>
      </c>
      <c r="G2112" s="41">
        <v>44601</v>
      </c>
      <c r="H2112" s="1" t="s">
        <v>3329</v>
      </c>
      <c r="I2112" s="1" t="s">
        <v>3324</v>
      </c>
      <c r="J2112" t="str">
        <f>IF(ISNA(_xlfn.XLOOKUP(B2112,customer_master!$A$2:$A$1649, customer_master!$A$2:$A$1649)), "Invalid", "Ok")</f>
        <v>Ok</v>
      </c>
      <c r="K2112" t="str">
        <f>IF(ISNA(_xlfn.XLOOKUP(H2112,agent_info!$A$2:$A$301, agent_info!$A$2:$A$301)), "Invalid", "Ok")</f>
        <v>Ok</v>
      </c>
    </row>
    <row r="2113" spans="1:11" x14ac:dyDescent="0.3">
      <c r="A2113" s="1" t="s">
        <v>5732</v>
      </c>
      <c r="B2113" s="1" t="s">
        <v>1177</v>
      </c>
      <c r="C2113" s="1" t="s">
        <v>3331</v>
      </c>
      <c r="D2113" s="1">
        <v>742455.16</v>
      </c>
      <c r="E2113" s="1">
        <v>39706.269999999997</v>
      </c>
      <c r="F2113" s="41">
        <v>44927</v>
      </c>
      <c r="G2113" s="41">
        <v>45292</v>
      </c>
      <c r="H2113" s="1" t="s">
        <v>3437</v>
      </c>
      <c r="I2113" s="1" t="s">
        <v>3320</v>
      </c>
      <c r="J2113" t="str">
        <f>IF(ISNA(_xlfn.XLOOKUP(B2113,customer_master!$A$2:$A$1649, customer_master!$A$2:$A$1649)), "Invalid", "Ok")</f>
        <v>Ok</v>
      </c>
      <c r="K2113" t="str">
        <f>IF(ISNA(_xlfn.XLOOKUP(H2113,agent_info!$A$2:$A$301, agent_info!$A$2:$A$301)), "Invalid", "Ok")</f>
        <v>Ok</v>
      </c>
    </row>
    <row r="2114" spans="1:11" x14ac:dyDescent="0.3">
      <c r="A2114" s="1" t="s">
        <v>5733</v>
      </c>
      <c r="B2114" s="1" t="s">
        <v>2125</v>
      </c>
      <c r="C2114" s="1" t="s">
        <v>3318</v>
      </c>
      <c r="D2114" s="1">
        <v>592840.41</v>
      </c>
      <c r="E2114" s="1">
        <v>27830.92</v>
      </c>
      <c r="F2114" s="41">
        <v>45090</v>
      </c>
      <c r="G2114" s="41">
        <v>45456</v>
      </c>
      <c r="H2114" s="1" t="s">
        <v>3589</v>
      </c>
      <c r="I2114" s="1" t="s">
        <v>3316</v>
      </c>
      <c r="J2114" t="str">
        <f>IF(ISNA(_xlfn.XLOOKUP(B2114,customer_master!$A$2:$A$1649, customer_master!$A$2:$A$1649)), "Invalid", "Ok")</f>
        <v>Ok</v>
      </c>
      <c r="K2114" t="str">
        <f>IF(ISNA(_xlfn.XLOOKUP(H2114,agent_info!$A$2:$A$301, agent_info!$A$2:$A$301)), "Invalid", "Ok")</f>
        <v>Ok</v>
      </c>
    </row>
    <row r="2115" spans="1:11" x14ac:dyDescent="0.3">
      <c r="A2115" s="1" t="s">
        <v>5734</v>
      </c>
      <c r="B2115" s="1" t="s">
        <v>1159</v>
      </c>
      <c r="C2115" s="1" t="s">
        <v>3318</v>
      </c>
      <c r="D2115" s="1">
        <v>526941.21</v>
      </c>
      <c r="E2115" s="1">
        <v>24395.01</v>
      </c>
      <c r="F2115" s="41">
        <v>44281</v>
      </c>
      <c r="G2115" s="41">
        <v>44646</v>
      </c>
      <c r="H2115" s="1" t="s">
        <v>3617</v>
      </c>
      <c r="I2115" s="1" t="s">
        <v>3324</v>
      </c>
      <c r="J2115" t="str">
        <f>IF(ISNA(_xlfn.XLOOKUP(B2115,customer_master!$A$2:$A$1649, customer_master!$A$2:$A$1649)), "Invalid", "Ok")</f>
        <v>Ok</v>
      </c>
      <c r="K2115" t="str">
        <f>IF(ISNA(_xlfn.XLOOKUP(H2115,agent_info!$A$2:$A$301, agent_info!$A$2:$A$301)), "Invalid", "Ok")</f>
        <v>Ok</v>
      </c>
    </row>
    <row r="2116" spans="1:11" x14ac:dyDescent="0.3">
      <c r="A2116" s="1" t="s">
        <v>5735</v>
      </c>
      <c r="B2116" s="1" t="s">
        <v>2282</v>
      </c>
      <c r="C2116" s="1" t="s">
        <v>3331</v>
      </c>
      <c r="D2116" s="1">
        <v>584729.72</v>
      </c>
      <c r="E2116" s="1">
        <v>30556.13</v>
      </c>
      <c r="F2116" s="41">
        <v>45098</v>
      </c>
      <c r="G2116" s="41">
        <v>45464</v>
      </c>
      <c r="H2116" s="1" t="s">
        <v>3363</v>
      </c>
      <c r="I2116" s="1" t="s">
        <v>3316</v>
      </c>
      <c r="J2116" t="str">
        <f>IF(ISNA(_xlfn.XLOOKUP(B2116,customer_master!$A$2:$A$1649, customer_master!$A$2:$A$1649)), "Invalid", "Ok")</f>
        <v>Ok</v>
      </c>
      <c r="K2116" t="str">
        <f>IF(ISNA(_xlfn.XLOOKUP(H2116,agent_info!$A$2:$A$301, agent_info!$A$2:$A$301)), "Invalid", "Ok")</f>
        <v>Ok</v>
      </c>
    </row>
    <row r="2117" spans="1:11" x14ac:dyDescent="0.3">
      <c r="A2117" s="1" t="s">
        <v>5736</v>
      </c>
      <c r="B2117" s="1" t="s">
        <v>2579</v>
      </c>
      <c r="C2117" s="1" t="s">
        <v>3314</v>
      </c>
      <c r="D2117" s="1">
        <v>428435.74</v>
      </c>
      <c r="E2117" s="1">
        <v>19823</v>
      </c>
      <c r="F2117" s="41">
        <v>45485</v>
      </c>
      <c r="G2117" s="41">
        <v>45850</v>
      </c>
      <c r="H2117" s="1" t="s">
        <v>3798</v>
      </c>
      <c r="I2117" s="1" t="s">
        <v>3316</v>
      </c>
      <c r="J2117" t="str">
        <f>IF(ISNA(_xlfn.XLOOKUP(B2117,customer_master!$A$2:$A$1649, customer_master!$A$2:$A$1649)), "Invalid", "Ok")</f>
        <v>Ok</v>
      </c>
      <c r="K2117" t="str">
        <f>IF(ISNA(_xlfn.XLOOKUP(H2117,agent_info!$A$2:$A$301, agent_info!$A$2:$A$301)), "Invalid", "Ok")</f>
        <v>Ok</v>
      </c>
    </row>
    <row r="2118" spans="1:11" x14ac:dyDescent="0.3">
      <c r="A2118" s="1" t="s">
        <v>5737</v>
      </c>
      <c r="B2118" s="1" t="s">
        <v>2748</v>
      </c>
      <c r="C2118" s="1" t="s">
        <v>3326</v>
      </c>
      <c r="D2118" s="1">
        <v>595645.94999999995</v>
      </c>
      <c r="E2118" s="1">
        <v>29248.12</v>
      </c>
      <c r="F2118" s="41">
        <v>46050</v>
      </c>
      <c r="G2118" s="41">
        <v>46415</v>
      </c>
      <c r="H2118" s="1" t="s">
        <v>3406</v>
      </c>
      <c r="I2118" s="1" t="s">
        <v>3324</v>
      </c>
      <c r="J2118" t="str">
        <f>IF(ISNA(_xlfn.XLOOKUP(B2118,customer_master!$A$2:$A$1649, customer_master!$A$2:$A$1649)), "Invalid", "Ok")</f>
        <v>Ok</v>
      </c>
      <c r="K2118" t="str">
        <f>IF(ISNA(_xlfn.XLOOKUP(H2118,agent_info!$A$2:$A$301, agent_info!$A$2:$A$301)), "Invalid", "Ok")</f>
        <v>Ok</v>
      </c>
    </row>
    <row r="2119" spans="1:11" x14ac:dyDescent="0.3">
      <c r="A2119" s="1" t="s">
        <v>5738</v>
      </c>
      <c r="B2119" s="1" t="s">
        <v>636</v>
      </c>
      <c r="C2119" s="1" t="s">
        <v>3314</v>
      </c>
      <c r="D2119" s="1">
        <v>758292.34</v>
      </c>
      <c r="E2119" s="1">
        <v>38032.22</v>
      </c>
      <c r="F2119" s="41">
        <v>45095</v>
      </c>
      <c r="G2119" s="41">
        <v>45461</v>
      </c>
      <c r="H2119" s="1" t="s">
        <v>4641</v>
      </c>
      <c r="I2119" s="1" t="s">
        <v>3324</v>
      </c>
      <c r="J2119" t="str">
        <f>IF(ISNA(_xlfn.XLOOKUP(B2119,customer_master!$A$2:$A$1649, customer_master!$A$2:$A$1649)), "Invalid", "Ok")</f>
        <v>Ok</v>
      </c>
      <c r="K2119" t="str">
        <f>IF(ISNA(_xlfn.XLOOKUP(H2119,agent_info!$A$2:$A$301, agent_info!$A$2:$A$301)), "Invalid", "Ok")</f>
        <v>Ok</v>
      </c>
    </row>
    <row r="2120" spans="1:11" x14ac:dyDescent="0.3">
      <c r="A2120" s="1" t="s">
        <v>5739</v>
      </c>
      <c r="B2120" s="1" t="s">
        <v>644</v>
      </c>
      <c r="C2120" s="1" t="s">
        <v>3334</v>
      </c>
      <c r="D2120" s="1">
        <v>435303</v>
      </c>
      <c r="E2120" s="1">
        <v>19937.88</v>
      </c>
      <c r="F2120" s="41">
        <v>44265</v>
      </c>
      <c r="G2120" s="41">
        <v>44630</v>
      </c>
      <c r="H2120" s="1" t="s">
        <v>3706</v>
      </c>
      <c r="I2120" s="1" t="s">
        <v>3324</v>
      </c>
      <c r="J2120" t="str">
        <f>IF(ISNA(_xlfn.XLOOKUP(B2120,customer_master!$A$2:$A$1649, customer_master!$A$2:$A$1649)), "Invalid", "Ok")</f>
        <v>Ok</v>
      </c>
      <c r="K2120" t="str">
        <f>IF(ISNA(_xlfn.XLOOKUP(H2120,agent_info!$A$2:$A$301, agent_info!$A$2:$A$301)), "Invalid", "Ok")</f>
        <v>Ok</v>
      </c>
    </row>
    <row r="2121" spans="1:11" x14ac:dyDescent="0.3">
      <c r="A2121" s="1" t="s">
        <v>5740</v>
      </c>
      <c r="B2121" s="1" t="s">
        <v>206</v>
      </c>
      <c r="C2121" s="1" t="s">
        <v>3331</v>
      </c>
      <c r="D2121" s="1">
        <v>439716.95</v>
      </c>
      <c r="E2121" s="1">
        <v>22231.16</v>
      </c>
      <c r="F2121" s="41">
        <v>45681</v>
      </c>
      <c r="G2121" s="41">
        <v>46046</v>
      </c>
      <c r="H2121" s="1" t="s">
        <v>4055</v>
      </c>
      <c r="I2121" s="1" t="s">
        <v>3324</v>
      </c>
      <c r="J2121" t="str">
        <f>IF(ISNA(_xlfn.XLOOKUP(B2121,customer_master!$A$2:$A$1649, customer_master!$A$2:$A$1649)), "Invalid", "Ok")</f>
        <v>Ok</v>
      </c>
      <c r="K2121" t="str">
        <f>IF(ISNA(_xlfn.XLOOKUP(H2121,agent_info!$A$2:$A$301, agent_info!$A$2:$A$301)), "Invalid", "Ok")</f>
        <v>Ok</v>
      </c>
    </row>
    <row r="2122" spans="1:11" x14ac:dyDescent="0.3">
      <c r="A2122" s="1" t="s">
        <v>5741</v>
      </c>
      <c r="B2122" s="1" t="s">
        <v>1652</v>
      </c>
      <c r="C2122" s="1" t="s">
        <v>3318</v>
      </c>
      <c r="D2122" s="1">
        <v>615634.76</v>
      </c>
      <c r="E2122" s="1">
        <v>30659.62</v>
      </c>
      <c r="F2122" s="41">
        <v>46088</v>
      </c>
      <c r="G2122" s="41">
        <v>46453</v>
      </c>
      <c r="H2122" s="1" t="s">
        <v>3341</v>
      </c>
      <c r="I2122" s="1" t="s">
        <v>3324</v>
      </c>
      <c r="J2122" t="str">
        <f>IF(ISNA(_xlfn.XLOOKUP(B2122,customer_master!$A$2:$A$1649, customer_master!$A$2:$A$1649)), "Invalid", "Ok")</f>
        <v>Ok</v>
      </c>
      <c r="K2122" t="str">
        <f>IF(ISNA(_xlfn.XLOOKUP(H2122,agent_info!$A$2:$A$301, agent_info!$A$2:$A$301)), "Invalid", "Ok")</f>
        <v>Ok</v>
      </c>
    </row>
    <row r="2123" spans="1:11" x14ac:dyDescent="0.3">
      <c r="A2123" s="1" t="s">
        <v>5742</v>
      </c>
      <c r="B2123" s="1" t="s">
        <v>487</v>
      </c>
      <c r="C2123" s="1" t="s">
        <v>3318</v>
      </c>
      <c r="D2123" s="1">
        <v>435429.51</v>
      </c>
      <c r="E2123" s="1">
        <v>22504.81</v>
      </c>
      <c r="F2123" s="41">
        <v>46099</v>
      </c>
      <c r="G2123" s="41">
        <v>46464</v>
      </c>
      <c r="H2123" s="1" t="s">
        <v>3483</v>
      </c>
      <c r="I2123" s="1" t="s">
        <v>3324</v>
      </c>
      <c r="J2123" t="str">
        <f>IF(ISNA(_xlfn.XLOOKUP(B2123,customer_master!$A$2:$A$1649, customer_master!$A$2:$A$1649)), "Invalid", "Ok")</f>
        <v>Ok</v>
      </c>
      <c r="K2123" t="str">
        <f>IF(ISNA(_xlfn.XLOOKUP(H2123,agent_info!$A$2:$A$301, agent_info!$A$2:$A$301)), "Invalid", "Ok")</f>
        <v>Ok</v>
      </c>
    </row>
    <row r="2124" spans="1:11" x14ac:dyDescent="0.3">
      <c r="A2124" s="1" t="s">
        <v>5743</v>
      </c>
      <c r="B2124" s="1" t="s">
        <v>1077</v>
      </c>
      <c r="C2124" s="1" t="s">
        <v>3334</v>
      </c>
      <c r="D2124" s="1">
        <v>433530.32</v>
      </c>
      <c r="E2124" s="1">
        <v>20458.93</v>
      </c>
      <c r="F2124" s="41">
        <v>45760</v>
      </c>
      <c r="G2124" s="41">
        <v>46125</v>
      </c>
      <c r="H2124" s="1" t="s">
        <v>3381</v>
      </c>
      <c r="I2124" s="1" t="s">
        <v>3324</v>
      </c>
      <c r="J2124" t="str">
        <f>IF(ISNA(_xlfn.XLOOKUP(B2124,customer_master!$A$2:$A$1649, customer_master!$A$2:$A$1649)), "Invalid", "Ok")</f>
        <v>Ok</v>
      </c>
      <c r="K2124" t="str">
        <f>IF(ISNA(_xlfn.XLOOKUP(H2124,agent_info!$A$2:$A$301, agent_info!$A$2:$A$301)), "Invalid", "Ok")</f>
        <v>Ok</v>
      </c>
    </row>
    <row r="2125" spans="1:11" x14ac:dyDescent="0.3">
      <c r="A2125" s="1" t="s">
        <v>5744</v>
      </c>
      <c r="B2125" s="1" t="s">
        <v>2790</v>
      </c>
      <c r="C2125" s="1" t="s">
        <v>3326</v>
      </c>
      <c r="D2125" s="1">
        <v>584669.34</v>
      </c>
      <c r="E2125" s="1">
        <v>28395.22</v>
      </c>
      <c r="F2125" s="41">
        <v>44514</v>
      </c>
      <c r="G2125" s="41">
        <v>44879</v>
      </c>
      <c r="H2125" s="1" t="s">
        <v>3400</v>
      </c>
      <c r="I2125" s="1" t="s">
        <v>3324</v>
      </c>
      <c r="J2125" t="str">
        <f>IF(ISNA(_xlfn.XLOOKUP(B2125,customer_master!$A$2:$A$1649, customer_master!$A$2:$A$1649)), "Invalid", "Ok")</f>
        <v>Ok</v>
      </c>
      <c r="K2125" t="str">
        <f>IF(ISNA(_xlfn.XLOOKUP(H2125,agent_info!$A$2:$A$301, agent_info!$A$2:$A$301)), "Invalid", "Ok")</f>
        <v>Ok</v>
      </c>
    </row>
    <row r="2126" spans="1:11" x14ac:dyDescent="0.3">
      <c r="A2126" s="1" t="s">
        <v>5745</v>
      </c>
      <c r="B2126" s="1" t="s">
        <v>3156</v>
      </c>
      <c r="C2126" s="1" t="s">
        <v>3331</v>
      </c>
      <c r="D2126" s="1">
        <v>617517.81999999995</v>
      </c>
      <c r="E2126" s="1">
        <v>31861.79</v>
      </c>
      <c r="F2126" s="41">
        <v>44797</v>
      </c>
      <c r="G2126" s="41">
        <v>45162</v>
      </c>
      <c r="H2126" s="1" t="s">
        <v>3796</v>
      </c>
      <c r="I2126" s="1" t="s">
        <v>3316</v>
      </c>
      <c r="J2126" t="str">
        <f>IF(ISNA(_xlfn.XLOOKUP(B2126,customer_master!$A$2:$A$1649, customer_master!$A$2:$A$1649)), "Invalid", "Ok")</f>
        <v>Ok</v>
      </c>
      <c r="K2126" t="str">
        <f>IF(ISNA(_xlfn.XLOOKUP(H2126,agent_info!$A$2:$A$301, agent_info!$A$2:$A$301)), "Invalid", "Ok")</f>
        <v>Ok</v>
      </c>
    </row>
    <row r="2127" spans="1:11" x14ac:dyDescent="0.3">
      <c r="A2127" s="1" t="s">
        <v>5746</v>
      </c>
      <c r="B2127" s="1" t="s">
        <v>2726</v>
      </c>
      <c r="C2127" s="1" t="s">
        <v>3334</v>
      </c>
      <c r="D2127" s="1">
        <v>468828.75</v>
      </c>
      <c r="E2127" s="1">
        <v>21264.18</v>
      </c>
      <c r="F2127" s="41">
        <v>44772</v>
      </c>
      <c r="G2127" s="41">
        <v>45137</v>
      </c>
      <c r="H2127" s="1" t="s">
        <v>3391</v>
      </c>
      <c r="I2127" s="1" t="s">
        <v>3324</v>
      </c>
      <c r="J2127" t="str">
        <f>IF(ISNA(_xlfn.XLOOKUP(B2127,customer_master!$A$2:$A$1649, customer_master!$A$2:$A$1649)), "Invalid", "Ok")</f>
        <v>Ok</v>
      </c>
      <c r="K2127" t="str">
        <f>IF(ISNA(_xlfn.XLOOKUP(H2127,agent_info!$A$2:$A$301, agent_info!$A$2:$A$301)), "Invalid", "Ok")</f>
        <v>Ok</v>
      </c>
    </row>
    <row r="2128" spans="1:11" x14ac:dyDescent="0.3">
      <c r="A2128" s="1" t="s">
        <v>5747</v>
      </c>
      <c r="B2128" s="1" t="s">
        <v>18</v>
      </c>
      <c r="C2128" s="1" t="s">
        <v>3334</v>
      </c>
      <c r="D2128" s="1">
        <v>701923.9</v>
      </c>
      <c r="E2128" s="1">
        <v>32399.37</v>
      </c>
      <c r="F2128" s="41">
        <v>46261</v>
      </c>
      <c r="G2128" s="41">
        <v>46626</v>
      </c>
      <c r="H2128" s="1" t="s">
        <v>3389</v>
      </c>
      <c r="I2128" s="1" t="s">
        <v>3324</v>
      </c>
      <c r="J2128" t="str">
        <f>IF(ISNA(_xlfn.XLOOKUP(B2128,customer_master!$A$2:$A$1649, customer_master!$A$2:$A$1649)), "Invalid", "Ok")</f>
        <v>Ok</v>
      </c>
      <c r="K2128" t="str">
        <f>IF(ISNA(_xlfn.XLOOKUP(H2128,agent_info!$A$2:$A$301, agent_info!$A$2:$A$301)), "Invalid", "Ok")</f>
        <v>Ok</v>
      </c>
    </row>
    <row r="2129" spans="1:11" x14ac:dyDescent="0.3">
      <c r="A2129" s="1" t="s">
        <v>5748</v>
      </c>
      <c r="B2129" s="1" t="s">
        <v>1899</v>
      </c>
      <c r="C2129" s="1" t="s">
        <v>3326</v>
      </c>
      <c r="D2129" s="1">
        <v>386837.8</v>
      </c>
      <c r="E2129" s="1">
        <v>18504.59</v>
      </c>
      <c r="F2129" s="41">
        <v>45142</v>
      </c>
      <c r="G2129" s="41">
        <v>45508</v>
      </c>
      <c r="H2129" s="1" t="s">
        <v>3518</v>
      </c>
      <c r="I2129" s="1" t="s">
        <v>3324</v>
      </c>
      <c r="J2129" t="str">
        <f>IF(ISNA(_xlfn.XLOOKUP(B2129,customer_master!$A$2:$A$1649, customer_master!$A$2:$A$1649)), "Invalid", "Ok")</f>
        <v>Ok</v>
      </c>
      <c r="K2129" t="str">
        <f>IF(ISNA(_xlfn.XLOOKUP(H2129,agent_info!$A$2:$A$301, agent_info!$A$2:$A$301)), "Invalid", "Ok")</f>
        <v>Ok</v>
      </c>
    </row>
    <row r="2130" spans="1:11" x14ac:dyDescent="0.3">
      <c r="A2130" s="1" t="s">
        <v>5749</v>
      </c>
      <c r="B2130" s="1" t="s">
        <v>588</v>
      </c>
      <c r="C2130" s="1" t="s">
        <v>3314</v>
      </c>
      <c r="D2130" s="1">
        <v>513041.34</v>
      </c>
      <c r="E2130" s="1">
        <v>23632.51</v>
      </c>
      <c r="F2130" s="41">
        <v>45616</v>
      </c>
      <c r="G2130" s="41">
        <v>45981</v>
      </c>
      <c r="H2130" s="1" t="s">
        <v>3319</v>
      </c>
      <c r="I2130" s="1" t="s">
        <v>3324</v>
      </c>
      <c r="J2130" t="str">
        <f>IF(ISNA(_xlfn.XLOOKUP(B2130,customer_master!$A$2:$A$1649, customer_master!$A$2:$A$1649)), "Invalid", "Ok")</f>
        <v>Ok</v>
      </c>
      <c r="K2130" t="str">
        <f>IF(ISNA(_xlfn.XLOOKUP(H2130,agent_info!$A$2:$A$301, agent_info!$A$2:$A$301)), "Invalid", "Ok")</f>
        <v>Ok</v>
      </c>
    </row>
    <row r="2131" spans="1:11" x14ac:dyDescent="0.3">
      <c r="A2131" s="1" t="s">
        <v>5750</v>
      </c>
      <c r="B2131" s="1" t="s">
        <v>1275</v>
      </c>
      <c r="C2131" s="1" t="s">
        <v>3334</v>
      </c>
      <c r="D2131" s="1">
        <v>669464.04</v>
      </c>
      <c r="E2131" s="1">
        <v>30390.400000000001</v>
      </c>
      <c r="F2131" s="41">
        <v>45120</v>
      </c>
      <c r="G2131" s="41">
        <v>45486</v>
      </c>
      <c r="H2131" s="1" t="s">
        <v>3872</v>
      </c>
      <c r="I2131" s="1" t="s">
        <v>3316</v>
      </c>
      <c r="J2131" t="str">
        <f>IF(ISNA(_xlfn.XLOOKUP(B2131,customer_master!$A$2:$A$1649, customer_master!$A$2:$A$1649)), "Invalid", "Ok")</f>
        <v>Ok</v>
      </c>
      <c r="K2131" t="str">
        <f>IF(ISNA(_xlfn.XLOOKUP(H2131,agent_info!$A$2:$A$301, agent_info!$A$2:$A$301)), "Invalid", "Ok")</f>
        <v>Ok</v>
      </c>
    </row>
    <row r="2132" spans="1:11" x14ac:dyDescent="0.3">
      <c r="A2132" s="1" t="s">
        <v>5751</v>
      </c>
      <c r="B2132" s="1" t="s">
        <v>1441</v>
      </c>
      <c r="C2132" s="1" t="s">
        <v>3334</v>
      </c>
      <c r="D2132" s="1">
        <v>621351.97</v>
      </c>
      <c r="E2132" s="1">
        <v>34095.96</v>
      </c>
      <c r="F2132" s="41">
        <v>44687</v>
      </c>
      <c r="G2132" s="41">
        <v>45052</v>
      </c>
      <c r="H2132" s="1" t="s">
        <v>3387</v>
      </c>
      <c r="I2132" s="1" t="s">
        <v>3324</v>
      </c>
      <c r="J2132" t="str">
        <f>IF(ISNA(_xlfn.XLOOKUP(B2132,customer_master!$A$2:$A$1649, customer_master!$A$2:$A$1649)), "Invalid", "Ok")</f>
        <v>Ok</v>
      </c>
      <c r="K2132" t="str">
        <f>IF(ISNA(_xlfn.XLOOKUP(H2132,agent_info!$A$2:$A$301, agent_info!$A$2:$A$301)), "Invalid", "Ok")</f>
        <v>Ok</v>
      </c>
    </row>
    <row r="2133" spans="1:11" x14ac:dyDescent="0.3">
      <c r="A2133" s="1" t="s">
        <v>5752</v>
      </c>
      <c r="B2133" s="1" t="s">
        <v>3136</v>
      </c>
      <c r="C2133" s="1" t="s">
        <v>3334</v>
      </c>
      <c r="D2133" s="1">
        <v>616027.31999999995</v>
      </c>
      <c r="E2133" s="1">
        <v>30528.84</v>
      </c>
      <c r="F2133" s="41">
        <v>44160</v>
      </c>
      <c r="G2133" s="41">
        <v>44525</v>
      </c>
      <c r="H2133" s="1" t="s">
        <v>4303</v>
      </c>
      <c r="I2133" s="1" t="s">
        <v>3324</v>
      </c>
      <c r="J2133" t="str">
        <f>IF(ISNA(_xlfn.XLOOKUP(B2133,customer_master!$A$2:$A$1649, customer_master!$A$2:$A$1649)), "Invalid", "Ok")</f>
        <v>Ok</v>
      </c>
      <c r="K2133" t="str">
        <f>IF(ISNA(_xlfn.XLOOKUP(H2133,agent_info!$A$2:$A$301, agent_info!$A$2:$A$301)), "Invalid", "Ok")</f>
        <v>Ok</v>
      </c>
    </row>
    <row r="2134" spans="1:11" x14ac:dyDescent="0.3">
      <c r="A2134" s="1" t="s">
        <v>5753</v>
      </c>
      <c r="B2134" s="1" t="s">
        <v>2133</v>
      </c>
      <c r="C2134" s="1" t="s">
        <v>3318</v>
      </c>
      <c r="D2134" s="1">
        <v>637411.62</v>
      </c>
      <c r="E2134" s="1">
        <v>32085.29</v>
      </c>
      <c r="F2134" s="41">
        <v>44418</v>
      </c>
      <c r="G2134" s="41">
        <v>44783</v>
      </c>
      <c r="H2134" s="1" t="s">
        <v>3712</v>
      </c>
      <c r="I2134" s="1" t="s">
        <v>3324</v>
      </c>
      <c r="J2134" t="str">
        <f>IF(ISNA(_xlfn.XLOOKUP(B2134,customer_master!$A$2:$A$1649, customer_master!$A$2:$A$1649)), "Invalid", "Ok")</f>
        <v>Ok</v>
      </c>
      <c r="K2134" t="str">
        <f>IF(ISNA(_xlfn.XLOOKUP(H2134,agent_info!$A$2:$A$301, agent_info!$A$2:$A$301)), "Invalid", "Ok")</f>
        <v>Ok</v>
      </c>
    </row>
    <row r="2135" spans="1:11" x14ac:dyDescent="0.3">
      <c r="A2135" s="1" t="s">
        <v>5754</v>
      </c>
      <c r="B2135" s="1" t="s">
        <v>909</v>
      </c>
      <c r="C2135" s="1" t="s">
        <v>3318</v>
      </c>
      <c r="D2135" s="1">
        <v>622362.91</v>
      </c>
      <c r="E2135" s="1">
        <v>29592.76</v>
      </c>
      <c r="F2135" s="41">
        <v>45107</v>
      </c>
      <c r="G2135" s="41">
        <v>45473</v>
      </c>
      <c r="H2135" s="1" t="s">
        <v>3483</v>
      </c>
      <c r="I2135" s="1" t="s">
        <v>3320</v>
      </c>
      <c r="J2135" t="str">
        <f>IF(ISNA(_xlfn.XLOOKUP(B2135,customer_master!$A$2:$A$1649, customer_master!$A$2:$A$1649)), "Invalid", "Ok")</f>
        <v>Ok</v>
      </c>
      <c r="K2135" t="str">
        <f>IF(ISNA(_xlfn.XLOOKUP(H2135,agent_info!$A$2:$A$301, agent_info!$A$2:$A$301)), "Invalid", "Ok")</f>
        <v>Ok</v>
      </c>
    </row>
    <row r="2136" spans="1:11" x14ac:dyDescent="0.3">
      <c r="A2136" s="1" t="s">
        <v>5755</v>
      </c>
      <c r="B2136" s="1" t="s">
        <v>2158</v>
      </c>
      <c r="C2136" s="1" t="s">
        <v>3318</v>
      </c>
      <c r="D2136" s="1">
        <v>708474.34</v>
      </c>
      <c r="E2136" s="1">
        <v>31935.81</v>
      </c>
      <c r="F2136" s="41">
        <v>45480</v>
      </c>
      <c r="G2136" s="41">
        <v>45845</v>
      </c>
      <c r="H2136" s="1" t="s">
        <v>3920</v>
      </c>
      <c r="I2136" s="1" t="s">
        <v>3316</v>
      </c>
      <c r="J2136" t="str">
        <f>IF(ISNA(_xlfn.XLOOKUP(B2136,customer_master!$A$2:$A$1649, customer_master!$A$2:$A$1649)), "Invalid", "Ok")</f>
        <v>Ok</v>
      </c>
      <c r="K2136" t="str">
        <f>IF(ISNA(_xlfn.XLOOKUP(H2136,agent_info!$A$2:$A$301, agent_info!$A$2:$A$301)), "Invalid", "Ok")</f>
        <v>Ok</v>
      </c>
    </row>
    <row r="2137" spans="1:11" x14ac:dyDescent="0.3">
      <c r="A2137" s="1" t="s">
        <v>5756</v>
      </c>
      <c r="B2137" s="1" t="s">
        <v>3160</v>
      </c>
      <c r="C2137" s="1" t="s">
        <v>3334</v>
      </c>
      <c r="D2137" s="1">
        <v>603975.43000000005</v>
      </c>
      <c r="E2137" s="1">
        <v>31713.08</v>
      </c>
      <c r="F2137" s="41">
        <v>44778</v>
      </c>
      <c r="G2137" s="41">
        <v>45143</v>
      </c>
      <c r="H2137" s="1" t="s">
        <v>4076</v>
      </c>
      <c r="I2137" s="1" t="s">
        <v>3316</v>
      </c>
      <c r="J2137" t="str">
        <f>IF(ISNA(_xlfn.XLOOKUP(B2137,customer_master!$A$2:$A$1649, customer_master!$A$2:$A$1649)), "Invalid", "Ok")</f>
        <v>Ok</v>
      </c>
      <c r="K2137" t="str">
        <f>IF(ISNA(_xlfn.XLOOKUP(H2137,agent_info!$A$2:$A$301, agent_info!$A$2:$A$301)), "Invalid", "Ok")</f>
        <v>Ok</v>
      </c>
    </row>
    <row r="2138" spans="1:11" x14ac:dyDescent="0.3">
      <c r="A2138" s="1" t="s">
        <v>5757</v>
      </c>
      <c r="B2138" s="1" t="s">
        <v>234</v>
      </c>
      <c r="C2138" s="1" t="s">
        <v>3334</v>
      </c>
      <c r="D2138" s="1">
        <v>539494.53</v>
      </c>
      <c r="E2138" s="1">
        <v>28181.86</v>
      </c>
      <c r="F2138" s="41">
        <v>44145</v>
      </c>
      <c r="G2138" s="41">
        <v>44510</v>
      </c>
      <c r="H2138" s="1" t="s">
        <v>4511</v>
      </c>
      <c r="I2138" s="1" t="s">
        <v>3316</v>
      </c>
      <c r="J2138" t="str">
        <f>IF(ISNA(_xlfn.XLOOKUP(B2138,customer_master!$A$2:$A$1649, customer_master!$A$2:$A$1649)), "Invalid", "Ok")</f>
        <v>Ok</v>
      </c>
      <c r="K2138" t="str">
        <f>IF(ISNA(_xlfn.XLOOKUP(H2138,agent_info!$A$2:$A$301, agent_info!$A$2:$A$301)), "Invalid", "Ok")</f>
        <v>Ok</v>
      </c>
    </row>
    <row r="2139" spans="1:11" x14ac:dyDescent="0.3">
      <c r="A2139" s="1" t="s">
        <v>5758</v>
      </c>
      <c r="B2139" s="1" t="s">
        <v>2708</v>
      </c>
      <c r="C2139" s="1" t="s">
        <v>3314</v>
      </c>
      <c r="D2139" s="1">
        <v>679944.39</v>
      </c>
      <c r="E2139" s="1">
        <v>37210.230000000003</v>
      </c>
      <c r="F2139" s="41">
        <v>45394</v>
      </c>
      <c r="G2139" s="41">
        <v>45759</v>
      </c>
      <c r="H2139" s="1" t="s">
        <v>3550</v>
      </c>
      <c r="I2139" s="1" t="s">
        <v>3316</v>
      </c>
      <c r="J2139" t="str">
        <f>IF(ISNA(_xlfn.XLOOKUP(B2139,customer_master!$A$2:$A$1649, customer_master!$A$2:$A$1649)), "Invalid", "Ok")</f>
        <v>Ok</v>
      </c>
      <c r="K2139" t="str">
        <f>IF(ISNA(_xlfn.XLOOKUP(H2139,agent_info!$A$2:$A$301, agent_info!$A$2:$A$301)), "Invalid", "Ok")</f>
        <v>Ok</v>
      </c>
    </row>
    <row r="2140" spans="1:11" x14ac:dyDescent="0.3">
      <c r="A2140" s="1" t="s">
        <v>5759</v>
      </c>
      <c r="B2140" s="1" t="s">
        <v>767</v>
      </c>
      <c r="C2140" s="1" t="s">
        <v>3318</v>
      </c>
      <c r="D2140" s="1">
        <v>475992.6</v>
      </c>
      <c r="E2140" s="1">
        <v>21520.11</v>
      </c>
      <c r="F2140" s="41">
        <v>44910</v>
      </c>
      <c r="G2140" s="41">
        <v>45275</v>
      </c>
      <c r="H2140" s="1" t="s">
        <v>3367</v>
      </c>
      <c r="I2140" s="1" t="s">
        <v>3320</v>
      </c>
      <c r="J2140" t="str">
        <f>IF(ISNA(_xlfn.XLOOKUP(B2140,customer_master!$A$2:$A$1649, customer_master!$A$2:$A$1649)), "Invalid", "Ok")</f>
        <v>Ok</v>
      </c>
      <c r="K2140" t="str">
        <f>IF(ISNA(_xlfn.XLOOKUP(H2140,agent_info!$A$2:$A$301, agent_info!$A$2:$A$301)), "Invalid", "Ok")</f>
        <v>Ok</v>
      </c>
    </row>
    <row r="2141" spans="1:11" x14ac:dyDescent="0.3">
      <c r="A2141" s="1" t="s">
        <v>5760</v>
      </c>
      <c r="B2141" s="1" t="s">
        <v>540</v>
      </c>
      <c r="C2141" s="1" t="s">
        <v>3314</v>
      </c>
      <c r="D2141" s="1">
        <v>677442.93</v>
      </c>
      <c r="E2141" s="1">
        <v>31413.17</v>
      </c>
      <c r="F2141" s="41">
        <v>46129</v>
      </c>
      <c r="G2141" s="41">
        <v>46494</v>
      </c>
      <c r="H2141" s="1" t="s">
        <v>4014</v>
      </c>
      <c r="I2141" s="1" t="s">
        <v>3316</v>
      </c>
      <c r="J2141" t="str">
        <f>IF(ISNA(_xlfn.XLOOKUP(B2141,customer_master!$A$2:$A$1649, customer_master!$A$2:$A$1649)), "Invalid", "Ok")</f>
        <v>Ok</v>
      </c>
      <c r="K2141" t="str">
        <f>IF(ISNA(_xlfn.XLOOKUP(H2141,agent_info!$A$2:$A$301, agent_info!$A$2:$A$301)), "Invalid", "Ok")</f>
        <v>Ok</v>
      </c>
    </row>
    <row r="2142" spans="1:11" x14ac:dyDescent="0.3">
      <c r="A2142" s="1" t="s">
        <v>5761</v>
      </c>
      <c r="B2142" s="1" t="s">
        <v>2985</v>
      </c>
      <c r="C2142" s="1" t="s">
        <v>3314</v>
      </c>
      <c r="D2142" s="1">
        <v>492793.83</v>
      </c>
      <c r="E2142" s="1">
        <v>25685.11</v>
      </c>
      <c r="F2142" s="41">
        <v>44869</v>
      </c>
      <c r="G2142" s="41">
        <v>45234</v>
      </c>
      <c r="H2142" s="1" t="s">
        <v>4282</v>
      </c>
      <c r="I2142" s="1" t="s">
        <v>3316</v>
      </c>
      <c r="J2142" t="str">
        <f>IF(ISNA(_xlfn.XLOOKUP(B2142,customer_master!$A$2:$A$1649, customer_master!$A$2:$A$1649)), "Invalid", "Ok")</f>
        <v>Ok</v>
      </c>
      <c r="K2142" t="str">
        <f>IF(ISNA(_xlfn.XLOOKUP(H2142,agent_info!$A$2:$A$301, agent_info!$A$2:$A$301)), "Invalid", "Ok")</f>
        <v>Ok</v>
      </c>
    </row>
    <row r="2143" spans="1:11" x14ac:dyDescent="0.3">
      <c r="A2143" s="1" t="s">
        <v>5762</v>
      </c>
      <c r="B2143" s="1" t="s">
        <v>34</v>
      </c>
      <c r="C2143" s="1" t="s">
        <v>3331</v>
      </c>
      <c r="D2143" s="1">
        <v>564765.26</v>
      </c>
      <c r="E2143" s="1">
        <v>27278.58</v>
      </c>
      <c r="F2143" s="41">
        <v>45019</v>
      </c>
      <c r="G2143" s="41">
        <v>45385</v>
      </c>
      <c r="H2143" s="1" t="s">
        <v>4273</v>
      </c>
      <c r="I2143" s="1" t="s">
        <v>3324</v>
      </c>
      <c r="J2143" t="str">
        <f>IF(ISNA(_xlfn.XLOOKUP(B2143,customer_master!$A$2:$A$1649, customer_master!$A$2:$A$1649)), "Invalid", "Ok")</f>
        <v>Ok</v>
      </c>
      <c r="K2143" t="str">
        <f>IF(ISNA(_xlfn.XLOOKUP(H2143,agent_info!$A$2:$A$301, agent_info!$A$2:$A$301)), "Invalid", "Ok")</f>
        <v>Ok</v>
      </c>
    </row>
    <row r="2144" spans="1:11" x14ac:dyDescent="0.3">
      <c r="A2144" s="1" t="s">
        <v>5763</v>
      </c>
      <c r="B2144" s="1" t="s">
        <v>2466</v>
      </c>
      <c r="C2144" s="1" t="s">
        <v>3318</v>
      </c>
      <c r="D2144" s="1">
        <v>657415.06999999995</v>
      </c>
      <c r="E2144" s="1">
        <v>30002.93</v>
      </c>
      <c r="F2144" s="41">
        <v>45114</v>
      </c>
      <c r="G2144" s="41">
        <v>45480</v>
      </c>
      <c r="H2144" s="1" t="s">
        <v>3943</v>
      </c>
      <c r="I2144" s="1" t="s">
        <v>3324</v>
      </c>
      <c r="J2144" t="str">
        <f>IF(ISNA(_xlfn.XLOOKUP(B2144,customer_master!$A$2:$A$1649, customer_master!$A$2:$A$1649)), "Invalid", "Ok")</f>
        <v>Ok</v>
      </c>
      <c r="K2144" t="str">
        <f>IF(ISNA(_xlfn.XLOOKUP(H2144,agent_info!$A$2:$A$301, agent_info!$A$2:$A$301)), "Invalid", "Ok")</f>
        <v>Ok</v>
      </c>
    </row>
    <row r="2145" spans="1:11" x14ac:dyDescent="0.3">
      <c r="A2145" s="1" t="s">
        <v>5764</v>
      </c>
      <c r="B2145" s="1" t="s">
        <v>322</v>
      </c>
      <c r="C2145" s="1" t="s">
        <v>3314</v>
      </c>
      <c r="D2145" s="1">
        <v>626648.81000000006</v>
      </c>
      <c r="E2145" s="1">
        <v>30085.15</v>
      </c>
      <c r="F2145" s="41">
        <v>44195</v>
      </c>
      <c r="G2145" s="41">
        <v>44560</v>
      </c>
      <c r="H2145" s="1" t="s">
        <v>3838</v>
      </c>
      <c r="I2145" s="1" t="s">
        <v>3324</v>
      </c>
      <c r="J2145" t="str">
        <f>IF(ISNA(_xlfn.XLOOKUP(B2145,customer_master!$A$2:$A$1649, customer_master!$A$2:$A$1649)), "Invalid", "Ok")</f>
        <v>Ok</v>
      </c>
      <c r="K2145" t="str">
        <f>IF(ISNA(_xlfn.XLOOKUP(H2145,agent_info!$A$2:$A$301, agent_info!$A$2:$A$301)), "Invalid", "Ok")</f>
        <v>Ok</v>
      </c>
    </row>
    <row r="2146" spans="1:11" x14ac:dyDescent="0.3">
      <c r="A2146" s="1" t="s">
        <v>5765</v>
      </c>
      <c r="B2146" s="1" t="s">
        <v>2081</v>
      </c>
      <c r="C2146" s="1" t="s">
        <v>3326</v>
      </c>
      <c r="D2146" s="1">
        <v>379991.17</v>
      </c>
      <c r="E2146" s="1">
        <v>17432.919999999998</v>
      </c>
      <c r="F2146" s="41">
        <v>45979</v>
      </c>
      <c r="G2146" s="41">
        <v>46344</v>
      </c>
      <c r="H2146" s="1" t="s">
        <v>3774</v>
      </c>
      <c r="I2146" s="1" t="s">
        <v>3324</v>
      </c>
      <c r="J2146" t="str">
        <f>IF(ISNA(_xlfn.XLOOKUP(B2146,customer_master!$A$2:$A$1649, customer_master!$A$2:$A$1649)), "Invalid", "Ok")</f>
        <v>Ok</v>
      </c>
      <c r="K2146" t="str">
        <f>IF(ISNA(_xlfn.XLOOKUP(H2146,agent_info!$A$2:$A$301, agent_info!$A$2:$A$301)), "Invalid", "Ok")</f>
        <v>Ok</v>
      </c>
    </row>
    <row r="2147" spans="1:11" x14ac:dyDescent="0.3">
      <c r="A2147" s="1" t="s">
        <v>5766</v>
      </c>
      <c r="B2147" s="1" t="s">
        <v>2091</v>
      </c>
      <c r="C2147" s="1" t="s">
        <v>3318</v>
      </c>
      <c r="D2147" s="1">
        <v>546799.56000000006</v>
      </c>
      <c r="E2147" s="1">
        <v>29186</v>
      </c>
      <c r="F2147" s="41">
        <v>46165</v>
      </c>
      <c r="G2147" s="41">
        <v>46530</v>
      </c>
      <c r="H2147" s="1" t="s">
        <v>3701</v>
      </c>
      <c r="I2147" s="1" t="s">
        <v>3324</v>
      </c>
      <c r="J2147" t="str">
        <f>IF(ISNA(_xlfn.XLOOKUP(B2147,customer_master!$A$2:$A$1649, customer_master!$A$2:$A$1649)), "Invalid", "Ok")</f>
        <v>Ok</v>
      </c>
      <c r="K2147" t="str">
        <f>IF(ISNA(_xlfn.XLOOKUP(H2147,agent_info!$A$2:$A$301, agent_info!$A$2:$A$301)), "Invalid", "Ok")</f>
        <v>Ok</v>
      </c>
    </row>
    <row r="2148" spans="1:11" x14ac:dyDescent="0.3">
      <c r="A2148" s="1" t="s">
        <v>5767</v>
      </c>
      <c r="B2148" s="1" t="s">
        <v>2867</v>
      </c>
      <c r="C2148" s="1" t="s">
        <v>3331</v>
      </c>
      <c r="D2148" s="1">
        <v>691222.9</v>
      </c>
      <c r="E2148" s="1">
        <v>37166.589999999997</v>
      </c>
      <c r="F2148" s="41">
        <v>45575</v>
      </c>
      <c r="G2148" s="41">
        <v>45940</v>
      </c>
      <c r="H2148" s="1" t="s">
        <v>4012</v>
      </c>
      <c r="I2148" s="1" t="s">
        <v>3316</v>
      </c>
      <c r="J2148" t="str">
        <f>IF(ISNA(_xlfn.XLOOKUP(B2148,customer_master!$A$2:$A$1649, customer_master!$A$2:$A$1649)), "Invalid", "Ok")</f>
        <v>Ok</v>
      </c>
      <c r="K2148" t="str">
        <f>IF(ISNA(_xlfn.XLOOKUP(H2148,agent_info!$A$2:$A$301, agent_info!$A$2:$A$301)), "Invalid", "Ok")</f>
        <v>Ok</v>
      </c>
    </row>
    <row r="2149" spans="1:11" x14ac:dyDescent="0.3">
      <c r="A2149" s="1" t="s">
        <v>5768</v>
      </c>
      <c r="B2149" s="1" t="s">
        <v>2728</v>
      </c>
      <c r="C2149" s="1" t="s">
        <v>3326</v>
      </c>
      <c r="D2149" s="1">
        <v>698867.74</v>
      </c>
      <c r="E2149" s="1">
        <v>35900.07</v>
      </c>
      <c r="F2149" s="41">
        <v>44668</v>
      </c>
      <c r="G2149" s="41">
        <v>45033</v>
      </c>
      <c r="H2149" s="1" t="s">
        <v>4273</v>
      </c>
      <c r="I2149" s="1" t="s">
        <v>3324</v>
      </c>
      <c r="J2149" t="str">
        <f>IF(ISNA(_xlfn.XLOOKUP(B2149,customer_master!$A$2:$A$1649, customer_master!$A$2:$A$1649)), "Invalid", "Ok")</f>
        <v>Ok</v>
      </c>
      <c r="K2149" t="str">
        <f>IF(ISNA(_xlfn.XLOOKUP(H2149,agent_info!$A$2:$A$301, agent_info!$A$2:$A$301)), "Invalid", "Ok")</f>
        <v>Ok</v>
      </c>
    </row>
    <row r="2150" spans="1:11" x14ac:dyDescent="0.3">
      <c r="A2150" s="1" t="s">
        <v>5769</v>
      </c>
      <c r="B2150" s="1" t="s">
        <v>2292</v>
      </c>
      <c r="C2150" s="1" t="s">
        <v>3326</v>
      </c>
      <c r="D2150" s="1">
        <v>513379.29</v>
      </c>
      <c r="E2150" s="1">
        <v>25081.64</v>
      </c>
      <c r="F2150" s="41">
        <v>45470</v>
      </c>
      <c r="G2150" s="41">
        <v>45835</v>
      </c>
      <c r="H2150" s="1" t="s">
        <v>3453</v>
      </c>
      <c r="I2150" s="1" t="s">
        <v>3316</v>
      </c>
      <c r="J2150" t="str">
        <f>IF(ISNA(_xlfn.XLOOKUP(B2150,customer_master!$A$2:$A$1649, customer_master!$A$2:$A$1649)), "Invalid", "Ok")</f>
        <v>Ok</v>
      </c>
      <c r="K2150" t="str">
        <f>IF(ISNA(_xlfn.XLOOKUP(H2150,agent_info!$A$2:$A$301, agent_info!$A$2:$A$301)), "Invalid", "Ok")</f>
        <v>Ok</v>
      </c>
    </row>
    <row r="2151" spans="1:11" x14ac:dyDescent="0.3">
      <c r="A2151" s="1" t="s">
        <v>5770</v>
      </c>
      <c r="B2151" s="1" t="s">
        <v>1295</v>
      </c>
      <c r="C2151" s="1" t="s">
        <v>3326</v>
      </c>
      <c r="D2151" s="1">
        <v>380074</v>
      </c>
      <c r="E2151" s="1">
        <v>20025.3</v>
      </c>
      <c r="F2151" s="41">
        <v>44260</v>
      </c>
      <c r="G2151" s="41">
        <v>44625</v>
      </c>
      <c r="H2151" s="1" t="s">
        <v>3359</v>
      </c>
      <c r="I2151" s="1" t="s">
        <v>3324</v>
      </c>
      <c r="J2151" t="str">
        <f>IF(ISNA(_xlfn.XLOOKUP(B2151,customer_master!$A$2:$A$1649, customer_master!$A$2:$A$1649)), "Invalid", "Ok")</f>
        <v>Ok</v>
      </c>
      <c r="K2151" t="str">
        <f>IF(ISNA(_xlfn.XLOOKUP(H2151,agent_info!$A$2:$A$301, agent_info!$A$2:$A$301)), "Invalid", "Ok")</f>
        <v>Ok</v>
      </c>
    </row>
    <row r="2152" spans="1:11" x14ac:dyDescent="0.3">
      <c r="A2152" s="1" t="s">
        <v>5771</v>
      </c>
      <c r="B2152" s="1" t="s">
        <v>586</v>
      </c>
      <c r="C2152" s="1" t="s">
        <v>3318</v>
      </c>
      <c r="D2152" s="1">
        <v>516418.2</v>
      </c>
      <c r="E2152" s="1">
        <v>26500.47</v>
      </c>
      <c r="F2152" s="41">
        <v>44228</v>
      </c>
      <c r="G2152" s="41">
        <v>44593</v>
      </c>
      <c r="H2152" s="1" t="s">
        <v>4093</v>
      </c>
      <c r="I2152" s="1" t="s">
        <v>3316</v>
      </c>
      <c r="J2152" t="str">
        <f>IF(ISNA(_xlfn.XLOOKUP(B2152,customer_master!$A$2:$A$1649, customer_master!$A$2:$A$1649)), "Invalid", "Ok")</f>
        <v>Ok</v>
      </c>
      <c r="K2152" t="str">
        <f>IF(ISNA(_xlfn.XLOOKUP(H2152,agent_info!$A$2:$A$301, agent_info!$A$2:$A$301)), "Invalid", "Ok")</f>
        <v>Ok</v>
      </c>
    </row>
    <row r="2153" spans="1:11" x14ac:dyDescent="0.3">
      <c r="A2153" s="1" t="s">
        <v>5772</v>
      </c>
      <c r="B2153" s="1" t="s">
        <v>2139</v>
      </c>
      <c r="C2153" s="1" t="s">
        <v>3318</v>
      </c>
      <c r="D2153" s="1">
        <v>563190.89</v>
      </c>
      <c r="E2153" s="1">
        <v>29803.96</v>
      </c>
      <c r="F2153" s="41">
        <v>44964</v>
      </c>
      <c r="G2153" s="41">
        <v>45329</v>
      </c>
      <c r="H2153" s="1" t="s">
        <v>3882</v>
      </c>
      <c r="I2153" s="1" t="s">
        <v>3324</v>
      </c>
      <c r="J2153" t="str">
        <f>IF(ISNA(_xlfn.XLOOKUP(B2153,customer_master!$A$2:$A$1649, customer_master!$A$2:$A$1649)), "Invalid", "Ok")</f>
        <v>Ok</v>
      </c>
      <c r="K2153" t="str">
        <f>IF(ISNA(_xlfn.XLOOKUP(H2153,agent_info!$A$2:$A$301, agent_info!$A$2:$A$301)), "Invalid", "Ok")</f>
        <v>Ok</v>
      </c>
    </row>
    <row r="2154" spans="1:11" x14ac:dyDescent="0.3">
      <c r="A2154" s="1" t="s">
        <v>5773</v>
      </c>
      <c r="B2154" s="1" t="s">
        <v>1676</v>
      </c>
      <c r="C2154" s="1" t="s">
        <v>3318</v>
      </c>
      <c r="D2154" s="1">
        <v>405755.98</v>
      </c>
      <c r="E2154" s="1">
        <v>20332.060000000001</v>
      </c>
      <c r="F2154" s="41">
        <v>44730</v>
      </c>
      <c r="G2154" s="41">
        <v>45095</v>
      </c>
      <c r="H2154" s="1" t="s">
        <v>3631</v>
      </c>
      <c r="I2154" s="1" t="s">
        <v>3316</v>
      </c>
      <c r="J2154" t="str">
        <f>IF(ISNA(_xlfn.XLOOKUP(B2154,customer_master!$A$2:$A$1649, customer_master!$A$2:$A$1649)), "Invalid", "Ok")</f>
        <v>Ok</v>
      </c>
      <c r="K2154" t="str">
        <f>IF(ISNA(_xlfn.XLOOKUP(H2154,agent_info!$A$2:$A$301, agent_info!$A$2:$A$301)), "Invalid", "Ok")</f>
        <v>Ok</v>
      </c>
    </row>
    <row r="2155" spans="1:11" x14ac:dyDescent="0.3">
      <c r="A2155" s="1" t="s">
        <v>5774</v>
      </c>
      <c r="B2155" s="1" t="s">
        <v>294</v>
      </c>
      <c r="C2155" s="1" t="s">
        <v>3326</v>
      </c>
      <c r="D2155" s="1">
        <v>652490.64</v>
      </c>
      <c r="E2155" s="1">
        <v>35615.19</v>
      </c>
      <c r="F2155" s="41">
        <v>45638</v>
      </c>
      <c r="G2155" s="41">
        <v>46003</v>
      </c>
      <c r="H2155" s="1" t="s">
        <v>3637</v>
      </c>
      <c r="I2155" s="1" t="s">
        <v>3324</v>
      </c>
      <c r="J2155" t="str">
        <f>IF(ISNA(_xlfn.XLOOKUP(B2155,customer_master!$A$2:$A$1649, customer_master!$A$2:$A$1649)), "Invalid", "Ok")</f>
        <v>Ok</v>
      </c>
      <c r="K2155" t="str">
        <f>IF(ISNA(_xlfn.XLOOKUP(H2155,agent_info!$A$2:$A$301, agent_info!$A$2:$A$301)), "Invalid", "Ok")</f>
        <v>Ok</v>
      </c>
    </row>
    <row r="2156" spans="1:11" x14ac:dyDescent="0.3">
      <c r="A2156" s="1" t="s">
        <v>5775</v>
      </c>
      <c r="B2156" s="1" t="s">
        <v>3168</v>
      </c>
      <c r="C2156" s="1" t="s">
        <v>3318</v>
      </c>
      <c r="D2156" s="1">
        <v>581663.04</v>
      </c>
      <c r="E2156" s="1">
        <v>27861.86</v>
      </c>
      <c r="F2156" s="41">
        <v>45986</v>
      </c>
      <c r="G2156" s="41">
        <v>46351</v>
      </c>
      <c r="H2156" s="1" t="s">
        <v>4132</v>
      </c>
      <c r="I2156" s="1" t="s">
        <v>3324</v>
      </c>
      <c r="J2156" t="str">
        <f>IF(ISNA(_xlfn.XLOOKUP(B2156,customer_master!$A$2:$A$1649, customer_master!$A$2:$A$1649)), "Invalid", "Ok")</f>
        <v>Ok</v>
      </c>
      <c r="K2156" t="str">
        <f>IF(ISNA(_xlfn.XLOOKUP(H2156,agent_info!$A$2:$A$301, agent_info!$A$2:$A$301)), "Invalid", "Ok")</f>
        <v>Ok</v>
      </c>
    </row>
    <row r="2157" spans="1:11" x14ac:dyDescent="0.3">
      <c r="A2157" s="1" t="s">
        <v>5776</v>
      </c>
      <c r="B2157" s="1" t="s">
        <v>1065</v>
      </c>
      <c r="C2157" s="1" t="s">
        <v>3314</v>
      </c>
      <c r="D2157" s="1">
        <v>545204.51</v>
      </c>
      <c r="E2157" s="1">
        <v>27828.25</v>
      </c>
      <c r="F2157" s="41">
        <v>45227</v>
      </c>
      <c r="G2157" s="41">
        <v>45593</v>
      </c>
      <c r="H2157" s="1" t="s">
        <v>3543</v>
      </c>
      <c r="I2157" s="1" t="s">
        <v>3316</v>
      </c>
      <c r="J2157" t="str">
        <f>IF(ISNA(_xlfn.XLOOKUP(B2157,customer_master!$A$2:$A$1649, customer_master!$A$2:$A$1649)), "Invalid", "Ok")</f>
        <v>Ok</v>
      </c>
      <c r="K2157" t="str">
        <f>IF(ISNA(_xlfn.XLOOKUP(H2157,agent_info!$A$2:$A$301, agent_info!$A$2:$A$301)), "Invalid", "Ok")</f>
        <v>Ok</v>
      </c>
    </row>
    <row r="2158" spans="1:11" x14ac:dyDescent="0.3">
      <c r="A2158" s="1" t="s">
        <v>5777</v>
      </c>
      <c r="B2158" s="1" t="s">
        <v>36</v>
      </c>
      <c r="C2158" s="1" t="s">
        <v>3326</v>
      </c>
      <c r="D2158" s="1">
        <v>489014.58</v>
      </c>
      <c r="E2158" s="1">
        <v>25957.15</v>
      </c>
      <c r="F2158" s="41">
        <v>45544</v>
      </c>
      <c r="G2158" s="41">
        <v>45909</v>
      </c>
      <c r="H2158" s="1" t="s">
        <v>3807</v>
      </c>
      <c r="I2158" s="1" t="s">
        <v>3320</v>
      </c>
      <c r="J2158" t="str">
        <f>IF(ISNA(_xlfn.XLOOKUP(B2158,customer_master!$A$2:$A$1649, customer_master!$A$2:$A$1649)), "Invalid", "Ok")</f>
        <v>Ok</v>
      </c>
      <c r="K2158" t="str">
        <f>IF(ISNA(_xlfn.XLOOKUP(H2158,agent_info!$A$2:$A$301, agent_info!$A$2:$A$301)), "Invalid", "Ok")</f>
        <v>Ok</v>
      </c>
    </row>
    <row r="2159" spans="1:11" x14ac:dyDescent="0.3">
      <c r="A2159" s="1" t="s">
        <v>5778</v>
      </c>
      <c r="B2159" s="1" t="s">
        <v>2993</v>
      </c>
      <c r="C2159" s="1" t="s">
        <v>3331</v>
      </c>
      <c r="D2159" s="1">
        <v>392299.71</v>
      </c>
      <c r="E2159" s="1">
        <v>21160.15</v>
      </c>
      <c r="F2159" s="41">
        <v>44645</v>
      </c>
      <c r="G2159" s="41">
        <v>45010</v>
      </c>
      <c r="H2159" s="1" t="s">
        <v>3383</v>
      </c>
      <c r="I2159" s="1" t="s">
        <v>3316</v>
      </c>
      <c r="J2159" t="str">
        <f>IF(ISNA(_xlfn.XLOOKUP(B2159,customer_master!$A$2:$A$1649, customer_master!$A$2:$A$1649)), "Invalid", "Ok")</f>
        <v>Ok</v>
      </c>
      <c r="K2159" t="str">
        <f>IF(ISNA(_xlfn.XLOOKUP(H2159,agent_info!$A$2:$A$301, agent_info!$A$2:$A$301)), "Invalid", "Ok")</f>
        <v>Ok</v>
      </c>
    </row>
    <row r="2160" spans="1:11" x14ac:dyDescent="0.3">
      <c r="A2160" s="1" t="s">
        <v>5779</v>
      </c>
      <c r="B2160" s="1" t="s">
        <v>1927</v>
      </c>
      <c r="C2160" s="1" t="s">
        <v>3334</v>
      </c>
      <c r="D2160" s="1">
        <v>584767.11</v>
      </c>
      <c r="E2160" s="1">
        <v>31850.79</v>
      </c>
      <c r="F2160" s="41">
        <v>45897</v>
      </c>
      <c r="G2160" s="41">
        <v>46262</v>
      </c>
      <c r="H2160" s="1" t="s">
        <v>4303</v>
      </c>
      <c r="I2160" s="1" t="s">
        <v>3324</v>
      </c>
      <c r="J2160" t="str">
        <f>IF(ISNA(_xlfn.XLOOKUP(B2160,customer_master!$A$2:$A$1649, customer_master!$A$2:$A$1649)), "Invalid", "Ok")</f>
        <v>Ok</v>
      </c>
      <c r="K2160" t="str">
        <f>IF(ISNA(_xlfn.XLOOKUP(H2160,agent_info!$A$2:$A$301, agent_info!$A$2:$A$301)), "Invalid", "Ok")</f>
        <v>Ok</v>
      </c>
    </row>
    <row r="2161" spans="1:11" x14ac:dyDescent="0.3">
      <c r="A2161" s="1" t="s">
        <v>5780</v>
      </c>
      <c r="B2161" s="1" t="s">
        <v>2448</v>
      </c>
      <c r="C2161" s="1" t="s">
        <v>3326</v>
      </c>
      <c r="D2161" s="1">
        <v>516451.63</v>
      </c>
      <c r="E2161" s="1">
        <v>25280.36</v>
      </c>
      <c r="F2161" s="41">
        <v>44279</v>
      </c>
      <c r="G2161" s="41">
        <v>44644</v>
      </c>
      <c r="H2161" s="1" t="s">
        <v>3610</v>
      </c>
      <c r="I2161" s="1" t="s">
        <v>3324</v>
      </c>
      <c r="J2161" t="str">
        <f>IF(ISNA(_xlfn.XLOOKUP(B2161,customer_master!$A$2:$A$1649, customer_master!$A$2:$A$1649)), "Invalid", "Ok")</f>
        <v>Ok</v>
      </c>
      <c r="K2161" t="str">
        <f>IF(ISNA(_xlfn.XLOOKUP(H2161,agent_info!$A$2:$A$301, agent_info!$A$2:$A$301)), "Invalid", "Ok")</f>
        <v>Ok</v>
      </c>
    </row>
    <row r="2162" spans="1:11" x14ac:dyDescent="0.3">
      <c r="A2162" s="1" t="s">
        <v>5781</v>
      </c>
      <c r="B2162" s="1" t="s">
        <v>540</v>
      </c>
      <c r="C2162" s="1" t="s">
        <v>3326</v>
      </c>
      <c r="D2162" s="1">
        <v>471059.84</v>
      </c>
      <c r="E2162" s="1">
        <v>24492.02</v>
      </c>
      <c r="F2162" s="41">
        <v>46053</v>
      </c>
      <c r="G2162" s="41">
        <v>46418</v>
      </c>
      <c r="H2162" s="1" t="s">
        <v>3400</v>
      </c>
      <c r="I2162" s="1" t="s">
        <v>3324</v>
      </c>
      <c r="J2162" t="str">
        <f>IF(ISNA(_xlfn.XLOOKUP(B2162,customer_master!$A$2:$A$1649, customer_master!$A$2:$A$1649)), "Invalid", "Ok")</f>
        <v>Ok</v>
      </c>
      <c r="K2162" t="str">
        <f>IF(ISNA(_xlfn.XLOOKUP(H2162,agent_info!$A$2:$A$301, agent_info!$A$2:$A$301)), "Invalid", "Ok")</f>
        <v>Ok</v>
      </c>
    </row>
    <row r="2163" spans="1:11" x14ac:dyDescent="0.3">
      <c r="A2163" s="1" t="s">
        <v>5782</v>
      </c>
      <c r="B2163" s="1" t="s">
        <v>1374</v>
      </c>
      <c r="C2163" s="1" t="s">
        <v>3326</v>
      </c>
      <c r="D2163" s="1">
        <v>580537.05000000005</v>
      </c>
      <c r="E2163" s="1">
        <v>27808.87</v>
      </c>
      <c r="F2163" s="41">
        <v>44826</v>
      </c>
      <c r="G2163" s="41">
        <v>45191</v>
      </c>
      <c r="H2163" s="1" t="s">
        <v>3794</v>
      </c>
      <c r="I2163" s="1" t="s">
        <v>3324</v>
      </c>
      <c r="J2163" t="str">
        <f>IF(ISNA(_xlfn.XLOOKUP(B2163,customer_master!$A$2:$A$1649, customer_master!$A$2:$A$1649)), "Invalid", "Ok")</f>
        <v>Ok</v>
      </c>
      <c r="K2163" t="str">
        <f>IF(ISNA(_xlfn.XLOOKUP(H2163,agent_info!$A$2:$A$301, agent_info!$A$2:$A$301)), "Invalid", "Ok")</f>
        <v>Ok</v>
      </c>
    </row>
    <row r="2164" spans="1:11" x14ac:dyDescent="0.3">
      <c r="A2164" s="1" t="s">
        <v>5783</v>
      </c>
      <c r="B2164" s="1" t="s">
        <v>2162</v>
      </c>
      <c r="C2164" s="1" t="s">
        <v>3318</v>
      </c>
      <c r="D2164" s="1">
        <v>533370.18999999994</v>
      </c>
      <c r="E2164" s="1">
        <v>27465.25</v>
      </c>
      <c r="F2164" s="41">
        <v>45727</v>
      </c>
      <c r="G2164" s="41">
        <v>46092</v>
      </c>
      <c r="H2164" s="1" t="s">
        <v>3527</v>
      </c>
      <c r="I2164" s="1" t="s">
        <v>3324</v>
      </c>
      <c r="J2164" t="str">
        <f>IF(ISNA(_xlfn.XLOOKUP(B2164,customer_master!$A$2:$A$1649, customer_master!$A$2:$A$1649)), "Invalid", "Ok")</f>
        <v>Ok</v>
      </c>
      <c r="K2164" t="str">
        <f>IF(ISNA(_xlfn.XLOOKUP(H2164,agent_info!$A$2:$A$301, agent_info!$A$2:$A$301)), "Invalid", "Ok")</f>
        <v>Ok</v>
      </c>
    </row>
    <row r="2165" spans="1:11" x14ac:dyDescent="0.3">
      <c r="A2165" s="1" t="s">
        <v>5784</v>
      </c>
      <c r="B2165" s="1" t="s">
        <v>861</v>
      </c>
      <c r="C2165" s="1" t="s">
        <v>3318</v>
      </c>
      <c r="D2165" s="1">
        <v>594126.79</v>
      </c>
      <c r="E2165" s="1">
        <v>27830.240000000002</v>
      </c>
      <c r="F2165" s="41">
        <v>44437</v>
      </c>
      <c r="G2165" s="41">
        <v>44802</v>
      </c>
      <c r="H2165" s="1" t="s">
        <v>4033</v>
      </c>
      <c r="I2165" s="1" t="s">
        <v>3316</v>
      </c>
      <c r="J2165" t="str">
        <f>IF(ISNA(_xlfn.XLOOKUP(B2165,customer_master!$A$2:$A$1649, customer_master!$A$2:$A$1649)), "Invalid", "Ok")</f>
        <v>Ok</v>
      </c>
      <c r="K2165" t="str">
        <f>IF(ISNA(_xlfn.XLOOKUP(H2165,agent_info!$A$2:$A$301, agent_info!$A$2:$A$301)), "Invalid", "Ok")</f>
        <v>Ok</v>
      </c>
    </row>
    <row r="2166" spans="1:11" x14ac:dyDescent="0.3">
      <c r="A2166" s="1" t="s">
        <v>5785</v>
      </c>
      <c r="B2166" s="1" t="s">
        <v>2343</v>
      </c>
      <c r="C2166" s="1" t="s">
        <v>3331</v>
      </c>
      <c r="D2166" s="1">
        <v>719143.69</v>
      </c>
      <c r="E2166" s="1">
        <v>35392.31</v>
      </c>
      <c r="F2166" s="41">
        <v>44842</v>
      </c>
      <c r="G2166" s="41">
        <v>45207</v>
      </c>
      <c r="H2166" s="1" t="s">
        <v>3425</v>
      </c>
      <c r="I2166" s="1" t="s">
        <v>3324</v>
      </c>
      <c r="J2166" t="str">
        <f>IF(ISNA(_xlfn.XLOOKUP(B2166,customer_master!$A$2:$A$1649, customer_master!$A$2:$A$1649)), "Invalid", "Ok")</f>
        <v>Ok</v>
      </c>
      <c r="K2166" t="str">
        <f>IF(ISNA(_xlfn.XLOOKUP(H2166,agent_info!$A$2:$A$301, agent_info!$A$2:$A$301)), "Invalid", "Ok")</f>
        <v>Ok</v>
      </c>
    </row>
    <row r="2167" spans="1:11" x14ac:dyDescent="0.3">
      <c r="A2167" s="1" t="s">
        <v>5786</v>
      </c>
      <c r="B2167" s="1" t="s">
        <v>817</v>
      </c>
      <c r="C2167" s="1" t="s">
        <v>3326</v>
      </c>
      <c r="D2167" s="1">
        <v>477360.35</v>
      </c>
      <c r="E2167" s="1">
        <v>25874.06</v>
      </c>
      <c r="F2167" s="41">
        <v>44995</v>
      </c>
      <c r="G2167" s="41">
        <v>45361</v>
      </c>
      <c r="H2167" s="1" t="s">
        <v>4469</v>
      </c>
      <c r="I2167" s="1" t="s">
        <v>3320</v>
      </c>
      <c r="J2167" t="str">
        <f>IF(ISNA(_xlfn.XLOOKUP(B2167,customer_master!$A$2:$A$1649, customer_master!$A$2:$A$1649)), "Invalid", "Ok")</f>
        <v>Ok</v>
      </c>
      <c r="K2167" t="str">
        <f>IF(ISNA(_xlfn.XLOOKUP(H2167,agent_info!$A$2:$A$301, agent_info!$A$2:$A$301)), "Invalid", "Ok")</f>
        <v>Ok</v>
      </c>
    </row>
    <row r="2168" spans="1:11" x14ac:dyDescent="0.3">
      <c r="A2168" s="1" t="s">
        <v>5787</v>
      </c>
      <c r="B2168" s="1" t="s">
        <v>743</v>
      </c>
      <c r="C2168" s="1" t="s">
        <v>3331</v>
      </c>
      <c r="D2168" s="1">
        <v>533307.93999999994</v>
      </c>
      <c r="E2168" s="1">
        <v>28323.49</v>
      </c>
      <c r="F2168" s="41">
        <v>45119</v>
      </c>
      <c r="G2168" s="41">
        <v>45485</v>
      </c>
      <c r="H2168" s="1" t="s">
        <v>3322</v>
      </c>
      <c r="I2168" s="1" t="s">
        <v>3320</v>
      </c>
      <c r="J2168" t="str">
        <f>IF(ISNA(_xlfn.XLOOKUP(B2168,customer_master!$A$2:$A$1649, customer_master!$A$2:$A$1649)), "Invalid", "Ok")</f>
        <v>Ok</v>
      </c>
      <c r="K2168" t="str">
        <f>IF(ISNA(_xlfn.XLOOKUP(H2168,agent_info!$A$2:$A$301, agent_info!$A$2:$A$301)), "Invalid", "Ok")</f>
        <v>Ok</v>
      </c>
    </row>
    <row r="2169" spans="1:11" x14ac:dyDescent="0.3">
      <c r="A2169" s="1" t="s">
        <v>5788</v>
      </c>
      <c r="B2169" s="1" t="s">
        <v>71</v>
      </c>
      <c r="C2169" s="1" t="s">
        <v>3331</v>
      </c>
      <c r="D2169" s="1">
        <v>711842.37</v>
      </c>
      <c r="E2169" s="1">
        <v>35567.25</v>
      </c>
      <c r="F2169" s="41">
        <v>45586</v>
      </c>
      <c r="G2169" s="41">
        <v>45951</v>
      </c>
      <c r="H2169" s="1" t="s">
        <v>3379</v>
      </c>
      <c r="I2169" s="1" t="s">
        <v>3324</v>
      </c>
      <c r="J2169" t="str">
        <f>IF(ISNA(_xlfn.XLOOKUP(B2169,customer_master!$A$2:$A$1649, customer_master!$A$2:$A$1649)), "Invalid", "Ok")</f>
        <v>Ok</v>
      </c>
      <c r="K2169" t="str">
        <f>IF(ISNA(_xlfn.XLOOKUP(H2169,agent_info!$A$2:$A$301, agent_info!$A$2:$A$301)), "Invalid", "Ok")</f>
        <v>Ok</v>
      </c>
    </row>
    <row r="2170" spans="1:11" x14ac:dyDescent="0.3">
      <c r="A2170" s="1" t="s">
        <v>5789</v>
      </c>
      <c r="B2170" s="1" t="s">
        <v>953</v>
      </c>
      <c r="C2170" s="1" t="s">
        <v>3326</v>
      </c>
      <c r="D2170" s="1">
        <v>475332.88</v>
      </c>
      <c r="E2170" s="1">
        <v>22087.98</v>
      </c>
      <c r="F2170" s="41">
        <v>44429</v>
      </c>
      <c r="G2170" s="41">
        <v>44794</v>
      </c>
      <c r="H2170" s="1" t="s">
        <v>3984</v>
      </c>
      <c r="I2170" s="1" t="s">
        <v>3324</v>
      </c>
      <c r="J2170" t="str">
        <f>IF(ISNA(_xlfn.XLOOKUP(B2170,customer_master!$A$2:$A$1649, customer_master!$A$2:$A$1649)), "Invalid", "Ok")</f>
        <v>Ok</v>
      </c>
      <c r="K2170" t="str">
        <f>IF(ISNA(_xlfn.XLOOKUP(H2170,agent_info!$A$2:$A$301, agent_info!$A$2:$A$301)), "Invalid", "Ok")</f>
        <v>Ok</v>
      </c>
    </row>
    <row r="2171" spans="1:11" x14ac:dyDescent="0.3">
      <c r="A2171" s="1" t="s">
        <v>5790</v>
      </c>
      <c r="B2171" s="1" t="s">
        <v>853</v>
      </c>
      <c r="C2171" s="1" t="s">
        <v>3331</v>
      </c>
      <c r="D2171" s="1">
        <v>549116.94999999995</v>
      </c>
      <c r="E2171" s="1">
        <v>26898.89</v>
      </c>
      <c r="F2171" s="41">
        <v>45604</v>
      </c>
      <c r="G2171" s="41">
        <v>45969</v>
      </c>
      <c r="H2171" s="1" t="s">
        <v>3894</v>
      </c>
      <c r="I2171" s="1" t="s">
        <v>3324</v>
      </c>
      <c r="J2171" t="str">
        <f>IF(ISNA(_xlfn.XLOOKUP(B2171,customer_master!$A$2:$A$1649, customer_master!$A$2:$A$1649)), "Invalid", "Ok")</f>
        <v>Ok</v>
      </c>
      <c r="K2171" t="str">
        <f>IF(ISNA(_xlfn.XLOOKUP(H2171,agent_info!$A$2:$A$301, agent_info!$A$2:$A$301)), "Invalid", "Ok")</f>
        <v>Ok</v>
      </c>
    </row>
    <row r="2172" spans="1:11" x14ac:dyDescent="0.3">
      <c r="A2172" s="1" t="s">
        <v>5791</v>
      </c>
      <c r="B2172" s="1" t="s">
        <v>2547</v>
      </c>
      <c r="C2172" s="1" t="s">
        <v>3326</v>
      </c>
      <c r="D2172" s="1">
        <v>630284.28</v>
      </c>
      <c r="E2172" s="1">
        <v>29236.86</v>
      </c>
      <c r="F2172" s="41">
        <v>44854</v>
      </c>
      <c r="G2172" s="41">
        <v>45219</v>
      </c>
      <c r="H2172" s="1" t="s">
        <v>3420</v>
      </c>
      <c r="I2172" s="1" t="s">
        <v>3324</v>
      </c>
      <c r="J2172" t="str">
        <f>IF(ISNA(_xlfn.XLOOKUP(B2172,customer_master!$A$2:$A$1649, customer_master!$A$2:$A$1649)), "Invalid", "Ok")</f>
        <v>Ok</v>
      </c>
      <c r="K2172" t="str">
        <f>IF(ISNA(_xlfn.XLOOKUP(H2172,agent_info!$A$2:$A$301, agent_info!$A$2:$A$301)), "Invalid", "Ok")</f>
        <v>Ok</v>
      </c>
    </row>
    <row r="2173" spans="1:11" x14ac:dyDescent="0.3">
      <c r="A2173" s="1" t="s">
        <v>5792</v>
      </c>
      <c r="B2173" s="1" t="s">
        <v>1903</v>
      </c>
      <c r="C2173" s="1" t="s">
        <v>3318</v>
      </c>
      <c r="D2173" s="1">
        <v>601725.68999999994</v>
      </c>
      <c r="E2173" s="1">
        <v>27490</v>
      </c>
      <c r="F2173" s="41">
        <v>45595</v>
      </c>
      <c r="G2173" s="41">
        <v>45960</v>
      </c>
      <c r="H2173" s="1" t="s">
        <v>3846</v>
      </c>
      <c r="I2173" s="1" t="s">
        <v>3324</v>
      </c>
      <c r="J2173" t="str">
        <f>IF(ISNA(_xlfn.XLOOKUP(B2173,customer_master!$A$2:$A$1649, customer_master!$A$2:$A$1649)), "Invalid", "Ok")</f>
        <v>Ok</v>
      </c>
      <c r="K2173" t="str">
        <f>IF(ISNA(_xlfn.XLOOKUP(H2173,agent_info!$A$2:$A$301, agent_info!$A$2:$A$301)), "Invalid", "Ok")</f>
        <v>Ok</v>
      </c>
    </row>
    <row r="2174" spans="1:11" x14ac:dyDescent="0.3">
      <c r="A2174" s="1" t="s">
        <v>5793</v>
      </c>
      <c r="B2174" s="1" t="s">
        <v>632</v>
      </c>
      <c r="C2174" s="1" t="s">
        <v>3331</v>
      </c>
      <c r="D2174" s="1">
        <v>737777.45</v>
      </c>
      <c r="E2174" s="1">
        <v>39888.019999999997</v>
      </c>
      <c r="F2174" s="41">
        <v>44929</v>
      </c>
      <c r="G2174" s="41">
        <v>45294</v>
      </c>
      <c r="H2174" s="1" t="s">
        <v>4220</v>
      </c>
      <c r="I2174" s="1" t="s">
        <v>3316</v>
      </c>
      <c r="J2174" t="str">
        <f>IF(ISNA(_xlfn.XLOOKUP(B2174,customer_master!$A$2:$A$1649, customer_master!$A$2:$A$1649)), "Invalid", "Ok")</f>
        <v>Ok</v>
      </c>
      <c r="K2174" t="str">
        <f>IF(ISNA(_xlfn.XLOOKUP(H2174,agent_info!$A$2:$A$301, agent_info!$A$2:$A$301)), "Invalid", "Ok")</f>
        <v>Ok</v>
      </c>
    </row>
    <row r="2175" spans="1:11" x14ac:dyDescent="0.3">
      <c r="A2175" s="1" t="s">
        <v>5794</v>
      </c>
      <c r="B2175" s="1" t="s">
        <v>1899</v>
      </c>
      <c r="C2175" s="1" t="s">
        <v>3314</v>
      </c>
      <c r="D2175" s="1">
        <v>566205.23</v>
      </c>
      <c r="E2175" s="1">
        <v>28261.75</v>
      </c>
      <c r="F2175" s="41">
        <v>44098</v>
      </c>
      <c r="G2175" s="41">
        <v>44463</v>
      </c>
      <c r="H2175" s="1" t="s">
        <v>3332</v>
      </c>
      <c r="I2175" s="1" t="s">
        <v>3324</v>
      </c>
      <c r="J2175" t="str">
        <f>IF(ISNA(_xlfn.XLOOKUP(B2175,customer_master!$A$2:$A$1649, customer_master!$A$2:$A$1649)), "Invalid", "Ok")</f>
        <v>Ok</v>
      </c>
      <c r="K2175" t="str">
        <f>IF(ISNA(_xlfn.XLOOKUP(H2175,agent_info!$A$2:$A$301, agent_info!$A$2:$A$301)), "Invalid", "Ok")</f>
        <v>Ok</v>
      </c>
    </row>
    <row r="2176" spans="1:11" x14ac:dyDescent="0.3">
      <c r="A2176" s="1" t="s">
        <v>5795</v>
      </c>
      <c r="B2176" s="1" t="s">
        <v>799</v>
      </c>
      <c r="C2176" s="1" t="s">
        <v>3318</v>
      </c>
      <c r="D2176" s="1">
        <v>559071.98</v>
      </c>
      <c r="E2176" s="1">
        <v>25657.99</v>
      </c>
      <c r="F2176" s="41">
        <v>45793</v>
      </c>
      <c r="G2176" s="41">
        <v>46158</v>
      </c>
      <c r="H2176" s="1" t="s">
        <v>3427</v>
      </c>
      <c r="I2176" s="1" t="s">
        <v>3324</v>
      </c>
      <c r="J2176" t="str">
        <f>IF(ISNA(_xlfn.XLOOKUP(B2176,customer_master!$A$2:$A$1649, customer_master!$A$2:$A$1649)), "Invalid", "Ok")</f>
        <v>Ok</v>
      </c>
      <c r="K2176" t="str">
        <f>IF(ISNA(_xlfn.XLOOKUP(H2176,agent_info!$A$2:$A$301, agent_info!$A$2:$A$301)), "Invalid", "Ok")</f>
        <v>Ok</v>
      </c>
    </row>
    <row r="2177" spans="1:11" x14ac:dyDescent="0.3">
      <c r="A2177" s="1" t="s">
        <v>5796</v>
      </c>
      <c r="B2177" s="1" t="s">
        <v>1437</v>
      </c>
      <c r="C2177" s="1" t="s">
        <v>3318</v>
      </c>
      <c r="D2177" s="1">
        <v>394226.92</v>
      </c>
      <c r="E2177" s="1">
        <v>20565.509999999998</v>
      </c>
      <c r="F2177" s="41">
        <v>45385</v>
      </c>
      <c r="G2177" s="41">
        <v>45750</v>
      </c>
      <c r="H2177" s="1" t="s">
        <v>4045</v>
      </c>
      <c r="I2177" s="1" t="s">
        <v>3316</v>
      </c>
      <c r="J2177" t="str">
        <f>IF(ISNA(_xlfn.XLOOKUP(B2177,customer_master!$A$2:$A$1649, customer_master!$A$2:$A$1649)), "Invalid", "Ok")</f>
        <v>Ok</v>
      </c>
      <c r="K2177" t="str">
        <f>IF(ISNA(_xlfn.XLOOKUP(H2177,agent_info!$A$2:$A$301, agent_info!$A$2:$A$301)), "Invalid", "Ok")</f>
        <v>Ok</v>
      </c>
    </row>
    <row r="2178" spans="1:11" x14ac:dyDescent="0.3">
      <c r="A2178" s="1" t="s">
        <v>5797</v>
      </c>
      <c r="B2178" s="1" t="s">
        <v>2953</v>
      </c>
      <c r="C2178" s="1" t="s">
        <v>3314</v>
      </c>
      <c r="D2178" s="1">
        <v>460961.72</v>
      </c>
      <c r="E2178" s="1">
        <v>21085.23</v>
      </c>
      <c r="F2178" s="41">
        <v>44247</v>
      </c>
      <c r="G2178" s="41">
        <v>44612</v>
      </c>
      <c r="H2178" s="1" t="s">
        <v>3966</v>
      </c>
      <c r="I2178" s="1" t="s">
        <v>3316</v>
      </c>
      <c r="J2178" t="str">
        <f>IF(ISNA(_xlfn.XLOOKUP(B2178,customer_master!$A$2:$A$1649, customer_master!$A$2:$A$1649)), "Invalid", "Ok")</f>
        <v>Ok</v>
      </c>
      <c r="K2178" t="str">
        <f>IF(ISNA(_xlfn.XLOOKUP(H2178,agent_info!$A$2:$A$301, agent_info!$A$2:$A$301)), "Invalid", "Ok")</f>
        <v>Ok</v>
      </c>
    </row>
    <row r="2179" spans="1:11" x14ac:dyDescent="0.3">
      <c r="A2179" s="1" t="s">
        <v>5798</v>
      </c>
      <c r="B2179" s="1" t="s">
        <v>2410</v>
      </c>
      <c r="C2179" s="1" t="s">
        <v>3334</v>
      </c>
      <c r="D2179" s="1">
        <v>592899.74</v>
      </c>
      <c r="E2179" s="1">
        <v>29029.35</v>
      </c>
      <c r="F2179" s="41">
        <v>45541</v>
      </c>
      <c r="G2179" s="41">
        <v>45906</v>
      </c>
      <c r="H2179" s="1" t="s">
        <v>4639</v>
      </c>
      <c r="I2179" s="1" t="s">
        <v>3324</v>
      </c>
      <c r="J2179" t="str">
        <f>IF(ISNA(_xlfn.XLOOKUP(B2179,customer_master!$A$2:$A$1649, customer_master!$A$2:$A$1649)), "Invalid", "Ok")</f>
        <v>Ok</v>
      </c>
      <c r="K2179" t="str">
        <f>IF(ISNA(_xlfn.XLOOKUP(H2179,agent_info!$A$2:$A$301, agent_info!$A$2:$A$301)), "Invalid", "Ok")</f>
        <v>Ok</v>
      </c>
    </row>
    <row r="2180" spans="1:11" x14ac:dyDescent="0.3">
      <c r="A2180" s="1" t="s">
        <v>5799</v>
      </c>
      <c r="B2180" s="1" t="s">
        <v>2178</v>
      </c>
      <c r="C2180" s="1" t="s">
        <v>3334</v>
      </c>
      <c r="D2180" s="1">
        <v>457037.6</v>
      </c>
      <c r="E2180" s="1">
        <v>21619.21</v>
      </c>
      <c r="F2180" s="41">
        <v>45428</v>
      </c>
      <c r="G2180" s="41">
        <v>45793</v>
      </c>
      <c r="H2180" s="1" t="s">
        <v>3570</v>
      </c>
      <c r="I2180" s="1" t="s">
        <v>3316</v>
      </c>
      <c r="J2180" t="str">
        <f>IF(ISNA(_xlfn.XLOOKUP(B2180,customer_master!$A$2:$A$1649, customer_master!$A$2:$A$1649)), "Invalid", "Ok")</f>
        <v>Ok</v>
      </c>
      <c r="K2180" t="str">
        <f>IF(ISNA(_xlfn.XLOOKUP(H2180,agent_info!$A$2:$A$301, agent_info!$A$2:$A$301)), "Invalid", "Ok")</f>
        <v>Ok</v>
      </c>
    </row>
    <row r="2181" spans="1:11" x14ac:dyDescent="0.3">
      <c r="A2181" s="1" t="s">
        <v>5800</v>
      </c>
      <c r="B2181" s="1" t="s">
        <v>951</v>
      </c>
      <c r="C2181" s="1" t="s">
        <v>3318</v>
      </c>
      <c r="D2181" s="1">
        <v>549454.52</v>
      </c>
      <c r="E2181" s="1">
        <v>25630.02</v>
      </c>
      <c r="F2181" s="41">
        <v>44786</v>
      </c>
      <c r="G2181" s="41">
        <v>45151</v>
      </c>
      <c r="H2181" s="1" t="s">
        <v>3649</v>
      </c>
      <c r="I2181" s="1" t="s">
        <v>3324</v>
      </c>
      <c r="J2181" t="str">
        <f>IF(ISNA(_xlfn.XLOOKUP(B2181,customer_master!$A$2:$A$1649, customer_master!$A$2:$A$1649)), "Invalid", "Ok")</f>
        <v>Ok</v>
      </c>
      <c r="K2181" t="str">
        <f>IF(ISNA(_xlfn.XLOOKUP(H2181,agent_info!$A$2:$A$301, agent_info!$A$2:$A$301)), "Invalid", "Ok")</f>
        <v>Ok</v>
      </c>
    </row>
    <row r="2182" spans="1:11" x14ac:dyDescent="0.3">
      <c r="A2182" s="1" t="s">
        <v>5801</v>
      </c>
      <c r="B2182" s="1" t="s">
        <v>447</v>
      </c>
      <c r="C2182" s="1" t="s">
        <v>3326</v>
      </c>
      <c r="D2182" s="1">
        <v>449161.01</v>
      </c>
      <c r="E2182" s="1">
        <v>22608.74</v>
      </c>
      <c r="F2182" s="41">
        <v>46239</v>
      </c>
      <c r="G2182" s="41">
        <v>46604</v>
      </c>
      <c r="H2182" s="1" t="s">
        <v>3359</v>
      </c>
      <c r="I2182" s="1" t="s">
        <v>3320</v>
      </c>
      <c r="J2182" t="str">
        <f>IF(ISNA(_xlfn.XLOOKUP(B2182,customer_master!$A$2:$A$1649, customer_master!$A$2:$A$1649)), "Invalid", "Ok")</f>
        <v>Ok</v>
      </c>
      <c r="K2182" t="str">
        <f>IF(ISNA(_xlfn.XLOOKUP(H2182,agent_info!$A$2:$A$301, agent_info!$A$2:$A$301)), "Invalid", "Ok")</f>
        <v>Ok</v>
      </c>
    </row>
    <row r="2183" spans="1:11" x14ac:dyDescent="0.3">
      <c r="A2183" s="1" t="s">
        <v>5802</v>
      </c>
      <c r="B2183" s="1" t="s">
        <v>2510</v>
      </c>
      <c r="C2183" s="1" t="s">
        <v>3326</v>
      </c>
      <c r="D2183" s="1">
        <v>357284.67</v>
      </c>
      <c r="E2183" s="1">
        <v>18649.150000000001</v>
      </c>
      <c r="F2183" s="41">
        <v>46135</v>
      </c>
      <c r="G2183" s="41">
        <v>46500</v>
      </c>
      <c r="H2183" s="1" t="s">
        <v>3345</v>
      </c>
      <c r="I2183" s="1" t="s">
        <v>3324</v>
      </c>
      <c r="J2183" t="str">
        <f>IF(ISNA(_xlfn.XLOOKUP(B2183,customer_master!$A$2:$A$1649, customer_master!$A$2:$A$1649)), "Invalid", "Ok")</f>
        <v>Ok</v>
      </c>
      <c r="K2183" t="str">
        <f>IF(ISNA(_xlfn.XLOOKUP(H2183,agent_info!$A$2:$A$301, agent_info!$A$2:$A$301)), "Invalid", "Ok")</f>
        <v>Ok</v>
      </c>
    </row>
    <row r="2184" spans="1:11" x14ac:dyDescent="0.3">
      <c r="A2184" s="1" t="s">
        <v>5803</v>
      </c>
      <c r="B2184" s="1" t="s">
        <v>1899</v>
      </c>
      <c r="C2184" s="1" t="s">
        <v>3334</v>
      </c>
      <c r="D2184" s="1">
        <v>567917.13</v>
      </c>
      <c r="E2184" s="1">
        <v>28323.1</v>
      </c>
      <c r="F2184" s="41">
        <v>45705</v>
      </c>
      <c r="G2184" s="41">
        <v>46070</v>
      </c>
      <c r="H2184" s="1" t="s">
        <v>3603</v>
      </c>
      <c r="I2184" s="1" t="s">
        <v>3320</v>
      </c>
      <c r="J2184" t="str">
        <f>IF(ISNA(_xlfn.XLOOKUP(B2184,customer_master!$A$2:$A$1649, customer_master!$A$2:$A$1649)), "Invalid", "Ok")</f>
        <v>Ok</v>
      </c>
      <c r="K2184" t="str">
        <f>IF(ISNA(_xlfn.XLOOKUP(H2184,agent_info!$A$2:$A$301, agent_info!$A$2:$A$301)), "Invalid", "Ok")</f>
        <v>Ok</v>
      </c>
    </row>
    <row r="2185" spans="1:11" x14ac:dyDescent="0.3">
      <c r="A2185" s="1" t="s">
        <v>5804</v>
      </c>
      <c r="B2185" s="1" t="s">
        <v>2099</v>
      </c>
      <c r="C2185" s="1" t="s">
        <v>3326</v>
      </c>
      <c r="D2185" s="1">
        <v>576194.49</v>
      </c>
      <c r="E2185" s="1">
        <v>30658.17</v>
      </c>
      <c r="F2185" s="41">
        <v>45691</v>
      </c>
      <c r="G2185" s="41">
        <v>46056</v>
      </c>
      <c r="H2185" s="1" t="s">
        <v>3357</v>
      </c>
      <c r="I2185" s="1" t="s">
        <v>3324</v>
      </c>
      <c r="J2185" t="str">
        <f>IF(ISNA(_xlfn.XLOOKUP(B2185,customer_master!$A$2:$A$1649, customer_master!$A$2:$A$1649)), "Invalid", "Ok")</f>
        <v>Ok</v>
      </c>
      <c r="K2185" t="str">
        <f>IF(ISNA(_xlfn.XLOOKUP(H2185,agent_info!$A$2:$A$301, agent_info!$A$2:$A$301)), "Invalid", "Ok")</f>
        <v>Ok</v>
      </c>
    </row>
    <row r="2186" spans="1:11" x14ac:dyDescent="0.3">
      <c r="A2186" s="1" t="s">
        <v>5805</v>
      </c>
      <c r="B2186" s="1" t="s">
        <v>3232</v>
      </c>
      <c r="C2186" s="1" t="s">
        <v>3331</v>
      </c>
      <c r="D2186" s="1">
        <v>510536.16</v>
      </c>
      <c r="E2186" s="1">
        <v>27657.72</v>
      </c>
      <c r="F2186" s="41">
        <v>44770</v>
      </c>
      <c r="G2186" s="41">
        <v>45135</v>
      </c>
      <c r="H2186" s="1" t="s">
        <v>4187</v>
      </c>
      <c r="I2186" s="1" t="s">
        <v>3316</v>
      </c>
      <c r="J2186" t="str">
        <f>IF(ISNA(_xlfn.XLOOKUP(B2186,customer_master!$A$2:$A$1649, customer_master!$A$2:$A$1649)), "Invalid", "Ok")</f>
        <v>Ok</v>
      </c>
      <c r="K2186" t="str">
        <f>IF(ISNA(_xlfn.XLOOKUP(H2186,agent_info!$A$2:$A$301, agent_info!$A$2:$A$301)), "Invalid", "Ok")</f>
        <v>Ok</v>
      </c>
    </row>
    <row r="2187" spans="1:11" x14ac:dyDescent="0.3">
      <c r="A2187" s="1" t="s">
        <v>5806</v>
      </c>
      <c r="B2187" s="1" t="s">
        <v>1181</v>
      </c>
      <c r="C2187" s="1" t="s">
        <v>3318</v>
      </c>
      <c r="D2187" s="1">
        <v>671527.19</v>
      </c>
      <c r="E2187" s="1">
        <v>35639.160000000003</v>
      </c>
      <c r="F2187" s="41">
        <v>44406</v>
      </c>
      <c r="G2187" s="41">
        <v>44771</v>
      </c>
      <c r="H2187" s="1" t="s">
        <v>3347</v>
      </c>
      <c r="I2187" s="1" t="s">
        <v>3316</v>
      </c>
      <c r="J2187" t="str">
        <f>IF(ISNA(_xlfn.XLOOKUP(B2187,customer_master!$A$2:$A$1649, customer_master!$A$2:$A$1649)), "Invalid", "Ok")</f>
        <v>Ok</v>
      </c>
      <c r="K2187" t="str">
        <f>IF(ISNA(_xlfn.XLOOKUP(H2187,agent_info!$A$2:$A$301, agent_info!$A$2:$A$301)), "Invalid", "Ok")</f>
        <v>Ok</v>
      </c>
    </row>
    <row r="2188" spans="1:11" x14ac:dyDescent="0.3">
      <c r="A2188" s="1" t="s">
        <v>5807</v>
      </c>
      <c r="B2188" s="1" t="s">
        <v>2651</v>
      </c>
      <c r="C2188" s="1" t="s">
        <v>3318</v>
      </c>
      <c r="D2188" s="1">
        <v>433208.39</v>
      </c>
      <c r="E2188" s="1">
        <v>23637.98</v>
      </c>
      <c r="F2188" s="41">
        <v>45082</v>
      </c>
      <c r="G2188" s="41">
        <v>45448</v>
      </c>
      <c r="H2188" s="1" t="s">
        <v>3670</v>
      </c>
      <c r="I2188" s="1" t="s">
        <v>3316</v>
      </c>
      <c r="J2188" t="str">
        <f>IF(ISNA(_xlfn.XLOOKUP(B2188,customer_master!$A$2:$A$1649, customer_master!$A$2:$A$1649)), "Invalid", "Ok")</f>
        <v>Ok</v>
      </c>
      <c r="K2188" t="str">
        <f>IF(ISNA(_xlfn.XLOOKUP(H2188,agent_info!$A$2:$A$301, agent_info!$A$2:$A$301)), "Invalid", "Ok")</f>
        <v>Ok</v>
      </c>
    </row>
    <row r="2189" spans="1:11" x14ac:dyDescent="0.3">
      <c r="A2189" s="1" t="s">
        <v>5808</v>
      </c>
      <c r="B2189" s="1" t="s">
        <v>1877</v>
      </c>
      <c r="C2189" s="1" t="s">
        <v>3318</v>
      </c>
      <c r="D2189" s="1">
        <v>412508.28</v>
      </c>
      <c r="E2189" s="1">
        <v>22395.22</v>
      </c>
      <c r="F2189" s="41">
        <v>44400</v>
      </c>
      <c r="G2189" s="41">
        <v>44765</v>
      </c>
      <c r="H2189" s="1" t="s">
        <v>3327</v>
      </c>
      <c r="I2189" s="1" t="s">
        <v>3324</v>
      </c>
      <c r="J2189" t="str">
        <f>IF(ISNA(_xlfn.XLOOKUP(B2189,customer_master!$A$2:$A$1649, customer_master!$A$2:$A$1649)), "Invalid", "Ok")</f>
        <v>Ok</v>
      </c>
      <c r="K2189" t="str">
        <f>IF(ISNA(_xlfn.XLOOKUP(H2189,agent_info!$A$2:$A$301, agent_info!$A$2:$A$301)), "Invalid", "Ok")</f>
        <v>Ok</v>
      </c>
    </row>
    <row r="2190" spans="1:11" x14ac:dyDescent="0.3">
      <c r="A2190" s="1" t="s">
        <v>5809</v>
      </c>
      <c r="B2190" s="1" t="s">
        <v>821</v>
      </c>
      <c r="C2190" s="1" t="s">
        <v>3326</v>
      </c>
      <c r="D2190" s="1">
        <v>677194.52</v>
      </c>
      <c r="E2190" s="1">
        <v>36111.51</v>
      </c>
      <c r="F2190" s="41">
        <v>45971</v>
      </c>
      <c r="G2190" s="41">
        <v>46336</v>
      </c>
      <c r="H2190" s="1" t="s">
        <v>4045</v>
      </c>
      <c r="I2190" s="1" t="s">
        <v>3324</v>
      </c>
      <c r="J2190" t="str">
        <f>IF(ISNA(_xlfn.XLOOKUP(B2190,customer_master!$A$2:$A$1649, customer_master!$A$2:$A$1649)), "Invalid", "Ok")</f>
        <v>Ok</v>
      </c>
      <c r="K2190" t="str">
        <f>IF(ISNA(_xlfn.XLOOKUP(H2190,agent_info!$A$2:$A$301, agent_info!$A$2:$A$301)), "Invalid", "Ok")</f>
        <v>Ok</v>
      </c>
    </row>
    <row r="2191" spans="1:11" x14ac:dyDescent="0.3">
      <c r="A2191" s="1" t="s">
        <v>5810</v>
      </c>
      <c r="B2191" s="1" t="s">
        <v>208</v>
      </c>
      <c r="C2191" s="1" t="s">
        <v>3318</v>
      </c>
      <c r="D2191" s="1">
        <v>726386.18</v>
      </c>
      <c r="E2191" s="1">
        <v>34813.019999999997</v>
      </c>
      <c r="F2191" s="41">
        <v>44326</v>
      </c>
      <c r="G2191" s="41">
        <v>44691</v>
      </c>
      <c r="H2191" s="1" t="s">
        <v>3660</v>
      </c>
      <c r="I2191" s="1" t="s">
        <v>3320</v>
      </c>
      <c r="J2191" t="str">
        <f>IF(ISNA(_xlfn.XLOOKUP(B2191,customer_master!$A$2:$A$1649, customer_master!$A$2:$A$1649)), "Invalid", "Ok")</f>
        <v>Ok</v>
      </c>
      <c r="K2191" t="str">
        <f>IF(ISNA(_xlfn.XLOOKUP(H2191,agent_info!$A$2:$A$301, agent_info!$A$2:$A$301)), "Invalid", "Ok")</f>
        <v>Ok</v>
      </c>
    </row>
    <row r="2192" spans="1:11" x14ac:dyDescent="0.3">
      <c r="A2192" s="1" t="s">
        <v>5811</v>
      </c>
      <c r="B2192" s="1" t="s">
        <v>2071</v>
      </c>
      <c r="C2192" s="1" t="s">
        <v>3326</v>
      </c>
      <c r="D2192" s="1">
        <v>492290.49</v>
      </c>
      <c r="E2192" s="1">
        <v>23011.29</v>
      </c>
      <c r="F2192" s="41">
        <v>46203</v>
      </c>
      <c r="G2192" s="41">
        <v>46568</v>
      </c>
      <c r="H2192" s="1" t="s">
        <v>3483</v>
      </c>
      <c r="I2192" s="1" t="s">
        <v>3324</v>
      </c>
      <c r="J2192" t="str">
        <f>IF(ISNA(_xlfn.XLOOKUP(B2192,customer_master!$A$2:$A$1649, customer_master!$A$2:$A$1649)), "Invalid", "Ok")</f>
        <v>Ok</v>
      </c>
      <c r="K2192" t="str">
        <f>IF(ISNA(_xlfn.XLOOKUP(H2192,agent_info!$A$2:$A$301, agent_info!$A$2:$A$301)), "Invalid", "Ok")</f>
        <v>Ok</v>
      </c>
    </row>
    <row r="2193" spans="1:11" x14ac:dyDescent="0.3">
      <c r="A2193" s="1" t="s">
        <v>5812</v>
      </c>
      <c r="B2193" s="1" t="s">
        <v>1004</v>
      </c>
      <c r="C2193" s="1" t="s">
        <v>3334</v>
      </c>
      <c r="D2193" s="1">
        <v>546673.78</v>
      </c>
      <c r="E2193" s="1">
        <v>28574.7</v>
      </c>
      <c r="F2193" s="41">
        <v>44967</v>
      </c>
      <c r="G2193" s="41">
        <v>45332</v>
      </c>
      <c r="H2193" s="1" t="s">
        <v>3341</v>
      </c>
      <c r="I2193" s="1" t="s">
        <v>3324</v>
      </c>
      <c r="J2193" t="str">
        <f>IF(ISNA(_xlfn.XLOOKUP(B2193,customer_master!$A$2:$A$1649, customer_master!$A$2:$A$1649)), "Invalid", "Ok")</f>
        <v>Ok</v>
      </c>
      <c r="K2193" t="str">
        <f>IF(ISNA(_xlfn.XLOOKUP(H2193,agent_info!$A$2:$A$301, agent_info!$A$2:$A$301)), "Invalid", "Ok")</f>
        <v>Ok</v>
      </c>
    </row>
    <row r="2194" spans="1:11" x14ac:dyDescent="0.3">
      <c r="A2194" s="1" t="s">
        <v>5813</v>
      </c>
      <c r="B2194" s="1" t="s">
        <v>2324</v>
      </c>
      <c r="C2194" s="1" t="s">
        <v>3331</v>
      </c>
      <c r="D2194" s="1">
        <v>706170.07</v>
      </c>
      <c r="E2194" s="1">
        <v>37748.53</v>
      </c>
      <c r="F2194" s="41">
        <v>45218</v>
      </c>
      <c r="G2194" s="41">
        <v>45584</v>
      </c>
      <c r="H2194" s="1" t="s">
        <v>3329</v>
      </c>
      <c r="I2194" s="1" t="s">
        <v>3316</v>
      </c>
      <c r="J2194" t="str">
        <f>IF(ISNA(_xlfn.XLOOKUP(B2194,customer_master!$A$2:$A$1649, customer_master!$A$2:$A$1649)), "Invalid", "Ok")</f>
        <v>Ok</v>
      </c>
      <c r="K2194" t="str">
        <f>IF(ISNA(_xlfn.XLOOKUP(H2194,agent_info!$A$2:$A$301, agent_info!$A$2:$A$301)), "Invalid", "Ok")</f>
        <v>Ok</v>
      </c>
    </row>
    <row r="2195" spans="1:11" x14ac:dyDescent="0.3">
      <c r="A2195" s="1" t="s">
        <v>5814</v>
      </c>
      <c r="B2195" s="1" t="s">
        <v>2337</v>
      </c>
      <c r="C2195" s="1" t="s">
        <v>3314</v>
      </c>
      <c r="D2195" s="1">
        <v>589250.63</v>
      </c>
      <c r="E2195" s="1">
        <v>31366.54</v>
      </c>
      <c r="F2195" s="41">
        <v>44085</v>
      </c>
      <c r="G2195" s="41">
        <v>44450</v>
      </c>
      <c r="H2195" s="1" t="s">
        <v>3655</v>
      </c>
      <c r="I2195" s="1" t="s">
        <v>3316</v>
      </c>
      <c r="J2195" t="str">
        <f>IF(ISNA(_xlfn.XLOOKUP(B2195,customer_master!$A$2:$A$1649, customer_master!$A$2:$A$1649)), "Invalid", "Ok")</f>
        <v>Ok</v>
      </c>
      <c r="K2195" t="str">
        <f>IF(ISNA(_xlfn.XLOOKUP(H2195,agent_info!$A$2:$A$301, agent_info!$A$2:$A$301)), "Invalid", "Ok")</f>
        <v>Ok</v>
      </c>
    </row>
    <row r="2196" spans="1:11" x14ac:dyDescent="0.3">
      <c r="A2196" s="1" t="s">
        <v>5815</v>
      </c>
      <c r="B2196" s="1" t="s">
        <v>1533</v>
      </c>
      <c r="C2196" s="1" t="s">
        <v>3334</v>
      </c>
      <c r="D2196" s="1">
        <v>430088.81</v>
      </c>
      <c r="E2196" s="1">
        <v>22122.14</v>
      </c>
      <c r="F2196" s="41">
        <v>45064</v>
      </c>
      <c r="G2196" s="41">
        <v>45430</v>
      </c>
      <c r="H2196" s="1" t="s">
        <v>3420</v>
      </c>
      <c r="I2196" s="1" t="s">
        <v>3324</v>
      </c>
      <c r="J2196" t="str">
        <f>IF(ISNA(_xlfn.XLOOKUP(B2196,customer_master!$A$2:$A$1649, customer_master!$A$2:$A$1649)), "Invalid", "Ok")</f>
        <v>Ok</v>
      </c>
      <c r="K2196" t="str">
        <f>IF(ISNA(_xlfn.XLOOKUP(H2196,agent_info!$A$2:$A$301, agent_info!$A$2:$A$301)), "Invalid", "Ok")</f>
        <v>Ok</v>
      </c>
    </row>
    <row r="2197" spans="1:11" x14ac:dyDescent="0.3">
      <c r="A2197" s="1" t="s">
        <v>5816</v>
      </c>
      <c r="B2197" s="1" t="s">
        <v>1801</v>
      </c>
      <c r="C2197" s="1" t="s">
        <v>3334</v>
      </c>
      <c r="D2197" s="1">
        <v>429226.28</v>
      </c>
      <c r="E2197" s="1">
        <v>22877.19</v>
      </c>
      <c r="F2197" s="41">
        <v>45901</v>
      </c>
      <c r="G2197" s="41">
        <v>46266</v>
      </c>
      <c r="H2197" s="1" t="s">
        <v>3607</v>
      </c>
      <c r="I2197" s="1" t="s">
        <v>3320</v>
      </c>
      <c r="J2197" t="str">
        <f>IF(ISNA(_xlfn.XLOOKUP(B2197,customer_master!$A$2:$A$1649, customer_master!$A$2:$A$1649)), "Invalid", "Ok")</f>
        <v>Ok</v>
      </c>
      <c r="K2197" t="str">
        <f>IF(ISNA(_xlfn.XLOOKUP(H2197,agent_info!$A$2:$A$301, agent_info!$A$2:$A$301)), "Invalid", "Ok")</f>
        <v>Ok</v>
      </c>
    </row>
    <row r="2198" spans="1:11" x14ac:dyDescent="0.3">
      <c r="A2198" s="1" t="s">
        <v>5817</v>
      </c>
      <c r="B2198" s="1" t="s">
        <v>2109</v>
      </c>
      <c r="C2198" s="1" t="s">
        <v>3331</v>
      </c>
      <c r="D2198" s="1">
        <v>431526.38</v>
      </c>
      <c r="E2198" s="1">
        <v>22470.3</v>
      </c>
      <c r="F2198" s="41">
        <v>44352</v>
      </c>
      <c r="G2198" s="41">
        <v>44717</v>
      </c>
      <c r="H2198" s="1" t="s">
        <v>3357</v>
      </c>
      <c r="I2198" s="1" t="s">
        <v>3324</v>
      </c>
      <c r="J2198" t="str">
        <f>IF(ISNA(_xlfn.XLOOKUP(B2198,customer_master!$A$2:$A$1649, customer_master!$A$2:$A$1649)), "Invalid", "Ok")</f>
        <v>Ok</v>
      </c>
      <c r="K2198" t="str">
        <f>IF(ISNA(_xlfn.XLOOKUP(H2198,agent_info!$A$2:$A$301, agent_info!$A$2:$A$301)), "Invalid", "Ok")</f>
        <v>Ok</v>
      </c>
    </row>
    <row r="2199" spans="1:11" x14ac:dyDescent="0.3">
      <c r="A2199" s="1" t="s">
        <v>5818</v>
      </c>
      <c r="B2199" s="1" t="s">
        <v>1570</v>
      </c>
      <c r="C2199" s="1" t="s">
        <v>3314</v>
      </c>
      <c r="D2199" s="1">
        <v>685594.6</v>
      </c>
      <c r="E2199" s="1">
        <v>35413.47</v>
      </c>
      <c r="F2199" s="41">
        <v>45061</v>
      </c>
      <c r="G2199" s="41">
        <v>45427</v>
      </c>
      <c r="H2199" s="1" t="s">
        <v>3565</v>
      </c>
      <c r="I2199" s="1" t="s">
        <v>3324</v>
      </c>
      <c r="J2199" t="str">
        <f>IF(ISNA(_xlfn.XLOOKUP(B2199,customer_master!$A$2:$A$1649, customer_master!$A$2:$A$1649)), "Invalid", "Ok")</f>
        <v>Ok</v>
      </c>
      <c r="K2199" t="str">
        <f>IF(ISNA(_xlfn.XLOOKUP(H2199,agent_info!$A$2:$A$301, agent_info!$A$2:$A$301)), "Invalid", "Ok")</f>
        <v>Ok</v>
      </c>
    </row>
    <row r="2200" spans="1:11" x14ac:dyDescent="0.3">
      <c r="A2200" s="1" t="s">
        <v>5819</v>
      </c>
      <c r="B2200" s="1" t="s">
        <v>2918</v>
      </c>
      <c r="C2200" s="1" t="s">
        <v>3334</v>
      </c>
      <c r="D2200" s="1">
        <v>616730.06000000006</v>
      </c>
      <c r="E2200" s="1">
        <v>28040.1</v>
      </c>
      <c r="F2200" s="41">
        <v>46202</v>
      </c>
      <c r="G2200" s="41">
        <v>46567</v>
      </c>
      <c r="H2200" s="1" t="s">
        <v>3788</v>
      </c>
      <c r="I2200" s="1" t="s">
        <v>3316</v>
      </c>
      <c r="J2200" t="str">
        <f>IF(ISNA(_xlfn.XLOOKUP(B2200,customer_master!$A$2:$A$1649, customer_master!$A$2:$A$1649)), "Invalid", "Ok")</f>
        <v>Ok</v>
      </c>
      <c r="K2200" t="str">
        <f>IF(ISNA(_xlfn.XLOOKUP(H2200,agent_info!$A$2:$A$301, agent_info!$A$2:$A$301)), "Invalid", "Ok")</f>
        <v>Ok</v>
      </c>
    </row>
    <row r="2201" spans="1:11" x14ac:dyDescent="0.3">
      <c r="A2201" s="1" t="s">
        <v>5820</v>
      </c>
      <c r="B2201" s="1" t="s">
        <v>290</v>
      </c>
      <c r="C2201" s="1" t="s">
        <v>3314</v>
      </c>
      <c r="D2201" s="1">
        <v>500409.98</v>
      </c>
      <c r="E2201" s="1">
        <v>24822.71</v>
      </c>
      <c r="F2201" s="41">
        <v>44290</v>
      </c>
      <c r="G2201" s="41">
        <v>44655</v>
      </c>
      <c r="H2201" s="1" t="s">
        <v>4012</v>
      </c>
      <c r="I2201" s="1" t="s">
        <v>3320</v>
      </c>
      <c r="J2201" t="str">
        <f>IF(ISNA(_xlfn.XLOOKUP(B2201,customer_master!$A$2:$A$1649, customer_master!$A$2:$A$1649)), "Invalid", "Ok")</f>
        <v>Ok</v>
      </c>
      <c r="K2201" t="str">
        <f>IF(ISNA(_xlfn.XLOOKUP(H2201,agent_info!$A$2:$A$301, agent_info!$A$2:$A$301)), "Invalid", "Ok")</f>
        <v>Ok</v>
      </c>
    </row>
    <row r="2202" spans="1:11" x14ac:dyDescent="0.3">
      <c r="A2202" s="1" t="s">
        <v>5821</v>
      </c>
      <c r="B2202" s="1" t="s">
        <v>3245</v>
      </c>
      <c r="C2202" s="1" t="s">
        <v>3334</v>
      </c>
      <c r="D2202" s="1">
        <v>447398.27</v>
      </c>
      <c r="E2202" s="1">
        <v>20284.349999999999</v>
      </c>
      <c r="F2202" s="41">
        <v>44556</v>
      </c>
      <c r="G2202" s="41">
        <v>44921</v>
      </c>
      <c r="H2202" s="1" t="s">
        <v>3686</v>
      </c>
      <c r="I2202" s="1" t="s">
        <v>3324</v>
      </c>
      <c r="J2202" t="str">
        <f>IF(ISNA(_xlfn.XLOOKUP(B2202,customer_master!$A$2:$A$1649, customer_master!$A$2:$A$1649)), "Invalid", "Ok")</f>
        <v>Ok</v>
      </c>
      <c r="K2202" t="str">
        <f>IF(ISNA(_xlfn.XLOOKUP(H2202,agent_info!$A$2:$A$301, agent_info!$A$2:$A$301)), "Invalid", "Ok")</f>
        <v>Ok</v>
      </c>
    </row>
    <row r="2203" spans="1:11" x14ac:dyDescent="0.3">
      <c r="A2203" s="1" t="s">
        <v>5822</v>
      </c>
      <c r="B2203" s="1" t="s">
        <v>144</v>
      </c>
      <c r="C2203" s="1" t="s">
        <v>3331</v>
      </c>
      <c r="D2203" s="1">
        <v>428601.33</v>
      </c>
      <c r="E2203" s="1">
        <v>19682.96</v>
      </c>
      <c r="F2203" s="41">
        <v>46223</v>
      </c>
      <c r="G2203" s="41">
        <v>46588</v>
      </c>
      <c r="H2203" s="1" t="s">
        <v>3532</v>
      </c>
      <c r="I2203" s="1" t="s">
        <v>3316</v>
      </c>
      <c r="J2203" t="str">
        <f>IF(ISNA(_xlfn.XLOOKUP(B2203,customer_master!$A$2:$A$1649, customer_master!$A$2:$A$1649)), "Invalid", "Ok")</f>
        <v>Ok</v>
      </c>
      <c r="K2203" t="str">
        <f>IF(ISNA(_xlfn.XLOOKUP(H2203,agent_info!$A$2:$A$301, agent_info!$A$2:$A$301)), "Invalid", "Ok")</f>
        <v>Ok</v>
      </c>
    </row>
    <row r="2204" spans="1:11" x14ac:dyDescent="0.3">
      <c r="A2204" s="1" t="s">
        <v>5823</v>
      </c>
      <c r="B2204" s="1" t="s">
        <v>741</v>
      </c>
      <c r="C2204" s="1" t="s">
        <v>3334</v>
      </c>
      <c r="D2204" s="1">
        <v>670434.18999999994</v>
      </c>
      <c r="E2204" s="1">
        <v>33796.620000000003</v>
      </c>
      <c r="F2204" s="41">
        <v>44998</v>
      </c>
      <c r="G2204" s="41">
        <v>45364</v>
      </c>
      <c r="H2204" s="1" t="s">
        <v>3706</v>
      </c>
      <c r="I2204" s="1" t="s">
        <v>3324</v>
      </c>
      <c r="J2204" t="str">
        <f>IF(ISNA(_xlfn.XLOOKUP(B2204,customer_master!$A$2:$A$1649, customer_master!$A$2:$A$1649)), "Invalid", "Ok")</f>
        <v>Ok</v>
      </c>
      <c r="K2204" t="str">
        <f>IF(ISNA(_xlfn.XLOOKUP(H2204,agent_info!$A$2:$A$301, agent_info!$A$2:$A$301)), "Invalid", "Ok")</f>
        <v>Ok</v>
      </c>
    </row>
    <row r="2205" spans="1:11" x14ac:dyDescent="0.3">
      <c r="A2205" s="1" t="s">
        <v>5824</v>
      </c>
      <c r="B2205" s="1" t="s">
        <v>2368</v>
      </c>
      <c r="C2205" s="1" t="s">
        <v>3334</v>
      </c>
      <c r="D2205" s="1">
        <v>726057.09</v>
      </c>
      <c r="E2205" s="1">
        <v>33017.29</v>
      </c>
      <c r="F2205" s="41">
        <v>45274</v>
      </c>
      <c r="G2205" s="41">
        <v>45640</v>
      </c>
      <c r="H2205" s="1" t="s">
        <v>4031</v>
      </c>
      <c r="I2205" s="1" t="s">
        <v>3324</v>
      </c>
      <c r="J2205" t="str">
        <f>IF(ISNA(_xlfn.XLOOKUP(B2205,customer_master!$A$2:$A$1649, customer_master!$A$2:$A$1649)), "Invalid", "Ok")</f>
        <v>Ok</v>
      </c>
      <c r="K2205" t="str">
        <f>IF(ISNA(_xlfn.XLOOKUP(H2205,agent_info!$A$2:$A$301, agent_info!$A$2:$A$301)), "Invalid", "Ok")</f>
        <v>Ok</v>
      </c>
    </row>
    <row r="2206" spans="1:11" x14ac:dyDescent="0.3">
      <c r="A2206" s="1" t="s">
        <v>5825</v>
      </c>
      <c r="B2206" s="1" t="s">
        <v>318</v>
      </c>
      <c r="C2206" s="1" t="s">
        <v>3314</v>
      </c>
      <c r="D2206" s="1">
        <v>589465.18000000005</v>
      </c>
      <c r="E2206" s="1">
        <v>31909.05</v>
      </c>
      <c r="F2206" s="41">
        <v>44441</v>
      </c>
      <c r="G2206" s="41">
        <v>44806</v>
      </c>
      <c r="H2206" s="1" t="s">
        <v>4771</v>
      </c>
      <c r="I2206" s="1" t="s">
        <v>3324</v>
      </c>
      <c r="J2206" t="str">
        <f>IF(ISNA(_xlfn.XLOOKUP(B2206,customer_master!$A$2:$A$1649, customer_master!$A$2:$A$1649)), "Invalid", "Ok")</f>
        <v>Ok</v>
      </c>
      <c r="K2206" t="str">
        <f>IF(ISNA(_xlfn.XLOOKUP(H2206,agent_info!$A$2:$A$301, agent_info!$A$2:$A$301)), "Invalid", "Ok")</f>
        <v>Ok</v>
      </c>
    </row>
    <row r="2207" spans="1:11" x14ac:dyDescent="0.3">
      <c r="A2207" s="1" t="s">
        <v>5826</v>
      </c>
      <c r="B2207" s="1" t="s">
        <v>895</v>
      </c>
      <c r="C2207" s="1" t="s">
        <v>3334</v>
      </c>
      <c r="D2207" s="1">
        <v>682493.39</v>
      </c>
      <c r="E2207" s="1">
        <v>33785.75</v>
      </c>
      <c r="F2207" s="41">
        <v>44904</v>
      </c>
      <c r="G2207" s="41">
        <v>45269</v>
      </c>
      <c r="H2207" s="1" t="s">
        <v>3518</v>
      </c>
      <c r="I2207" s="1" t="s">
        <v>3324</v>
      </c>
      <c r="J2207" t="str">
        <f>IF(ISNA(_xlfn.XLOOKUP(B2207,customer_master!$A$2:$A$1649, customer_master!$A$2:$A$1649)), "Invalid", "Ok")</f>
        <v>Ok</v>
      </c>
      <c r="K2207" t="str">
        <f>IF(ISNA(_xlfn.XLOOKUP(H2207,agent_info!$A$2:$A$301, agent_info!$A$2:$A$301)), "Invalid", "Ok")</f>
        <v>Ok</v>
      </c>
    </row>
    <row r="2208" spans="1:11" x14ac:dyDescent="0.3">
      <c r="A2208" s="1" t="s">
        <v>5827</v>
      </c>
      <c r="B2208" s="1" t="s">
        <v>544</v>
      </c>
      <c r="C2208" s="1" t="s">
        <v>3326</v>
      </c>
      <c r="D2208" s="1">
        <v>449094.94</v>
      </c>
      <c r="E2208" s="1">
        <v>23352.79</v>
      </c>
      <c r="F2208" s="41">
        <v>44840</v>
      </c>
      <c r="G2208" s="41">
        <v>45205</v>
      </c>
      <c r="H2208" s="1" t="s">
        <v>4187</v>
      </c>
      <c r="I2208" s="1" t="s">
        <v>3316</v>
      </c>
      <c r="J2208" t="str">
        <f>IF(ISNA(_xlfn.XLOOKUP(B2208,customer_master!$A$2:$A$1649, customer_master!$A$2:$A$1649)), "Invalid", "Ok")</f>
        <v>Ok</v>
      </c>
      <c r="K2208" t="str">
        <f>IF(ISNA(_xlfn.XLOOKUP(H2208,agent_info!$A$2:$A$301, agent_info!$A$2:$A$301)), "Invalid", "Ok")</f>
        <v>Ok</v>
      </c>
    </row>
    <row r="2209" spans="1:11" x14ac:dyDescent="0.3">
      <c r="A2209" s="1" t="s">
        <v>5828</v>
      </c>
      <c r="B2209" s="1" t="s">
        <v>2422</v>
      </c>
      <c r="C2209" s="1" t="s">
        <v>3331</v>
      </c>
      <c r="D2209" s="1">
        <v>604930.74</v>
      </c>
      <c r="E2209" s="1">
        <v>28115.94</v>
      </c>
      <c r="F2209" s="41">
        <v>46164</v>
      </c>
      <c r="G2209" s="41">
        <v>46529</v>
      </c>
      <c r="H2209" s="1" t="s">
        <v>3637</v>
      </c>
      <c r="I2209" s="1" t="s">
        <v>3324</v>
      </c>
      <c r="J2209" t="str">
        <f>IF(ISNA(_xlfn.XLOOKUP(B2209,customer_master!$A$2:$A$1649, customer_master!$A$2:$A$1649)), "Invalid", "Ok")</f>
        <v>Ok</v>
      </c>
      <c r="K2209" t="str">
        <f>IF(ISNA(_xlfn.XLOOKUP(H2209,agent_info!$A$2:$A$301, agent_info!$A$2:$A$301)), "Invalid", "Ok")</f>
        <v>Ok</v>
      </c>
    </row>
    <row r="2210" spans="1:11" x14ac:dyDescent="0.3">
      <c r="A2210" s="1" t="s">
        <v>5829</v>
      </c>
      <c r="B2210" s="1" t="s">
        <v>1933</v>
      </c>
      <c r="C2210" s="1" t="s">
        <v>3326</v>
      </c>
      <c r="D2210" s="1">
        <v>503313.6</v>
      </c>
      <c r="E2210" s="1">
        <v>26915.17</v>
      </c>
      <c r="F2210" s="41">
        <v>46207</v>
      </c>
      <c r="G2210" s="41">
        <v>46572</v>
      </c>
      <c r="H2210" s="1" t="s">
        <v>3553</v>
      </c>
      <c r="I2210" s="1" t="s">
        <v>3324</v>
      </c>
      <c r="J2210" t="str">
        <f>IF(ISNA(_xlfn.XLOOKUP(B2210,customer_master!$A$2:$A$1649, customer_master!$A$2:$A$1649)), "Invalid", "Ok")</f>
        <v>Ok</v>
      </c>
      <c r="K2210" t="str">
        <f>IF(ISNA(_xlfn.XLOOKUP(H2210,agent_info!$A$2:$A$301, agent_info!$A$2:$A$301)), "Invalid", "Ok")</f>
        <v>Ok</v>
      </c>
    </row>
    <row r="2211" spans="1:11" x14ac:dyDescent="0.3">
      <c r="A2211" s="1" t="s">
        <v>5830</v>
      </c>
      <c r="B2211" s="1" t="s">
        <v>248</v>
      </c>
      <c r="C2211" s="1" t="s">
        <v>3326</v>
      </c>
      <c r="D2211" s="1">
        <v>380692.97</v>
      </c>
      <c r="E2211" s="1">
        <v>18951.150000000001</v>
      </c>
      <c r="F2211" s="41">
        <v>45341</v>
      </c>
      <c r="G2211" s="41">
        <v>45707</v>
      </c>
      <c r="H2211" s="1" t="s">
        <v>3579</v>
      </c>
      <c r="I2211" s="1" t="s">
        <v>3320</v>
      </c>
      <c r="J2211" t="str">
        <f>IF(ISNA(_xlfn.XLOOKUP(B2211,customer_master!$A$2:$A$1649, customer_master!$A$2:$A$1649)), "Invalid", "Ok")</f>
        <v>Ok</v>
      </c>
      <c r="K2211" t="str">
        <f>IF(ISNA(_xlfn.XLOOKUP(H2211,agent_info!$A$2:$A$301, agent_info!$A$2:$A$301)), "Invalid", "Ok")</f>
        <v>Ok</v>
      </c>
    </row>
    <row r="2212" spans="1:11" x14ac:dyDescent="0.3">
      <c r="A2212" s="1" t="s">
        <v>5831</v>
      </c>
      <c r="B2212" s="1" t="s">
        <v>1547</v>
      </c>
      <c r="C2212" s="1" t="s">
        <v>3314</v>
      </c>
      <c r="D2212" s="1">
        <v>572636.21</v>
      </c>
      <c r="E2212" s="1">
        <v>28968.38</v>
      </c>
      <c r="F2212" s="41">
        <v>44108</v>
      </c>
      <c r="G2212" s="41">
        <v>44473</v>
      </c>
      <c r="H2212" s="1" t="s">
        <v>4087</v>
      </c>
      <c r="I2212" s="1" t="s">
        <v>3324</v>
      </c>
      <c r="J2212" t="str">
        <f>IF(ISNA(_xlfn.XLOOKUP(B2212,customer_master!$A$2:$A$1649, customer_master!$A$2:$A$1649)), "Invalid", "Ok")</f>
        <v>Ok</v>
      </c>
      <c r="K2212" t="str">
        <f>IF(ISNA(_xlfn.XLOOKUP(H2212,agent_info!$A$2:$A$301, agent_info!$A$2:$A$301)), "Invalid", "Ok")</f>
        <v>Ok</v>
      </c>
    </row>
    <row r="2213" spans="1:11" x14ac:dyDescent="0.3">
      <c r="A2213" s="1" t="s">
        <v>5832</v>
      </c>
      <c r="B2213" s="1" t="s">
        <v>743</v>
      </c>
      <c r="C2213" s="1" t="s">
        <v>3334</v>
      </c>
      <c r="D2213" s="1">
        <v>711012.9</v>
      </c>
      <c r="E2213" s="1">
        <v>36606.39</v>
      </c>
      <c r="F2213" s="41">
        <v>45860</v>
      </c>
      <c r="G2213" s="41">
        <v>46225</v>
      </c>
      <c r="H2213" s="1" t="s">
        <v>4179</v>
      </c>
      <c r="I2213" s="1" t="s">
        <v>3324</v>
      </c>
      <c r="J2213" t="str">
        <f>IF(ISNA(_xlfn.XLOOKUP(B2213,customer_master!$A$2:$A$1649, customer_master!$A$2:$A$1649)), "Invalid", "Ok")</f>
        <v>Ok</v>
      </c>
      <c r="K2213" t="str">
        <f>IF(ISNA(_xlfn.XLOOKUP(H2213,agent_info!$A$2:$A$301, agent_info!$A$2:$A$301)), "Invalid", "Ok")</f>
        <v>Ok</v>
      </c>
    </row>
    <row r="2214" spans="1:11" x14ac:dyDescent="0.3">
      <c r="A2214" s="1" t="s">
        <v>5833</v>
      </c>
      <c r="B2214" s="1" t="s">
        <v>3210</v>
      </c>
      <c r="C2214" s="1" t="s">
        <v>3326</v>
      </c>
      <c r="D2214" s="1">
        <v>368123.88</v>
      </c>
      <c r="E2214" s="1">
        <v>18553.07</v>
      </c>
      <c r="F2214" s="41">
        <v>44112</v>
      </c>
      <c r="G2214" s="41">
        <v>44477</v>
      </c>
      <c r="H2214" s="1" t="s">
        <v>4173</v>
      </c>
      <c r="I2214" s="1" t="s">
        <v>3324</v>
      </c>
      <c r="J2214" t="str">
        <f>IF(ISNA(_xlfn.XLOOKUP(B2214,customer_master!$A$2:$A$1649, customer_master!$A$2:$A$1649)), "Invalid", "Ok")</f>
        <v>Ok</v>
      </c>
      <c r="K2214" t="str">
        <f>IF(ISNA(_xlfn.XLOOKUP(H2214,agent_info!$A$2:$A$301, agent_info!$A$2:$A$301)), "Invalid", "Ok")</f>
        <v>Ok</v>
      </c>
    </row>
    <row r="2215" spans="1:11" x14ac:dyDescent="0.3">
      <c r="A2215" s="1" t="s">
        <v>5834</v>
      </c>
      <c r="B2215" s="1" t="s">
        <v>387</v>
      </c>
      <c r="C2215" s="1" t="s">
        <v>3314</v>
      </c>
      <c r="D2215" s="1">
        <v>568685.80000000005</v>
      </c>
      <c r="E2215" s="1">
        <v>28793.63</v>
      </c>
      <c r="F2215" s="41">
        <v>46042</v>
      </c>
      <c r="G2215" s="41">
        <v>46407</v>
      </c>
      <c r="H2215" s="1" t="s">
        <v>3439</v>
      </c>
      <c r="I2215" s="1" t="s">
        <v>3316</v>
      </c>
      <c r="J2215" t="str">
        <f>IF(ISNA(_xlfn.XLOOKUP(B2215,customer_master!$A$2:$A$1649, customer_master!$A$2:$A$1649)), "Invalid", "Ok")</f>
        <v>Ok</v>
      </c>
      <c r="K2215" t="str">
        <f>IF(ISNA(_xlfn.XLOOKUP(H2215,agent_info!$A$2:$A$301, agent_info!$A$2:$A$301)), "Invalid", "Ok")</f>
        <v>Ok</v>
      </c>
    </row>
    <row r="2216" spans="1:11" x14ac:dyDescent="0.3">
      <c r="A2216" s="1" t="s">
        <v>5835</v>
      </c>
      <c r="B2216" s="1" t="s">
        <v>1998</v>
      </c>
      <c r="C2216" s="1" t="s">
        <v>3334</v>
      </c>
      <c r="D2216" s="1">
        <v>721206.28</v>
      </c>
      <c r="E2216" s="1">
        <v>37823.83</v>
      </c>
      <c r="F2216" s="41">
        <v>45177</v>
      </c>
      <c r="G2216" s="41">
        <v>45543</v>
      </c>
      <c r="H2216" s="1" t="s">
        <v>3530</v>
      </c>
      <c r="I2216" s="1" t="s">
        <v>3324</v>
      </c>
      <c r="J2216" t="str">
        <f>IF(ISNA(_xlfn.XLOOKUP(B2216,customer_master!$A$2:$A$1649, customer_master!$A$2:$A$1649)), "Invalid", "Ok")</f>
        <v>Ok</v>
      </c>
      <c r="K2216" t="str">
        <f>IF(ISNA(_xlfn.XLOOKUP(H2216,agent_info!$A$2:$A$301, agent_info!$A$2:$A$301)), "Invalid", "Ok")</f>
        <v>Ok</v>
      </c>
    </row>
    <row r="2217" spans="1:11" x14ac:dyDescent="0.3">
      <c r="A2217" s="1" t="s">
        <v>5836</v>
      </c>
      <c r="B2217" s="1" t="s">
        <v>1616</v>
      </c>
      <c r="C2217" s="1" t="s">
        <v>3331</v>
      </c>
      <c r="D2217" s="1">
        <v>682912.44</v>
      </c>
      <c r="E2217" s="1">
        <v>36238.550000000003</v>
      </c>
      <c r="F2217" s="41">
        <v>45979</v>
      </c>
      <c r="G2217" s="41">
        <v>46344</v>
      </c>
      <c r="H2217" s="1" t="s">
        <v>4175</v>
      </c>
      <c r="I2217" s="1" t="s">
        <v>3324</v>
      </c>
      <c r="J2217" t="str">
        <f>IF(ISNA(_xlfn.XLOOKUP(B2217,customer_master!$A$2:$A$1649, customer_master!$A$2:$A$1649)), "Invalid", "Ok")</f>
        <v>Ok</v>
      </c>
      <c r="K2217" t="str">
        <f>IF(ISNA(_xlfn.XLOOKUP(H2217,agent_info!$A$2:$A$301, agent_info!$A$2:$A$301)), "Invalid", "Ok")</f>
        <v>Ok</v>
      </c>
    </row>
    <row r="2218" spans="1:11" x14ac:dyDescent="0.3">
      <c r="A2218" s="1" t="s">
        <v>5837</v>
      </c>
      <c r="B2218" s="1" t="s">
        <v>1931</v>
      </c>
      <c r="C2218" s="1" t="s">
        <v>3334</v>
      </c>
      <c r="D2218" s="1">
        <v>574978.24</v>
      </c>
      <c r="E2218" s="1">
        <v>27634.41</v>
      </c>
      <c r="F2218" s="41">
        <v>45609</v>
      </c>
      <c r="G2218" s="41">
        <v>45974</v>
      </c>
      <c r="H2218" s="1" t="s">
        <v>3369</v>
      </c>
      <c r="I2218" s="1" t="s">
        <v>3316</v>
      </c>
      <c r="J2218" t="str">
        <f>IF(ISNA(_xlfn.XLOOKUP(B2218,customer_master!$A$2:$A$1649, customer_master!$A$2:$A$1649)), "Invalid", "Ok")</f>
        <v>Ok</v>
      </c>
      <c r="K2218" t="str">
        <f>IF(ISNA(_xlfn.XLOOKUP(H2218,agent_info!$A$2:$A$301, agent_info!$A$2:$A$301)), "Invalid", "Ok")</f>
        <v>Ok</v>
      </c>
    </row>
    <row r="2219" spans="1:11" x14ac:dyDescent="0.3">
      <c r="A2219" s="1" t="s">
        <v>5838</v>
      </c>
      <c r="B2219" s="1" t="s">
        <v>3172</v>
      </c>
      <c r="C2219" s="1" t="s">
        <v>3318</v>
      </c>
      <c r="D2219" s="1">
        <v>442768.27</v>
      </c>
      <c r="E2219" s="1">
        <v>24007.11</v>
      </c>
      <c r="F2219" s="41">
        <v>45499</v>
      </c>
      <c r="G2219" s="41">
        <v>45864</v>
      </c>
      <c r="H2219" s="1" t="s">
        <v>3658</v>
      </c>
      <c r="I2219" s="1" t="s">
        <v>3316</v>
      </c>
      <c r="J2219" t="str">
        <f>IF(ISNA(_xlfn.XLOOKUP(B2219,customer_master!$A$2:$A$1649, customer_master!$A$2:$A$1649)), "Invalid", "Ok")</f>
        <v>Ok</v>
      </c>
      <c r="K2219" t="str">
        <f>IF(ISNA(_xlfn.XLOOKUP(H2219,agent_info!$A$2:$A$301, agent_info!$A$2:$A$301)), "Invalid", "Ok")</f>
        <v>Ok</v>
      </c>
    </row>
    <row r="2220" spans="1:11" x14ac:dyDescent="0.3">
      <c r="A2220" s="1" t="s">
        <v>5839</v>
      </c>
      <c r="B2220" s="1" t="s">
        <v>1159</v>
      </c>
      <c r="C2220" s="1" t="s">
        <v>3331</v>
      </c>
      <c r="D2220" s="1">
        <v>705212.74</v>
      </c>
      <c r="E2220" s="1">
        <v>34230.300000000003</v>
      </c>
      <c r="F2220" s="41">
        <v>45076</v>
      </c>
      <c r="G2220" s="41">
        <v>45442</v>
      </c>
      <c r="H2220" s="1" t="s">
        <v>3803</v>
      </c>
      <c r="I2220" s="1" t="s">
        <v>3316</v>
      </c>
      <c r="J2220" t="str">
        <f>IF(ISNA(_xlfn.XLOOKUP(B2220,customer_master!$A$2:$A$1649, customer_master!$A$2:$A$1649)), "Invalid", "Ok")</f>
        <v>Ok</v>
      </c>
      <c r="K2220" t="str">
        <f>IF(ISNA(_xlfn.XLOOKUP(H2220,agent_info!$A$2:$A$301, agent_info!$A$2:$A$301)), "Invalid", "Ok")</f>
        <v>Ok</v>
      </c>
    </row>
    <row r="2221" spans="1:11" x14ac:dyDescent="0.3">
      <c r="A2221" s="1" t="s">
        <v>5840</v>
      </c>
      <c r="B2221" s="1" t="s">
        <v>2496</v>
      </c>
      <c r="C2221" s="1" t="s">
        <v>3331</v>
      </c>
      <c r="D2221" s="1">
        <v>439920.84</v>
      </c>
      <c r="E2221" s="1">
        <v>20994.45</v>
      </c>
      <c r="F2221" s="41">
        <v>44976</v>
      </c>
      <c r="G2221" s="41">
        <v>45341</v>
      </c>
      <c r="H2221" s="1" t="s">
        <v>3574</v>
      </c>
      <c r="I2221" s="1" t="s">
        <v>3324</v>
      </c>
      <c r="J2221" t="str">
        <f>IF(ISNA(_xlfn.XLOOKUP(B2221,customer_master!$A$2:$A$1649, customer_master!$A$2:$A$1649)), "Invalid", "Ok")</f>
        <v>Ok</v>
      </c>
      <c r="K2221" t="str">
        <f>IF(ISNA(_xlfn.XLOOKUP(H2221,agent_info!$A$2:$A$301, agent_info!$A$2:$A$301)), "Invalid", "Ok")</f>
        <v>Ok</v>
      </c>
    </row>
    <row r="2222" spans="1:11" x14ac:dyDescent="0.3">
      <c r="A2222" s="1" t="s">
        <v>5841</v>
      </c>
      <c r="B2222" s="1" t="s">
        <v>1503</v>
      </c>
      <c r="C2222" s="1" t="s">
        <v>3318</v>
      </c>
      <c r="D2222" s="1">
        <v>482638.23</v>
      </c>
      <c r="E2222" s="1">
        <v>23221.8</v>
      </c>
      <c r="F2222" s="41">
        <v>44849</v>
      </c>
      <c r="G2222" s="41">
        <v>45214</v>
      </c>
      <c r="H2222" s="1" t="s">
        <v>3966</v>
      </c>
      <c r="I2222" s="1" t="s">
        <v>3316</v>
      </c>
      <c r="J2222" t="str">
        <f>IF(ISNA(_xlfn.XLOOKUP(B2222,customer_master!$A$2:$A$1649, customer_master!$A$2:$A$1649)), "Invalid", "Ok")</f>
        <v>Ok</v>
      </c>
      <c r="K2222" t="str">
        <f>IF(ISNA(_xlfn.XLOOKUP(H2222,agent_info!$A$2:$A$301, agent_info!$A$2:$A$301)), "Invalid", "Ok")</f>
        <v>Ok</v>
      </c>
    </row>
    <row r="2223" spans="1:11" x14ac:dyDescent="0.3">
      <c r="A2223" s="1" t="s">
        <v>5842</v>
      </c>
      <c r="B2223" s="1" t="s">
        <v>2204</v>
      </c>
      <c r="C2223" s="1" t="s">
        <v>3331</v>
      </c>
      <c r="D2223" s="1">
        <v>428910.99</v>
      </c>
      <c r="E2223" s="1">
        <v>20838.71</v>
      </c>
      <c r="F2223" s="41">
        <v>45266</v>
      </c>
      <c r="G2223" s="41">
        <v>45632</v>
      </c>
      <c r="H2223" s="1" t="s">
        <v>3415</v>
      </c>
      <c r="I2223" s="1" t="s">
        <v>3324</v>
      </c>
      <c r="J2223" t="str">
        <f>IF(ISNA(_xlfn.XLOOKUP(B2223,customer_master!$A$2:$A$1649, customer_master!$A$2:$A$1649)), "Invalid", "Ok")</f>
        <v>Ok</v>
      </c>
      <c r="K2223" t="str">
        <f>IF(ISNA(_xlfn.XLOOKUP(H2223,agent_info!$A$2:$A$301, agent_info!$A$2:$A$301)), "Invalid", "Ok")</f>
        <v>Ok</v>
      </c>
    </row>
    <row r="2224" spans="1:11" x14ac:dyDescent="0.3">
      <c r="A2224" s="1" t="s">
        <v>5843</v>
      </c>
      <c r="B2224" s="1" t="s">
        <v>1239</v>
      </c>
      <c r="C2224" s="1" t="s">
        <v>3314</v>
      </c>
      <c r="D2224" s="1">
        <v>561718.51</v>
      </c>
      <c r="E2224" s="1">
        <v>27057.59</v>
      </c>
      <c r="F2224" s="41">
        <v>45223</v>
      </c>
      <c r="G2224" s="41">
        <v>45589</v>
      </c>
      <c r="H2224" s="1" t="s">
        <v>3813</v>
      </c>
      <c r="I2224" s="1" t="s">
        <v>3324</v>
      </c>
      <c r="J2224" t="str">
        <f>IF(ISNA(_xlfn.XLOOKUP(B2224,customer_master!$A$2:$A$1649, customer_master!$A$2:$A$1649)), "Invalid", "Ok")</f>
        <v>Ok</v>
      </c>
      <c r="K2224" t="str">
        <f>IF(ISNA(_xlfn.XLOOKUP(H2224,agent_info!$A$2:$A$301, agent_info!$A$2:$A$301)), "Invalid", "Ok")</f>
        <v>Ok</v>
      </c>
    </row>
    <row r="2225" spans="1:11" x14ac:dyDescent="0.3">
      <c r="A2225" s="1" t="s">
        <v>5844</v>
      </c>
      <c r="B2225" s="1" t="s">
        <v>803</v>
      </c>
      <c r="C2225" s="1" t="s">
        <v>3314</v>
      </c>
      <c r="D2225" s="1">
        <v>627241.19999999995</v>
      </c>
      <c r="E2225" s="1">
        <v>33518.199999999997</v>
      </c>
      <c r="F2225" s="41">
        <v>45754</v>
      </c>
      <c r="G2225" s="41">
        <v>46119</v>
      </c>
      <c r="H2225" s="1" t="s">
        <v>3882</v>
      </c>
      <c r="I2225" s="1" t="s">
        <v>3324</v>
      </c>
      <c r="J2225" t="str">
        <f>IF(ISNA(_xlfn.XLOOKUP(B2225,customer_master!$A$2:$A$1649, customer_master!$A$2:$A$1649)), "Invalid", "Ok")</f>
        <v>Ok</v>
      </c>
      <c r="K2225" t="str">
        <f>IF(ISNA(_xlfn.XLOOKUP(H2225,agent_info!$A$2:$A$301, agent_info!$A$2:$A$301)), "Invalid", "Ok")</f>
        <v>Ok</v>
      </c>
    </row>
    <row r="2226" spans="1:11" x14ac:dyDescent="0.3">
      <c r="A2226" s="1" t="s">
        <v>5845</v>
      </c>
      <c r="B2226" s="1" t="s">
        <v>316</v>
      </c>
      <c r="C2226" s="1" t="s">
        <v>3331</v>
      </c>
      <c r="D2226" s="1">
        <v>697045.64</v>
      </c>
      <c r="E2226" s="1">
        <v>35278.54</v>
      </c>
      <c r="F2226" s="41">
        <v>44325</v>
      </c>
      <c r="G2226" s="41">
        <v>44690</v>
      </c>
      <c r="H2226" s="1" t="s">
        <v>3706</v>
      </c>
      <c r="I2226" s="1" t="s">
        <v>3316</v>
      </c>
      <c r="J2226" t="str">
        <f>IF(ISNA(_xlfn.XLOOKUP(B2226,customer_master!$A$2:$A$1649, customer_master!$A$2:$A$1649)), "Invalid", "Ok")</f>
        <v>Ok</v>
      </c>
      <c r="K2226" t="str">
        <f>IF(ISNA(_xlfn.XLOOKUP(H2226,agent_info!$A$2:$A$301, agent_info!$A$2:$A$301)), "Invalid", "Ok")</f>
        <v>Ok</v>
      </c>
    </row>
    <row r="2227" spans="1:11" x14ac:dyDescent="0.3">
      <c r="A2227" s="1" t="s">
        <v>5846</v>
      </c>
      <c r="B2227" s="1" t="s">
        <v>365</v>
      </c>
      <c r="C2227" s="1" t="s">
        <v>3334</v>
      </c>
      <c r="D2227" s="1">
        <v>562614.98</v>
      </c>
      <c r="E2227" s="1">
        <v>30761.79</v>
      </c>
      <c r="F2227" s="41">
        <v>44462</v>
      </c>
      <c r="G2227" s="41">
        <v>44827</v>
      </c>
      <c r="H2227" s="1" t="s">
        <v>3565</v>
      </c>
      <c r="I2227" s="1" t="s">
        <v>3324</v>
      </c>
      <c r="J2227" t="str">
        <f>IF(ISNA(_xlfn.XLOOKUP(B2227,customer_master!$A$2:$A$1649, customer_master!$A$2:$A$1649)), "Invalid", "Ok")</f>
        <v>Ok</v>
      </c>
      <c r="K2227" t="str">
        <f>IF(ISNA(_xlfn.XLOOKUP(H2227,agent_info!$A$2:$A$301, agent_info!$A$2:$A$301)), "Invalid", "Ok")</f>
        <v>Ok</v>
      </c>
    </row>
    <row r="2228" spans="1:11" x14ac:dyDescent="0.3">
      <c r="A2228" s="1" t="s">
        <v>5847</v>
      </c>
      <c r="B2228" s="1" t="s">
        <v>3184</v>
      </c>
      <c r="C2228" s="1" t="s">
        <v>3318</v>
      </c>
      <c r="D2228" s="1">
        <v>744932.26</v>
      </c>
      <c r="E2228" s="1">
        <v>34147.360000000001</v>
      </c>
      <c r="F2228" s="41">
        <v>45016</v>
      </c>
      <c r="G2228" s="41">
        <v>45382</v>
      </c>
      <c r="H2228" s="1" t="s">
        <v>3455</v>
      </c>
      <c r="I2228" s="1" t="s">
        <v>3324</v>
      </c>
      <c r="J2228" t="str">
        <f>IF(ISNA(_xlfn.XLOOKUP(B2228,customer_master!$A$2:$A$1649, customer_master!$A$2:$A$1649)), "Invalid", "Ok")</f>
        <v>Ok</v>
      </c>
      <c r="K2228" t="str">
        <f>IF(ISNA(_xlfn.XLOOKUP(H2228,agent_info!$A$2:$A$301, agent_info!$A$2:$A$301)), "Invalid", "Ok")</f>
        <v>Ok</v>
      </c>
    </row>
    <row r="2229" spans="1:11" x14ac:dyDescent="0.3">
      <c r="A2229" s="1" t="s">
        <v>5848</v>
      </c>
      <c r="B2229" s="1" t="s">
        <v>2617</v>
      </c>
      <c r="C2229" s="1" t="s">
        <v>3314</v>
      </c>
      <c r="D2229" s="1">
        <v>614404.93999999994</v>
      </c>
      <c r="E2229" s="1">
        <v>31420.55</v>
      </c>
      <c r="F2229" s="41">
        <v>44464</v>
      </c>
      <c r="G2229" s="41">
        <v>44829</v>
      </c>
      <c r="H2229" s="1" t="s">
        <v>3504</v>
      </c>
      <c r="I2229" s="1" t="s">
        <v>3324</v>
      </c>
      <c r="J2229" t="str">
        <f>IF(ISNA(_xlfn.XLOOKUP(B2229,customer_master!$A$2:$A$1649, customer_master!$A$2:$A$1649)), "Invalid", "Ok")</f>
        <v>Ok</v>
      </c>
      <c r="K2229" t="str">
        <f>IF(ISNA(_xlfn.XLOOKUP(H2229,agent_info!$A$2:$A$301, agent_info!$A$2:$A$301)), "Invalid", "Ok")</f>
        <v>Ok</v>
      </c>
    </row>
    <row r="2230" spans="1:11" x14ac:dyDescent="0.3">
      <c r="A2230" s="1" t="s">
        <v>5849</v>
      </c>
      <c r="B2230" s="1" t="s">
        <v>847</v>
      </c>
      <c r="C2230" s="1" t="s">
        <v>3334</v>
      </c>
      <c r="D2230" s="1">
        <v>617697.86</v>
      </c>
      <c r="E2230" s="1">
        <v>28389.54</v>
      </c>
      <c r="F2230" s="41">
        <v>45381</v>
      </c>
      <c r="G2230" s="41">
        <v>45746</v>
      </c>
      <c r="H2230" s="1" t="s">
        <v>3496</v>
      </c>
      <c r="I2230" s="1" t="s">
        <v>3316</v>
      </c>
      <c r="J2230" t="str">
        <f>IF(ISNA(_xlfn.XLOOKUP(B2230,customer_master!$A$2:$A$1649, customer_master!$A$2:$A$1649)), "Invalid", "Ok")</f>
        <v>Ok</v>
      </c>
      <c r="K2230" t="str">
        <f>IF(ISNA(_xlfn.XLOOKUP(H2230,agent_info!$A$2:$A$301, agent_info!$A$2:$A$301)), "Invalid", "Ok")</f>
        <v>Ok</v>
      </c>
    </row>
    <row r="2231" spans="1:11" x14ac:dyDescent="0.3">
      <c r="A2231" s="1" t="s">
        <v>5850</v>
      </c>
      <c r="B2231" s="1" t="s">
        <v>1769</v>
      </c>
      <c r="C2231" s="1" t="s">
        <v>3331</v>
      </c>
      <c r="D2231" s="1">
        <v>448372.38</v>
      </c>
      <c r="E2231" s="1">
        <v>22234.11</v>
      </c>
      <c r="F2231" s="41">
        <v>45266</v>
      </c>
      <c r="G2231" s="41">
        <v>45632</v>
      </c>
      <c r="H2231" s="1" t="s">
        <v>4273</v>
      </c>
      <c r="I2231" s="1" t="s">
        <v>3324</v>
      </c>
      <c r="J2231" t="str">
        <f>IF(ISNA(_xlfn.XLOOKUP(B2231,customer_master!$A$2:$A$1649, customer_master!$A$2:$A$1649)), "Invalid", "Ok")</f>
        <v>Ok</v>
      </c>
      <c r="K2231" t="str">
        <f>IF(ISNA(_xlfn.XLOOKUP(H2231,agent_info!$A$2:$A$301, agent_info!$A$2:$A$301)), "Invalid", "Ok")</f>
        <v>Ok</v>
      </c>
    </row>
    <row r="2232" spans="1:11" x14ac:dyDescent="0.3">
      <c r="A2232" s="1" t="s">
        <v>5851</v>
      </c>
      <c r="B2232" s="1" t="s">
        <v>2390</v>
      </c>
      <c r="C2232" s="1" t="s">
        <v>3331</v>
      </c>
      <c r="D2232" s="1">
        <v>454029.27</v>
      </c>
      <c r="E2232" s="1">
        <v>22169.05</v>
      </c>
      <c r="F2232" s="41">
        <v>44913</v>
      </c>
      <c r="G2232" s="41">
        <v>45278</v>
      </c>
      <c r="H2232" s="1" t="s">
        <v>3836</v>
      </c>
      <c r="I2232" s="1" t="s">
        <v>3324</v>
      </c>
      <c r="J2232" t="str">
        <f>IF(ISNA(_xlfn.XLOOKUP(B2232,customer_master!$A$2:$A$1649, customer_master!$A$2:$A$1649)), "Invalid", "Ok")</f>
        <v>Ok</v>
      </c>
      <c r="K2232" t="str">
        <f>IF(ISNA(_xlfn.XLOOKUP(H2232,agent_info!$A$2:$A$301, agent_info!$A$2:$A$301)), "Invalid", "Ok")</f>
        <v>Ok</v>
      </c>
    </row>
    <row r="2233" spans="1:11" x14ac:dyDescent="0.3">
      <c r="A2233" s="1" t="s">
        <v>5852</v>
      </c>
      <c r="B2233" s="1" t="s">
        <v>1191</v>
      </c>
      <c r="C2233" s="1" t="s">
        <v>3318</v>
      </c>
      <c r="D2233" s="1">
        <v>595964.68999999994</v>
      </c>
      <c r="E2233" s="1">
        <v>30875.59</v>
      </c>
      <c r="F2233" s="41">
        <v>45929</v>
      </c>
      <c r="G2233" s="41">
        <v>46294</v>
      </c>
      <c r="H2233" s="1" t="s">
        <v>3751</v>
      </c>
      <c r="I2233" s="1" t="s">
        <v>3324</v>
      </c>
      <c r="J2233" t="str">
        <f>IF(ISNA(_xlfn.XLOOKUP(B2233,customer_master!$A$2:$A$1649, customer_master!$A$2:$A$1649)), "Invalid", "Ok")</f>
        <v>Ok</v>
      </c>
      <c r="K2233" t="str">
        <f>IF(ISNA(_xlfn.XLOOKUP(H2233,agent_info!$A$2:$A$301, agent_info!$A$2:$A$301)), "Invalid", "Ok")</f>
        <v>Ok</v>
      </c>
    </row>
    <row r="2234" spans="1:11" x14ac:dyDescent="0.3">
      <c r="A2234" s="1" t="s">
        <v>5853</v>
      </c>
      <c r="B2234" s="1" t="s">
        <v>1473</v>
      </c>
      <c r="C2234" s="1" t="s">
        <v>3314</v>
      </c>
      <c r="D2234" s="1">
        <v>662538.56999999995</v>
      </c>
      <c r="E2234" s="1">
        <v>34753.1</v>
      </c>
      <c r="F2234" s="41">
        <v>45586</v>
      </c>
      <c r="G2234" s="41">
        <v>45951</v>
      </c>
      <c r="H2234" s="1" t="s">
        <v>3496</v>
      </c>
      <c r="I2234" s="1" t="s">
        <v>3324</v>
      </c>
      <c r="J2234" t="str">
        <f>IF(ISNA(_xlfn.XLOOKUP(B2234,customer_master!$A$2:$A$1649, customer_master!$A$2:$A$1649)), "Invalid", "Ok")</f>
        <v>Ok</v>
      </c>
      <c r="K2234" t="str">
        <f>IF(ISNA(_xlfn.XLOOKUP(H2234,agent_info!$A$2:$A$301, agent_info!$A$2:$A$301)), "Invalid", "Ok")</f>
        <v>Ok</v>
      </c>
    </row>
    <row r="2235" spans="1:11" x14ac:dyDescent="0.3">
      <c r="A2235" s="1" t="s">
        <v>5854</v>
      </c>
      <c r="B2235" s="1" t="s">
        <v>2402</v>
      </c>
      <c r="C2235" s="1" t="s">
        <v>3318</v>
      </c>
      <c r="D2235" s="1">
        <v>455379.13</v>
      </c>
      <c r="E2235" s="1">
        <v>21576.29</v>
      </c>
      <c r="F2235" s="41">
        <v>45035</v>
      </c>
      <c r="G2235" s="41">
        <v>45401</v>
      </c>
      <c r="H2235" s="1" t="s">
        <v>3361</v>
      </c>
      <c r="I2235" s="1" t="s">
        <v>3324</v>
      </c>
      <c r="J2235" t="str">
        <f>IF(ISNA(_xlfn.XLOOKUP(B2235,customer_master!$A$2:$A$1649, customer_master!$A$2:$A$1649)), "Invalid", "Ok")</f>
        <v>Ok</v>
      </c>
      <c r="K2235" t="str">
        <f>IF(ISNA(_xlfn.XLOOKUP(H2235,agent_info!$A$2:$A$301, agent_info!$A$2:$A$301)), "Invalid", "Ok")</f>
        <v>Ok</v>
      </c>
    </row>
    <row r="2236" spans="1:11" x14ac:dyDescent="0.3">
      <c r="A2236" s="1" t="s">
        <v>5855</v>
      </c>
      <c r="B2236" s="1" t="s">
        <v>803</v>
      </c>
      <c r="C2236" s="1" t="s">
        <v>3314</v>
      </c>
      <c r="D2236" s="1">
        <v>571346.81000000006</v>
      </c>
      <c r="E2236" s="1">
        <v>26817.39</v>
      </c>
      <c r="F2236" s="41">
        <v>44697</v>
      </c>
      <c r="G2236" s="41">
        <v>45062</v>
      </c>
      <c r="H2236" s="1" t="s">
        <v>4025</v>
      </c>
      <c r="I2236" s="1" t="s">
        <v>3324</v>
      </c>
      <c r="J2236" t="str">
        <f>IF(ISNA(_xlfn.XLOOKUP(B2236,customer_master!$A$2:$A$1649, customer_master!$A$2:$A$1649)), "Invalid", "Ok")</f>
        <v>Ok</v>
      </c>
      <c r="K2236" t="str">
        <f>IF(ISNA(_xlfn.XLOOKUP(H2236,agent_info!$A$2:$A$301, agent_info!$A$2:$A$301)), "Invalid", "Ok")</f>
        <v>Ok</v>
      </c>
    </row>
    <row r="2237" spans="1:11" x14ac:dyDescent="0.3">
      <c r="A2237" s="1" t="s">
        <v>5856</v>
      </c>
      <c r="B2237" s="1" t="s">
        <v>1763</v>
      </c>
      <c r="C2237" s="1" t="s">
        <v>3331</v>
      </c>
      <c r="D2237" s="1">
        <v>517390.32</v>
      </c>
      <c r="E2237" s="1">
        <v>25453.07</v>
      </c>
      <c r="F2237" s="41">
        <v>45436</v>
      </c>
      <c r="G2237" s="41">
        <v>45801</v>
      </c>
      <c r="H2237" s="1" t="s">
        <v>4027</v>
      </c>
      <c r="I2237" s="1" t="s">
        <v>3316</v>
      </c>
      <c r="J2237" t="str">
        <f>IF(ISNA(_xlfn.XLOOKUP(B2237,customer_master!$A$2:$A$1649, customer_master!$A$2:$A$1649)), "Invalid", "Ok")</f>
        <v>Ok</v>
      </c>
      <c r="K2237" t="str">
        <f>IF(ISNA(_xlfn.XLOOKUP(H2237,agent_info!$A$2:$A$301, agent_info!$A$2:$A$301)), "Invalid", "Ok")</f>
        <v>Ok</v>
      </c>
    </row>
    <row r="2238" spans="1:11" x14ac:dyDescent="0.3">
      <c r="A2238" s="1" t="s">
        <v>5857</v>
      </c>
      <c r="B2238" s="1" t="s">
        <v>747</v>
      </c>
      <c r="C2238" s="1" t="s">
        <v>3326</v>
      </c>
      <c r="D2238" s="1">
        <v>503567.31</v>
      </c>
      <c r="E2238" s="1">
        <v>23879.1</v>
      </c>
      <c r="F2238" s="41">
        <v>46104</v>
      </c>
      <c r="G2238" s="41">
        <v>46469</v>
      </c>
      <c r="H2238" s="1" t="s">
        <v>3587</v>
      </c>
      <c r="I2238" s="1" t="s">
        <v>3324</v>
      </c>
      <c r="J2238" t="str">
        <f>IF(ISNA(_xlfn.XLOOKUP(B2238,customer_master!$A$2:$A$1649, customer_master!$A$2:$A$1649)), "Invalid", "Ok")</f>
        <v>Ok</v>
      </c>
      <c r="K2238" t="str">
        <f>IF(ISNA(_xlfn.XLOOKUP(H2238,agent_info!$A$2:$A$301, agent_info!$A$2:$A$301)), "Invalid", "Ok")</f>
        <v>Ok</v>
      </c>
    </row>
    <row r="2239" spans="1:11" x14ac:dyDescent="0.3">
      <c r="A2239" s="1" t="s">
        <v>5858</v>
      </c>
      <c r="B2239" s="1" t="s">
        <v>41</v>
      </c>
      <c r="C2239" s="1" t="s">
        <v>3314</v>
      </c>
      <c r="D2239" s="1">
        <v>470520.41</v>
      </c>
      <c r="E2239" s="1">
        <v>24357.07</v>
      </c>
      <c r="F2239" s="41">
        <v>45955</v>
      </c>
      <c r="G2239" s="41">
        <v>46320</v>
      </c>
      <c r="H2239" s="1" t="s">
        <v>3719</v>
      </c>
      <c r="I2239" s="1" t="s">
        <v>3324</v>
      </c>
      <c r="J2239" t="str">
        <f>IF(ISNA(_xlfn.XLOOKUP(B2239,customer_master!$A$2:$A$1649, customer_master!$A$2:$A$1649)), "Invalid", "Ok")</f>
        <v>Ok</v>
      </c>
      <c r="K2239" t="str">
        <f>IF(ISNA(_xlfn.XLOOKUP(H2239,agent_info!$A$2:$A$301, agent_info!$A$2:$A$301)), "Invalid", "Ok")</f>
        <v>Ok</v>
      </c>
    </row>
    <row r="2240" spans="1:11" x14ac:dyDescent="0.3">
      <c r="A2240" s="1" t="s">
        <v>5859</v>
      </c>
      <c r="B2240" s="1" t="s">
        <v>2308</v>
      </c>
      <c r="C2240" s="1" t="s">
        <v>3331</v>
      </c>
      <c r="D2240" s="1">
        <v>435185.77</v>
      </c>
      <c r="E2240" s="1">
        <v>21836.31</v>
      </c>
      <c r="F2240" s="41">
        <v>46258</v>
      </c>
      <c r="G2240" s="41">
        <v>46623</v>
      </c>
      <c r="H2240" s="1" t="s">
        <v>3377</v>
      </c>
      <c r="I2240" s="1" t="s">
        <v>3324</v>
      </c>
      <c r="J2240" t="str">
        <f>IF(ISNA(_xlfn.XLOOKUP(B2240,customer_master!$A$2:$A$1649, customer_master!$A$2:$A$1649)), "Invalid", "Ok")</f>
        <v>Ok</v>
      </c>
      <c r="K2240" t="str">
        <f>IF(ISNA(_xlfn.XLOOKUP(H2240,agent_info!$A$2:$A$301, agent_info!$A$2:$A$301)), "Invalid", "Ok")</f>
        <v>Ok</v>
      </c>
    </row>
    <row r="2241" spans="1:11" x14ac:dyDescent="0.3">
      <c r="A2241" s="1" t="s">
        <v>5860</v>
      </c>
      <c r="B2241" s="1" t="s">
        <v>2364</v>
      </c>
      <c r="C2241" s="1" t="s">
        <v>3334</v>
      </c>
      <c r="D2241" s="1">
        <v>508392.9</v>
      </c>
      <c r="E2241" s="1">
        <v>27081.97</v>
      </c>
      <c r="F2241" s="41">
        <v>45843</v>
      </c>
      <c r="G2241" s="41">
        <v>46208</v>
      </c>
      <c r="H2241" s="1" t="s">
        <v>3367</v>
      </c>
      <c r="I2241" s="1" t="s">
        <v>3320</v>
      </c>
      <c r="J2241" t="str">
        <f>IF(ISNA(_xlfn.XLOOKUP(B2241,customer_master!$A$2:$A$1649, customer_master!$A$2:$A$1649)), "Invalid", "Ok")</f>
        <v>Ok</v>
      </c>
      <c r="K2241" t="str">
        <f>IF(ISNA(_xlfn.XLOOKUP(H2241,agent_info!$A$2:$A$301, agent_info!$A$2:$A$301)), "Invalid", "Ok")</f>
        <v>Ok</v>
      </c>
    </row>
    <row r="2242" spans="1:11" x14ac:dyDescent="0.3">
      <c r="A2242" s="1" t="s">
        <v>5861</v>
      </c>
      <c r="B2242" s="1" t="s">
        <v>3295</v>
      </c>
      <c r="C2242" s="1" t="s">
        <v>3331</v>
      </c>
      <c r="D2242" s="1">
        <v>712991.71</v>
      </c>
      <c r="E2242" s="1">
        <v>39081.019999999997</v>
      </c>
      <c r="F2242" s="41">
        <v>44304</v>
      </c>
      <c r="G2242" s="41">
        <v>44669</v>
      </c>
      <c r="H2242" s="1" t="s">
        <v>4122</v>
      </c>
      <c r="I2242" s="1" t="s">
        <v>3324</v>
      </c>
      <c r="J2242" t="str">
        <f>IF(ISNA(_xlfn.XLOOKUP(B2242,customer_master!$A$2:$A$1649, customer_master!$A$2:$A$1649)), "Invalid", "Ok")</f>
        <v>Ok</v>
      </c>
      <c r="K2242" t="str">
        <f>IF(ISNA(_xlfn.XLOOKUP(H2242,agent_info!$A$2:$A$301, agent_info!$A$2:$A$301)), "Invalid", "Ok")</f>
        <v>Ok</v>
      </c>
    </row>
    <row r="2243" spans="1:11" x14ac:dyDescent="0.3">
      <c r="A2243" s="1" t="s">
        <v>5862</v>
      </c>
      <c r="B2243" s="1" t="s">
        <v>642</v>
      </c>
      <c r="C2243" s="1" t="s">
        <v>3318</v>
      </c>
      <c r="D2243" s="1">
        <v>682375.34</v>
      </c>
      <c r="E2243" s="1">
        <v>33287.01</v>
      </c>
      <c r="F2243" s="41">
        <v>45500</v>
      </c>
      <c r="G2243" s="41">
        <v>45865</v>
      </c>
      <c r="H2243" s="1" t="s">
        <v>4539</v>
      </c>
      <c r="I2243" s="1" t="s">
        <v>3324</v>
      </c>
      <c r="J2243" t="str">
        <f>IF(ISNA(_xlfn.XLOOKUP(B2243,customer_master!$A$2:$A$1649, customer_master!$A$2:$A$1649)), "Invalid", "Ok")</f>
        <v>Ok</v>
      </c>
      <c r="K2243" t="str">
        <f>IF(ISNA(_xlfn.XLOOKUP(H2243,agent_info!$A$2:$A$301, agent_info!$A$2:$A$301)), "Invalid", "Ok")</f>
        <v>Ok</v>
      </c>
    </row>
    <row r="2244" spans="1:11" x14ac:dyDescent="0.3">
      <c r="A2244" s="1" t="s">
        <v>5863</v>
      </c>
      <c r="B2244" s="1" t="s">
        <v>2462</v>
      </c>
      <c r="C2244" s="1" t="s">
        <v>3314</v>
      </c>
      <c r="D2244" s="1">
        <v>424136.84</v>
      </c>
      <c r="E2244" s="1">
        <v>22954.27</v>
      </c>
      <c r="F2244" s="41">
        <v>45427</v>
      </c>
      <c r="G2244" s="41">
        <v>45792</v>
      </c>
      <c r="H2244" s="1" t="s">
        <v>4106</v>
      </c>
      <c r="I2244" s="1" t="s">
        <v>3324</v>
      </c>
      <c r="J2244" t="str">
        <f>IF(ISNA(_xlfn.XLOOKUP(B2244,customer_master!$A$2:$A$1649, customer_master!$A$2:$A$1649)), "Invalid", "Ok")</f>
        <v>Ok</v>
      </c>
      <c r="K2244" t="str">
        <f>IF(ISNA(_xlfn.XLOOKUP(H2244,agent_info!$A$2:$A$301, agent_info!$A$2:$A$301)), "Invalid", "Ok")</f>
        <v>Ok</v>
      </c>
    </row>
    <row r="2245" spans="1:11" x14ac:dyDescent="0.3">
      <c r="A2245" s="1" t="s">
        <v>5864</v>
      </c>
      <c r="B2245" s="1" t="s">
        <v>3152</v>
      </c>
      <c r="C2245" s="1" t="s">
        <v>3334</v>
      </c>
      <c r="D2245" s="1">
        <v>418806.28</v>
      </c>
      <c r="E2245" s="1">
        <v>22101.13</v>
      </c>
      <c r="F2245" s="41">
        <v>44978</v>
      </c>
      <c r="G2245" s="41">
        <v>45343</v>
      </c>
      <c r="H2245" s="1" t="s">
        <v>3361</v>
      </c>
      <c r="I2245" s="1" t="s">
        <v>3324</v>
      </c>
      <c r="J2245" t="str">
        <f>IF(ISNA(_xlfn.XLOOKUP(B2245,customer_master!$A$2:$A$1649, customer_master!$A$2:$A$1649)), "Invalid", "Ok")</f>
        <v>Ok</v>
      </c>
      <c r="K2245" t="str">
        <f>IF(ISNA(_xlfn.XLOOKUP(H2245,agent_info!$A$2:$A$301, agent_info!$A$2:$A$301)), "Invalid", "Ok")</f>
        <v>Ok</v>
      </c>
    </row>
    <row r="2246" spans="1:11" x14ac:dyDescent="0.3">
      <c r="A2246" s="1" t="s">
        <v>5865</v>
      </c>
      <c r="B2246" s="1" t="s">
        <v>2160</v>
      </c>
      <c r="C2246" s="1" t="s">
        <v>3334</v>
      </c>
      <c r="D2246" s="1">
        <v>574786.22</v>
      </c>
      <c r="E2246" s="1">
        <v>26722.52</v>
      </c>
      <c r="F2246" s="41">
        <v>45165</v>
      </c>
      <c r="G2246" s="41">
        <v>45531</v>
      </c>
      <c r="H2246" s="1" t="s">
        <v>3843</v>
      </c>
      <c r="I2246" s="1" t="s">
        <v>3324</v>
      </c>
      <c r="J2246" t="str">
        <f>IF(ISNA(_xlfn.XLOOKUP(B2246,customer_master!$A$2:$A$1649, customer_master!$A$2:$A$1649)), "Invalid", "Ok")</f>
        <v>Ok</v>
      </c>
      <c r="K2246" t="str">
        <f>IF(ISNA(_xlfn.XLOOKUP(H2246,agent_info!$A$2:$A$301, agent_info!$A$2:$A$301)), "Invalid", "Ok")</f>
        <v>Ok</v>
      </c>
    </row>
    <row r="2247" spans="1:11" x14ac:dyDescent="0.3">
      <c r="A2247" s="1" t="s">
        <v>5866</v>
      </c>
      <c r="B2247" s="1" t="s">
        <v>3194</v>
      </c>
      <c r="C2247" s="1" t="s">
        <v>3326</v>
      </c>
      <c r="D2247" s="1">
        <v>447083.77</v>
      </c>
      <c r="E2247" s="1">
        <v>23856.07</v>
      </c>
      <c r="F2247" s="41">
        <v>45724</v>
      </c>
      <c r="G2247" s="41">
        <v>46089</v>
      </c>
      <c r="H2247" s="1" t="s">
        <v>3984</v>
      </c>
      <c r="I2247" s="1" t="s">
        <v>3324</v>
      </c>
      <c r="J2247" t="str">
        <f>IF(ISNA(_xlfn.XLOOKUP(B2247,customer_master!$A$2:$A$1649, customer_master!$A$2:$A$1649)), "Invalid", "Ok")</f>
        <v>Ok</v>
      </c>
      <c r="K2247" t="str">
        <f>IF(ISNA(_xlfn.XLOOKUP(H2247,agent_info!$A$2:$A$301, agent_info!$A$2:$A$301)), "Invalid", "Ok")</f>
        <v>Ok</v>
      </c>
    </row>
    <row r="2248" spans="1:11" x14ac:dyDescent="0.3">
      <c r="A2248" s="1" t="s">
        <v>5867</v>
      </c>
      <c r="B2248" s="1" t="s">
        <v>3293</v>
      </c>
      <c r="C2248" s="1" t="s">
        <v>3331</v>
      </c>
      <c r="D2248" s="1">
        <v>695636.94</v>
      </c>
      <c r="E2248" s="1">
        <v>34653.21</v>
      </c>
      <c r="F2248" s="41">
        <v>46109</v>
      </c>
      <c r="G2248" s="41">
        <v>46474</v>
      </c>
      <c r="H2248" s="1" t="s">
        <v>3610</v>
      </c>
      <c r="I2248" s="1" t="s">
        <v>3324</v>
      </c>
      <c r="J2248" t="str">
        <f>IF(ISNA(_xlfn.XLOOKUP(B2248,customer_master!$A$2:$A$1649, customer_master!$A$2:$A$1649)), "Invalid", "Ok")</f>
        <v>Ok</v>
      </c>
      <c r="K2248" t="str">
        <f>IF(ISNA(_xlfn.XLOOKUP(H2248,agent_info!$A$2:$A$301, agent_info!$A$2:$A$301)), "Invalid", "Ok")</f>
        <v>Ok</v>
      </c>
    </row>
    <row r="2249" spans="1:11" x14ac:dyDescent="0.3">
      <c r="A2249" s="1" t="s">
        <v>5868</v>
      </c>
      <c r="B2249" s="1" t="s">
        <v>2653</v>
      </c>
      <c r="C2249" s="1" t="s">
        <v>3314</v>
      </c>
      <c r="D2249" s="1">
        <v>572179.75</v>
      </c>
      <c r="E2249" s="1">
        <v>29805.759999999998</v>
      </c>
      <c r="F2249" s="41">
        <v>44295</v>
      </c>
      <c r="G2249" s="41">
        <v>44660</v>
      </c>
      <c r="H2249" s="1" t="s">
        <v>3610</v>
      </c>
      <c r="I2249" s="1" t="s">
        <v>3324</v>
      </c>
      <c r="J2249" t="str">
        <f>IF(ISNA(_xlfn.XLOOKUP(B2249,customer_master!$A$2:$A$1649, customer_master!$A$2:$A$1649)), "Invalid", "Ok")</f>
        <v>Ok</v>
      </c>
      <c r="K2249" t="str">
        <f>IF(ISNA(_xlfn.XLOOKUP(H2249,agent_info!$A$2:$A$301, agent_info!$A$2:$A$301)), "Invalid", "Ok")</f>
        <v>Ok</v>
      </c>
    </row>
    <row r="2250" spans="1:11" x14ac:dyDescent="0.3">
      <c r="A2250" s="1" t="s">
        <v>5869</v>
      </c>
      <c r="B2250" s="1" t="s">
        <v>3303</v>
      </c>
      <c r="C2250" s="1" t="s">
        <v>3331</v>
      </c>
      <c r="D2250" s="1">
        <v>706808</v>
      </c>
      <c r="E2250" s="1">
        <v>36772.480000000003</v>
      </c>
      <c r="F2250" s="41">
        <v>45050</v>
      </c>
      <c r="G2250" s="41">
        <v>45416</v>
      </c>
      <c r="H2250" s="1" t="s">
        <v>3431</v>
      </c>
      <c r="I2250" s="1" t="s">
        <v>3316</v>
      </c>
      <c r="J2250" t="str">
        <f>IF(ISNA(_xlfn.XLOOKUP(B2250,customer_master!$A$2:$A$1649, customer_master!$A$2:$A$1649)), "Invalid", "Ok")</f>
        <v>Ok</v>
      </c>
      <c r="K2250" t="str">
        <f>IF(ISNA(_xlfn.XLOOKUP(H2250,agent_info!$A$2:$A$301, agent_info!$A$2:$A$301)), "Invalid", "Ok")</f>
        <v>Ok</v>
      </c>
    </row>
    <row r="2251" spans="1:11" x14ac:dyDescent="0.3">
      <c r="A2251" s="1" t="s">
        <v>5870</v>
      </c>
      <c r="B2251" s="1" t="s">
        <v>2107</v>
      </c>
      <c r="C2251" s="1" t="s">
        <v>3334</v>
      </c>
      <c r="D2251" s="1">
        <v>426656.55</v>
      </c>
      <c r="E2251" s="1">
        <v>22979.58</v>
      </c>
      <c r="F2251" s="41">
        <v>45351</v>
      </c>
      <c r="G2251" s="41">
        <v>45716</v>
      </c>
      <c r="H2251" s="1" t="s">
        <v>3745</v>
      </c>
      <c r="I2251" s="1" t="s">
        <v>3324</v>
      </c>
      <c r="J2251" t="str">
        <f>IF(ISNA(_xlfn.XLOOKUP(B2251,customer_master!$A$2:$A$1649, customer_master!$A$2:$A$1649)), "Invalid", "Ok")</f>
        <v>Ok</v>
      </c>
      <c r="K2251" t="str">
        <f>IF(ISNA(_xlfn.XLOOKUP(H2251,agent_info!$A$2:$A$301, agent_info!$A$2:$A$301)), "Invalid", "Ok")</f>
        <v>Ok</v>
      </c>
    </row>
    <row r="2252" spans="1:11" x14ac:dyDescent="0.3">
      <c r="A2252" s="1" t="s">
        <v>5871</v>
      </c>
      <c r="B2252" s="1" t="s">
        <v>1676</v>
      </c>
      <c r="C2252" s="1" t="s">
        <v>3314</v>
      </c>
      <c r="D2252" s="1">
        <v>758479.67</v>
      </c>
      <c r="E2252" s="1">
        <v>39904.86</v>
      </c>
      <c r="F2252" s="41">
        <v>44148</v>
      </c>
      <c r="G2252" s="41">
        <v>44513</v>
      </c>
      <c r="H2252" s="1" t="s">
        <v>3649</v>
      </c>
      <c r="I2252" s="1" t="s">
        <v>3324</v>
      </c>
      <c r="J2252" t="str">
        <f>IF(ISNA(_xlfn.XLOOKUP(B2252,customer_master!$A$2:$A$1649, customer_master!$A$2:$A$1649)), "Invalid", "Ok")</f>
        <v>Ok</v>
      </c>
      <c r="K2252" t="str">
        <f>IF(ISNA(_xlfn.XLOOKUP(H2252,agent_info!$A$2:$A$301, agent_info!$A$2:$A$301)), "Invalid", "Ok")</f>
        <v>Ok</v>
      </c>
    </row>
    <row r="2253" spans="1:11" x14ac:dyDescent="0.3">
      <c r="A2253" s="1" t="s">
        <v>5872</v>
      </c>
      <c r="B2253" s="1" t="s">
        <v>3053</v>
      </c>
      <c r="C2253" s="1" t="s">
        <v>3334</v>
      </c>
      <c r="D2253" s="1">
        <v>680334.02</v>
      </c>
      <c r="E2253" s="1">
        <v>36225.230000000003</v>
      </c>
      <c r="F2253" s="41">
        <v>44712</v>
      </c>
      <c r="G2253" s="41">
        <v>45077</v>
      </c>
      <c r="H2253" s="1" t="s">
        <v>4370</v>
      </c>
      <c r="I2253" s="1" t="s">
        <v>3324</v>
      </c>
      <c r="J2253" t="str">
        <f>IF(ISNA(_xlfn.XLOOKUP(B2253,customer_master!$A$2:$A$1649, customer_master!$A$2:$A$1649)), "Invalid", "Ok")</f>
        <v>Ok</v>
      </c>
      <c r="K2253" t="str">
        <f>IF(ISNA(_xlfn.XLOOKUP(H2253,agent_info!$A$2:$A$301, agent_info!$A$2:$A$301)), "Invalid", "Ok")</f>
        <v>Ok</v>
      </c>
    </row>
    <row r="2254" spans="1:11" x14ac:dyDescent="0.3">
      <c r="A2254" s="1" t="s">
        <v>5873</v>
      </c>
      <c r="B2254" s="1" t="s">
        <v>2756</v>
      </c>
      <c r="C2254" s="1" t="s">
        <v>3331</v>
      </c>
      <c r="D2254" s="1">
        <v>660710.91</v>
      </c>
      <c r="E2254" s="1">
        <v>31852.29</v>
      </c>
      <c r="F2254" s="41">
        <v>44999</v>
      </c>
      <c r="G2254" s="41">
        <v>45365</v>
      </c>
      <c r="H2254" s="1" t="s">
        <v>3373</v>
      </c>
      <c r="I2254" s="1" t="s">
        <v>3324</v>
      </c>
      <c r="J2254" t="str">
        <f>IF(ISNA(_xlfn.XLOOKUP(B2254,customer_master!$A$2:$A$1649, customer_master!$A$2:$A$1649)), "Invalid", "Ok")</f>
        <v>Ok</v>
      </c>
      <c r="K2254" t="str">
        <f>IF(ISNA(_xlfn.XLOOKUP(H2254,agent_info!$A$2:$A$301, agent_info!$A$2:$A$301)), "Invalid", "Ok")</f>
        <v>Ok</v>
      </c>
    </row>
    <row r="2255" spans="1:11" x14ac:dyDescent="0.3">
      <c r="A2255" s="1" t="s">
        <v>5874</v>
      </c>
      <c r="B2255" s="1" t="s">
        <v>393</v>
      </c>
      <c r="C2255" s="1" t="s">
        <v>3318</v>
      </c>
      <c r="D2255" s="1">
        <v>733401.71</v>
      </c>
      <c r="E2255" s="1">
        <v>40140.080000000002</v>
      </c>
      <c r="F2255" s="41">
        <v>44565</v>
      </c>
      <c r="G2255" s="41">
        <v>44930</v>
      </c>
      <c r="H2255" s="1" t="s">
        <v>3998</v>
      </c>
      <c r="I2255" s="1" t="s">
        <v>3324</v>
      </c>
      <c r="J2255" t="str">
        <f>IF(ISNA(_xlfn.XLOOKUP(B2255,customer_master!$A$2:$A$1649, customer_master!$A$2:$A$1649)), "Invalid", "Ok")</f>
        <v>Ok</v>
      </c>
      <c r="K2255" t="str">
        <f>IF(ISNA(_xlfn.XLOOKUP(H2255,agent_info!$A$2:$A$301, agent_info!$A$2:$A$301)), "Invalid", "Ok")</f>
        <v>Ok</v>
      </c>
    </row>
    <row r="2256" spans="1:11" x14ac:dyDescent="0.3">
      <c r="A2256" s="1" t="s">
        <v>5875</v>
      </c>
      <c r="B2256" s="1" t="s">
        <v>1019</v>
      </c>
      <c r="C2256" s="1" t="s">
        <v>3314</v>
      </c>
      <c r="D2256" s="1">
        <v>566066.55000000005</v>
      </c>
      <c r="E2256" s="1">
        <v>29218.05</v>
      </c>
      <c r="F2256" s="41">
        <v>45073</v>
      </c>
      <c r="G2256" s="41">
        <v>45439</v>
      </c>
      <c r="H2256" s="1" t="s">
        <v>3698</v>
      </c>
      <c r="I2256" s="1" t="s">
        <v>3324</v>
      </c>
      <c r="J2256" t="str">
        <f>IF(ISNA(_xlfn.XLOOKUP(B2256,customer_master!$A$2:$A$1649, customer_master!$A$2:$A$1649)), "Invalid", "Ok")</f>
        <v>Ok</v>
      </c>
      <c r="K2256" t="str">
        <f>IF(ISNA(_xlfn.XLOOKUP(H2256,agent_info!$A$2:$A$301, agent_info!$A$2:$A$301)), "Invalid", "Ok")</f>
        <v>Ok</v>
      </c>
    </row>
    <row r="2257" spans="1:11" x14ac:dyDescent="0.3">
      <c r="A2257" s="1" t="s">
        <v>5876</v>
      </c>
      <c r="B2257" s="1" t="s">
        <v>891</v>
      </c>
      <c r="C2257" s="1" t="s">
        <v>3314</v>
      </c>
      <c r="D2257" s="1">
        <v>442322.23</v>
      </c>
      <c r="E2257" s="1">
        <v>23326.71</v>
      </c>
      <c r="F2257" s="41">
        <v>44912</v>
      </c>
      <c r="G2257" s="41">
        <v>45277</v>
      </c>
      <c r="H2257" s="1" t="s">
        <v>3391</v>
      </c>
      <c r="I2257" s="1" t="s">
        <v>3324</v>
      </c>
      <c r="J2257" t="str">
        <f>IF(ISNA(_xlfn.XLOOKUP(B2257,customer_master!$A$2:$A$1649, customer_master!$A$2:$A$1649)), "Invalid", "Ok")</f>
        <v>Ok</v>
      </c>
      <c r="K2257" t="str">
        <f>IF(ISNA(_xlfn.XLOOKUP(H2257,agent_info!$A$2:$A$301, agent_info!$A$2:$A$301)), "Invalid", "Ok")</f>
        <v>Ok</v>
      </c>
    </row>
    <row r="2258" spans="1:11" x14ac:dyDescent="0.3">
      <c r="A2258" s="1" t="s">
        <v>5877</v>
      </c>
      <c r="B2258" s="1" t="s">
        <v>2843</v>
      </c>
      <c r="C2258" s="1" t="s">
        <v>3334</v>
      </c>
      <c r="D2258" s="1">
        <v>576306.79</v>
      </c>
      <c r="E2258" s="1">
        <v>30883.599999999999</v>
      </c>
      <c r="F2258" s="41">
        <v>44505</v>
      </c>
      <c r="G2258" s="41">
        <v>44870</v>
      </c>
      <c r="H2258" s="1" t="s">
        <v>3858</v>
      </c>
      <c r="I2258" s="1" t="s">
        <v>3324</v>
      </c>
      <c r="J2258" t="str">
        <f>IF(ISNA(_xlfn.XLOOKUP(B2258,customer_master!$A$2:$A$1649, customer_master!$A$2:$A$1649)), "Invalid", "Ok")</f>
        <v>Ok</v>
      </c>
      <c r="K2258" t="str">
        <f>IF(ISNA(_xlfn.XLOOKUP(H2258,agent_info!$A$2:$A$301, agent_info!$A$2:$A$301)), "Invalid", "Ok")</f>
        <v>Ok</v>
      </c>
    </row>
    <row r="2259" spans="1:11" x14ac:dyDescent="0.3">
      <c r="A2259" s="1" t="s">
        <v>5878</v>
      </c>
      <c r="B2259" s="1" t="s">
        <v>817</v>
      </c>
      <c r="C2259" s="1" t="s">
        <v>3326</v>
      </c>
      <c r="D2259" s="1">
        <v>635328.34</v>
      </c>
      <c r="E2259" s="1">
        <v>29376.21</v>
      </c>
      <c r="F2259" s="41">
        <v>45106</v>
      </c>
      <c r="G2259" s="41">
        <v>45472</v>
      </c>
      <c r="H2259" s="1" t="s">
        <v>3805</v>
      </c>
      <c r="I2259" s="1" t="s">
        <v>3324</v>
      </c>
      <c r="J2259" t="str">
        <f>IF(ISNA(_xlfn.XLOOKUP(B2259,customer_master!$A$2:$A$1649, customer_master!$A$2:$A$1649)), "Invalid", "Ok")</f>
        <v>Ok</v>
      </c>
      <c r="K2259" t="str">
        <f>IF(ISNA(_xlfn.XLOOKUP(H2259,agent_info!$A$2:$A$301, agent_info!$A$2:$A$301)), "Invalid", "Ok")</f>
        <v>Ok</v>
      </c>
    </row>
    <row r="2260" spans="1:11" x14ac:dyDescent="0.3">
      <c r="A2260" s="1" t="s">
        <v>5879</v>
      </c>
      <c r="B2260" s="1" t="s">
        <v>1023</v>
      </c>
      <c r="C2260" s="1" t="s">
        <v>3326</v>
      </c>
      <c r="D2260" s="1">
        <v>650840.04</v>
      </c>
      <c r="E2260" s="1">
        <v>31477.3</v>
      </c>
      <c r="F2260" s="41">
        <v>44349</v>
      </c>
      <c r="G2260" s="41">
        <v>44714</v>
      </c>
      <c r="H2260" s="1" t="s">
        <v>3843</v>
      </c>
      <c r="I2260" s="1" t="s">
        <v>3324</v>
      </c>
      <c r="J2260" t="str">
        <f>IF(ISNA(_xlfn.XLOOKUP(B2260,customer_master!$A$2:$A$1649, customer_master!$A$2:$A$1649)), "Invalid", "Ok")</f>
        <v>Ok</v>
      </c>
      <c r="K2260" t="str">
        <f>IF(ISNA(_xlfn.XLOOKUP(H2260,agent_info!$A$2:$A$301, agent_info!$A$2:$A$301)), "Invalid", "Ok")</f>
        <v>Ok</v>
      </c>
    </row>
    <row r="2261" spans="1:11" x14ac:dyDescent="0.3">
      <c r="A2261" s="1" t="s">
        <v>5880</v>
      </c>
      <c r="B2261" s="1" t="s">
        <v>1739</v>
      </c>
      <c r="C2261" s="1" t="s">
        <v>3331</v>
      </c>
      <c r="D2261" s="1">
        <v>567880.18999999994</v>
      </c>
      <c r="E2261" s="1">
        <v>30301.72</v>
      </c>
      <c r="F2261" s="41">
        <v>46198</v>
      </c>
      <c r="G2261" s="41">
        <v>46563</v>
      </c>
      <c r="H2261" s="1" t="s">
        <v>3698</v>
      </c>
      <c r="I2261" s="1" t="s">
        <v>3324</v>
      </c>
      <c r="J2261" t="str">
        <f>IF(ISNA(_xlfn.XLOOKUP(B2261,customer_master!$A$2:$A$1649, customer_master!$A$2:$A$1649)), "Invalid", "Ok")</f>
        <v>Ok</v>
      </c>
      <c r="K2261" t="str">
        <f>IF(ISNA(_xlfn.XLOOKUP(H2261,agent_info!$A$2:$A$301, agent_info!$A$2:$A$301)), "Invalid", "Ok")</f>
        <v>Ok</v>
      </c>
    </row>
    <row r="2262" spans="1:11" x14ac:dyDescent="0.3">
      <c r="A2262" s="1" t="s">
        <v>5881</v>
      </c>
      <c r="B2262" s="1" t="s">
        <v>290</v>
      </c>
      <c r="C2262" s="1" t="s">
        <v>3334</v>
      </c>
      <c r="D2262" s="1">
        <v>666936.35</v>
      </c>
      <c r="E2262" s="1">
        <v>36161.17</v>
      </c>
      <c r="F2262" s="41">
        <v>46080</v>
      </c>
      <c r="G2262" s="41">
        <v>46445</v>
      </c>
      <c r="H2262" s="1" t="s">
        <v>4703</v>
      </c>
      <c r="I2262" s="1" t="s">
        <v>3316</v>
      </c>
      <c r="J2262" t="str">
        <f>IF(ISNA(_xlfn.XLOOKUP(B2262,customer_master!$A$2:$A$1649, customer_master!$A$2:$A$1649)), "Invalid", "Ok")</f>
        <v>Ok</v>
      </c>
      <c r="K2262" t="str">
        <f>IF(ISNA(_xlfn.XLOOKUP(H2262,agent_info!$A$2:$A$301, agent_info!$A$2:$A$301)), "Invalid", "Ok")</f>
        <v>Ok</v>
      </c>
    </row>
    <row r="2263" spans="1:11" x14ac:dyDescent="0.3">
      <c r="A2263" s="1" t="s">
        <v>5882</v>
      </c>
      <c r="B2263" s="1" t="s">
        <v>3190</v>
      </c>
      <c r="C2263" s="1" t="s">
        <v>3326</v>
      </c>
      <c r="D2263" s="1">
        <v>436433.45</v>
      </c>
      <c r="E2263" s="1">
        <v>22939.35</v>
      </c>
      <c r="F2263" s="41">
        <v>44982</v>
      </c>
      <c r="G2263" s="41">
        <v>45347</v>
      </c>
      <c r="H2263" s="1" t="s">
        <v>3794</v>
      </c>
      <c r="I2263" s="1" t="s">
        <v>3316</v>
      </c>
      <c r="J2263" t="str">
        <f>IF(ISNA(_xlfn.XLOOKUP(B2263,customer_master!$A$2:$A$1649, customer_master!$A$2:$A$1649)), "Invalid", "Ok")</f>
        <v>Ok</v>
      </c>
      <c r="K2263" t="str">
        <f>IF(ISNA(_xlfn.XLOOKUP(H2263,agent_info!$A$2:$A$301, agent_info!$A$2:$A$301)), "Invalid", "Ok")</f>
        <v>Ok</v>
      </c>
    </row>
    <row r="2264" spans="1:11" x14ac:dyDescent="0.3">
      <c r="A2264" s="1" t="s">
        <v>5883</v>
      </c>
      <c r="B2264" s="1" t="s">
        <v>1652</v>
      </c>
      <c r="C2264" s="1" t="s">
        <v>3314</v>
      </c>
      <c r="D2264" s="1">
        <v>473760.61</v>
      </c>
      <c r="E2264" s="1">
        <v>23604.22</v>
      </c>
      <c r="F2264" s="41">
        <v>45875</v>
      </c>
      <c r="G2264" s="41">
        <v>46240</v>
      </c>
      <c r="H2264" s="1" t="s">
        <v>4548</v>
      </c>
      <c r="I2264" s="1" t="s">
        <v>3324</v>
      </c>
      <c r="J2264" t="str">
        <f>IF(ISNA(_xlfn.XLOOKUP(B2264,customer_master!$A$2:$A$1649, customer_master!$A$2:$A$1649)), "Invalid", "Ok")</f>
        <v>Ok</v>
      </c>
      <c r="K2264" t="str">
        <f>IF(ISNA(_xlfn.XLOOKUP(H2264,agent_info!$A$2:$A$301, agent_info!$A$2:$A$301)), "Invalid", "Ok")</f>
        <v>Ok</v>
      </c>
    </row>
    <row r="2265" spans="1:11" x14ac:dyDescent="0.3">
      <c r="A2265" s="1" t="s">
        <v>5884</v>
      </c>
      <c r="B2265" s="1" t="s">
        <v>676</v>
      </c>
      <c r="C2265" s="1" t="s">
        <v>3331</v>
      </c>
      <c r="D2265" s="1">
        <v>605158.02</v>
      </c>
      <c r="E2265" s="1">
        <v>28751.8</v>
      </c>
      <c r="F2265" s="41">
        <v>45619</v>
      </c>
      <c r="G2265" s="41">
        <v>45984</v>
      </c>
      <c r="H2265" s="1" t="s">
        <v>3435</v>
      </c>
      <c r="I2265" s="1" t="s">
        <v>3324</v>
      </c>
      <c r="J2265" t="str">
        <f>IF(ISNA(_xlfn.XLOOKUP(B2265,customer_master!$A$2:$A$1649, customer_master!$A$2:$A$1649)), "Invalid", "Ok")</f>
        <v>Ok</v>
      </c>
      <c r="K2265" t="str">
        <f>IF(ISNA(_xlfn.XLOOKUP(H2265,agent_info!$A$2:$A$301, agent_info!$A$2:$A$301)), "Invalid", "Ok")</f>
        <v>Ok</v>
      </c>
    </row>
    <row r="2266" spans="1:11" x14ac:dyDescent="0.3">
      <c r="A2266" s="1" t="s">
        <v>5885</v>
      </c>
      <c r="B2266" s="1" t="s">
        <v>917</v>
      </c>
      <c r="C2266" s="1" t="s">
        <v>3326</v>
      </c>
      <c r="D2266" s="1">
        <v>497612.91</v>
      </c>
      <c r="E2266" s="1">
        <v>25005.19</v>
      </c>
      <c r="F2266" s="41">
        <v>45701</v>
      </c>
      <c r="G2266" s="41">
        <v>46066</v>
      </c>
      <c r="H2266" s="1" t="s">
        <v>3538</v>
      </c>
      <c r="I2266" s="1" t="s">
        <v>3324</v>
      </c>
      <c r="J2266" t="str">
        <f>IF(ISNA(_xlfn.XLOOKUP(B2266,customer_master!$A$2:$A$1649, customer_master!$A$2:$A$1649)), "Invalid", "Ok")</f>
        <v>Ok</v>
      </c>
      <c r="K2266" t="str">
        <f>IF(ISNA(_xlfn.XLOOKUP(H2266,agent_info!$A$2:$A$301, agent_info!$A$2:$A$301)), "Invalid", "Ok")</f>
        <v>Ok</v>
      </c>
    </row>
    <row r="2267" spans="1:11" x14ac:dyDescent="0.3">
      <c r="A2267" s="1" t="s">
        <v>5886</v>
      </c>
      <c r="B2267" s="1" t="s">
        <v>2643</v>
      </c>
      <c r="C2267" s="1" t="s">
        <v>3331</v>
      </c>
      <c r="D2267" s="1">
        <v>442941.49</v>
      </c>
      <c r="E2267" s="1">
        <v>21692.17</v>
      </c>
      <c r="F2267" s="41">
        <v>44093</v>
      </c>
      <c r="G2267" s="41">
        <v>44458</v>
      </c>
      <c r="H2267" s="1" t="s">
        <v>3329</v>
      </c>
      <c r="I2267" s="1" t="s">
        <v>3324</v>
      </c>
      <c r="J2267" t="str">
        <f>IF(ISNA(_xlfn.XLOOKUP(B2267,customer_master!$A$2:$A$1649, customer_master!$A$2:$A$1649)), "Invalid", "Ok")</f>
        <v>Ok</v>
      </c>
      <c r="K2267" t="str">
        <f>IF(ISNA(_xlfn.XLOOKUP(H2267,agent_info!$A$2:$A$301, agent_info!$A$2:$A$301)), "Invalid", "Ok")</f>
        <v>Ok</v>
      </c>
    </row>
    <row r="2268" spans="1:11" x14ac:dyDescent="0.3">
      <c r="A2268" s="1" t="s">
        <v>5887</v>
      </c>
      <c r="B2268" s="1" t="s">
        <v>2135</v>
      </c>
      <c r="C2268" s="1" t="s">
        <v>3331</v>
      </c>
      <c r="D2268" s="1">
        <v>671959.79</v>
      </c>
      <c r="E2268" s="1">
        <v>36189.269999999997</v>
      </c>
      <c r="F2268" s="41">
        <v>44898</v>
      </c>
      <c r="G2268" s="41">
        <v>45263</v>
      </c>
      <c r="H2268" s="1" t="s">
        <v>3404</v>
      </c>
      <c r="I2268" s="1" t="s">
        <v>3324</v>
      </c>
      <c r="J2268" t="str">
        <f>IF(ISNA(_xlfn.XLOOKUP(B2268,customer_master!$A$2:$A$1649, customer_master!$A$2:$A$1649)), "Invalid", "Ok")</f>
        <v>Ok</v>
      </c>
      <c r="K2268" t="str">
        <f>IF(ISNA(_xlfn.XLOOKUP(H2268,agent_info!$A$2:$A$301, agent_info!$A$2:$A$301)), "Invalid", "Ok")</f>
        <v>Ok</v>
      </c>
    </row>
    <row r="2269" spans="1:11" x14ac:dyDescent="0.3">
      <c r="A2269" s="1" t="s">
        <v>5888</v>
      </c>
      <c r="B2269" s="1" t="s">
        <v>1561</v>
      </c>
      <c r="C2269" s="1" t="s">
        <v>3314</v>
      </c>
      <c r="D2269" s="1">
        <v>589876.77</v>
      </c>
      <c r="E2269" s="1">
        <v>29890.62</v>
      </c>
      <c r="F2269" s="41">
        <v>44567</v>
      </c>
      <c r="G2269" s="41">
        <v>44932</v>
      </c>
      <c r="H2269" s="1" t="s">
        <v>4001</v>
      </c>
      <c r="I2269" s="1" t="s">
        <v>3316</v>
      </c>
      <c r="J2269" t="str">
        <f>IF(ISNA(_xlfn.XLOOKUP(B2269,customer_master!$A$2:$A$1649, customer_master!$A$2:$A$1649)), "Invalid", "Ok")</f>
        <v>Ok</v>
      </c>
      <c r="K2269" t="str">
        <f>IF(ISNA(_xlfn.XLOOKUP(H2269,agent_info!$A$2:$A$301, agent_info!$A$2:$A$301)), "Invalid", "Ok")</f>
        <v>Ok</v>
      </c>
    </row>
    <row r="2270" spans="1:11" x14ac:dyDescent="0.3">
      <c r="A2270" s="1" t="s">
        <v>5889</v>
      </c>
      <c r="B2270" s="1" t="s">
        <v>1123</v>
      </c>
      <c r="C2270" s="1" t="s">
        <v>3314</v>
      </c>
      <c r="D2270" s="1">
        <v>585351.04</v>
      </c>
      <c r="E2270" s="1">
        <v>28635.759999999998</v>
      </c>
      <c r="F2270" s="41">
        <v>44698</v>
      </c>
      <c r="G2270" s="41">
        <v>45063</v>
      </c>
      <c r="H2270" s="1" t="s">
        <v>4055</v>
      </c>
      <c r="I2270" s="1" t="s">
        <v>3316</v>
      </c>
      <c r="J2270" t="str">
        <f>IF(ISNA(_xlfn.XLOOKUP(B2270,customer_master!$A$2:$A$1649, customer_master!$A$2:$A$1649)), "Invalid", "Ok")</f>
        <v>Ok</v>
      </c>
      <c r="K2270" t="str">
        <f>IF(ISNA(_xlfn.XLOOKUP(H2270,agent_info!$A$2:$A$301, agent_info!$A$2:$A$301)), "Invalid", "Ok")</f>
        <v>Ok</v>
      </c>
    </row>
    <row r="2271" spans="1:11" x14ac:dyDescent="0.3">
      <c r="A2271" s="1" t="s">
        <v>5890</v>
      </c>
      <c r="B2271" s="1" t="s">
        <v>2991</v>
      </c>
      <c r="C2271" s="1" t="s">
        <v>3314</v>
      </c>
      <c r="D2271" s="1">
        <v>457884.17</v>
      </c>
      <c r="E2271" s="1">
        <v>22887.25</v>
      </c>
      <c r="F2271" s="41">
        <v>46005</v>
      </c>
      <c r="G2271" s="41">
        <v>46370</v>
      </c>
      <c r="H2271" s="1" t="s">
        <v>3502</v>
      </c>
      <c r="I2271" s="1" t="s">
        <v>3324</v>
      </c>
      <c r="J2271" t="str">
        <f>IF(ISNA(_xlfn.XLOOKUP(B2271,customer_master!$A$2:$A$1649, customer_master!$A$2:$A$1649)), "Invalid", "Ok")</f>
        <v>Ok</v>
      </c>
      <c r="K2271" t="str">
        <f>IF(ISNA(_xlfn.XLOOKUP(H2271,agent_info!$A$2:$A$301, agent_info!$A$2:$A$301)), "Invalid", "Ok")</f>
        <v>Ok</v>
      </c>
    </row>
    <row r="2272" spans="1:11" x14ac:dyDescent="0.3">
      <c r="A2272" s="1" t="s">
        <v>5891</v>
      </c>
      <c r="B2272" s="1" t="s">
        <v>2573</v>
      </c>
      <c r="C2272" s="1" t="s">
        <v>3314</v>
      </c>
      <c r="D2272" s="1">
        <v>477839.14</v>
      </c>
      <c r="E2272" s="1">
        <v>25963.71</v>
      </c>
      <c r="F2272" s="41">
        <v>44656</v>
      </c>
      <c r="G2272" s="41">
        <v>45021</v>
      </c>
      <c r="H2272" s="1" t="s">
        <v>3559</v>
      </c>
      <c r="I2272" s="1" t="s">
        <v>3324</v>
      </c>
      <c r="J2272" t="str">
        <f>IF(ISNA(_xlfn.XLOOKUP(B2272,customer_master!$A$2:$A$1649, customer_master!$A$2:$A$1649)), "Invalid", "Ok")</f>
        <v>Ok</v>
      </c>
      <c r="K2272" t="str">
        <f>IF(ISNA(_xlfn.XLOOKUP(H2272,agent_info!$A$2:$A$301, agent_info!$A$2:$A$301)), "Invalid", "Ok")</f>
        <v>Ok</v>
      </c>
    </row>
    <row r="2273" spans="1:11" x14ac:dyDescent="0.3">
      <c r="A2273" s="1" t="s">
        <v>5892</v>
      </c>
      <c r="B2273" s="1" t="s">
        <v>2402</v>
      </c>
      <c r="C2273" s="1" t="s">
        <v>3331</v>
      </c>
      <c r="D2273" s="1">
        <v>645768.06000000006</v>
      </c>
      <c r="E2273" s="1">
        <v>33019.79</v>
      </c>
      <c r="F2273" s="41">
        <v>45914</v>
      </c>
      <c r="G2273" s="41">
        <v>46279</v>
      </c>
      <c r="H2273" s="1" t="s">
        <v>3466</v>
      </c>
      <c r="I2273" s="1" t="s">
        <v>3324</v>
      </c>
      <c r="J2273" t="str">
        <f>IF(ISNA(_xlfn.XLOOKUP(B2273,customer_master!$A$2:$A$1649, customer_master!$A$2:$A$1649)), "Invalid", "Ok")</f>
        <v>Ok</v>
      </c>
      <c r="K2273" t="str">
        <f>IF(ISNA(_xlfn.XLOOKUP(H2273,agent_info!$A$2:$A$301, agent_info!$A$2:$A$301)), "Invalid", "Ok")</f>
        <v>Ok</v>
      </c>
    </row>
    <row r="2274" spans="1:11" x14ac:dyDescent="0.3">
      <c r="A2274" s="1" t="s">
        <v>5893</v>
      </c>
      <c r="B2274" s="1" t="s">
        <v>1495</v>
      </c>
      <c r="C2274" s="1" t="s">
        <v>3331</v>
      </c>
      <c r="D2274" s="1">
        <v>706501.03</v>
      </c>
      <c r="E2274" s="1">
        <v>33410.29</v>
      </c>
      <c r="F2274" s="41">
        <v>45819</v>
      </c>
      <c r="G2274" s="41">
        <v>46184</v>
      </c>
      <c r="H2274" s="1" t="s">
        <v>3678</v>
      </c>
      <c r="I2274" s="1" t="s">
        <v>3324</v>
      </c>
      <c r="J2274" t="str">
        <f>IF(ISNA(_xlfn.XLOOKUP(B2274,customer_master!$A$2:$A$1649, customer_master!$A$2:$A$1649)), "Invalid", "Ok")</f>
        <v>Ok</v>
      </c>
      <c r="K2274" t="str">
        <f>IF(ISNA(_xlfn.XLOOKUP(H2274,agent_info!$A$2:$A$301, agent_info!$A$2:$A$301)), "Invalid", "Ok")</f>
        <v>Ok</v>
      </c>
    </row>
    <row r="2275" spans="1:11" x14ac:dyDescent="0.3">
      <c r="A2275" s="1" t="s">
        <v>5894</v>
      </c>
      <c r="B2275" s="1" t="s">
        <v>3249</v>
      </c>
      <c r="C2275" s="1" t="s">
        <v>3318</v>
      </c>
      <c r="D2275" s="1">
        <v>444986.19</v>
      </c>
      <c r="E2275" s="1">
        <v>22249.65</v>
      </c>
      <c r="F2275" s="41">
        <v>44986</v>
      </c>
      <c r="G2275" s="41">
        <v>45352</v>
      </c>
      <c r="H2275" s="1" t="s">
        <v>3427</v>
      </c>
      <c r="I2275" s="1" t="s">
        <v>3324</v>
      </c>
      <c r="J2275" t="str">
        <f>IF(ISNA(_xlfn.XLOOKUP(B2275,customer_master!$A$2:$A$1649, customer_master!$A$2:$A$1649)), "Invalid", "Ok")</f>
        <v>Ok</v>
      </c>
      <c r="K2275" t="str">
        <f>IF(ISNA(_xlfn.XLOOKUP(H2275,agent_info!$A$2:$A$301, agent_info!$A$2:$A$301)), "Invalid", "Ok")</f>
        <v>Ok</v>
      </c>
    </row>
    <row r="2276" spans="1:11" x14ac:dyDescent="0.3">
      <c r="A2276" s="1" t="s">
        <v>5895</v>
      </c>
      <c r="B2276" s="1" t="s">
        <v>2372</v>
      </c>
      <c r="C2276" s="1" t="s">
        <v>3331</v>
      </c>
      <c r="D2276" s="1">
        <v>691409.89</v>
      </c>
      <c r="E2276" s="1">
        <v>34333.050000000003</v>
      </c>
      <c r="F2276" s="41">
        <v>44606</v>
      </c>
      <c r="G2276" s="41">
        <v>44971</v>
      </c>
      <c r="H2276" s="1" t="s">
        <v>3579</v>
      </c>
      <c r="I2276" s="1" t="s">
        <v>3324</v>
      </c>
      <c r="J2276" t="str">
        <f>IF(ISNA(_xlfn.XLOOKUP(B2276,customer_master!$A$2:$A$1649, customer_master!$A$2:$A$1649)), "Invalid", "Ok")</f>
        <v>Ok</v>
      </c>
      <c r="K2276" t="str">
        <f>IF(ISNA(_xlfn.XLOOKUP(H2276,agent_info!$A$2:$A$301, agent_info!$A$2:$A$301)), "Invalid", "Ok")</f>
        <v>Ok</v>
      </c>
    </row>
    <row r="2277" spans="1:11" x14ac:dyDescent="0.3">
      <c r="A2277" s="1" t="s">
        <v>5896</v>
      </c>
      <c r="B2277" s="1" t="s">
        <v>1429</v>
      </c>
      <c r="C2277" s="1" t="s">
        <v>3314</v>
      </c>
      <c r="D2277" s="1">
        <v>688416.64</v>
      </c>
      <c r="E2277" s="1">
        <v>33115.620000000003</v>
      </c>
      <c r="F2277" s="41">
        <v>46050</v>
      </c>
      <c r="G2277" s="41">
        <v>46415</v>
      </c>
      <c r="H2277" s="1" t="s">
        <v>3762</v>
      </c>
      <c r="I2277" s="1" t="s">
        <v>3324</v>
      </c>
      <c r="J2277" t="str">
        <f>IF(ISNA(_xlfn.XLOOKUP(B2277,customer_master!$A$2:$A$1649, customer_master!$A$2:$A$1649)), "Invalid", "Ok")</f>
        <v>Ok</v>
      </c>
      <c r="K2277" t="str">
        <f>IF(ISNA(_xlfn.XLOOKUP(H2277,agent_info!$A$2:$A$301, agent_info!$A$2:$A$301)), "Invalid", "Ok")</f>
        <v>Ok</v>
      </c>
    </row>
    <row r="2278" spans="1:11" x14ac:dyDescent="0.3">
      <c r="A2278" s="1" t="s">
        <v>5897</v>
      </c>
      <c r="B2278" s="1" t="s">
        <v>3188</v>
      </c>
      <c r="C2278" s="1" t="s">
        <v>3326</v>
      </c>
      <c r="D2278" s="1">
        <v>635219.14</v>
      </c>
      <c r="E2278" s="1">
        <v>33261.980000000003</v>
      </c>
      <c r="F2278" s="41">
        <v>44985</v>
      </c>
      <c r="G2278" s="41">
        <v>45350</v>
      </c>
      <c r="H2278" s="1" t="s">
        <v>4472</v>
      </c>
      <c r="I2278" s="1" t="s">
        <v>3324</v>
      </c>
      <c r="J2278" t="str">
        <f>IF(ISNA(_xlfn.XLOOKUP(B2278,customer_master!$A$2:$A$1649, customer_master!$A$2:$A$1649)), "Invalid", "Ok")</f>
        <v>Ok</v>
      </c>
      <c r="K2278" t="str">
        <f>IF(ISNA(_xlfn.XLOOKUP(H2278,agent_info!$A$2:$A$301, agent_info!$A$2:$A$301)), "Invalid", "Ok")</f>
        <v>Ok</v>
      </c>
    </row>
    <row r="2279" spans="1:11" x14ac:dyDescent="0.3">
      <c r="A2279" s="1" t="s">
        <v>5898</v>
      </c>
      <c r="B2279" s="1" t="s">
        <v>2977</v>
      </c>
      <c r="C2279" s="1" t="s">
        <v>3326</v>
      </c>
      <c r="D2279" s="1">
        <v>553610.32999999996</v>
      </c>
      <c r="E2279" s="1">
        <v>26397.73</v>
      </c>
      <c r="F2279" s="41">
        <v>44111</v>
      </c>
      <c r="G2279" s="41">
        <v>44476</v>
      </c>
      <c r="H2279" s="1" t="s">
        <v>4095</v>
      </c>
      <c r="I2279" s="1" t="s">
        <v>3324</v>
      </c>
      <c r="J2279" t="str">
        <f>IF(ISNA(_xlfn.XLOOKUP(B2279,customer_master!$A$2:$A$1649, customer_master!$A$2:$A$1649)), "Invalid", "Ok")</f>
        <v>Ok</v>
      </c>
      <c r="K2279" t="str">
        <f>IF(ISNA(_xlfn.XLOOKUP(H2279,agent_info!$A$2:$A$301, agent_info!$A$2:$A$301)), "Invalid", "Ok")</f>
        <v>Ok</v>
      </c>
    </row>
    <row r="2280" spans="1:11" x14ac:dyDescent="0.3">
      <c r="A2280" s="1" t="s">
        <v>5899</v>
      </c>
      <c r="B2280" s="1" t="s">
        <v>2462</v>
      </c>
      <c r="C2280" s="1" t="s">
        <v>3318</v>
      </c>
      <c r="D2280" s="1">
        <v>510996.28</v>
      </c>
      <c r="E2280" s="1">
        <v>25511.74</v>
      </c>
      <c r="F2280" s="41">
        <v>44413</v>
      </c>
      <c r="G2280" s="41">
        <v>44778</v>
      </c>
      <c r="H2280" s="1" t="s">
        <v>3774</v>
      </c>
      <c r="I2280" s="1" t="s">
        <v>3324</v>
      </c>
      <c r="J2280" t="str">
        <f>IF(ISNA(_xlfn.XLOOKUP(B2280,customer_master!$A$2:$A$1649, customer_master!$A$2:$A$1649)), "Invalid", "Ok")</f>
        <v>Ok</v>
      </c>
      <c r="K2280" t="str">
        <f>IF(ISNA(_xlfn.XLOOKUP(H2280,agent_info!$A$2:$A$301, agent_info!$A$2:$A$301)), "Invalid", "Ok")</f>
        <v>Ok</v>
      </c>
    </row>
    <row r="2281" spans="1:11" x14ac:dyDescent="0.3">
      <c r="A2281" s="1" t="s">
        <v>5900</v>
      </c>
      <c r="B2281" s="1" t="s">
        <v>2553</v>
      </c>
      <c r="C2281" s="1" t="s">
        <v>3334</v>
      </c>
      <c r="D2281" s="1">
        <v>681843.05</v>
      </c>
      <c r="E2281" s="1">
        <v>33690.18</v>
      </c>
      <c r="F2281" s="41">
        <v>44897</v>
      </c>
      <c r="G2281" s="41">
        <v>45262</v>
      </c>
      <c r="H2281" s="1" t="s">
        <v>3796</v>
      </c>
      <c r="I2281" s="1" t="s">
        <v>3324</v>
      </c>
      <c r="J2281" t="str">
        <f>IF(ISNA(_xlfn.XLOOKUP(B2281,customer_master!$A$2:$A$1649, customer_master!$A$2:$A$1649)), "Invalid", "Ok")</f>
        <v>Ok</v>
      </c>
      <c r="K2281" t="str">
        <f>IF(ISNA(_xlfn.XLOOKUP(H2281,agent_info!$A$2:$A$301, agent_info!$A$2:$A$301)), "Invalid", "Ok")</f>
        <v>Ok</v>
      </c>
    </row>
    <row r="2282" spans="1:11" x14ac:dyDescent="0.3">
      <c r="A2282" s="1" t="s">
        <v>5901</v>
      </c>
      <c r="B2282" s="1" t="s">
        <v>1429</v>
      </c>
      <c r="C2282" s="1" t="s">
        <v>3318</v>
      </c>
      <c r="D2282" s="1">
        <v>559419.37</v>
      </c>
      <c r="E2282" s="1">
        <v>27785.59</v>
      </c>
      <c r="F2282" s="41">
        <v>45867</v>
      </c>
      <c r="G2282" s="41">
        <v>46232</v>
      </c>
      <c r="H2282" s="1" t="s">
        <v>3653</v>
      </c>
      <c r="I2282" s="1" t="s">
        <v>3316</v>
      </c>
      <c r="J2282" t="str">
        <f>IF(ISNA(_xlfn.XLOOKUP(B2282,customer_master!$A$2:$A$1649, customer_master!$A$2:$A$1649)), "Invalid", "Ok")</f>
        <v>Ok</v>
      </c>
      <c r="K2282" t="str">
        <f>IF(ISNA(_xlfn.XLOOKUP(H2282,agent_info!$A$2:$A$301, agent_info!$A$2:$A$301)), "Invalid", "Ok")</f>
        <v>Ok</v>
      </c>
    </row>
    <row r="2283" spans="1:11" x14ac:dyDescent="0.3">
      <c r="A2283" s="1" t="s">
        <v>5902</v>
      </c>
      <c r="B2283" s="1" t="s">
        <v>1705</v>
      </c>
      <c r="C2283" s="1" t="s">
        <v>3334</v>
      </c>
      <c r="D2283" s="1">
        <v>470417.67</v>
      </c>
      <c r="E2283" s="1">
        <v>23835.01</v>
      </c>
      <c r="F2283" s="41">
        <v>45874</v>
      </c>
      <c r="G2283" s="41">
        <v>46239</v>
      </c>
      <c r="H2283" s="1" t="s">
        <v>3987</v>
      </c>
      <c r="I2283" s="1" t="s">
        <v>3324</v>
      </c>
      <c r="J2283" t="str">
        <f>IF(ISNA(_xlfn.XLOOKUP(B2283,customer_master!$A$2:$A$1649, customer_master!$A$2:$A$1649)), "Invalid", "Ok")</f>
        <v>Ok</v>
      </c>
      <c r="K2283" t="str">
        <f>IF(ISNA(_xlfn.XLOOKUP(H2283,agent_info!$A$2:$A$301, agent_info!$A$2:$A$301)), "Invalid", "Ok")</f>
        <v>Ok</v>
      </c>
    </row>
    <row r="2284" spans="1:11" x14ac:dyDescent="0.3">
      <c r="A2284" s="1" t="s">
        <v>5903</v>
      </c>
      <c r="B2284" s="1" t="s">
        <v>683</v>
      </c>
      <c r="C2284" s="1" t="s">
        <v>3331</v>
      </c>
      <c r="D2284" s="1">
        <v>535010.55000000005</v>
      </c>
      <c r="E2284" s="1">
        <v>27731.19</v>
      </c>
      <c r="F2284" s="41">
        <v>45392</v>
      </c>
      <c r="G2284" s="41">
        <v>45757</v>
      </c>
      <c r="H2284" s="1" t="s">
        <v>3363</v>
      </c>
      <c r="I2284" s="1" t="s">
        <v>3324</v>
      </c>
      <c r="J2284" t="str">
        <f>IF(ISNA(_xlfn.XLOOKUP(B2284,customer_master!$A$2:$A$1649, customer_master!$A$2:$A$1649)), "Invalid", "Ok")</f>
        <v>Ok</v>
      </c>
      <c r="K2284" t="str">
        <f>IF(ISNA(_xlfn.XLOOKUP(H2284,agent_info!$A$2:$A$301, agent_info!$A$2:$A$301)), "Invalid", "Ok")</f>
        <v>Ok</v>
      </c>
    </row>
    <row r="2285" spans="1:11" x14ac:dyDescent="0.3">
      <c r="A2285" s="1" t="s">
        <v>5904</v>
      </c>
      <c r="B2285" s="1" t="s">
        <v>1988</v>
      </c>
      <c r="C2285" s="1" t="s">
        <v>3314</v>
      </c>
      <c r="D2285" s="1">
        <v>561220.98</v>
      </c>
      <c r="E2285" s="1">
        <v>26057.49</v>
      </c>
      <c r="F2285" s="41">
        <v>44811</v>
      </c>
      <c r="G2285" s="41">
        <v>45176</v>
      </c>
      <c r="H2285" s="1" t="s">
        <v>3550</v>
      </c>
      <c r="I2285" s="1" t="s">
        <v>3324</v>
      </c>
      <c r="J2285" t="str">
        <f>IF(ISNA(_xlfn.XLOOKUP(B2285,customer_master!$A$2:$A$1649, customer_master!$A$2:$A$1649)), "Invalid", "Ok")</f>
        <v>Ok</v>
      </c>
      <c r="K2285" t="str">
        <f>IF(ISNA(_xlfn.XLOOKUP(H2285,agent_info!$A$2:$A$301, agent_info!$A$2:$A$301)), "Invalid", "Ok")</f>
        <v>Ok</v>
      </c>
    </row>
    <row r="2286" spans="1:11" x14ac:dyDescent="0.3">
      <c r="A2286" s="1" t="s">
        <v>5905</v>
      </c>
      <c r="B2286" s="1" t="s">
        <v>1251</v>
      </c>
      <c r="C2286" s="1" t="s">
        <v>3334</v>
      </c>
      <c r="D2286" s="1">
        <v>579557.88</v>
      </c>
      <c r="E2286" s="1">
        <v>27751.119999999999</v>
      </c>
      <c r="F2286" s="41">
        <v>46179</v>
      </c>
      <c r="G2286" s="41">
        <v>46544</v>
      </c>
      <c r="H2286" s="1" t="s">
        <v>3404</v>
      </c>
      <c r="I2286" s="1" t="s">
        <v>3316</v>
      </c>
      <c r="J2286" t="str">
        <f>IF(ISNA(_xlfn.XLOOKUP(B2286,customer_master!$A$2:$A$1649, customer_master!$A$2:$A$1649)), "Invalid", "Ok")</f>
        <v>Ok</v>
      </c>
      <c r="K2286" t="str">
        <f>IF(ISNA(_xlfn.XLOOKUP(H2286,agent_info!$A$2:$A$301, agent_info!$A$2:$A$301)), "Invalid", "Ok")</f>
        <v>Ok</v>
      </c>
    </row>
    <row r="2287" spans="1:11" x14ac:dyDescent="0.3">
      <c r="A2287" s="1" t="s">
        <v>5906</v>
      </c>
      <c r="B2287" s="1" t="s">
        <v>1179</v>
      </c>
      <c r="C2287" s="1" t="s">
        <v>3331</v>
      </c>
      <c r="D2287" s="1">
        <v>723920.5</v>
      </c>
      <c r="E2287" s="1">
        <v>38171.15</v>
      </c>
      <c r="F2287" s="41">
        <v>46253</v>
      </c>
      <c r="G2287" s="41">
        <v>46618</v>
      </c>
      <c r="H2287" s="1" t="s">
        <v>3367</v>
      </c>
      <c r="I2287" s="1" t="s">
        <v>3320</v>
      </c>
      <c r="J2287" t="str">
        <f>IF(ISNA(_xlfn.XLOOKUP(B2287,customer_master!$A$2:$A$1649, customer_master!$A$2:$A$1649)), "Invalid", "Ok")</f>
        <v>Ok</v>
      </c>
      <c r="K2287" t="str">
        <f>IF(ISNA(_xlfn.XLOOKUP(H2287,agent_info!$A$2:$A$301, agent_info!$A$2:$A$301)), "Invalid", "Ok")</f>
        <v>Ok</v>
      </c>
    </row>
    <row r="2288" spans="1:11" x14ac:dyDescent="0.3">
      <c r="A2288" s="1" t="s">
        <v>5907</v>
      </c>
      <c r="B2288" s="1" t="s">
        <v>3154</v>
      </c>
      <c r="C2288" s="1" t="s">
        <v>3326</v>
      </c>
      <c r="D2288" s="1">
        <v>493907.75</v>
      </c>
      <c r="E2288" s="1">
        <v>26709.27</v>
      </c>
      <c r="F2288" s="41">
        <v>44607</v>
      </c>
      <c r="G2288" s="41">
        <v>44972</v>
      </c>
      <c r="H2288" s="1" t="s">
        <v>3431</v>
      </c>
      <c r="I2288" s="1" t="s">
        <v>3324</v>
      </c>
      <c r="J2288" t="str">
        <f>IF(ISNA(_xlfn.XLOOKUP(B2288,customer_master!$A$2:$A$1649, customer_master!$A$2:$A$1649)), "Invalid", "Ok")</f>
        <v>Ok</v>
      </c>
      <c r="K2288" t="str">
        <f>IF(ISNA(_xlfn.XLOOKUP(H2288,agent_info!$A$2:$A$301, agent_info!$A$2:$A$301)), "Invalid", "Ok")</f>
        <v>Ok</v>
      </c>
    </row>
    <row r="2289" spans="1:11" x14ac:dyDescent="0.3">
      <c r="A2289" s="1" t="s">
        <v>5908</v>
      </c>
      <c r="B2289" s="1" t="s">
        <v>580</v>
      </c>
      <c r="C2289" s="1" t="s">
        <v>3331</v>
      </c>
      <c r="D2289" s="1">
        <v>490155.33</v>
      </c>
      <c r="E2289" s="1">
        <v>22275.88</v>
      </c>
      <c r="F2289" s="41">
        <v>46210</v>
      </c>
      <c r="G2289" s="41">
        <v>46575</v>
      </c>
      <c r="H2289" s="1" t="s">
        <v>3487</v>
      </c>
      <c r="I2289" s="1" t="s">
        <v>3324</v>
      </c>
      <c r="J2289" t="str">
        <f>IF(ISNA(_xlfn.XLOOKUP(B2289,customer_master!$A$2:$A$1649, customer_master!$A$2:$A$1649)), "Invalid", "Ok")</f>
        <v>Ok</v>
      </c>
      <c r="K2289" t="str">
        <f>IF(ISNA(_xlfn.XLOOKUP(H2289,agent_info!$A$2:$A$301, agent_info!$A$2:$A$301)), "Invalid", "Ok")</f>
        <v>Ok</v>
      </c>
    </row>
    <row r="2290" spans="1:11" x14ac:dyDescent="0.3">
      <c r="A2290" s="1" t="s">
        <v>5909</v>
      </c>
      <c r="B2290" s="1" t="s">
        <v>2750</v>
      </c>
      <c r="C2290" s="1" t="s">
        <v>3331</v>
      </c>
      <c r="D2290" s="1">
        <v>748635.75</v>
      </c>
      <c r="E2290" s="1">
        <v>34237.85</v>
      </c>
      <c r="F2290" s="41">
        <v>44499</v>
      </c>
      <c r="G2290" s="41">
        <v>44864</v>
      </c>
      <c r="H2290" s="1" t="s">
        <v>3381</v>
      </c>
      <c r="I2290" s="1" t="s">
        <v>3324</v>
      </c>
      <c r="J2290" t="str">
        <f>IF(ISNA(_xlfn.XLOOKUP(B2290,customer_master!$A$2:$A$1649, customer_master!$A$2:$A$1649)), "Invalid", "Ok")</f>
        <v>Ok</v>
      </c>
      <c r="K2290" t="str">
        <f>IF(ISNA(_xlfn.XLOOKUP(H2290,agent_info!$A$2:$A$301, agent_info!$A$2:$A$301)), "Invalid", "Ok")</f>
        <v>Ok</v>
      </c>
    </row>
    <row r="2291" spans="1:11" x14ac:dyDescent="0.3">
      <c r="A2291" s="1" t="s">
        <v>5910</v>
      </c>
      <c r="B2291" s="1" t="s">
        <v>951</v>
      </c>
      <c r="C2291" s="1" t="s">
        <v>3331</v>
      </c>
      <c r="D2291" s="1">
        <v>473803.23</v>
      </c>
      <c r="E2291" s="1">
        <v>25745.66</v>
      </c>
      <c r="F2291" s="41">
        <v>45489</v>
      </c>
      <c r="G2291" s="41">
        <v>45854</v>
      </c>
      <c r="H2291" s="1" t="s">
        <v>3667</v>
      </c>
      <c r="I2291" s="1" t="s">
        <v>3320</v>
      </c>
      <c r="J2291" t="str">
        <f>IF(ISNA(_xlfn.XLOOKUP(B2291,customer_master!$A$2:$A$1649, customer_master!$A$2:$A$1649)), "Invalid", "Ok")</f>
        <v>Ok</v>
      </c>
      <c r="K2291" t="str">
        <f>IF(ISNA(_xlfn.XLOOKUP(H2291,agent_info!$A$2:$A$301, agent_info!$A$2:$A$301)), "Invalid", "Ok")</f>
        <v>Ok</v>
      </c>
    </row>
    <row r="2292" spans="1:11" x14ac:dyDescent="0.3">
      <c r="A2292" s="1" t="s">
        <v>5911</v>
      </c>
      <c r="B2292" s="1" t="s">
        <v>129</v>
      </c>
      <c r="C2292" s="1" t="s">
        <v>3318</v>
      </c>
      <c r="D2292" s="1">
        <v>382201.96</v>
      </c>
      <c r="E2292" s="1">
        <v>17764.52</v>
      </c>
      <c r="F2292" s="41">
        <v>45893</v>
      </c>
      <c r="G2292" s="41">
        <v>46258</v>
      </c>
      <c r="H2292" s="1" t="s">
        <v>3341</v>
      </c>
      <c r="I2292" s="1" t="s">
        <v>3324</v>
      </c>
      <c r="J2292" t="str">
        <f>IF(ISNA(_xlfn.XLOOKUP(B2292,customer_master!$A$2:$A$1649, customer_master!$A$2:$A$1649)), "Invalid", "Ok")</f>
        <v>Ok</v>
      </c>
      <c r="K2292" t="str">
        <f>IF(ISNA(_xlfn.XLOOKUP(H2292,agent_info!$A$2:$A$301, agent_info!$A$2:$A$301)), "Invalid", "Ok")</f>
        <v>Ok</v>
      </c>
    </row>
    <row r="2293" spans="1:11" x14ac:dyDescent="0.3">
      <c r="A2293" s="1" t="s">
        <v>5912</v>
      </c>
      <c r="B2293" s="1" t="s">
        <v>170</v>
      </c>
      <c r="C2293" s="1" t="s">
        <v>3326</v>
      </c>
      <c r="D2293" s="1">
        <v>647437.36</v>
      </c>
      <c r="E2293" s="1">
        <v>35474.959999999999</v>
      </c>
      <c r="F2293" s="41">
        <v>45833</v>
      </c>
      <c r="G2293" s="41">
        <v>46198</v>
      </c>
      <c r="H2293" s="1" t="s">
        <v>3381</v>
      </c>
      <c r="I2293" s="1" t="s">
        <v>3324</v>
      </c>
      <c r="J2293" t="str">
        <f>IF(ISNA(_xlfn.XLOOKUP(B2293,customer_master!$A$2:$A$1649, customer_master!$A$2:$A$1649)), "Invalid", "Ok")</f>
        <v>Ok</v>
      </c>
      <c r="K2293" t="str">
        <f>IF(ISNA(_xlfn.XLOOKUP(H2293,agent_info!$A$2:$A$301, agent_info!$A$2:$A$301)), "Invalid", "Ok")</f>
        <v>Ok</v>
      </c>
    </row>
    <row r="2294" spans="1:11" x14ac:dyDescent="0.3">
      <c r="A2294" s="1" t="s">
        <v>5913</v>
      </c>
      <c r="B2294" s="1" t="s">
        <v>1443</v>
      </c>
      <c r="C2294" s="1" t="s">
        <v>3314</v>
      </c>
      <c r="D2294" s="1">
        <v>752461.62</v>
      </c>
      <c r="E2294" s="1">
        <v>40092.83</v>
      </c>
      <c r="F2294" s="41">
        <v>45343</v>
      </c>
      <c r="G2294" s="41">
        <v>45709</v>
      </c>
      <c r="H2294" s="1" t="s">
        <v>3749</v>
      </c>
      <c r="I2294" s="1" t="s">
        <v>3324</v>
      </c>
      <c r="J2294" t="str">
        <f>IF(ISNA(_xlfn.XLOOKUP(B2294,customer_master!$A$2:$A$1649, customer_master!$A$2:$A$1649)), "Invalid", "Ok")</f>
        <v>Ok</v>
      </c>
      <c r="K2294" t="str">
        <f>IF(ISNA(_xlfn.XLOOKUP(H2294,agent_info!$A$2:$A$301, agent_info!$A$2:$A$301)), "Invalid", "Ok")</f>
        <v>Ok</v>
      </c>
    </row>
    <row r="2295" spans="1:11" x14ac:dyDescent="0.3">
      <c r="A2295" s="1" t="s">
        <v>5914</v>
      </c>
      <c r="B2295" s="1" t="s">
        <v>1527</v>
      </c>
      <c r="C2295" s="1" t="s">
        <v>3326</v>
      </c>
      <c r="D2295" s="1">
        <v>588746.18000000005</v>
      </c>
      <c r="E2295" s="1">
        <v>27204.22</v>
      </c>
      <c r="F2295" s="41">
        <v>44359</v>
      </c>
      <c r="G2295" s="41">
        <v>44724</v>
      </c>
      <c r="H2295" s="1" t="s">
        <v>4230</v>
      </c>
      <c r="I2295" s="1" t="s">
        <v>3324</v>
      </c>
      <c r="J2295" t="str">
        <f>IF(ISNA(_xlfn.XLOOKUP(B2295,customer_master!$A$2:$A$1649, customer_master!$A$2:$A$1649)), "Invalid", "Ok")</f>
        <v>Ok</v>
      </c>
      <c r="K2295" t="str">
        <f>IF(ISNA(_xlfn.XLOOKUP(H2295,agent_info!$A$2:$A$301, agent_info!$A$2:$A$301)), "Invalid", "Ok")</f>
        <v>Ok</v>
      </c>
    </row>
    <row r="2296" spans="1:11" x14ac:dyDescent="0.3">
      <c r="A2296" s="1" t="s">
        <v>5915</v>
      </c>
      <c r="B2296" s="1" t="s">
        <v>1081</v>
      </c>
      <c r="C2296" s="1" t="s">
        <v>3318</v>
      </c>
      <c r="D2296" s="1">
        <v>532091.56999999995</v>
      </c>
      <c r="E2296" s="1">
        <v>24489.65</v>
      </c>
      <c r="F2296" s="41">
        <v>45471</v>
      </c>
      <c r="G2296" s="41">
        <v>45836</v>
      </c>
      <c r="H2296" s="1" t="s">
        <v>3815</v>
      </c>
      <c r="I2296" s="1" t="s">
        <v>3316</v>
      </c>
      <c r="J2296" t="str">
        <f>IF(ISNA(_xlfn.XLOOKUP(B2296,customer_master!$A$2:$A$1649, customer_master!$A$2:$A$1649)), "Invalid", "Ok")</f>
        <v>Ok</v>
      </c>
      <c r="K2296" t="str">
        <f>IF(ISNA(_xlfn.XLOOKUP(H2296,agent_info!$A$2:$A$301, agent_info!$A$2:$A$301)), "Invalid", "Ok")</f>
        <v>Ok</v>
      </c>
    </row>
    <row r="2297" spans="1:11" x14ac:dyDescent="0.3">
      <c r="A2297" s="1" t="s">
        <v>5916</v>
      </c>
      <c r="B2297" s="1" t="s">
        <v>2234</v>
      </c>
      <c r="C2297" s="1" t="s">
        <v>3326</v>
      </c>
      <c r="D2297" s="1">
        <v>540314.14</v>
      </c>
      <c r="E2297" s="1">
        <v>29594.61</v>
      </c>
      <c r="F2297" s="41">
        <v>46219</v>
      </c>
      <c r="G2297" s="41">
        <v>46584</v>
      </c>
      <c r="H2297" s="1" t="s">
        <v>3498</v>
      </c>
      <c r="I2297" s="1" t="s">
        <v>3324</v>
      </c>
      <c r="J2297" t="str">
        <f>IF(ISNA(_xlfn.XLOOKUP(B2297,customer_master!$A$2:$A$1649, customer_master!$A$2:$A$1649)), "Invalid", "Ok")</f>
        <v>Ok</v>
      </c>
      <c r="K2297" t="str">
        <f>IF(ISNA(_xlfn.XLOOKUP(H2297,agent_info!$A$2:$A$301, agent_info!$A$2:$A$301)), "Invalid", "Ok")</f>
        <v>Ok</v>
      </c>
    </row>
    <row r="2298" spans="1:11" x14ac:dyDescent="0.3">
      <c r="A2298" s="1" t="s">
        <v>5917</v>
      </c>
      <c r="B2298" s="1" t="s">
        <v>1632</v>
      </c>
      <c r="C2298" s="1" t="s">
        <v>3314</v>
      </c>
      <c r="D2298" s="1">
        <v>705320.6</v>
      </c>
      <c r="E2298" s="1">
        <v>33536.74</v>
      </c>
      <c r="F2298" s="41">
        <v>44457</v>
      </c>
      <c r="G2298" s="41">
        <v>44822</v>
      </c>
      <c r="H2298" s="1" t="s">
        <v>3509</v>
      </c>
      <c r="I2298" s="1" t="s">
        <v>3324</v>
      </c>
      <c r="J2298" t="str">
        <f>IF(ISNA(_xlfn.XLOOKUP(B2298,customer_master!$A$2:$A$1649, customer_master!$A$2:$A$1649)), "Invalid", "Ok")</f>
        <v>Ok</v>
      </c>
      <c r="K2298" t="str">
        <f>IF(ISNA(_xlfn.XLOOKUP(H2298,agent_info!$A$2:$A$301, agent_info!$A$2:$A$301)), "Invalid", "Ok")</f>
        <v>Ok</v>
      </c>
    </row>
    <row r="2299" spans="1:11" x14ac:dyDescent="0.3">
      <c r="A2299" s="1" t="s">
        <v>5918</v>
      </c>
      <c r="B2299" s="1" t="s">
        <v>280</v>
      </c>
      <c r="C2299" s="1" t="s">
        <v>3318</v>
      </c>
      <c r="D2299" s="1">
        <v>712658.64</v>
      </c>
      <c r="E2299" s="1">
        <v>35908.5</v>
      </c>
      <c r="F2299" s="41">
        <v>46058</v>
      </c>
      <c r="G2299" s="41">
        <v>46423</v>
      </c>
      <c r="H2299" s="1" t="s">
        <v>3341</v>
      </c>
      <c r="I2299" s="1" t="s">
        <v>3324</v>
      </c>
      <c r="J2299" t="str">
        <f>IF(ISNA(_xlfn.XLOOKUP(B2299,customer_master!$A$2:$A$1649, customer_master!$A$2:$A$1649)), "Invalid", "Ok")</f>
        <v>Ok</v>
      </c>
      <c r="K2299" t="str">
        <f>IF(ISNA(_xlfn.XLOOKUP(H2299,agent_info!$A$2:$A$301, agent_info!$A$2:$A$301)), "Invalid", "Ok")</f>
        <v>Ok</v>
      </c>
    </row>
    <row r="2300" spans="1:11" x14ac:dyDescent="0.3">
      <c r="A2300" s="1" t="s">
        <v>5919</v>
      </c>
      <c r="B2300" s="1" t="s">
        <v>1181</v>
      </c>
      <c r="C2300" s="1" t="s">
        <v>3318</v>
      </c>
      <c r="D2300" s="1">
        <v>416754.79</v>
      </c>
      <c r="E2300" s="1">
        <v>19738.490000000002</v>
      </c>
      <c r="F2300" s="41">
        <v>45210</v>
      </c>
      <c r="G2300" s="41">
        <v>45576</v>
      </c>
      <c r="H2300" s="1" t="s">
        <v>3373</v>
      </c>
      <c r="I2300" s="1" t="s">
        <v>3316</v>
      </c>
      <c r="J2300" t="str">
        <f>IF(ISNA(_xlfn.XLOOKUP(B2300,customer_master!$A$2:$A$1649, customer_master!$A$2:$A$1649)), "Invalid", "Ok")</f>
        <v>Ok</v>
      </c>
      <c r="K2300" t="str">
        <f>IF(ISNA(_xlfn.XLOOKUP(H2300,agent_info!$A$2:$A$301, agent_info!$A$2:$A$301)), "Invalid", "Ok")</f>
        <v>Ok</v>
      </c>
    </row>
    <row r="2301" spans="1:11" x14ac:dyDescent="0.3">
      <c r="A2301" s="1" t="s">
        <v>5920</v>
      </c>
      <c r="B2301" s="1" t="s">
        <v>365</v>
      </c>
      <c r="C2301" s="1" t="s">
        <v>3334</v>
      </c>
      <c r="D2301" s="1">
        <v>719178.74</v>
      </c>
      <c r="E2301" s="1">
        <v>36682.97</v>
      </c>
      <c r="F2301" s="41">
        <v>45035</v>
      </c>
      <c r="G2301" s="41">
        <v>45401</v>
      </c>
      <c r="H2301" s="1" t="s">
        <v>3811</v>
      </c>
      <c r="I2301" s="1" t="s">
        <v>3324</v>
      </c>
      <c r="J2301" t="str">
        <f>IF(ISNA(_xlfn.XLOOKUP(B2301,customer_master!$A$2:$A$1649, customer_master!$A$2:$A$1649)), "Invalid", "Ok")</f>
        <v>Ok</v>
      </c>
      <c r="K2301" t="str">
        <f>IF(ISNA(_xlfn.XLOOKUP(H2301,agent_info!$A$2:$A$301, agent_info!$A$2:$A$301)), "Invalid", "Ok")</f>
        <v>Ok</v>
      </c>
    </row>
    <row r="2302" spans="1:11" x14ac:dyDescent="0.3">
      <c r="A2302" s="1" t="s">
        <v>5921</v>
      </c>
      <c r="B2302" s="1" t="s">
        <v>242</v>
      </c>
      <c r="C2302" s="1" t="s">
        <v>3331</v>
      </c>
      <c r="D2302" s="1">
        <v>617018.94999999995</v>
      </c>
      <c r="E2302" s="1">
        <v>32948.99</v>
      </c>
      <c r="F2302" s="41">
        <v>44295</v>
      </c>
      <c r="G2302" s="41">
        <v>44660</v>
      </c>
      <c r="H2302" s="1" t="s">
        <v>4313</v>
      </c>
      <c r="I2302" s="1" t="s">
        <v>3320</v>
      </c>
      <c r="J2302" t="str">
        <f>IF(ISNA(_xlfn.XLOOKUP(B2302,customer_master!$A$2:$A$1649, customer_master!$A$2:$A$1649)), "Invalid", "Ok")</f>
        <v>Ok</v>
      </c>
      <c r="K2302" t="str">
        <f>IF(ISNA(_xlfn.XLOOKUP(H2302,agent_info!$A$2:$A$301, agent_info!$A$2:$A$301)), "Invalid", "Ok")</f>
        <v>Ok</v>
      </c>
    </row>
    <row r="2303" spans="1:11" x14ac:dyDescent="0.3">
      <c r="A2303" s="1" t="s">
        <v>5922</v>
      </c>
      <c r="B2303" s="1" t="s">
        <v>743</v>
      </c>
      <c r="C2303" s="1" t="s">
        <v>3334</v>
      </c>
      <c r="D2303" s="1">
        <v>397427.24</v>
      </c>
      <c r="E2303" s="1">
        <v>20494.96</v>
      </c>
      <c r="F2303" s="41">
        <v>45833</v>
      </c>
      <c r="G2303" s="41">
        <v>46198</v>
      </c>
      <c r="H2303" s="1" t="s">
        <v>3670</v>
      </c>
      <c r="I2303" s="1" t="s">
        <v>3316</v>
      </c>
      <c r="J2303" t="str">
        <f>IF(ISNA(_xlfn.XLOOKUP(B2303,customer_master!$A$2:$A$1649, customer_master!$A$2:$A$1649)), "Invalid", "Ok")</f>
        <v>Ok</v>
      </c>
      <c r="K2303" t="str">
        <f>IF(ISNA(_xlfn.XLOOKUP(H2303,agent_info!$A$2:$A$301, agent_info!$A$2:$A$301)), "Invalid", "Ok")</f>
        <v>Ok</v>
      </c>
    </row>
    <row r="2304" spans="1:11" x14ac:dyDescent="0.3">
      <c r="A2304" s="1" t="s">
        <v>5923</v>
      </c>
      <c r="B2304" s="1" t="s">
        <v>2337</v>
      </c>
      <c r="C2304" s="1" t="s">
        <v>3331</v>
      </c>
      <c r="D2304" s="1">
        <v>422887.3</v>
      </c>
      <c r="E2304" s="1">
        <v>19227.060000000001</v>
      </c>
      <c r="F2304" s="41">
        <v>45182</v>
      </c>
      <c r="G2304" s="41">
        <v>45548</v>
      </c>
      <c r="H2304" s="1" t="s">
        <v>3579</v>
      </c>
      <c r="I2304" s="1" t="s">
        <v>3324</v>
      </c>
      <c r="J2304" t="str">
        <f>IF(ISNA(_xlfn.XLOOKUP(B2304,customer_master!$A$2:$A$1649, customer_master!$A$2:$A$1649)), "Invalid", "Ok")</f>
        <v>Ok</v>
      </c>
      <c r="K2304" t="str">
        <f>IF(ISNA(_xlfn.XLOOKUP(H2304,agent_info!$A$2:$A$301, agent_info!$A$2:$A$301)), "Invalid", "Ok")</f>
        <v>Ok</v>
      </c>
    </row>
    <row r="2305" spans="1:11" x14ac:dyDescent="0.3">
      <c r="A2305" s="1" t="s">
        <v>5924</v>
      </c>
      <c r="B2305" s="1" t="s">
        <v>2324</v>
      </c>
      <c r="C2305" s="1" t="s">
        <v>3314</v>
      </c>
      <c r="D2305" s="1">
        <v>402530.67</v>
      </c>
      <c r="E2305" s="1">
        <v>20509.7</v>
      </c>
      <c r="F2305" s="41">
        <v>45461</v>
      </c>
      <c r="G2305" s="41">
        <v>45826</v>
      </c>
      <c r="H2305" s="1" t="s">
        <v>3524</v>
      </c>
      <c r="I2305" s="1" t="s">
        <v>3324</v>
      </c>
      <c r="J2305" t="str">
        <f>IF(ISNA(_xlfn.XLOOKUP(B2305,customer_master!$A$2:$A$1649, customer_master!$A$2:$A$1649)), "Invalid", "Ok")</f>
        <v>Ok</v>
      </c>
      <c r="K2305" t="str">
        <f>IF(ISNA(_xlfn.XLOOKUP(H2305,agent_info!$A$2:$A$301, agent_info!$A$2:$A$301)), "Invalid", "Ok")</f>
        <v>Ok</v>
      </c>
    </row>
    <row r="2306" spans="1:11" x14ac:dyDescent="0.3">
      <c r="A2306" s="1" t="s">
        <v>5925</v>
      </c>
      <c r="B2306" s="1" t="s">
        <v>2863</v>
      </c>
      <c r="C2306" s="1" t="s">
        <v>3334</v>
      </c>
      <c r="D2306" s="1">
        <v>750195.05</v>
      </c>
      <c r="E2306" s="1">
        <v>38717.69</v>
      </c>
      <c r="F2306" s="41">
        <v>45796</v>
      </c>
      <c r="G2306" s="41">
        <v>46161</v>
      </c>
      <c r="H2306" s="1" t="s">
        <v>3809</v>
      </c>
      <c r="I2306" s="1" t="s">
        <v>3316</v>
      </c>
      <c r="J2306" t="str">
        <f>IF(ISNA(_xlfn.XLOOKUP(B2306,customer_master!$A$2:$A$1649, customer_master!$A$2:$A$1649)), "Invalid", "Ok")</f>
        <v>Ok</v>
      </c>
      <c r="K2306" t="str">
        <f>IF(ISNA(_xlfn.XLOOKUP(H2306,agent_info!$A$2:$A$301, agent_info!$A$2:$A$301)), "Invalid", "Ok")</f>
        <v>Ok</v>
      </c>
    </row>
    <row r="2307" spans="1:11" x14ac:dyDescent="0.3">
      <c r="A2307" s="1" t="s">
        <v>5926</v>
      </c>
      <c r="B2307" s="1" t="s">
        <v>2523</v>
      </c>
      <c r="C2307" s="1" t="s">
        <v>3331</v>
      </c>
      <c r="D2307" s="1">
        <v>544216.57999999996</v>
      </c>
      <c r="E2307" s="1">
        <v>25583.07</v>
      </c>
      <c r="F2307" s="41">
        <v>45924</v>
      </c>
      <c r="G2307" s="41">
        <v>46289</v>
      </c>
      <c r="H2307" s="1" t="s">
        <v>3507</v>
      </c>
      <c r="I2307" s="1" t="s">
        <v>3324</v>
      </c>
      <c r="J2307" t="str">
        <f>IF(ISNA(_xlfn.XLOOKUP(B2307,customer_master!$A$2:$A$1649, customer_master!$A$2:$A$1649)), "Invalid", "Ok")</f>
        <v>Ok</v>
      </c>
      <c r="K2307" t="str">
        <f>IF(ISNA(_xlfn.XLOOKUP(H2307,agent_info!$A$2:$A$301, agent_info!$A$2:$A$301)), "Invalid", "Ok")</f>
        <v>Ok</v>
      </c>
    </row>
    <row r="2308" spans="1:11" x14ac:dyDescent="0.3">
      <c r="A2308" s="1" t="s">
        <v>5927</v>
      </c>
      <c r="B2308" s="1" t="s">
        <v>1799</v>
      </c>
      <c r="C2308" s="1" t="s">
        <v>3334</v>
      </c>
      <c r="D2308" s="1">
        <v>660512.02</v>
      </c>
      <c r="E2308" s="1">
        <v>34756.92</v>
      </c>
      <c r="F2308" s="41">
        <v>45452</v>
      </c>
      <c r="G2308" s="41">
        <v>45817</v>
      </c>
      <c r="H2308" s="1" t="s">
        <v>4370</v>
      </c>
      <c r="I2308" s="1" t="s">
        <v>3320</v>
      </c>
      <c r="J2308" t="str">
        <f>IF(ISNA(_xlfn.XLOOKUP(B2308,customer_master!$A$2:$A$1649, customer_master!$A$2:$A$1649)), "Invalid", "Ok")</f>
        <v>Ok</v>
      </c>
      <c r="K2308" t="str">
        <f>IF(ISNA(_xlfn.XLOOKUP(H2308,agent_info!$A$2:$A$301, agent_info!$A$2:$A$301)), "Invalid", "Ok")</f>
        <v>Ok</v>
      </c>
    </row>
    <row r="2309" spans="1:11" x14ac:dyDescent="0.3">
      <c r="A2309" s="1" t="s">
        <v>5928</v>
      </c>
      <c r="B2309" s="1" t="s">
        <v>1059</v>
      </c>
      <c r="C2309" s="1" t="s">
        <v>3314</v>
      </c>
      <c r="D2309" s="1">
        <v>385661.18</v>
      </c>
      <c r="E2309" s="1">
        <v>19772.439999999999</v>
      </c>
      <c r="F2309" s="41">
        <v>44647</v>
      </c>
      <c r="G2309" s="41">
        <v>45012</v>
      </c>
      <c r="H2309" s="1" t="s">
        <v>5396</v>
      </c>
      <c r="I2309" s="1" t="s">
        <v>3324</v>
      </c>
      <c r="J2309" t="str">
        <f>IF(ISNA(_xlfn.XLOOKUP(B2309,customer_master!$A$2:$A$1649, customer_master!$A$2:$A$1649)), "Invalid", "Ok")</f>
        <v>Ok</v>
      </c>
      <c r="K2309" t="str">
        <f>IF(ISNA(_xlfn.XLOOKUP(H2309,agent_info!$A$2:$A$301, agent_info!$A$2:$A$301)), "Invalid", "Ok")</f>
        <v>Ok</v>
      </c>
    </row>
    <row r="2310" spans="1:11" x14ac:dyDescent="0.3">
      <c r="A2310" s="1" t="s">
        <v>5929</v>
      </c>
      <c r="B2310" s="1" t="s">
        <v>48</v>
      </c>
      <c r="C2310" s="1" t="s">
        <v>3314</v>
      </c>
      <c r="D2310" s="1">
        <v>690371.21</v>
      </c>
      <c r="E2310" s="1">
        <v>31132.62</v>
      </c>
      <c r="F2310" s="41">
        <v>45288</v>
      </c>
      <c r="G2310" s="41">
        <v>45654</v>
      </c>
      <c r="H2310" s="1" t="s">
        <v>3422</v>
      </c>
      <c r="I2310" s="1" t="s">
        <v>3324</v>
      </c>
      <c r="J2310" t="str">
        <f>IF(ISNA(_xlfn.XLOOKUP(B2310,customer_master!$A$2:$A$1649, customer_master!$A$2:$A$1649)), "Invalid", "Ok")</f>
        <v>Ok</v>
      </c>
      <c r="K2310" t="str">
        <f>IF(ISNA(_xlfn.XLOOKUP(H2310,agent_info!$A$2:$A$301, agent_info!$A$2:$A$301)), "Invalid", "Ok")</f>
        <v>Ok</v>
      </c>
    </row>
    <row r="2311" spans="1:11" x14ac:dyDescent="0.3">
      <c r="A2311" s="1" t="s">
        <v>5930</v>
      </c>
      <c r="B2311" s="1" t="s">
        <v>2164</v>
      </c>
      <c r="C2311" s="1" t="s">
        <v>3334</v>
      </c>
      <c r="D2311" s="1">
        <v>570583.62</v>
      </c>
      <c r="E2311" s="1">
        <v>31099.97</v>
      </c>
      <c r="F2311" s="41">
        <v>46156</v>
      </c>
      <c r="G2311" s="41">
        <v>46521</v>
      </c>
      <c r="H2311" s="1" t="s">
        <v>3641</v>
      </c>
      <c r="I2311" s="1" t="s">
        <v>3324</v>
      </c>
      <c r="J2311" t="str">
        <f>IF(ISNA(_xlfn.XLOOKUP(B2311,customer_master!$A$2:$A$1649, customer_master!$A$2:$A$1649)), "Invalid", "Ok")</f>
        <v>Ok</v>
      </c>
      <c r="K2311" t="str">
        <f>IF(ISNA(_xlfn.XLOOKUP(H2311,agent_info!$A$2:$A$301, agent_info!$A$2:$A$301)), "Invalid", "Ok")</f>
        <v>Ok</v>
      </c>
    </row>
    <row r="2312" spans="1:11" x14ac:dyDescent="0.3">
      <c r="A2312" s="1" t="s">
        <v>5931</v>
      </c>
      <c r="B2312" s="1" t="s">
        <v>976</v>
      </c>
      <c r="C2312" s="1" t="s">
        <v>3334</v>
      </c>
      <c r="D2312" s="1">
        <v>740587.03</v>
      </c>
      <c r="E2312" s="1">
        <v>36626.32</v>
      </c>
      <c r="F2312" s="41">
        <v>44523</v>
      </c>
      <c r="G2312" s="41">
        <v>44888</v>
      </c>
      <c r="H2312" s="1" t="s">
        <v>4012</v>
      </c>
      <c r="I2312" s="1" t="s">
        <v>3316</v>
      </c>
      <c r="J2312" t="str">
        <f>IF(ISNA(_xlfn.XLOOKUP(B2312,customer_master!$A$2:$A$1649, customer_master!$A$2:$A$1649)), "Invalid", "Ok")</f>
        <v>Ok</v>
      </c>
      <c r="K2312" t="str">
        <f>IF(ISNA(_xlfn.XLOOKUP(H2312,agent_info!$A$2:$A$301, agent_info!$A$2:$A$301)), "Invalid", "Ok")</f>
        <v>Ok</v>
      </c>
    </row>
    <row r="2313" spans="1:11" x14ac:dyDescent="0.3">
      <c r="A2313" s="1" t="s">
        <v>5932</v>
      </c>
      <c r="B2313" s="1" t="s">
        <v>859</v>
      </c>
      <c r="C2313" s="1" t="s">
        <v>3326</v>
      </c>
      <c r="D2313" s="1">
        <v>532314.12</v>
      </c>
      <c r="E2313" s="1">
        <v>25191.119999999999</v>
      </c>
      <c r="F2313" s="41">
        <v>44281</v>
      </c>
      <c r="G2313" s="41">
        <v>44646</v>
      </c>
      <c r="H2313" s="1" t="s">
        <v>4007</v>
      </c>
      <c r="I2313" s="1" t="s">
        <v>3324</v>
      </c>
      <c r="J2313" t="str">
        <f>IF(ISNA(_xlfn.XLOOKUP(B2313,customer_master!$A$2:$A$1649, customer_master!$A$2:$A$1649)), "Invalid", "Ok")</f>
        <v>Ok</v>
      </c>
      <c r="K2313" t="str">
        <f>IF(ISNA(_xlfn.XLOOKUP(H2313,agent_info!$A$2:$A$301, agent_info!$A$2:$A$301)), "Invalid", "Ok")</f>
        <v>Ok</v>
      </c>
    </row>
    <row r="2314" spans="1:11" x14ac:dyDescent="0.3">
      <c r="A2314" s="1" t="s">
        <v>5933</v>
      </c>
      <c r="B2314" s="1" t="s">
        <v>3232</v>
      </c>
      <c r="C2314" s="1" t="s">
        <v>3331</v>
      </c>
      <c r="D2314" s="1">
        <v>682427.26</v>
      </c>
      <c r="E2314" s="1">
        <v>31297.46</v>
      </c>
      <c r="F2314" s="41">
        <v>45035</v>
      </c>
      <c r="G2314" s="41">
        <v>45401</v>
      </c>
      <c r="H2314" s="1" t="s">
        <v>3858</v>
      </c>
      <c r="I2314" s="1" t="s">
        <v>3324</v>
      </c>
      <c r="J2314" t="str">
        <f>IF(ISNA(_xlfn.XLOOKUP(B2314,customer_master!$A$2:$A$1649, customer_master!$A$2:$A$1649)), "Invalid", "Ok")</f>
        <v>Ok</v>
      </c>
      <c r="K2314" t="str">
        <f>IF(ISNA(_xlfn.XLOOKUP(H2314,agent_info!$A$2:$A$301, agent_info!$A$2:$A$301)), "Invalid", "Ok")</f>
        <v>Ok</v>
      </c>
    </row>
    <row r="2315" spans="1:11" x14ac:dyDescent="0.3">
      <c r="A2315" s="1" t="s">
        <v>5934</v>
      </c>
      <c r="B2315" s="1" t="s">
        <v>620</v>
      </c>
      <c r="C2315" s="1" t="s">
        <v>3314</v>
      </c>
      <c r="D2315" s="1">
        <v>627344.68000000005</v>
      </c>
      <c r="E2315" s="1">
        <v>30579.47</v>
      </c>
      <c r="F2315" s="41">
        <v>45455</v>
      </c>
      <c r="G2315" s="41">
        <v>45820</v>
      </c>
      <c r="H2315" s="1" t="s">
        <v>3807</v>
      </c>
      <c r="I2315" s="1" t="s">
        <v>3316</v>
      </c>
      <c r="J2315" t="str">
        <f>IF(ISNA(_xlfn.XLOOKUP(B2315,customer_master!$A$2:$A$1649, customer_master!$A$2:$A$1649)), "Invalid", "Ok")</f>
        <v>Ok</v>
      </c>
      <c r="K2315" t="str">
        <f>IF(ISNA(_xlfn.XLOOKUP(H2315,agent_info!$A$2:$A$301, agent_info!$A$2:$A$301)), "Invalid", "Ok")</f>
        <v>Ok</v>
      </c>
    </row>
    <row r="2316" spans="1:11" x14ac:dyDescent="0.3">
      <c r="A2316" s="1" t="s">
        <v>5935</v>
      </c>
      <c r="B2316" s="1" t="s">
        <v>144</v>
      </c>
      <c r="C2316" s="1" t="s">
        <v>3326</v>
      </c>
      <c r="D2316" s="1">
        <v>532188.47</v>
      </c>
      <c r="E2316" s="1">
        <v>25586.39</v>
      </c>
      <c r="F2316" s="41">
        <v>45377</v>
      </c>
      <c r="G2316" s="41">
        <v>45742</v>
      </c>
      <c r="H2316" s="1" t="s">
        <v>4093</v>
      </c>
      <c r="I2316" s="1" t="s">
        <v>3324</v>
      </c>
      <c r="J2316" t="str">
        <f>IF(ISNA(_xlfn.XLOOKUP(B2316,customer_master!$A$2:$A$1649, customer_master!$A$2:$A$1649)), "Invalid", "Ok")</f>
        <v>Ok</v>
      </c>
      <c r="K2316" t="str">
        <f>IF(ISNA(_xlfn.XLOOKUP(H2316,agent_info!$A$2:$A$301, agent_info!$A$2:$A$301)), "Invalid", "Ok")</f>
        <v>Ok</v>
      </c>
    </row>
    <row r="2317" spans="1:11" x14ac:dyDescent="0.3">
      <c r="A2317" s="1" t="s">
        <v>5936</v>
      </c>
      <c r="B2317" s="1" t="s">
        <v>3156</v>
      </c>
      <c r="C2317" s="1" t="s">
        <v>3314</v>
      </c>
      <c r="D2317" s="1">
        <v>750074.01</v>
      </c>
      <c r="E2317" s="1">
        <v>35988.199999999997</v>
      </c>
      <c r="F2317" s="41">
        <v>44137</v>
      </c>
      <c r="G2317" s="41">
        <v>44502</v>
      </c>
      <c r="H2317" s="1" t="s">
        <v>3943</v>
      </c>
      <c r="I2317" s="1" t="s">
        <v>3324</v>
      </c>
      <c r="J2317" t="str">
        <f>IF(ISNA(_xlfn.XLOOKUP(B2317,customer_master!$A$2:$A$1649, customer_master!$A$2:$A$1649)), "Invalid", "Ok")</f>
        <v>Ok</v>
      </c>
      <c r="K2317" t="str">
        <f>IF(ISNA(_xlfn.XLOOKUP(H2317,agent_info!$A$2:$A$301, agent_info!$A$2:$A$301)), "Invalid", "Ok")</f>
        <v>Ok</v>
      </c>
    </row>
    <row r="2318" spans="1:11" x14ac:dyDescent="0.3">
      <c r="A2318" s="1" t="s">
        <v>5937</v>
      </c>
      <c r="B2318" s="1" t="s">
        <v>1031</v>
      </c>
      <c r="C2318" s="1" t="s">
        <v>3331</v>
      </c>
      <c r="D2318" s="1">
        <v>570571.1</v>
      </c>
      <c r="E2318" s="1">
        <v>30201.48</v>
      </c>
      <c r="F2318" s="41">
        <v>45628</v>
      </c>
      <c r="G2318" s="41">
        <v>45993</v>
      </c>
      <c r="H2318" s="1" t="s">
        <v>3589</v>
      </c>
      <c r="I2318" s="1" t="s">
        <v>3316</v>
      </c>
      <c r="J2318" t="str">
        <f>IF(ISNA(_xlfn.XLOOKUP(B2318,customer_master!$A$2:$A$1649, customer_master!$A$2:$A$1649)), "Invalid", "Ok")</f>
        <v>Ok</v>
      </c>
      <c r="K2318" t="str">
        <f>IF(ISNA(_xlfn.XLOOKUP(H2318,agent_info!$A$2:$A$301, agent_info!$A$2:$A$301)), "Invalid", "Ok")</f>
        <v>Ok</v>
      </c>
    </row>
    <row r="2319" spans="1:11" x14ac:dyDescent="0.3">
      <c r="A2319" s="1" t="s">
        <v>5938</v>
      </c>
      <c r="B2319" s="1" t="s">
        <v>1345</v>
      </c>
      <c r="C2319" s="1" t="s">
        <v>3318</v>
      </c>
      <c r="D2319" s="1">
        <v>715322.8</v>
      </c>
      <c r="E2319" s="1">
        <v>36809.949999999997</v>
      </c>
      <c r="F2319" s="41">
        <v>46094</v>
      </c>
      <c r="G2319" s="41">
        <v>46459</v>
      </c>
      <c r="H2319" s="1" t="s">
        <v>4087</v>
      </c>
      <c r="I2319" s="1" t="s">
        <v>3316</v>
      </c>
      <c r="J2319" t="str">
        <f>IF(ISNA(_xlfn.XLOOKUP(B2319,customer_master!$A$2:$A$1649, customer_master!$A$2:$A$1649)), "Invalid", "Ok")</f>
        <v>Ok</v>
      </c>
      <c r="K2319" t="str">
        <f>IF(ISNA(_xlfn.XLOOKUP(H2319,agent_info!$A$2:$A$301, agent_info!$A$2:$A$301)), "Invalid", "Ok")</f>
        <v>Ok</v>
      </c>
    </row>
    <row r="2320" spans="1:11" x14ac:dyDescent="0.3">
      <c r="A2320" s="1" t="s">
        <v>5939</v>
      </c>
      <c r="B2320" s="1" t="s">
        <v>308</v>
      </c>
      <c r="C2320" s="1" t="s">
        <v>3334</v>
      </c>
      <c r="D2320" s="1">
        <v>398889.89</v>
      </c>
      <c r="E2320" s="1">
        <v>18480.78</v>
      </c>
      <c r="F2320" s="41">
        <v>44249</v>
      </c>
      <c r="G2320" s="41">
        <v>44614</v>
      </c>
      <c r="H2320" s="1" t="s">
        <v>4146</v>
      </c>
      <c r="I2320" s="1" t="s">
        <v>3324</v>
      </c>
      <c r="J2320" t="str">
        <f>IF(ISNA(_xlfn.XLOOKUP(B2320,customer_master!$A$2:$A$1649, customer_master!$A$2:$A$1649)), "Invalid", "Ok")</f>
        <v>Ok</v>
      </c>
      <c r="K2320" t="str">
        <f>IF(ISNA(_xlfn.XLOOKUP(H2320,agent_info!$A$2:$A$301, agent_info!$A$2:$A$301)), "Invalid", "Ok")</f>
        <v>Ok</v>
      </c>
    </row>
    <row r="2321" spans="1:11" x14ac:dyDescent="0.3">
      <c r="A2321" s="1" t="s">
        <v>5940</v>
      </c>
      <c r="B2321" s="1" t="s">
        <v>1374</v>
      </c>
      <c r="C2321" s="1" t="s">
        <v>3331</v>
      </c>
      <c r="D2321" s="1">
        <v>632305.29</v>
      </c>
      <c r="E2321" s="1">
        <v>32930.93</v>
      </c>
      <c r="F2321" s="41">
        <v>44915</v>
      </c>
      <c r="G2321" s="41">
        <v>45280</v>
      </c>
      <c r="H2321" s="1" t="s">
        <v>4273</v>
      </c>
      <c r="I2321" s="1" t="s">
        <v>3320</v>
      </c>
      <c r="J2321" t="str">
        <f>IF(ISNA(_xlfn.XLOOKUP(B2321,customer_master!$A$2:$A$1649, customer_master!$A$2:$A$1649)), "Invalid", "Ok")</f>
        <v>Ok</v>
      </c>
      <c r="K2321" t="str">
        <f>IF(ISNA(_xlfn.XLOOKUP(H2321,agent_info!$A$2:$A$301, agent_info!$A$2:$A$301)), "Invalid", "Ok")</f>
        <v>Ok</v>
      </c>
    </row>
    <row r="2322" spans="1:11" x14ac:dyDescent="0.3">
      <c r="A2322" s="1" t="s">
        <v>5941</v>
      </c>
      <c r="B2322" s="1" t="s">
        <v>3224</v>
      </c>
      <c r="C2322" s="1" t="s">
        <v>3318</v>
      </c>
      <c r="D2322" s="1">
        <v>722608.08</v>
      </c>
      <c r="E2322" s="1">
        <v>37745.300000000003</v>
      </c>
      <c r="F2322" s="41">
        <v>45704</v>
      </c>
      <c r="G2322" s="41">
        <v>46069</v>
      </c>
      <c r="H2322" s="1" t="s">
        <v>3745</v>
      </c>
      <c r="I2322" s="1" t="s">
        <v>3316</v>
      </c>
      <c r="J2322" t="str">
        <f>IF(ISNA(_xlfn.XLOOKUP(B2322,customer_master!$A$2:$A$1649, customer_master!$A$2:$A$1649)), "Invalid", "Ok")</f>
        <v>Ok</v>
      </c>
      <c r="K2322" t="str">
        <f>IF(ISNA(_xlfn.XLOOKUP(H2322,agent_info!$A$2:$A$301, agent_info!$A$2:$A$301)), "Invalid", "Ok")</f>
        <v>Ok</v>
      </c>
    </row>
    <row r="2323" spans="1:11" x14ac:dyDescent="0.3">
      <c r="A2323" s="1" t="s">
        <v>5942</v>
      </c>
      <c r="B2323" s="1" t="s">
        <v>2320</v>
      </c>
      <c r="C2323" s="1" t="s">
        <v>3314</v>
      </c>
      <c r="D2323" s="1">
        <v>731221</v>
      </c>
      <c r="E2323" s="1">
        <v>36665.39</v>
      </c>
      <c r="F2323" s="41">
        <v>44363</v>
      </c>
      <c r="G2323" s="41">
        <v>44728</v>
      </c>
      <c r="H2323" s="1" t="s">
        <v>3767</v>
      </c>
      <c r="I2323" s="1" t="s">
        <v>3324</v>
      </c>
      <c r="J2323" t="str">
        <f>IF(ISNA(_xlfn.XLOOKUP(B2323,customer_master!$A$2:$A$1649, customer_master!$A$2:$A$1649)), "Invalid", "Ok")</f>
        <v>Ok</v>
      </c>
      <c r="K2323" t="str">
        <f>IF(ISNA(_xlfn.XLOOKUP(H2323,agent_info!$A$2:$A$301, agent_info!$A$2:$A$301)), "Invalid", "Ok")</f>
        <v>Ok</v>
      </c>
    </row>
    <row r="2324" spans="1:11" x14ac:dyDescent="0.3">
      <c r="A2324" s="1" t="s">
        <v>5943</v>
      </c>
      <c r="B2324" s="1" t="s">
        <v>1588</v>
      </c>
      <c r="C2324" s="1" t="s">
        <v>3318</v>
      </c>
      <c r="D2324" s="1">
        <v>561350.27</v>
      </c>
      <c r="E2324" s="1">
        <v>30850.5</v>
      </c>
      <c r="F2324" s="41">
        <v>45071</v>
      </c>
      <c r="G2324" s="41">
        <v>45437</v>
      </c>
      <c r="H2324" s="1" t="s">
        <v>3395</v>
      </c>
      <c r="I2324" s="1" t="s">
        <v>3324</v>
      </c>
      <c r="J2324" t="str">
        <f>IF(ISNA(_xlfn.XLOOKUP(B2324,customer_master!$A$2:$A$1649, customer_master!$A$2:$A$1649)), "Invalid", "Ok")</f>
        <v>Ok</v>
      </c>
      <c r="K2324" t="str">
        <f>IF(ISNA(_xlfn.XLOOKUP(H2324,agent_info!$A$2:$A$301, agent_info!$A$2:$A$301)), "Invalid", "Ok")</f>
        <v>Ok</v>
      </c>
    </row>
    <row r="2325" spans="1:11" x14ac:dyDescent="0.3">
      <c r="A2325" s="1" t="s">
        <v>5944</v>
      </c>
      <c r="B2325" s="1" t="s">
        <v>1037</v>
      </c>
      <c r="C2325" s="1" t="s">
        <v>3326</v>
      </c>
      <c r="D2325" s="1">
        <v>515234.01</v>
      </c>
      <c r="E2325" s="1">
        <v>24646.11</v>
      </c>
      <c r="F2325" s="41">
        <v>45461</v>
      </c>
      <c r="G2325" s="41">
        <v>45826</v>
      </c>
      <c r="H2325" s="1" t="s">
        <v>3483</v>
      </c>
      <c r="I2325" s="1" t="s">
        <v>3324</v>
      </c>
      <c r="J2325" t="str">
        <f>IF(ISNA(_xlfn.XLOOKUP(B2325,customer_master!$A$2:$A$1649, customer_master!$A$2:$A$1649)), "Invalid", "Ok")</f>
        <v>Ok</v>
      </c>
      <c r="K2325" t="str">
        <f>IF(ISNA(_xlfn.XLOOKUP(H2325,agent_info!$A$2:$A$301, agent_info!$A$2:$A$301)), "Invalid", "Ok")</f>
        <v>Ok</v>
      </c>
    </row>
    <row r="2326" spans="1:11" x14ac:dyDescent="0.3">
      <c r="A2326" s="1" t="s">
        <v>5945</v>
      </c>
      <c r="B2326" s="1" t="s">
        <v>1239</v>
      </c>
      <c r="C2326" s="1" t="s">
        <v>3334</v>
      </c>
      <c r="D2326" s="1">
        <v>697047.67</v>
      </c>
      <c r="E2326" s="1">
        <v>31774.61</v>
      </c>
      <c r="F2326" s="41">
        <v>44862</v>
      </c>
      <c r="G2326" s="41">
        <v>45227</v>
      </c>
      <c r="H2326" s="1" t="s">
        <v>3355</v>
      </c>
      <c r="I2326" s="1" t="s">
        <v>3324</v>
      </c>
      <c r="J2326" t="str">
        <f>IF(ISNA(_xlfn.XLOOKUP(B2326,customer_master!$A$2:$A$1649, customer_master!$A$2:$A$1649)), "Invalid", "Ok")</f>
        <v>Ok</v>
      </c>
      <c r="K2326" t="str">
        <f>IF(ISNA(_xlfn.XLOOKUP(H2326,agent_info!$A$2:$A$301, agent_info!$A$2:$A$301)), "Invalid", "Ok")</f>
        <v>Ok</v>
      </c>
    </row>
    <row r="2327" spans="1:11" x14ac:dyDescent="0.3">
      <c r="A2327" s="1" t="s">
        <v>5946</v>
      </c>
      <c r="B2327" s="1" t="s">
        <v>2052</v>
      </c>
      <c r="C2327" s="1" t="s">
        <v>3334</v>
      </c>
      <c r="D2327" s="1">
        <v>513981.12</v>
      </c>
      <c r="E2327" s="1">
        <v>23277.21</v>
      </c>
      <c r="F2327" s="41">
        <v>44602</v>
      </c>
      <c r="G2327" s="41">
        <v>44967</v>
      </c>
      <c r="H2327" s="1" t="s">
        <v>3397</v>
      </c>
      <c r="I2327" s="1" t="s">
        <v>3324</v>
      </c>
      <c r="J2327" t="str">
        <f>IF(ISNA(_xlfn.XLOOKUP(B2327,customer_master!$A$2:$A$1649, customer_master!$A$2:$A$1649)), "Invalid", "Ok")</f>
        <v>Ok</v>
      </c>
      <c r="K2327" t="str">
        <f>IF(ISNA(_xlfn.XLOOKUP(H2327,agent_info!$A$2:$A$301, agent_info!$A$2:$A$301)), "Invalid", "Ok")</f>
        <v>Ok</v>
      </c>
    </row>
    <row r="2328" spans="1:11" x14ac:dyDescent="0.3">
      <c r="A2328" s="1" t="s">
        <v>5947</v>
      </c>
      <c r="B2328" s="1" t="s">
        <v>875</v>
      </c>
      <c r="C2328" s="1" t="s">
        <v>3318</v>
      </c>
      <c r="D2328" s="1">
        <v>732247.02</v>
      </c>
      <c r="E2328" s="1">
        <v>35298.32</v>
      </c>
      <c r="F2328" s="41">
        <v>46045</v>
      </c>
      <c r="G2328" s="41">
        <v>46410</v>
      </c>
      <c r="H2328" s="1" t="s">
        <v>3987</v>
      </c>
      <c r="I2328" s="1" t="s">
        <v>3320</v>
      </c>
      <c r="J2328" t="str">
        <f>IF(ISNA(_xlfn.XLOOKUP(B2328,customer_master!$A$2:$A$1649, customer_master!$A$2:$A$1649)), "Invalid", "Ok")</f>
        <v>Ok</v>
      </c>
      <c r="K2328" t="str">
        <f>IF(ISNA(_xlfn.XLOOKUP(H2328,agent_info!$A$2:$A$301, agent_info!$A$2:$A$301)), "Invalid", "Ok")</f>
        <v>Ok</v>
      </c>
    </row>
    <row r="2329" spans="1:11" x14ac:dyDescent="0.3">
      <c r="A2329" s="1" t="s">
        <v>5948</v>
      </c>
      <c r="B2329" s="1" t="s">
        <v>538</v>
      </c>
      <c r="C2329" s="1" t="s">
        <v>3334</v>
      </c>
      <c r="D2329" s="1">
        <v>481513.39</v>
      </c>
      <c r="E2329" s="1">
        <v>24065.64</v>
      </c>
      <c r="F2329" s="41">
        <v>44727</v>
      </c>
      <c r="G2329" s="41">
        <v>45092</v>
      </c>
      <c r="H2329" s="1" t="s">
        <v>3729</v>
      </c>
      <c r="I2329" s="1" t="s">
        <v>3316</v>
      </c>
      <c r="J2329" t="str">
        <f>IF(ISNA(_xlfn.XLOOKUP(B2329,customer_master!$A$2:$A$1649, customer_master!$A$2:$A$1649)), "Invalid", "Ok")</f>
        <v>Ok</v>
      </c>
      <c r="K2329" t="str">
        <f>IF(ISNA(_xlfn.XLOOKUP(H2329,agent_info!$A$2:$A$301, agent_info!$A$2:$A$301)), "Invalid", "Ok")</f>
        <v>Ok</v>
      </c>
    </row>
    <row r="2330" spans="1:11" x14ac:dyDescent="0.3">
      <c r="A2330" s="1" t="s">
        <v>5949</v>
      </c>
      <c r="B2330" s="1" t="s">
        <v>2324</v>
      </c>
      <c r="C2330" s="1" t="s">
        <v>3314</v>
      </c>
      <c r="D2330" s="1">
        <v>413643.16</v>
      </c>
      <c r="E2330" s="1">
        <v>18937.54</v>
      </c>
      <c r="F2330" s="41">
        <v>45250</v>
      </c>
      <c r="G2330" s="41">
        <v>45616</v>
      </c>
      <c r="H2330" s="1" t="s">
        <v>3939</v>
      </c>
      <c r="I2330" s="1" t="s">
        <v>3316</v>
      </c>
      <c r="J2330" t="str">
        <f>IF(ISNA(_xlfn.XLOOKUP(B2330,customer_master!$A$2:$A$1649, customer_master!$A$2:$A$1649)), "Invalid", "Ok")</f>
        <v>Ok</v>
      </c>
      <c r="K2330" t="str">
        <f>IF(ISNA(_xlfn.XLOOKUP(H2330,agent_info!$A$2:$A$301, agent_info!$A$2:$A$301)), "Invalid", "Ok")</f>
        <v>Ok</v>
      </c>
    </row>
    <row r="2331" spans="1:11" x14ac:dyDescent="0.3">
      <c r="A2331" s="1" t="s">
        <v>5950</v>
      </c>
      <c r="B2331" s="1" t="s">
        <v>2891</v>
      </c>
      <c r="C2331" s="1" t="s">
        <v>3334</v>
      </c>
      <c r="D2331" s="1">
        <v>682190.72</v>
      </c>
      <c r="E2331" s="1">
        <v>34558.410000000003</v>
      </c>
      <c r="F2331" s="41">
        <v>44614</v>
      </c>
      <c r="G2331" s="41">
        <v>44979</v>
      </c>
      <c r="H2331" s="1" t="s">
        <v>4511</v>
      </c>
      <c r="I2331" s="1" t="s">
        <v>3320</v>
      </c>
      <c r="J2331" t="str">
        <f>IF(ISNA(_xlfn.XLOOKUP(B2331,customer_master!$A$2:$A$1649, customer_master!$A$2:$A$1649)), "Invalid", "Ok")</f>
        <v>Ok</v>
      </c>
      <c r="K2331" t="str">
        <f>IF(ISNA(_xlfn.XLOOKUP(H2331,agent_info!$A$2:$A$301, agent_info!$A$2:$A$301)), "Invalid", "Ok")</f>
        <v>Ok</v>
      </c>
    </row>
    <row r="2332" spans="1:11" x14ac:dyDescent="0.3">
      <c r="A2332" s="1" t="s">
        <v>5951</v>
      </c>
      <c r="B2332" s="1" t="s">
        <v>2993</v>
      </c>
      <c r="C2332" s="1" t="s">
        <v>3331</v>
      </c>
      <c r="D2332" s="1">
        <v>535902.30000000005</v>
      </c>
      <c r="E2332" s="1">
        <v>28943.39</v>
      </c>
      <c r="F2332" s="41">
        <v>45786</v>
      </c>
      <c r="G2332" s="41">
        <v>46151</v>
      </c>
      <c r="H2332" s="1" t="s">
        <v>3662</v>
      </c>
      <c r="I2332" s="1" t="s">
        <v>3324</v>
      </c>
      <c r="J2332" t="str">
        <f>IF(ISNA(_xlfn.XLOOKUP(B2332,customer_master!$A$2:$A$1649, customer_master!$A$2:$A$1649)), "Invalid", "Ok")</f>
        <v>Ok</v>
      </c>
      <c r="K2332" t="str">
        <f>IF(ISNA(_xlfn.XLOOKUP(H2332,agent_info!$A$2:$A$301, agent_info!$A$2:$A$301)), "Invalid", "Ok")</f>
        <v>Ok</v>
      </c>
    </row>
    <row r="2333" spans="1:11" x14ac:dyDescent="0.3">
      <c r="A2333" s="1" t="s">
        <v>5952</v>
      </c>
      <c r="B2333" s="1" t="s">
        <v>2796</v>
      </c>
      <c r="C2333" s="1" t="s">
        <v>3334</v>
      </c>
      <c r="D2333" s="1">
        <v>521974.29</v>
      </c>
      <c r="E2333" s="1">
        <v>27648.26</v>
      </c>
      <c r="F2333" s="41">
        <v>45800</v>
      </c>
      <c r="G2333" s="41">
        <v>46165</v>
      </c>
      <c r="H2333" s="1" t="s">
        <v>4835</v>
      </c>
      <c r="I2333" s="1" t="s">
        <v>3324</v>
      </c>
      <c r="J2333" t="str">
        <f>IF(ISNA(_xlfn.XLOOKUP(B2333,customer_master!$A$2:$A$1649, customer_master!$A$2:$A$1649)), "Invalid", "Ok")</f>
        <v>Ok</v>
      </c>
      <c r="K2333" t="str">
        <f>IF(ISNA(_xlfn.XLOOKUP(H2333,agent_info!$A$2:$A$301, agent_info!$A$2:$A$301)), "Invalid", "Ok")</f>
        <v>Ok</v>
      </c>
    </row>
    <row r="2334" spans="1:11" x14ac:dyDescent="0.3">
      <c r="A2334" s="1" t="s">
        <v>5953</v>
      </c>
      <c r="B2334" s="1" t="s">
        <v>1777</v>
      </c>
      <c r="C2334" s="1" t="s">
        <v>3314</v>
      </c>
      <c r="D2334" s="1">
        <v>508550.33</v>
      </c>
      <c r="E2334" s="1">
        <v>26304.61</v>
      </c>
      <c r="F2334" s="41">
        <v>45765</v>
      </c>
      <c r="G2334" s="41">
        <v>46130</v>
      </c>
      <c r="H2334" s="1" t="s">
        <v>3595</v>
      </c>
      <c r="I2334" s="1" t="s">
        <v>3324</v>
      </c>
      <c r="J2334" t="str">
        <f>IF(ISNA(_xlfn.XLOOKUP(B2334,customer_master!$A$2:$A$1649, customer_master!$A$2:$A$1649)), "Invalid", "Ok")</f>
        <v>Ok</v>
      </c>
      <c r="K2334" t="str">
        <f>IF(ISNA(_xlfn.XLOOKUP(H2334,agent_info!$A$2:$A$301, agent_info!$A$2:$A$301)), "Invalid", "Ok")</f>
        <v>Ok</v>
      </c>
    </row>
    <row r="2335" spans="1:11" x14ac:dyDescent="0.3">
      <c r="A2335" s="1" t="s">
        <v>5954</v>
      </c>
      <c r="B2335" s="1" t="s">
        <v>2619</v>
      </c>
      <c r="C2335" s="1" t="s">
        <v>3314</v>
      </c>
      <c r="D2335" s="1">
        <v>762470.26</v>
      </c>
      <c r="E2335" s="1">
        <v>39356.67</v>
      </c>
      <c r="F2335" s="41">
        <v>45522</v>
      </c>
      <c r="G2335" s="41">
        <v>45887</v>
      </c>
      <c r="H2335" s="1" t="s">
        <v>4076</v>
      </c>
      <c r="I2335" s="1" t="s">
        <v>3316</v>
      </c>
      <c r="J2335" t="str">
        <f>IF(ISNA(_xlfn.XLOOKUP(B2335,customer_master!$A$2:$A$1649, customer_master!$A$2:$A$1649)), "Invalid", "Ok")</f>
        <v>Ok</v>
      </c>
      <c r="K2335" t="str">
        <f>IF(ISNA(_xlfn.XLOOKUP(H2335,agent_info!$A$2:$A$301, agent_info!$A$2:$A$301)), "Invalid", "Ok")</f>
        <v>Ok</v>
      </c>
    </row>
    <row r="2336" spans="1:11" x14ac:dyDescent="0.3">
      <c r="A2336" s="1" t="s">
        <v>5955</v>
      </c>
      <c r="B2336" s="1" t="s">
        <v>3080</v>
      </c>
      <c r="C2336" s="1" t="s">
        <v>3331</v>
      </c>
      <c r="D2336" s="1">
        <v>599594.64</v>
      </c>
      <c r="E2336" s="1">
        <v>31360.6</v>
      </c>
      <c r="F2336" s="41">
        <v>44679</v>
      </c>
      <c r="G2336" s="41">
        <v>45044</v>
      </c>
      <c r="H2336" s="1" t="s">
        <v>4074</v>
      </c>
      <c r="I2336" s="1" t="s">
        <v>3324</v>
      </c>
      <c r="J2336" t="str">
        <f>IF(ISNA(_xlfn.XLOOKUP(B2336,customer_master!$A$2:$A$1649, customer_master!$A$2:$A$1649)), "Invalid", "Ok")</f>
        <v>Ok</v>
      </c>
      <c r="K2336" t="str">
        <f>IF(ISNA(_xlfn.XLOOKUP(H2336,agent_info!$A$2:$A$301, agent_info!$A$2:$A$301)), "Invalid", "Ok")</f>
        <v>Ok</v>
      </c>
    </row>
    <row r="2337" spans="1:11" x14ac:dyDescent="0.3">
      <c r="A2337" s="1" t="s">
        <v>5956</v>
      </c>
      <c r="B2337" s="1" t="s">
        <v>113</v>
      </c>
      <c r="C2337" s="1" t="s">
        <v>3331</v>
      </c>
      <c r="D2337" s="1">
        <v>759915.36</v>
      </c>
      <c r="E2337" s="1">
        <v>37951.74</v>
      </c>
      <c r="F2337" s="41">
        <v>46126</v>
      </c>
      <c r="G2337" s="41">
        <v>46491</v>
      </c>
      <c r="H2337" s="1" t="s">
        <v>3760</v>
      </c>
      <c r="I2337" s="1" t="s">
        <v>3316</v>
      </c>
      <c r="J2337" t="str">
        <f>IF(ISNA(_xlfn.XLOOKUP(B2337,customer_master!$A$2:$A$1649, customer_master!$A$2:$A$1649)), "Invalid", "Ok")</f>
        <v>Ok</v>
      </c>
      <c r="K2337" t="str">
        <f>IF(ISNA(_xlfn.XLOOKUP(H2337,agent_info!$A$2:$A$301, agent_info!$A$2:$A$301)), "Invalid", "Ok")</f>
        <v>Ok</v>
      </c>
    </row>
    <row r="2338" spans="1:11" x14ac:dyDescent="0.3">
      <c r="A2338" s="1" t="s">
        <v>5957</v>
      </c>
      <c r="B2338" s="1" t="s">
        <v>1398</v>
      </c>
      <c r="C2338" s="1" t="s">
        <v>3331</v>
      </c>
      <c r="D2338" s="1">
        <v>512576.15</v>
      </c>
      <c r="E2338" s="1">
        <v>25125.46</v>
      </c>
      <c r="F2338" s="41">
        <v>45452</v>
      </c>
      <c r="G2338" s="41">
        <v>45817</v>
      </c>
      <c r="H2338" s="1" t="s">
        <v>3425</v>
      </c>
      <c r="I2338" s="1" t="s">
        <v>3320</v>
      </c>
      <c r="J2338" t="str">
        <f>IF(ISNA(_xlfn.XLOOKUP(B2338,customer_master!$A$2:$A$1649, customer_master!$A$2:$A$1649)), "Invalid", "Ok")</f>
        <v>Ok</v>
      </c>
      <c r="K2338" t="str">
        <f>IF(ISNA(_xlfn.XLOOKUP(H2338,agent_info!$A$2:$A$301, agent_info!$A$2:$A$301)), "Invalid", "Ok")</f>
        <v>Ok</v>
      </c>
    </row>
    <row r="2339" spans="1:11" x14ac:dyDescent="0.3">
      <c r="A2339" s="1" t="s">
        <v>5958</v>
      </c>
      <c r="B2339" s="1" t="s">
        <v>725</v>
      </c>
      <c r="C2339" s="1" t="s">
        <v>3318</v>
      </c>
      <c r="D2339" s="1">
        <v>534480.37</v>
      </c>
      <c r="E2339" s="1">
        <v>25690.63</v>
      </c>
      <c r="F2339" s="41">
        <v>45476</v>
      </c>
      <c r="G2339" s="41">
        <v>45841</v>
      </c>
      <c r="H2339" s="1" t="s">
        <v>3502</v>
      </c>
      <c r="I2339" s="1" t="s">
        <v>3324</v>
      </c>
      <c r="J2339" t="str">
        <f>IF(ISNA(_xlfn.XLOOKUP(B2339,customer_master!$A$2:$A$1649, customer_master!$A$2:$A$1649)), "Invalid", "Ok")</f>
        <v>Ok</v>
      </c>
      <c r="K2339" t="str">
        <f>IF(ISNA(_xlfn.XLOOKUP(H2339,agent_info!$A$2:$A$301, agent_info!$A$2:$A$301)), "Invalid", "Ok")</f>
        <v>Ok</v>
      </c>
    </row>
    <row r="2340" spans="1:11" x14ac:dyDescent="0.3">
      <c r="A2340" s="1" t="s">
        <v>5959</v>
      </c>
      <c r="B2340" s="1" t="s">
        <v>3299</v>
      </c>
      <c r="C2340" s="1" t="s">
        <v>3318</v>
      </c>
      <c r="D2340" s="1">
        <v>458046.3</v>
      </c>
      <c r="E2340" s="1">
        <v>21068.38</v>
      </c>
      <c r="F2340" s="41">
        <v>45346</v>
      </c>
      <c r="G2340" s="41">
        <v>45712</v>
      </c>
      <c r="H2340" s="1" t="s">
        <v>4175</v>
      </c>
      <c r="I2340" s="1" t="s">
        <v>3324</v>
      </c>
      <c r="J2340" t="str">
        <f>IF(ISNA(_xlfn.XLOOKUP(B2340,customer_master!$A$2:$A$1649, customer_master!$A$2:$A$1649)), "Invalid", "Ok")</f>
        <v>Ok</v>
      </c>
      <c r="K2340" t="str">
        <f>IF(ISNA(_xlfn.XLOOKUP(H2340,agent_info!$A$2:$A$301, agent_info!$A$2:$A$301)), "Invalid", "Ok")</f>
        <v>Ok</v>
      </c>
    </row>
    <row r="2341" spans="1:11" x14ac:dyDescent="0.3">
      <c r="A2341" s="1" t="s">
        <v>5960</v>
      </c>
      <c r="B2341" s="1" t="s">
        <v>3090</v>
      </c>
      <c r="C2341" s="1" t="s">
        <v>3326</v>
      </c>
      <c r="D2341" s="1">
        <v>500627.44</v>
      </c>
      <c r="E2341" s="1">
        <v>25342.57</v>
      </c>
      <c r="F2341" s="41">
        <v>44303</v>
      </c>
      <c r="G2341" s="41">
        <v>44668</v>
      </c>
      <c r="H2341" s="1" t="s">
        <v>3445</v>
      </c>
      <c r="I2341" s="1" t="s">
        <v>3324</v>
      </c>
      <c r="J2341" t="str">
        <f>IF(ISNA(_xlfn.XLOOKUP(B2341,customer_master!$A$2:$A$1649, customer_master!$A$2:$A$1649)), "Invalid", "Ok")</f>
        <v>Ok</v>
      </c>
      <c r="K2341" t="str">
        <f>IF(ISNA(_xlfn.XLOOKUP(H2341,agent_info!$A$2:$A$301, agent_info!$A$2:$A$301)), "Invalid", "Ok")</f>
        <v>Ok</v>
      </c>
    </row>
    <row r="2342" spans="1:11" x14ac:dyDescent="0.3">
      <c r="A2342" s="1" t="s">
        <v>5961</v>
      </c>
      <c r="B2342" s="1" t="s">
        <v>2655</v>
      </c>
      <c r="C2342" s="1" t="s">
        <v>3314</v>
      </c>
      <c r="D2342" s="1">
        <v>408872.06</v>
      </c>
      <c r="E2342" s="1">
        <v>20331.240000000002</v>
      </c>
      <c r="F2342" s="41">
        <v>45083</v>
      </c>
      <c r="G2342" s="41">
        <v>45449</v>
      </c>
      <c r="H2342" s="1" t="s">
        <v>3989</v>
      </c>
      <c r="I2342" s="1" t="s">
        <v>3324</v>
      </c>
      <c r="J2342" t="str">
        <f>IF(ISNA(_xlfn.XLOOKUP(B2342,customer_master!$A$2:$A$1649, customer_master!$A$2:$A$1649)), "Invalid", "Ok")</f>
        <v>Ok</v>
      </c>
      <c r="K2342" t="str">
        <f>IF(ISNA(_xlfn.XLOOKUP(H2342,agent_info!$A$2:$A$301, agent_info!$A$2:$A$301)), "Invalid", "Ok")</f>
        <v>Ok</v>
      </c>
    </row>
    <row r="2343" spans="1:11" x14ac:dyDescent="0.3">
      <c r="A2343" s="1" t="s">
        <v>5962</v>
      </c>
      <c r="B2343" s="1" t="s">
        <v>1000</v>
      </c>
      <c r="C2343" s="1" t="s">
        <v>3314</v>
      </c>
      <c r="D2343" s="1">
        <v>385214.77</v>
      </c>
      <c r="E2343" s="1">
        <v>17792.7</v>
      </c>
      <c r="F2343" s="41">
        <v>45383</v>
      </c>
      <c r="G2343" s="41">
        <v>45748</v>
      </c>
      <c r="H2343" s="1" t="s">
        <v>3379</v>
      </c>
      <c r="I2343" s="1" t="s">
        <v>3324</v>
      </c>
      <c r="J2343" t="str">
        <f>IF(ISNA(_xlfn.XLOOKUP(B2343,customer_master!$A$2:$A$1649, customer_master!$A$2:$A$1649)), "Invalid", "Ok")</f>
        <v>Ok</v>
      </c>
      <c r="K2343" t="str">
        <f>IF(ISNA(_xlfn.XLOOKUP(H2343,agent_info!$A$2:$A$301, agent_info!$A$2:$A$301)), "Invalid", "Ok")</f>
        <v>Ok</v>
      </c>
    </row>
    <row r="2344" spans="1:11" x14ac:dyDescent="0.3">
      <c r="A2344" s="1" t="s">
        <v>5963</v>
      </c>
      <c r="B2344" s="1" t="s">
        <v>3160</v>
      </c>
      <c r="C2344" s="1" t="s">
        <v>3318</v>
      </c>
      <c r="D2344" s="1">
        <v>549261.77</v>
      </c>
      <c r="E2344" s="1">
        <v>26190.28</v>
      </c>
      <c r="F2344" s="41">
        <v>44311</v>
      </c>
      <c r="G2344" s="41">
        <v>44676</v>
      </c>
      <c r="H2344" s="1" t="s">
        <v>3974</v>
      </c>
      <c r="I2344" s="1" t="s">
        <v>3324</v>
      </c>
      <c r="J2344" t="str">
        <f>IF(ISNA(_xlfn.XLOOKUP(B2344,customer_master!$A$2:$A$1649, customer_master!$A$2:$A$1649)), "Invalid", "Ok")</f>
        <v>Ok</v>
      </c>
      <c r="K2344" t="str">
        <f>IF(ISNA(_xlfn.XLOOKUP(H2344,agent_info!$A$2:$A$301, agent_info!$A$2:$A$301)), "Invalid", "Ok")</f>
        <v>Ok</v>
      </c>
    </row>
    <row r="2345" spans="1:11" x14ac:dyDescent="0.3">
      <c r="A2345" s="1" t="s">
        <v>5964</v>
      </c>
      <c r="B2345" s="1" t="s">
        <v>131</v>
      </c>
      <c r="C2345" s="1" t="s">
        <v>3314</v>
      </c>
      <c r="D2345" s="1">
        <v>672219.21</v>
      </c>
      <c r="E2345" s="1">
        <v>35541.589999999997</v>
      </c>
      <c r="F2345" s="41">
        <v>44696</v>
      </c>
      <c r="G2345" s="41">
        <v>45061</v>
      </c>
      <c r="H2345" s="1" t="s">
        <v>4678</v>
      </c>
      <c r="I2345" s="1" t="s">
        <v>3324</v>
      </c>
      <c r="J2345" t="str">
        <f>IF(ISNA(_xlfn.XLOOKUP(B2345,customer_master!$A$2:$A$1649, customer_master!$A$2:$A$1649)), "Invalid", "Ok")</f>
        <v>Ok</v>
      </c>
      <c r="K2345" t="str">
        <f>IF(ISNA(_xlfn.XLOOKUP(H2345,agent_info!$A$2:$A$301, agent_info!$A$2:$A$301)), "Invalid", "Ok")</f>
        <v>Ok</v>
      </c>
    </row>
    <row r="2346" spans="1:11" x14ac:dyDescent="0.3">
      <c r="A2346" s="1" t="s">
        <v>5965</v>
      </c>
      <c r="B2346" s="1" t="s">
        <v>672</v>
      </c>
      <c r="C2346" s="1" t="s">
        <v>3318</v>
      </c>
      <c r="D2346" s="1">
        <v>543210.63</v>
      </c>
      <c r="E2346" s="1">
        <v>25832.95</v>
      </c>
      <c r="F2346" s="41">
        <v>46037</v>
      </c>
      <c r="G2346" s="41">
        <v>46402</v>
      </c>
      <c r="H2346" s="1" t="s">
        <v>3555</v>
      </c>
      <c r="I2346" s="1" t="s">
        <v>3324</v>
      </c>
      <c r="J2346" t="str">
        <f>IF(ISNA(_xlfn.XLOOKUP(B2346,customer_master!$A$2:$A$1649, customer_master!$A$2:$A$1649)), "Invalid", "Ok")</f>
        <v>Ok</v>
      </c>
      <c r="K2346" t="str">
        <f>IF(ISNA(_xlfn.XLOOKUP(H2346,agent_info!$A$2:$A$301, agent_info!$A$2:$A$301)), "Invalid", "Ok")</f>
        <v>Ok</v>
      </c>
    </row>
    <row r="2347" spans="1:11" x14ac:dyDescent="0.3">
      <c r="A2347" s="1" t="s">
        <v>5966</v>
      </c>
      <c r="B2347" s="1" t="s">
        <v>2075</v>
      </c>
      <c r="C2347" s="1" t="s">
        <v>3326</v>
      </c>
      <c r="D2347" s="1">
        <v>531301.89</v>
      </c>
      <c r="E2347" s="1">
        <v>26170.44</v>
      </c>
      <c r="F2347" s="41">
        <v>44280</v>
      </c>
      <c r="G2347" s="41">
        <v>44645</v>
      </c>
      <c r="H2347" s="1" t="s">
        <v>3610</v>
      </c>
      <c r="I2347" s="1" t="s">
        <v>3316</v>
      </c>
      <c r="J2347" t="str">
        <f>IF(ISNA(_xlfn.XLOOKUP(B2347,customer_master!$A$2:$A$1649, customer_master!$A$2:$A$1649)), "Invalid", "Ok")</f>
        <v>Ok</v>
      </c>
      <c r="K2347" t="str">
        <f>IF(ISNA(_xlfn.XLOOKUP(H2347,agent_info!$A$2:$A$301, agent_info!$A$2:$A$301)), "Invalid", "Ok")</f>
        <v>Ok</v>
      </c>
    </row>
    <row r="2348" spans="1:11" x14ac:dyDescent="0.3">
      <c r="A2348" s="1" t="s">
        <v>5967</v>
      </c>
      <c r="B2348" s="1" t="s">
        <v>2631</v>
      </c>
      <c r="C2348" s="1" t="s">
        <v>3314</v>
      </c>
      <c r="D2348" s="1">
        <v>556562.12</v>
      </c>
      <c r="E2348" s="1">
        <v>25943.07</v>
      </c>
      <c r="F2348" s="41">
        <v>45160</v>
      </c>
      <c r="G2348" s="41">
        <v>45526</v>
      </c>
      <c r="H2348" s="1" t="s">
        <v>3367</v>
      </c>
      <c r="I2348" s="1" t="s">
        <v>3324</v>
      </c>
      <c r="J2348" t="str">
        <f>IF(ISNA(_xlfn.XLOOKUP(B2348,customer_master!$A$2:$A$1649, customer_master!$A$2:$A$1649)), "Invalid", "Ok")</f>
        <v>Ok</v>
      </c>
      <c r="K2348" t="str">
        <f>IF(ISNA(_xlfn.XLOOKUP(H2348,agent_info!$A$2:$A$301, agent_info!$A$2:$A$301)), "Invalid", "Ok")</f>
        <v>Ok</v>
      </c>
    </row>
    <row r="2349" spans="1:11" x14ac:dyDescent="0.3">
      <c r="A2349" s="1" t="s">
        <v>5968</v>
      </c>
      <c r="B2349" s="1" t="s">
        <v>2939</v>
      </c>
      <c r="C2349" s="1" t="s">
        <v>3318</v>
      </c>
      <c r="D2349" s="1">
        <v>577132.02</v>
      </c>
      <c r="E2349" s="1">
        <v>26951.18</v>
      </c>
      <c r="F2349" s="41">
        <v>44869</v>
      </c>
      <c r="G2349" s="41">
        <v>45234</v>
      </c>
      <c r="H2349" s="1" t="s">
        <v>4004</v>
      </c>
      <c r="I2349" s="1" t="s">
        <v>3324</v>
      </c>
      <c r="J2349" t="str">
        <f>IF(ISNA(_xlfn.XLOOKUP(B2349,customer_master!$A$2:$A$1649, customer_master!$A$2:$A$1649)), "Invalid", "Ok")</f>
        <v>Ok</v>
      </c>
      <c r="K2349" t="str">
        <f>IF(ISNA(_xlfn.XLOOKUP(H2349,agent_info!$A$2:$A$301, agent_info!$A$2:$A$301)), "Invalid", "Ok")</f>
        <v>Ok</v>
      </c>
    </row>
    <row r="2350" spans="1:11" x14ac:dyDescent="0.3">
      <c r="A2350" s="1" t="s">
        <v>5969</v>
      </c>
      <c r="B2350" s="1" t="s">
        <v>1014</v>
      </c>
      <c r="C2350" s="1" t="s">
        <v>3314</v>
      </c>
      <c r="D2350" s="1">
        <v>683607.56</v>
      </c>
      <c r="E2350" s="1">
        <v>35932.78</v>
      </c>
      <c r="F2350" s="41">
        <v>45914</v>
      </c>
      <c r="G2350" s="41">
        <v>46279</v>
      </c>
      <c r="H2350" s="1" t="s">
        <v>3406</v>
      </c>
      <c r="I2350" s="1" t="s">
        <v>3316</v>
      </c>
      <c r="J2350" t="str">
        <f>IF(ISNA(_xlfn.XLOOKUP(B2350,customer_master!$A$2:$A$1649, customer_master!$A$2:$A$1649)), "Invalid", "Ok")</f>
        <v>Ok</v>
      </c>
      <c r="K2350" t="str">
        <f>IF(ISNA(_xlfn.XLOOKUP(H2350,agent_info!$A$2:$A$301, agent_info!$A$2:$A$301)), "Invalid", "Ok")</f>
        <v>Ok</v>
      </c>
    </row>
    <row r="2351" spans="1:11" x14ac:dyDescent="0.3">
      <c r="A2351" s="1" t="s">
        <v>5970</v>
      </c>
      <c r="B2351" s="1" t="s">
        <v>1333</v>
      </c>
      <c r="C2351" s="1" t="s">
        <v>3334</v>
      </c>
      <c r="D2351" s="1">
        <v>694457.72</v>
      </c>
      <c r="E2351" s="1">
        <v>31713.62</v>
      </c>
      <c r="F2351" s="41">
        <v>44933</v>
      </c>
      <c r="G2351" s="41">
        <v>45298</v>
      </c>
      <c r="H2351" s="1" t="s">
        <v>3738</v>
      </c>
      <c r="I2351" s="1" t="s">
        <v>3324</v>
      </c>
      <c r="J2351" t="str">
        <f>IF(ISNA(_xlfn.XLOOKUP(B2351,customer_master!$A$2:$A$1649, customer_master!$A$2:$A$1649)), "Invalid", "Ok")</f>
        <v>Ok</v>
      </c>
      <c r="K2351" t="str">
        <f>IF(ISNA(_xlfn.XLOOKUP(H2351,agent_info!$A$2:$A$301, agent_info!$A$2:$A$301)), "Invalid", "Ok")</f>
        <v>Ok</v>
      </c>
    </row>
    <row r="2352" spans="1:11" x14ac:dyDescent="0.3">
      <c r="A2352" s="1" t="s">
        <v>5971</v>
      </c>
      <c r="B2352" s="1" t="s">
        <v>1527</v>
      </c>
      <c r="C2352" s="1" t="s">
        <v>3318</v>
      </c>
      <c r="D2352" s="1">
        <v>694785.94</v>
      </c>
      <c r="E2352" s="1">
        <v>33245.69</v>
      </c>
      <c r="F2352" s="41">
        <v>45153</v>
      </c>
      <c r="G2352" s="41">
        <v>45519</v>
      </c>
      <c r="H2352" s="1" t="s">
        <v>4132</v>
      </c>
      <c r="I2352" s="1" t="s">
        <v>3324</v>
      </c>
      <c r="J2352" t="str">
        <f>IF(ISNA(_xlfn.XLOOKUP(B2352,customer_master!$A$2:$A$1649, customer_master!$A$2:$A$1649)), "Invalid", "Ok")</f>
        <v>Ok</v>
      </c>
      <c r="K2352" t="str">
        <f>IF(ISNA(_xlfn.XLOOKUP(H2352,agent_info!$A$2:$A$301, agent_info!$A$2:$A$301)), "Invalid", "Ok")</f>
        <v>Ok</v>
      </c>
    </row>
    <row r="2353" spans="1:11" x14ac:dyDescent="0.3">
      <c r="A2353" s="1" t="s">
        <v>5972</v>
      </c>
      <c r="B2353" s="1" t="s">
        <v>125</v>
      </c>
      <c r="C2353" s="1" t="s">
        <v>3331</v>
      </c>
      <c r="D2353" s="1">
        <v>462542.01</v>
      </c>
      <c r="E2353" s="1">
        <v>25351.21</v>
      </c>
      <c r="F2353" s="41">
        <v>44125</v>
      </c>
      <c r="G2353" s="41">
        <v>44490</v>
      </c>
      <c r="H2353" s="1" t="s">
        <v>4076</v>
      </c>
      <c r="I2353" s="1" t="s">
        <v>3316</v>
      </c>
      <c r="J2353" t="str">
        <f>IF(ISNA(_xlfn.XLOOKUP(B2353,customer_master!$A$2:$A$1649, customer_master!$A$2:$A$1649)), "Invalid", "Ok")</f>
        <v>Ok</v>
      </c>
      <c r="K2353" t="str">
        <f>IF(ISNA(_xlfn.XLOOKUP(H2353,agent_info!$A$2:$A$301, agent_info!$A$2:$A$301)), "Invalid", "Ok")</f>
        <v>Ok</v>
      </c>
    </row>
    <row r="2354" spans="1:11" x14ac:dyDescent="0.3">
      <c r="A2354" s="1" t="s">
        <v>5973</v>
      </c>
      <c r="B2354" s="1" t="s">
        <v>2869</v>
      </c>
      <c r="C2354" s="1" t="s">
        <v>3326</v>
      </c>
      <c r="D2354" s="1">
        <v>510245.56</v>
      </c>
      <c r="E2354" s="1">
        <v>25389.27</v>
      </c>
      <c r="F2354" s="41">
        <v>44238</v>
      </c>
      <c r="G2354" s="41">
        <v>44603</v>
      </c>
      <c r="H2354" s="1" t="s">
        <v>3920</v>
      </c>
      <c r="I2354" s="1" t="s">
        <v>3324</v>
      </c>
      <c r="J2354" t="str">
        <f>IF(ISNA(_xlfn.XLOOKUP(B2354,customer_master!$A$2:$A$1649, customer_master!$A$2:$A$1649)), "Invalid", "Ok")</f>
        <v>Ok</v>
      </c>
      <c r="K2354" t="str">
        <f>IF(ISNA(_xlfn.XLOOKUP(H2354,agent_info!$A$2:$A$301, agent_info!$A$2:$A$301)), "Invalid", "Ok")</f>
        <v>Ok</v>
      </c>
    </row>
    <row r="2355" spans="1:11" x14ac:dyDescent="0.3">
      <c r="A2355" s="1" t="s">
        <v>5974</v>
      </c>
      <c r="B2355" s="1" t="s">
        <v>1143</v>
      </c>
      <c r="C2355" s="1" t="s">
        <v>3314</v>
      </c>
      <c r="D2355" s="1">
        <v>704937.19</v>
      </c>
      <c r="E2355" s="1">
        <v>35995.599999999999</v>
      </c>
      <c r="F2355" s="41">
        <v>46179</v>
      </c>
      <c r="G2355" s="41">
        <v>46544</v>
      </c>
      <c r="H2355" s="1" t="s">
        <v>3698</v>
      </c>
      <c r="I2355" s="1" t="s">
        <v>3316</v>
      </c>
      <c r="J2355" t="str">
        <f>IF(ISNA(_xlfn.XLOOKUP(B2355,customer_master!$A$2:$A$1649, customer_master!$A$2:$A$1649)), "Invalid", "Ok")</f>
        <v>Ok</v>
      </c>
      <c r="K2355" t="str">
        <f>IF(ISNA(_xlfn.XLOOKUP(H2355,agent_info!$A$2:$A$301, agent_info!$A$2:$A$301)), "Invalid", "Ok")</f>
        <v>Ok</v>
      </c>
    </row>
    <row r="2356" spans="1:11" x14ac:dyDescent="0.3">
      <c r="A2356" s="1" t="s">
        <v>5975</v>
      </c>
      <c r="B2356" s="1" t="s">
        <v>709</v>
      </c>
      <c r="C2356" s="1" t="s">
        <v>3331</v>
      </c>
      <c r="D2356" s="1">
        <v>740826.85</v>
      </c>
      <c r="E2356" s="1">
        <v>38084.35</v>
      </c>
      <c r="F2356" s="41">
        <v>44244</v>
      </c>
      <c r="G2356" s="41">
        <v>44609</v>
      </c>
      <c r="H2356" s="1" t="s">
        <v>4173</v>
      </c>
      <c r="I2356" s="1" t="s">
        <v>3324</v>
      </c>
      <c r="J2356" t="str">
        <f>IF(ISNA(_xlfn.XLOOKUP(B2356,customer_master!$A$2:$A$1649, customer_master!$A$2:$A$1649)), "Invalid", "Ok")</f>
        <v>Ok</v>
      </c>
      <c r="K2356" t="str">
        <f>IF(ISNA(_xlfn.XLOOKUP(H2356,agent_info!$A$2:$A$301, agent_info!$A$2:$A$301)), "Invalid", "Ok")</f>
        <v>Ok</v>
      </c>
    </row>
    <row r="2357" spans="1:11" x14ac:dyDescent="0.3">
      <c r="A2357" s="1" t="s">
        <v>5976</v>
      </c>
      <c r="B2357" s="1" t="s">
        <v>1390</v>
      </c>
      <c r="C2357" s="1" t="s">
        <v>3326</v>
      </c>
      <c r="D2357" s="1">
        <v>540044.18000000005</v>
      </c>
      <c r="E2357" s="1">
        <v>25361.22</v>
      </c>
      <c r="F2357" s="41">
        <v>45583</v>
      </c>
      <c r="G2357" s="41">
        <v>45948</v>
      </c>
      <c r="H2357" s="1" t="s">
        <v>4548</v>
      </c>
      <c r="I2357" s="1" t="s">
        <v>3320</v>
      </c>
      <c r="J2357" t="str">
        <f>IF(ISNA(_xlfn.XLOOKUP(B2357,customer_master!$A$2:$A$1649, customer_master!$A$2:$A$1649)), "Invalid", "Ok")</f>
        <v>Ok</v>
      </c>
      <c r="K2357" t="str">
        <f>IF(ISNA(_xlfn.XLOOKUP(H2357,agent_info!$A$2:$A$301, agent_info!$A$2:$A$301)), "Invalid", "Ok")</f>
        <v>Ok</v>
      </c>
    </row>
    <row r="2358" spans="1:11" x14ac:dyDescent="0.3">
      <c r="A2358" s="1" t="s">
        <v>5977</v>
      </c>
      <c r="B2358" s="1" t="s">
        <v>2374</v>
      </c>
      <c r="C2358" s="1" t="s">
        <v>3331</v>
      </c>
      <c r="D2358" s="1">
        <v>569579.49</v>
      </c>
      <c r="E2358" s="1">
        <v>27734.77</v>
      </c>
      <c r="F2358" s="41">
        <v>44899</v>
      </c>
      <c r="G2358" s="41">
        <v>45264</v>
      </c>
      <c r="H2358" s="1" t="s">
        <v>3498</v>
      </c>
      <c r="I2358" s="1" t="s">
        <v>3316</v>
      </c>
      <c r="J2358" t="str">
        <f>IF(ISNA(_xlfn.XLOOKUP(B2358,customer_master!$A$2:$A$1649, customer_master!$A$2:$A$1649)), "Invalid", "Ok")</f>
        <v>Ok</v>
      </c>
      <c r="K2358" t="str">
        <f>IF(ISNA(_xlfn.XLOOKUP(H2358,agent_info!$A$2:$A$301, agent_info!$A$2:$A$301)), "Invalid", "Ok")</f>
        <v>Ok</v>
      </c>
    </row>
    <row r="2359" spans="1:11" x14ac:dyDescent="0.3">
      <c r="A2359" s="1" t="s">
        <v>5978</v>
      </c>
      <c r="B2359" s="1" t="s">
        <v>2895</v>
      </c>
      <c r="C2359" s="1" t="s">
        <v>3314</v>
      </c>
      <c r="D2359" s="1">
        <v>679368.99</v>
      </c>
      <c r="E2359" s="1">
        <v>33293.879999999997</v>
      </c>
      <c r="F2359" s="41">
        <v>44764</v>
      </c>
      <c r="G2359" s="41">
        <v>45129</v>
      </c>
      <c r="H2359" s="1" t="s">
        <v>3397</v>
      </c>
      <c r="I2359" s="1" t="s">
        <v>3316</v>
      </c>
      <c r="J2359" t="str">
        <f>IF(ISNA(_xlfn.XLOOKUP(B2359,customer_master!$A$2:$A$1649, customer_master!$A$2:$A$1649)), "Invalid", "Ok")</f>
        <v>Ok</v>
      </c>
      <c r="K2359" t="str">
        <f>IF(ISNA(_xlfn.XLOOKUP(H2359,agent_info!$A$2:$A$301, agent_info!$A$2:$A$301)), "Invalid", "Ok")</f>
        <v>Ok</v>
      </c>
    </row>
    <row r="2360" spans="1:11" x14ac:dyDescent="0.3">
      <c r="A2360" s="1" t="s">
        <v>5979</v>
      </c>
      <c r="B2360" s="1" t="s">
        <v>761</v>
      </c>
      <c r="C2360" s="1" t="s">
        <v>3334</v>
      </c>
      <c r="D2360" s="1">
        <v>766802.31</v>
      </c>
      <c r="E2360" s="1">
        <v>36274.99</v>
      </c>
      <c r="F2360" s="41">
        <v>46067</v>
      </c>
      <c r="G2360" s="41">
        <v>46432</v>
      </c>
      <c r="H2360" s="1" t="s">
        <v>3706</v>
      </c>
      <c r="I2360" s="1" t="s">
        <v>3324</v>
      </c>
      <c r="J2360" t="str">
        <f>IF(ISNA(_xlfn.XLOOKUP(B2360,customer_master!$A$2:$A$1649, customer_master!$A$2:$A$1649)), "Invalid", "Ok")</f>
        <v>Ok</v>
      </c>
      <c r="K2360" t="str">
        <f>IF(ISNA(_xlfn.XLOOKUP(H2360,agent_info!$A$2:$A$301, agent_info!$A$2:$A$301)), "Invalid", "Ok")</f>
        <v>Ok</v>
      </c>
    </row>
    <row r="2361" spans="1:11" x14ac:dyDescent="0.3">
      <c r="A2361" s="1" t="s">
        <v>5980</v>
      </c>
      <c r="B2361" s="1" t="s">
        <v>610</v>
      </c>
      <c r="C2361" s="1" t="s">
        <v>3331</v>
      </c>
      <c r="D2361" s="1">
        <v>543993.13</v>
      </c>
      <c r="E2361" s="1">
        <v>25752.55</v>
      </c>
      <c r="F2361" s="41">
        <v>45849</v>
      </c>
      <c r="G2361" s="41">
        <v>46214</v>
      </c>
      <c r="H2361" s="1" t="s">
        <v>3631</v>
      </c>
      <c r="I2361" s="1" t="s">
        <v>3324</v>
      </c>
      <c r="J2361" t="str">
        <f>IF(ISNA(_xlfn.XLOOKUP(B2361,customer_master!$A$2:$A$1649, customer_master!$A$2:$A$1649)), "Invalid", "Ok")</f>
        <v>Ok</v>
      </c>
      <c r="K2361" t="str">
        <f>IF(ISNA(_xlfn.XLOOKUP(H2361,agent_info!$A$2:$A$301, agent_info!$A$2:$A$301)), "Invalid", "Ok")</f>
        <v>Ok</v>
      </c>
    </row>
    <row r="2362" spans="1:11" x14ac:dyDescent="0.3">
      <c r="A2362" s="1" t="s">
        <v>5981</v>
      </c>
      <c r="B2362" s="1" t="s">
        <v>3136</v>
      </c>
      <c r="C2362" s="1" t="s">
        <v>3331</v>
      </c>
      <c r="D2362" s="1">
        <v>444485.53</v>
      </c>
      <c r="E2362" s="1">
        <v>22703.74</v>
      </c>
      <c r="F2362" s="41">
        <v>44471</v>
      </c>
      <c r="G2362" s="41">
        <v>44836</v>
      </c>
      <c r="H2362" s="1" t="s">
        <v>3745</v>
      </c>
      <c r="I2362" s="1" t="s">
        <v>3324</v>
      </c>
      <c r="J2362" t="str">
        <f>IF(ISNA(_xlfn.XLOOKUP(B2362,customer_master!$A$2:$A$1649, customer_master!$A$2:$A$1649)), "Invalid", "Ok")</f>
        <v>Ok</v>
      </c>
      <c r="K2362" t="str">
        <f>IF(ISNA(_xlfn.XLOOKUP(H2362,agent_info!$A$2:$A$301, agent_info!$A$2:$A$301)), "Invalid", "Ok")</f>
        <v>Ok</v>
      </c>
    </row>
    <row r="2363" spans="1:11" x14ac:dyDescent="0.3">
      <c r="A2363" s="1" t="s">
        <v>5982</v>
      </c>
      <c r="B2363" s="1" t="s">
        <v>1841</v>
      </c>
      <c r="C2363" s="1" t="s">
        <v>3326</v>
      </c>
      <c r="D2363" s="1">
        <v>642007.38</v>
      </c>
      <c r="E2363" s="1">
        <v>29586.75</v>
      </c>
      <c r="F2363" s="41">
        <v>44099</v>
      </c>
      <c r="G2363" s="41">
        <v>44464</v>
      </c>
      <c r="H2363" s="1" t="s">
        <v>4187</v>
      </c>
      <c r="I2363" s="1" t="s">
        <v>3320</v>
      </c>
      <c r="J2363" t="str">
        <f>IF(ISNA(_xlfn.XLOOKUP(B2363,customer_master!$A$2:$A$1649, customer_master!$A$2:$A$1649)), "Invalid", "Ok")</f>
        <v>Ok</v>
      </c>
      <c r="K2363" t="str">
        <f>IF(ISNA(_xlfn.XLOOKUP(H2363,agent_info!$A$2:$A$301, agent_info!$A$2:$A$301)), "Invalid", "Ok")</f>
        <v>Ok</v>
      </c>
    </row>
    <row r="2364" spans="1:11" x14ac:dyDescent="0.3">
      <c r="A2364" s="1" t="s">
        <v>5983</v>
      </c>
      <c r="B2364" s="1" t="s">
        <v>1239</v>
      </c>
      <c r="C2364" s="1" t="s">
        <v>3318</v>
      </c>
      <c r="D2364" s="1">
        <v>646540.73</v>
      </c>
      <c r="E2364" s="1">
        <v>29929.31</v>
      </c>
      <c r="F2364" s="41">
        <v>44468</v>
      </c>
      <c r="G2364" s="41">
        <v>44833</v>
      </c>
      <c r="H2364" s="1" t="s">
        <v>3585</v>
      </c>
      <c r="I2364" s="1" t="s">
        <v>3316</v>
      </c>
      <c r="J2364" t="str">
        <f>IF(ISNA(_xlfn.XLOOKUP(B2364,customer_master!$A$2:$A$1649, customer_master!$A$2:$A$1649)), "Invalid", "Ok")</f>
        <v>Ok</v>
      </c>
      <c r="K2364" t="str">
        <f>IF(ISNA(_xlfn.XLOOKUP(H2364,agent_info!$A$2:$A$301, agent_info!$A$2:$A$301)), "Invalid", "Ok")</f>
        <v>Ok</v>
      </c>
    </row>
    <row r="2365" spans="1:11" x14ac:dyDescent="0.3">
      <c r="A2365" s="1" t="s">
        <v>5984</v>
      </c>
      <c r="B2365" s="1" t="s">
        <v>709</v>
      </c>
      <c r="C2365" s="1" t="s">
        <v>3318</v>
      </c>
      <c r="D2365" s="1">
        <v>432838.64</v>
      </c>
      <c r="E2365" s="1">
        <v>21959.21</v>
      </c>
      <c r="F2365" s="41">
        <v>45320</v>
      </c>
      <c r="G2365" s="41">
        <v>45686</v>
      </c>
      <c r="H2365" s="1" t="s">
        <v>3966</v>
      </c>
      <c r="I2365" s="1" t="s">
        <v>3324</v>
      </c>
      <c r="J2365" t="str">
        <f>IF(ISNA(_xlfn.XLOOKUP(B2365,customer_master!$A$2:$A$1649, customer_master!$A$2:$A$1649)), "Invalid", "Ok")</f>
        <v>Ok</v>
      </c>
      <c r="K2365" t="str">
        <f>IF(ISNA(_xlfn.XLOOKUP(H2365,agent_info!$A$2:$A$301, agent_info!$A$2:$A$301)), "Invalid", "Ok")</f>
        <v>Ok</v>
      </c>
    </row>
    <row r="2366" spans="1:11" x14ac:dyDescent="0.3">
      <c r="A2366" s="1" t="s">
        <v>5985</v>
      </c>
      <c r="B2366" s="1" t="s">
        <v>3293</v>
      </c>
      <c r="C2366" s="1" t="s">
        <v>3334</v>
      </c>
      <c r="D2366" s="1">
        <v>509551.08</v>
      </c>
      <c r="E2366" s="1">
        <v>25219.41</v>
      </c>
      <c r="F2366" s="41">
        <v>45406</v>
      </c>
      <c r="G2366" s="41">
        <v>45771</v>
      </c>
      <c r="H2366" s="1" t="s">
        <v>3479</v>
      </c>
      <c r="I2366" s="1" t="s">
        <v>3324</v>
      </c>
      <c r="J2366" t="str">
        <f>IF(ISNA(_xlfn.XLOOKUP(B2366,customer_master!$A$2:$A$1649, customer_master!$A$2:$A$1649)), "Invalid", "Ok")</f>
        <v>Ok</v>
      </c>
      <c r="K2366" t="str">
        <f>IF(ISNA(_xlfn.XLOOKUP(H2366,agent_info!$A$2:$A$301, agent_info!$A$2:$A$301)), "Invalid", "Ok")</f>
        <v>Ok</v>
      </c>
    </row>
    <row r="2367" spans="1:11" x14ac:dyDescent="0.3">
      <c r="A2367" s="1" t="s">
        <v>5986</v>
      </c>
      <c r="B2367" s="1" t="s">
        <v>2410</v>
      </c>
      <c r="C2367" s="1" t="s">
        <v>3334</v>
      </c>
      <c r="D2367" s="1">
        <v>597991.01</v>
      </c>
      <c r="E2367" s="1">
        <v>30568.9</v>
      </c>
      <c r="F2367" s="41">
        <v>44145</v>
      </c>
      <c r="G2367" s="41">
        <v>44510</v>
      </c>
      <c r="H2367" s="1" t="s">
        <v>3637</v>
      </c>
      <c r="I2367" s="1" t="s">
        <v>3324</v>
      </c>
      <c r="J2367" t="str">
        <f>IF(ISNA(_xlfn.XLOOKUP(B2367,customer_master!$A$2:$A$1649, customer_master!$A$2:$A$1649)), "Invalid", "Ok")</f>
        <v>Ok</v>
      </c>
      <c r="K2367" t="str">
        <f>IF(ISNA(_xlfn.XLOOKUP(H2367,agent_info!$A$2:$A$301, agent_info!$A$2:$A$301)), "Invalid", "Ok")</f>
        <v>Ok</v>
      </c>
    </row>
    <row r="2368" spans="1:11" x14ac:dyDescent="0.3">
      <c r="A2368" s="1" t="s">
        <v>5987</v>
      </c>
      <c r="B2368" s="1" t="s">
        <v>773</v>
      </c>
      <c r="C2368" s="1" t="s">
        <v>3331</v>
      </c>
      <c r="D2368" s="1">
        <v>660554.11</v>
      </c>
      <c r="E2368" s="1">
        <v>29903.02</v>
      </c>
      <c r="F2368" s="41">
        <v>46216</v>
      </c>
      <c r="G2368" s="41">
        <v>46581</v>
      </c>
      <c r="H2368" s="1" t="s">
        <v>3345</v>
      </c>
      <c r="I2368" s="1" t="s">
        <v>3324</v>
      </c>
      <c r="J2368" t="str">
        <f>IF(ISNA(_xlfn.XLOOKUP(B2368,customer_master!$A$2:$A$1649, customer_master!$A$2:$A$1649)), "Invalid", "Ok")</f>
        <v>Ok</v>
      </c>
      <c r="K2368" t="str">
        <f>IF(ISNA(_xlfn.XLOOKUP(H2368,agent_info!$A$2:$A$301, agent_info!$A$2:$A$301)), "Invalid", "Ok")</f>
        <v>Ok</v>
      </c>
    </row>
    <row r="2369" spans="1:11" x14ac:dyDescent="0.3">
      <c r="A2369" s="1" t="s">
        <v>5988</v>
      </c>
      <c r="B2369" s="1" t="s">
        <v>332</v>
      </c>
      <c r="C2369" s="1" t="s">
        <v>3331</v>
      </c>
      <c r="D2369" s="1">
        <v>679316.67</v>
      </c>
      <c r="E2369" s="1">
        <v>35357.86</v>
      </c>
      <c r="F2369" s="41">
        <v>46255</v>
      </c>
      <c r="G2369" s="41">
        <v>46620</v>
      </c>
      <c r="H2369" s="1" t="s">
        <v>3357</v>
      </c>
      <c r="I2369" s="1" t="s">
        <v>3324</v>
      </c>
      <c r="J2369" t="str">
        <f>IF(ISNA(_xlfn.XLOOKUP(B2369,customer_master!$A$2:$A$1649, customer_master!$A$2:$A$1649)), "Invalid", "Ok")</f>
        <v>Ok</v>
      </c>
      <c r="K2369" t="str">
        <f>IF(ISNA(_xlfn.XLOOKUP(H2369,agent_info!$A$2:$A$301, agent_info!$A$2:$A$301)), "Invalid", "Ok")</f>
        <v>Ok</v>
      </c>
    </row>
    <row r="2370" spans="1:11" x14ac:dyDescent="0.3">
      <c r="A2370" s="1" t="s">
        <v>5989</v>
      </c>
      <c r="B2370" s="1" t="s">
        <v>709</v>
      </c>
      <c r="C2370" s="1" t="s">
        <v>3334</v>
      </c>
      <c r="D2370" s="1">
        <v>444956.58</v>
      </c>
      <c r="E2370" s="1">
        <v>23804.69</v>
      </c>
      <c r="F2370" s="41">
        <v>45137</v>
      </c>
      <c r="G2370" s="41">
        <v>45503</v>
      </c>
      <c r="H2370" s="1" t="s">
        <v>3729</v>
      </c>
      <c r="I2370" s="1" t="s">
        <v>3324</v>
      </c>
      <c r="J2370" t="str">
        <f>IF(ISNA(_xlfn.XLOOKUP(B2370,customer_master!$A$2:$A$1649, customer_master!$A$2:$A$1649)), "Invalid", "Ok")</f>
        <v>Ok</v>
      </c>
      <c r="K2370" t="str">
        <f>IF(ISNA(_xlfn.XLOOKUP(H2370,agent_info!$A$2:$A$301, agent_info!$A$2:$A$301)), "Invalid", "Ok")</f>
        <v>Ok</v>
      </c>
    </row>
    <row r="2371" spans="1:11" x14ac:dyDescent="0.3">
      <c r="A2371" s="1" t="s">
        <v>5990</v>
      </c>
      <c r="B2371" s="1" t="s">
        <v>855</v>
      </c>
      <c r="C2371" s="1" t="s">
        <v>3326</v>
      </c>
      <c r="D2371" s="1">
        <v>425862.73</v>
      </c>
      <c r="E2371" s="1">
        <v>21395.94</v>
      </c>
      <c r="F2371" s="41">
        <v>45422</v>
      </c>
      <c r="G2371" s="41">
        <v>45787</v>
      </c>
      <c r="H2371" s="1" t="s">
        <v>3451</v>
      </c>
      <c r="I2371" s="1" t="s">
        <v>3324</v>
      </c>
      <c r="J2371" t="str">
        <f>IF(ISNA(_xlfn.XLOOKUP(B2371,customer_master!$A$2:$A$1649, customer_master!$A$2:$A$1649)), "Invalid", "Ok")</f>
        <v>Ok</v>
      </c>
      <c r="K2371" t="str">
        <f>IF(ISNA(_xlfn.XLOOKUP(H2371,agent_info!$A$2:$A$301, agent_info!$A$2:$A$301)), "Invalid", "Ok")</f>
        <v>Ok</v>
      </c>
    </row>
    <row r="2372" spans="1:11" x14ac:dyDescent="0.3">
      <c r="A2372" s="1" t="s">
        <v>5991</v>
      </c>
      <c r="B2372" s="1" t="s">
        <v>395</v>
      </c>
      <c r="C2372" s="1" t="s">
        <v>3331</v>
      </c>
      <c r="D2372" s="1">
        <v>665382.74</v>
      </c>
      <c r="E2372" s="1">
        <v>35537.03</v>
      </c>
      <c r="F2372" s="41">
        <v>45274</v>
      </c>
      <c r="G2372" s="41">
        <v>45640</v>
      </c>
      <c r="H2372" s="1" t="s">
        <v>3375</v>
      </c>
      <c r="I2372" s="1" t="s">
        <v>3316</v>
      </c>
      <c r="J2372" t="str">
        <f>IF(ISNA(_xlfn.XLOOKUP(B2372,customer_master!$A$2:$A$1649, customer_master!$A$2:$A$1649)), "Invalid", "Ok")</f>
        <v>Ok</v>
      </c>
      <c r="K2372" t="str">
        <f>IF(ISNA(_xlfn.XLOOKUP(H2372,agent_info!$A$2:$A$301, agent_info!$A$2:$A$301)), "Invalid", "Ok")</f>
        <v>Ok</v>
      </c>
    </row>
    <row r="2373" spans="1:11" x14ac:dyDescent="0.3">
      <c r="A2373" s="1" t="s">
        <v>5992</v>
      </c>
      <c r="B2373" s="1" t="s">
        <v>807</v>
      </c>
      <c r="C2373" s="1" t="s">
        <v>3326</v>
      </c>
      <c r="D2373" s="1">
        <v>390639.33</v>
      </c>
      <c r="E2373" s="1">
        <v>19140.009999999998</v>
      </c>
      <c r="F2373" s="41">
        <v>44424</v>
      </c>
      <c r="G2373" s="41">
        <v>44789</v>
      </c>
      <c r="H2373" s="1" t="s">
        <v>3404</v>
      </c>
      <c r="I2373" s="1" t="s">
        <v>3316</v>
      </c>
      <c r="J2373" t="str">
        <f>IF(ISNA(_xlfn.XLOOKUP(B2373,customer_master!$A$2:$A$1649, customer_master!$A$2:$A$1649)), "Invalid", "Ok")</f>
        <v>Ok</v>
      </c>
      <c r="K2373" t="str">
        <f>IF(ISNA(_xlfn.XLOOKUP(H2373,agent_info!$A$2:$A$301, agent_info!$A$2:$A$301)), "Invalid", "Ok")</f>
        <v>Ok</v>
      </c>
    </row>
    <row r="2374" spans="1:11" x14ac:dyDescent="0.3">
      <c r="A2374" s="1" t="s">
        <v>5993</v>
      </c>
      <c r="B2374" s="1" t="s">
        <v>417</v>
      </c>
      <c r="C2374" s="1" t="s">
        <v>3326</v>
      </c>
      <c r="D2374" s="1">
        <v>524356.07999999996</v>
      </c>
      <c r="E2374" s="1">
        <v>24009.87</v>
      </c>
      <c r="F2374" s="41">
        <v>45702</v>
      </c>
      <c r="G2374" s="41">
        <v>46067</v>
      </c>
      <c r="H2374" s="1" t="s">
        <v>4031</v>
      </c>
      <c r="I2374" s="1" t="s">
        <v>3324</v>
      </c>
      <c r="J2374" t="str">
        <f>IF(ISNA(_xlfn.XLOOKUP(B2374,customer_master!$A$2:$A$1649, customer_master!$A$2:$A$1649)), "Invalid", "Ok")</f>
        <v>Ok</v>
      </c>
      <c r="K2374" t="str">
        <f>IF(ISNA(_xlfn.XLOOKUP(H2374,agent_info!$A$2:$A$301, agent_info!$A$2:$A$301)), "Invalid", "Ok")</f>
        <v>Ok</v>
      </c>
    </row>
    <row r="2375" spans="1:11" x14ac:dyDescent="0.3">
      <c r="A2375" s="1" t="s">
        <v>5994</v>
      </c>
      <c r="B2375" s="1" t="s">
        <v>1287</v>
      </c>
      <c r="C2375" s="1" t="s">
        <v>3334</v>
      </c>
      <c r="D2375" s="1">
        <v>595206.98</v>
      </c>
      <c r="E2375" s="1">
        <v>29031.48</v>
      </c>
      <c r="F2375" s="41">
        <v>46108</v>
      </c>
      <c r="G2375" s="41">
        <v>46473</v>
      </c>
      <c r="H2375" s="1" t="s">
        <v>3319</v>
      </c>
      <c r="I2375" s="1" t="s">
        <v>3324</v>
      </c>
      <c r="J2375" t="str">
        <f>IF(ISNA(_xlfn.XLOOKUP(B2375,customer_master!$A$2:$A$1649, customer_master!$A$2:$A$1649)), "Invalid", "Ok")</f>
        <v>Ok</v>
      </c>
      <c r="K2375" t="str">
        <f>IF(ISNA(_xlfn.XLOOKUP(H2375,agent_info!$A$2:$A$301, agent_info!$A$2:$A$301)), "Invalid", "Ok")</f>
        <v>Ok</v>
      </c>
    </row>
    <row r="2376" spans="1:11" x14ac:dyDescent="0.3">
      <c r="A2376" s="1" t="s">
        <v>5995</v>
      </c>
      <c r="B2376" s="1" t="s">
        <v>1634</v>
      </c>
      <c r="C2376" s="1" t="s">
        <v>3314</v>
      </c>
      <c r="D2376" s="1">
        <v>515651.5</v>
      </c>
      <c r="E2376" s="1">
        <v>25506.02</v>
      </c>
      <c r="F2376" s="41">
        <v>44499</v>
      </c>
      <c r="G2376" s="41">
        <v>44864</v>
      </c>
      <c r="H2376" s="1" t="s">
        <v>3532</v>
      </c>
      <c r="I2376" s="1" t="s">
        <v>3324</v>
      </c>
      <c r="J2376" t="str">
        <f>IF(ISNA(_xlfn.XLOOKUP(B2376,customer_master!$A$2:$A$1649, customer_master!$A$2:$A$1649)), "Invalid", "Ok")</f>
        <v>Ok</v>
      </c>
      <c r="K2376" t="str">
        <f>IF(ISNA(_xlfn.XLOOKUP(H2376,agent_info!$A$2:$A$301, agent_info!$A$2:$A$301)), "Invalid", "Ok")</f>
        <v>Ok</v>
      </c>
    </row>
    <row r="2377" spans="1:11" x14ac:dyDescent="0.3">
      <c r="A2377" s="1" t="s">
        <v>5996</v>
      </c>
      <c r="B2377" s="1" t="s">
        <v>1531</v>
      </c>
      <c r="C2377" s="1" t="s">
        <v>3331</v>
      </c>
      <c r="D2377" s="1">
        <v>685302.27</v>
      </c>
      <c r="E2377" s="1">
        <v>36770.15</v>
      </c>
      <c r="F2377" s="41">
        <v>44141</v>
      </c>
      <c r="G2377" s="41">
        <v>44506</v>
      </c>
      <c r="H2377" s="1" t="s">
        <v>4076</v>
      </c>
      <c r="I2377" s="1" t="s">
        <v>3316</v>
      </c>
      <c r="J2377" t="str">
        <f>IF(ISNA(_xlfn.XLOOKUP(B2377,customer_master!$A$2:$A$1649, customer_master!$A$2:$A$1649)), "Invalid", "Ok")</f>
        <v>Ok</v>
      </c>
      <c r="K2377" t="str">
        <f>IF(ISNA(_xlfn.XLOOKUP(H2377,agent_info!$A$2:$A$301, agent_info!$A$2:$A$301)), "Invalid", "Ok")</f>
        <v>Ok</v>
      </c>
    </row>
    <row r="2378" spans="1:11" x14ac:dyDescent="0.3">
      <c r="A2378" s="1" t="s">
        <v>5997</v>
      </c>
      <c r="B2378" s="1" t="s">
        <v>2748</v>
      </c>
      <c r="C2378" s="1" t="s">
        <v>3334</v>
      </c>
      <c r="D2378" s="1">
        <v>406335.09</v>
      </c>
      <c r="E2378" s="1">
        <v>19645.150000000001</v>
      </c>
      <c r="F2378" s="41">
        <v>44127</v>
      </c>
      <c r="G2378" s="41">
        <v>44492</v>
      </c>
      <c r="H2378" s="1" t="s">
        <v>3504</v>
      </c>
      <c r="I2378" s="1" t="s">
        <v>3316</v>
      </c>
      <c r="J2378" t="str">
        <f>IF(ISNA(_xlfn.XLOOKUP(B2378,customer_master!$A$2:$A$1649, customer_master!$A$2:$A$1649)), "Invalid", "Ok")</f>
        <v>Ok</v>
      </c>
      <c r="K2378" t="str">
        <f>IF(ISNA(_xlfn.XLOOKUP(H2378,agent_info!$A$2:$A$301, agent_info!$A$2:$A$301)), "Invalid", "Ok")</f>
        <v>Ok</v>
      </c>
    </row>
    <row r="2379" spans="1:11" x14ac:dyDescent="0.3">
      <c r="A2379" s="1" t="s">
        <v>5998</v>
      </c>
      <c r="B2379" s="1" t="s">
        <v>873</v>
      </c>
      <c r="C2379" s="1" t="s">
        <v>3318</v>
      </c>
      <c r="D2379" s="1">
        <v>671874.02</v>
      </c>
      <c r="E2379" s="1">
        <v>32351.41</v>
      </c>
      <c r="F2379" s="41">
        <v>45198</v>
      </c>
      <c r="G2379" s="41">
        <v>45564</v>
      </c>
      <c r="H2379" s="1" t="s">
        <v>3672</v>
      </c>
      <c r="I2379" s="1" t="s">
        <v>3324</v>
      </c>
      <c r="J2379" t="str">
        <f>IF(ISNA(_xlfn.XLOOKUP(B2379,customer_master!$A$2:$A$1649, customer_master!$A$2:$A$1649)), "Invalid", "Ok")</f>
        <v>Ok</v>
      </c>
      <c r="K2379" t="str">
        <f>IF(ISNA(_xlfn.XLOOKUP(H2379,agent_info!$A$2:$A$301, agent_info!$A$2:$A$301)), "Invalid", "Ok")</f>
        <v>Ok</v>
      </c>
    </row>
    <row r="2380" spans="1:11" x14ac:dyDescent="0.3">
      <c r="A2380" s="1" t="s">
        <v>5999</v>
      </c>
      <c r="B2380" s="1" t="s">
        <v>2949</v>
      </c>
      <c r="C2380" s="1" t="s">
        <v>3314</v>
      </c>
      <c r="D2380" s="1">
        <v>633722.61</v>
      </c>
      <c r="E2380" s="1">
        <v>34145.08</v>
      </c>
      <c r="F2380" s="41">
        <v>44410</v>
      </c>
      <c r="G2380" s="41">
        <v>44775</v>
      </c>
      <c r="H2380" s="1" t="s">
        <v>3530</v>
      </c>
      <c r="I2380" s="1" t="s">
        <v>3324</v>
      </c>
      <c r="J2380" t="str">
        <f>IF(ISNA(_xlfn.XLOOKUP(B2380,customer_master!$A$2:$A$1649, customer_master!$A$2:$A$1649)), "Invalid", "Ok")</f>
        <v>Ok</v>
      </c>
      <c r="K2380" t="str">
        <f>IF(ISNA(_xlfn.XLOOKUP(H2380,agent_info!$A$2:$A$301, agent_info!$A$2:$A$301)), "Invalid", "Ok")</f>
        <v>Ok</v>
      </c>
    </row>
    <row r="2381" spans="1:11" x14ac:dyDescent="0.3">
      <c r="A2381" s="1" t="s">
        <v>6000</v>
      </c>
      <c r="B2381" s="1" t="s">
        <v>3017</v>
      </c>
      <c r="C2381" s="1" t="s">
        <v>3331</v>
      </c>
      <c r="D2381" s="1">
        <v>575003.51</v>
      </c>
      <c r="E2381" s="1">
        <v>27318.22</v>
      </c>
      <c r="F2381" s="41">
        <v>45977</v>
      </c>
      <c r="G2381" s="41">
        <v>46342</v>
      </c>
      <c r="H2381" s="1" t="s">
        <v>3706</v>
      </c>
      <c r="I2381" s="1" t="s">
        <v>3316</v>
      </c>
      <c r="J2381" t="str">
        <f>IF(ISNA(_xlfn.XLOOKUP(B2381,customer_master!$A$2:$A$1649, customer_master!$A$2:$A$1649)), "Invalid", "Ok")</f>
        <v>Ok</v>
      </c>
      <c r="K2381" t="str">
        <f>IF(ISNA(_xlfn.XLOOKUP(H2381,agent_info!$A$2:$A$301, agent_info!$A$2:$A$301)), "Invalid", "Ok")</f>
        <v>Ok</v>
      </c>
    </row>
    <row r="2382" spans="1:11" x14ac:dyDescent="0.3">
      <c r="A2382" s="1" t="s">
        <v>6001</v>
      </c>
      <c r="B2382" s="1" t="s">
        <v>3184</v>
      </c>
      <c r="C2382" s="1" t="s">
        <v>3331</v>
      </c>
      <c r="D2382" s="1">
        <v>714310.18</v>
      </c>
      <c r="E2382" s="1">
        <v>36733.019999999997</v>
      </c>
      <c r="F2382" s="41">
        <v>44328</v>
      </c>
      <c r="G2382" s="41">
        <v>44693</v>
      </c>
      <c r="H2382" s="1" t="s">
        <v>4116</v>
      </c>
      <c r="I2382" s="1" t="s">
        <v>3316</v>
      </c>
      <c r="J2382" t="str">
        <f>IF(ISNA(_xlfn.XLOOKUP(B2382,customer_master!$A$2:$A$1649, customer_master!$A$2:$A$1649)), "Invalid", "Ok")</f>
        <v>Ok</v>
      </c>
      <c r="K2382" t="str">
        <f>IF(ISNA(_xlfn.XLOOKUP(H2382,agent_info!$A$2:$A$301, agent_info!$A$2:$A$301)), "Invalid", "Ok")</f>
        <v>Ok</v>
      </c>
    </row>
    <row r="2383" spans="1:11" x14ac:dyDescent="0.3">
      <c r="A2383" s="1" t="s">
        <v>6002</v>
      </c>
      <c r="B2383" s="1" t="s">
        <v>642</v>
      </c>
      <c r="C2383" s="1" t="s">
        <v>3326</v>
      </c>
      <c r="D2383" s="1">
        <v>420786.25</v>
      </c>
      <c r="E2383" s="1">
        <v>20309.810000000001</v>
      </c>
      <c r="F2383" s="41">
        <v>44552</v>
      </c>
      <c r="G2383" s="41">
        <v>44917</v>
      </c>
      <c r="H2383" s="1" t="s">
        <v>3920</v>
      </c>
      <c r="I2383" s="1" t="s">
        <v>3324</v>
      </c>
      <c r="J2383" t="str">
        <f>IF(ISNA(_xlfn.XLOOKUP(B2383,customer_master!$A$2:$A$1649, customer_master!$A$2:$A$1649)), "Invalid", "Ok")</f>
        <v>Ok</v>
      </c>
      <c r="K2383" t="str">
        <f>IF(ISNA(_xlfn.XLOOKUP(H2383,agent_info!$A$2:$A$301, agent_info!$A$2:$A$301)), "Invalid", "Ok")</f>
        <v>Ok</v>
      </c>
    </row>
    <row r="2384" spans="1:11" x14ac:dyDescent="0.3">
      <c r="A2384" s="1" t="s">
        <v>6003</v>
      </c>
      <c r="B2384" s="1" t="s">
        <v>851</v>
      </c>
      <c r="C2384" s="1" t="s">
        <v>3334</v>
      </c>
      <c r="D2384" s="1">
        <v>693298</v>
      </c>
      <c r="E2384" s="1">
        <v>37794.83</v>
      </c>
      <c r="F2384" s="41">
        <v>44794</v>
      </c>
      <c r="G2384" s="41">
        <v>45159</v>
      </c>
      <c r="H2384" s="1" t="s">
        <v>4313</v>
      </c>
      <c r="I2384" s="1" t="s">
        <v>3316</v>
      </c>
      <c r="J2384" t="str">
        <f>IF(ISNA(_xlfn.XLOOKUP(B2384,customer_master!$A$2:$A$1649, customer_master!$A$2:$A$1649)), "Invalid", "Ok")</f>
        <v>Ok</v>
      </c>
      <c r="K2384" t="str">
        <f>IF(ISNA(_xlfn.XLOOKUP(H2384,agent_info!$A$2:$A$301, agent_info!$A$2:$A$301)), "Invalid", "Ok")</f>
        <v>Ok</v>
      </c>
    </row>
    <row r="2385" spans="1:11" x14ac:dyDescent="0.3">
      <c r="A2385" s="1" t="s">
        <v>6004</v>
      </c>
      <c r="B2385" s="1" t="s">
        <v>2101</v>
      </c>
      <c r="C2385" s="1" t="s">
        <v>3326</v>
      </c>
      <c r="D2385" s="1">
        <v>415721.09</v>
      </c>
      <c r="E2385" s="1">
        <v>19495.759999999998</v>
      </c>
      <c r="F2385" s="41">
        <v>44558</v>
      </c>
      <c r="G2385" s="41">
        <v>44923</v>
      </c>
      <c r="H2385" s="1" t="s">
        <v>3840</v>
      </c>
      <c r="I2385" s="1" t="s">
        <v>3324</v>
      </c>
      <c r="J2385" t="str">
        <f>IF(ISNA(_xlfn.XLOOKUP(B2385,customer_master!$A$2:$A$1649, customer_master!$A$2:$A$1649)), "Invalid", "Ok")</f>
        <v>Ok</v>
      </c>
      <c r="K2385" t="str">
        <f>IF(ISNA(_xlfn.XLOOKUP(H2385,agent_info!$A$2:$A$301, agent_info!$A$2:$A$301)), "Invalid", "Ok")</f>
        <v>Ok</v>
      </c>
    </row>
    <row r="2386" spans="1:11" x14ac:dyDescent="0.3">
      <c r="A2386" s="1" t="s">
        <v>6005</v>
      </c>
      <c r="B2386" s="1" t="s">
        <v>501</v>
      </c>
      <c r="C2386" s="1" t="s">
        <v>3314</v>
      </c>
      <c r="D2386" s="1">
        <v>766321.75</v>
      </c>
      <c r="E2386" s="1">
        <v>40032.18</v>
      </c>
      <c r="F2386" s="41">
        <v>45672</v>
      </c>
      <c r="G2386" s="41">
        <v>46037</v>
      </c>
      <c r="H2386" s="1" t="s">
        <v>3507</v>
      </c>
      <c r="I2386" s="1" t="s">
        <v>3324</v>
      </c>
      <c r="J2386" t="str">
        <f>IF(ISNA(_xlfn.XLOOKUP(B2386,customer_master!$A$2:$A$1649, customer_master!$A$2:$A$1649)), "Invalid", "Ok")</f>
        <v>Ok</v>
      </c>
      <c r="K2386" t="str">
        <f>IF(ISNA(_xlfn.XLOOKUP(H2386,agent_info!$A$2:$A$301, agent_info!$A$2:$A$301)), "Invalid", "Ok")</f>
        <v>Ok</v>
      </c>
    </row>
    <row r="2387" spans="1:11" x14ac:dyDescent="0.3">
      <c r="A2387" s="1" t="s">
        <v>6006</v>
      </c>
      <c r="B2387" s="1" t="s">
        <v>320</v>
      </c>
      <c r="C2387" s="1" t="s">
        <v>3334</v>
      </c>
      <c r="D2387" s="1">
        <v>397614.44</v>
      </c>
      <c r="E2387" s="1">
        <v>20079.78</v>
      </c>
      <c r="F2387" s="41">
        <v>46137</v>
      </c>
      <c r="G2387" s="41">
        <v>46502</v>
      </c>
      <c r="H2387" s="1" t="s">
        <v>4388</v>
      </c>
      <c r="I2387" s="1" t="s">
        <v>3316</v>
      </c>
      <c r="J2387" t="str">
        <f>IF(ISNA(_xlfn.XLOOKUP(B2387,customer_master!$A$2:$A$1649, customer_master!$A$2:$A$1649)), "Invalid", "Ok")</f>
        <v>Ok</v>
      </c>
      <c r="K2387" t="str">
        <f>IF(ISNA(_xlfn.XLOOKUP(H2387,agent_info!$A$2:$A$301, agent_info!$A$2:$A$301)), "Invalid", "Ok")</f>
        <v>Ok</v>
      </c>
    </row>
    <row r="2388" spans="1:11" x14ac:dyDescent="0.3">
      <c r="A2388" s="1" t="s">
        <v>6007</v>
      </c>
      <c r="B2388" s="1" t="s">
        <v>280</v>
      </c>
      <c r="C2388" s="1" t="s">
        <v>3318</v>
      </c>
      <c r="D2388" s="1">
        <v>587108.56000000006</v>
      </c>
      <c r="E2388" s="1">
        <v>32165.96</v>
      </c>
      <c r="F2388" s="41">
        <v>44663</v>
      </c>
      <c r="G2388" s="41">
        <v>45028</v>
      </c>
      <c r="H2388" s="1" t="s">
        <v>3764</v>
      </c>
      <c r="I2388" s="1" t="s">
        <v>3324</v>
      </c>
      <c r="J2388" t="str">
        <f>IF(ISNA(_xlfn.XLOOKUP(B2388,customer_master!$A$2:$A$1649, customer_master!$A$2:$A$1649)), "Invalid", "Ok")</f>
        <v>Ok</v>
      </c>
      <c r="K2388" t="str">
        <f>IF(ISNA(_xlfn.XLOOKUP(H2388,agent_info!$A$2:$A$301, agent_info!$A$2:$A$301)), "Invalid", "Ok")</f>
        <v>Ok</v>
      </c>
    </row>
    <row r="2389" spans="1:11" x14ac:dyDescent="0.3">
      <c r="A2389" s="1" t="s">
        <v>6008</v>
      </c>
      <c r="B2389" s="1" t="s">
        <v>2030</v>
      </c>
      <c r="C2389" s="1" t="s">
        <v>3318</v>
      </c>
      <c r="D2389" s="1">
        <v>441510.36</v>
      </c>
      <c r="E2389" s="1">
        <v>24256.83</v>
      </c>
      <c r="F2389" s="41">
        <v>45132</v>
      </c>
      <c r="G2389" s="41">
        <v>45498</v>
      </c>
      <c r="H2389" s="1" t="s">
        <v>3337</v>
      </c>
      <c r="I2389" s="1" t="s">
        <v>3316</v>
      </c>
      <c r="J2389" t="str">
        <f>IF(ISNA(_xlfn.XLOOKUP(B2389,customer_master!$A$2:$A$1649, customer_master!$A$2:$A$1649)), "Invalid", "Ok")</f>
        <v>Ok</v>
      </c>
      <c r="K2389" t="str">
        <f>IF(ISNA(_xlfn.XLOOKUP(H2389,agent_info!$A$2:$A$301, agent_info!$A$2:$A$301)), "Invalid", "Ok")</f>
        <v>Ok</v>
      </c>
    </row>
    <row r="2390" spans="1:11" x14ac:dyDescent="0.3">
      <c r="A2390" s="1" t="s">
        <v>6009</v>
      </c>
      <c r="B2390" s="1" t="s">
        <v>2665</v>
      </c>
      <c r="C2390" s="1" t="s">
        <v>3318</v>
      </c>
      <c r="D2390" s="1">
        <v>532214.57999999996</v>
      </c>
      <c r="E2390" s="1">
        <v>28173.83</v>
      </c>
      <c r="F2390" s="41">
        <v>46166</v>
      </c>
      <c r="G2390" s="41">
        <v>46531</v>
      </c>
      <c r="H2390" s="1" t="s">
        <v>3989</v>
      </c>
      <c r="I2390" s="1" t="s">
        <v>3316</v>
      </c>
      <c r="J2390" t="str">
        <f>IF(ISNA(_xlfn.XLOOKUP(B2390,customer_master!$A$2:$A$1649, customer_master!$A$2:$A$1649)), "Invalid", "Ok")</f>
        <v>Ok</v>
      </c>
      <c r="K2390" t="str">
        <f>IF(ISNA(_xlfn.XLOOKUP(H2390,agent_info!$A$2:$A$301, agent_info!$A$2:$A$301)), "Invalid", "Ok")</f>
        <v>Ok</v>
      </c>
    </row>
    <row r="2391" spans="1:11" x14ac:dyDescent="0.3">
      <c r="A2391" s="1" t="s">
        <v>6010</v>
      </c>
      <c r="B2391" s="1" t="s">
        <v>887</v>
      </c>
      <c r="C2391" s="1" t="s">
        <v>3326</v>
      </c>
      <c r="D2391" s="1">
        <v>401781.33</v>
      </c>
      <c r="E2391" s="1">
        <v>18495.830000000002</v>
      </c>
      <c r="F2391" s="41">
        <v>44841</v>
      </c>
      <c r="G2391" s="41">
        <v>45206</v>
      </c>
      <c r="H2391" s="1" t="s">
        <v>3395</v>
      </c>
      <c r="I2391" s="1" t="s">
        <v>3324</v>
      </c>
      <c r="J2391" t="str">
        <f>IF(ISNA(_xlfn.XLOOKUP(B2391,customer_master!$A$2:$A$1649, customer_master!$A$2:$A$1649)), "Invalid", "Ok")</f>
        <v>Ok</v>
      </c>
      <c r="K2391" t="str">
        <f>IF(ISNA(_xlfn.XLOOKUP(H2391,agent_info!$A$2:$A$301, agent_info!$A$2:$A$301)), "Invalid", "Ok")</f>
        <v>Ok</v>
      </c>
    </row>
    <row r="2392" spans="1:11" x14ac:dyDescent="0.3">
      <c r="A2392" s="1" t="s">
        <v>6011</v>
      </c>
      <c r="B2392" s="1" t="s">
        <v>3102</v>
      </c>
      <c r="C2392" s="1" t="s">
        <v>3314</v>
      </c>
      <c r="D2392" s="1">
        <v>459622.8</v>
      </c>
      <c r="E2392" s="1">
        <v>22838.69</v>
      </c>
      <c r="F2392" s="41">
        <v>45285</v>
      </c>
      <c r="G2392" s="41">
        <v>45651</v>
      </c>
      <c r="H2392" s="1" t="s">
        <v>4505</v>
      </c>
      <c r="I2392" s="1" t="s">
        <v>3324</v>
      </c>
      <c r="J2392" t="str">
        <f>IF(ISNA(_xlfn.XLOOKUP(B2392,customer_master!$A$2:$A$1649, customer_master!$A$2:$A$1649)), "Invalid", "Ok")</f>
        <v>Ok</v>
      </c>
      <c r="K2392" t="str">
        <f>IF(ISNA(_xlfn.XLOOKUP(H2392,agent_info!$A$2:$A$301, agent_info!$A$2:$A$301)), "Invalid", "Ok")</f>
        <v>Ok</v>
      </c>
    </row>
    <row r="2393" spans="1:11" x14ac:dyDescent="0.3">
      <c r="A2393" s="1" t="s">
        <v>6012</v>
      </c>
      <c r="B2393" s="1" t="s">
        <v>2627</v>
      </c>
      <c r="C2393" s="1" t="s">
        <v>3334</v>
      </c>
      <c r="D2393" s="1">
        <v>408477.5</v>
      </c>
      <c r="E2393" s="1">
        <v>21871.98</v>
      </c>
      <c r="F2393" s="41">
        <v>44722</v>
      </c>
      <c r="G2393" s="41">
        <v>45087</v>
      </c>
      <c r="H2393" s="1" t="s">
        <v>3369</v>
      </c>
      <c r="I2393" s="1" t="s">
        <v>3316</v>
      </c>
      <c r="J2393" t="str">
        <f>IF(ISNA(_xlfn.XLOOKUP(B2393,customer_master!$A$2:$A$1649, customer_master!$A$2:$A$1649)), "Invalid", "Ok")</f>
        <v>Ok</v>
      </c>
      <c r="K2393" t="str">
        <f>IF(ISNA(_xlfn.XLOOKUP(H2393,agent_info!$A$2:$A$301, agent_info!$A$2:$A$301)), "Invalid", "Ok")</f>
        <v>Ok</v>
      </c>
    </row>
    <row r="2394" spans="1:11" x14ac:dyDescent="0.3">
      <c r="A2394" s="1" t="s">
        <v>6013</v>
      </c>
      <c r="B2394" s="1" t="s">
        <v>292</v>
      </c>
      <c r="C2394" s="1" t="s">
        <v>3314</v>
      </c>
      <c r="D2394" s="1">
        <v>388081.36</v>
      </c>
      <c r="E2394" s="1">
        <v>19941.5</v>
      </c>
      <c r="F2394" s="41">
        <v>45710</v>
      </c>
      <c r="G2394" s="41">
        <v>46075</v>
      </c>
      <c r="H2394" s="1" t="s">
        <v>3662</v>
      </c>
      <c r="I2394" s="1" t="s">
        <v>3316</v>
      </c>
      <c r="J2394" t="str">
        <f>IF(ISNA(_xlfn.XLOOKUP(B2394,customer_master!$A$2:$A$1649, customer_master!$A$2:$A$1649)), "Invalid", "Ok")</f>
        <v>Ok</v>
      </c>
      <c r="K2394" t="str">
        <f>IF(ISNA(_xlfn.XLOOKUP(H2394,agent_info!$A$2:$A$301, agent_info!$A$2:$A$301)), "Invalid", "Ok")</f>
        <v>Ok</v>
      </c>
    </row>
    <row r="2395" spans="1:11" x14ac:dyDescent="0.3">
      <c r="A2395" s="1" t="s">
        <v>6014</v>
      </c>
      <c r="B2395" s="1" t="s">
        <v>1384</v>
      </c>
      <c r="C2395" s="1" t="s">
        <v>3331</v>
      </c>
      <c r="D2395" s="1">
        <v>655915.19999999995</v>
      </c>
      <c r="E2395" s="1">
        <v>35281.480000000003</v>
      </c>
      <c r="F2395" s="41">
        <v>45163</v>
      </c>
      <c r="G2395" s="41">
        <v>45529</v>
      </c>
      <c r="H2395" s="1" t="s">
        <v>3719</v>
      </c>
      <c r="I2395" s="1" t="s">
        <v>3316</v>
      </c>
      <c r="J2395" t="str">
        <f>IF(ISNA(_xlfn.XLOOKUP(B2395,customer_master!$A$2:$A$1649, customer_master!$A$2:$A$1649)), "Invalid", "Ok")</f>
        <v>Ok</v>
      </c>
      <c r="K2395" t="str">
        <f>IF(ISNA(_xlfn.XLOOKUP(H2395,agent_info!$A$2:$A$301, agent_info!$A$2:$A$301)), "Invalid", "Ok")</f>
        <v>Ok</v>
      </c>
    </row>
    <row r="2396" spans="1:11" x14ac:dyDescent="0.3">
      <c r="A2396" s="1" t="s">
        <v>6015</v>
      </c>
      <c r="B2396" s="1" t="s">
        <v>256</v>
      </c>
      <c r="C2396" s="1" t="s">
        <v>3331</v>
      </c>
      <c r="D2396" s="1">
        <v>554495.18999999994</v>
      </c>
      <c r="E2396" s="1">
        <v>29384.73</v>
      </c>
      <c r="F2396" s="41">
        <v>45200</v>
      </c>
      <c r="G2396" s="41">
        <v>45566</v>
      </c>
      <c r="H2396" s="1" t="s">
        <v>3363</v>
      </c>
      <c r="I2396" s="1" t="s">
        <v>3324</v>
      </c>
      <c r="J2396" t="str">
        <f>IF(ISNA(_xlfn.XLOOKUP(B2396,customer_master!$A$2:$A$1649, customer_master!$A$2:$A$1649)), "Invalid", "Ok")</f>
        <v>Ok</v>
      </c>
      <c r="K2396" t="str">
        <f>IF(ISNA(_xlfn.XLOOKUP(H2396,agent_info!$A$2:$A$301, agent_info!$A$2:$A$301)), "Invalid", "Ok")</f>
        <v>Ok</v>
      </c>
    </row>
    <row r="2397" spans="1:11" x14ac:dyDescent="0.3">
      <c r="A2397" s="1" t="s">
        <v>6016</v>
      </c>
      <c r="B2397" s="1" t="s">
        <v>3041</v>
      </c>
      <c r="C2397" s="1" t="s">
        <v>3331</v>
      </c>
      <c r="D2397" s="1">
        <v>398893.42</v>
      </c>
      <c r="E2397" s="1">
        <v>19198.580000000002</v>
      </c>
      <c r="F2397" s="41">
        <v>44953</v>
      </c>
      <c r="G2397" s="41">
        <v>45318</v>
      </c>
      <c r="H2397" s="1" t="s">
        <v>3583</v>
      </c>
      <c r="I2397" s="1" t="s">
        <v>3324</v>
      </c>
      <c r="J2397" t="str">
        <f>IF(ISNA(_xlfn.XLOOKUP(B2397,customer_master!$A$2:$A$1649, customer_master!$A$2:$A$1649)), "Invalid", "Ok")</f>
        <v>Ok</v>
      </c>
      <c r="K2397" t="str">
        <f>IF(ISNA(_xlfn.XLOOKUP(H2397,agent_info!$A$2:$A$301, agent_info!$A$2:$A$301)), "Invalid", "Ok")</f>
        <v>Ok</v>
      </c>
    </row>
    <row r="2398" spans="1:11" x14ac:dyDescent="0.3">
      <c r="A2398" s="1" t="s">
        <v>6017</v>
      </c>
      <c r="B2398" s="1" t="s">
        <v>2474</v>
      </c>
      <c r="C2398" s="1" t="s">
        <v>3314</v>
      </c>
      <c r="D2398" s="1">
        <v>746503.38</v>
      </c>
      <c r="E2398" s="1">
        <v>35048.82</v>
      </c>
      <c r="F2398" s="41">
        <v>44500</v>
      </c>
      <c r="G2398" s="41">
        <v>44865</v>
      </c>
      <c r="H2398" s="1" t="s">
        <v>4295</v>
      </c>
      <c r="I2398" s="1" t="s">
        <v>3324</v>
      </c>
      <c r="J2398" t="str">
        <f>IF(ISNA(_xlfn.XLOOKUP(B2398,customer_master!$A$2:$A$1649, customer_master!$A$2:$A$1649)), "Invalid", "Ok")</f>
        <v>Ok</v>
      </c>
      <c r="K2398" t="str">
        <f>IF(ISNA(_xlfn.XLOOKUP(H2398,agent_info!$A$2:$A$301, agent_info!$A$2:$A$301)), "Invalid", "Ok")</f>
        <v>Ok</v>
      </c>
    </row>
    <row r="2399" spans="1:11" x14ac:dyDescent="0.3">
      <c r="A2399" s="1" t="s">
        <v>6018</v>
      </c>
      <c r="B2399" s="1" t="s">
        <v>2294</v>
      </c>
      <c r="C2399" s="1" t="s">
        <v>3334</v>
      </c>
      <c r="D2399" s="1">
        <v>641259.91</v>
      </c>
      <c r="E2399" s="1">
        <v>30925.17</v>
      </c>
      <c r="F2399" s="41">
        <v>44456</v>
      </c>
      <c r="G2399" s="41">
        <v>44821</v>
      </c>
      <c r="H2399" s="1" t="s">
        <v>4014</v>
      </c>
      <c r="I2399" s="1" t="s">
        <v>3316</v>
      </c>
      <c r="J2399" t="str">
        <f>IF(ISNA(_xlfn.XLOOKUP(B2399,customer_master!$A$2:$A$1649, customer_master!$A$2:$A$1649)), "Invalid", "Ok")</f>
        <v>Ok</v>
      </c>
      <c r="K2399" t="str">
        <f>IF(ISNA(_xlfn.XLOOKUP(H2399,agent_info!$A$2:$A$301, agent_info!$A$2:$A$301)), "Invalid", "Ok")</f>
        <v>Ok</v>
      </c>
    </row>
    <row r="2400" spans="1:11" x14ac:dyDescent="0.3">
      <c r="A2400" s="1" t="s">
        <v>6019</v>
      </c>
      <c r="B2400" s="1" t="s">
        <v>2282</v>
      </c>
      <c r="C2400" s="1" t="s">
        <v>3334</v>
      </c>
      <c r="D2400" s="1">
        <v>486745.16</v>
      </c>
      <c r="E2400" s="1">
        <v>25291.01</v>
      </c>
      <c r="F2400" s="41">
        <v>45583</v>
      </c>
      <c r="G2400" s="41">
        <v>45948</v>
      </c>
      <c r="H2400" s="1" t="s">
        <v>3351</v>
      </c>
      <c r="I2400" s="1" t="s">
        <v>3324</v>
      </c>
      <c r="J2400" t="str">
        <f>IF(ISNA(_xlfn.XLOOKUP(B2400,customer_master!$A$2:$A$1649, customer_master!$A$2:$A$1649)), "Invalid", "Ok")</f>
        <v>Ok</v>
      </c>
      <c r="K2400" t="str">
        <f>IF(ISNA(_xlfn.XLOOKUP(H2400,agent_info!$A$2:$A$301, agent_info!$A$2:$A$301)), "Invalid", "Ok")</f>
        <v>Ok</v>
      </c>
    </row>
    <row r="2401" spans="1:11" x14ac:dyDescent="0.3">
      <c r="A2401" s="1" t="s">
        <v>6020</v>
      </c>
      <c r="B2401" s="1" t="s">
        <v>960</v>
      </c>
      <c r="C2401" s="1" t="s">
        <v>3331</v>
      </c>
      <c r="D2401" s="1">
        <v>548862.19999999995</v>
      </c>
      <c r="E2401" s="1">
        <v>27339.18</v>
      </c>
      <c r="F2401" s="41">
        <v>46021</v>
      </c>
      <c r="G2401" s="41">
        <v>46386</v>
      </c>
      <c r="H2401" s="1" t="s">
        <v>3408</v>
      </c>
      <c r="I2401" s="1" t="s">
        <v>3324</v>
      </c>
      <c r="J2401" t="str">
        <f>IF(ISNA(_xlfn.XLOOKUP(B2401,customer_master!$A$2:$A$1649, customer_master!$A$2:$A$1649)), "Invalid", "Ok")</f>
        <v>Ok</v>
      </c>
      <c r="K2401" t="str">
        <f>IF(ISNA(_xlfn.XLOOKUP(H2401,agent_info!$A$2:$A$301, agent_info!$A$2:$A$301)), "Invalid", "Ok")</f>
        <v>Ok</v>
      </c>
    </row>
    <row r="2402" spans="1:11" x14ac:dyDescent="0.3">
      <c r="A2402" s="1" t="s">
        <v>6021</v>
      </c>
      <c r="B2402" s="1" t="s">
        <v>3102</v>
      </c>
      <c r="C2402" s="1" t="s">
        <v>3334</v>
      </c>
      <c r="D2402" s="1">
        <v>573367.67000000004</v>
      </c>
      <c r="E2402" s="1">
        <v>26052.959999999999</v>
      </c>
      <c r="F2402" s="41">
        <v>44693</v>
      </c>
      <c r="G2402" s="41">
        <v>45058</v>
      </c>
      <c r="H2402" s="1" t="s">
        <v>3634</v>
      </c>
      <c r="I2402" s="1" t="s">
        <v>3316</v>
      </c>
      <c r="J2402" t="str">
        <f>IF(ISNA(_xlfn.XLOOKUP(B2402,customer_master!$A$2:$A$1649, customer_master!$A$2:$A$1649)), "Invalid", "Ok")</f>
        <v>Ok</v>
      </c>
      <c r="K2402" t="str">
        <f>IF(ISNA(_xlfn.XLOOKUP(H2402,agent_info!$A$2:$A$301, agent_info!$A$2:$A$301)), "Invalid", "Ok")</f>
        <v>Ok</v>
      </c>
    </row>
    <row r="2403" spans="1:11" x14ac:dyDescent="0.3">
      <c r="A2403" s="1" t="s">
        <v>6022</v>
      </c>
      <c r="B2403" s="1" t="s">
        <v>3073</v>
      </c>
      <c r="C2403" s="1" t="s">
        <v>3314</v>
      </c>
      <c r="D2403" s="1">
        <v>604422.21</v>
      </c>
      <c r="E2403" s="1">
        <v>31686.7</v>
      </c>
      <c r="F2403" s="41">
        <v>44938</v>
      </c>
      <c r="G2403" s="41">
        <v>45303</v>
      </c>
      <c r="H2403" s="1" t="s">
        <v>3481</v>
      </c>
      <c r="I2403" s="1" t="s">
        <v>3324</v>
      </c>
      <c r="J2403" t="str">
        <f>IF(ISNA(_xlfn.XLOOKUP(B2403,customer_master!$A$2:$A$1649, customer_master!$A$2:$A$1649)), "Invalid", "Ok")</f>
        <v>Ok</v>
      </c>
      <c r="K2403" t="str">
        <f>IF(ISNA(_xlfn.XLOOKUP(H2403,agent_info!$A$2:$A$301, agent_info!$A$2:$A$301)), "Invalid", "Ok")</f>
        <v>Ok</v>
      </c>
    </row>
    <row r="2404" spans="1:11" x14ac:dyDescent="0.3">
      <c r="A2404" s="1" t="s">
        <v>6023</v>
      </c>
      <c r="B2404" s="1" t="s">
        <v>2462</v>
      </c>
      <c r="C2404" s="1" t="s">
        <v>3326</v>
      </c>
      <c r="D2404" s="1">
        <v>650107.6</v>
      </c>
      <c r="E2404" s="1">
        <v>29545.42</v>
      </c>
      <c r="F2404" s="41">
        <v>45356</v>
      </c>
      <c r="G2404" s="41">
        <v>45721</v>
      </c>
      <c r="H2404" s="1" t="s">
        <v>4505</v>
      </c>
      <c r="I2404" s="1" t="s">
        <v>3324</v>
      </c>
      <c r="J2404" t="str">
        <f>IF(ISNA(_xlfn.XLOOKUP(B2404,customer_master!$A$2:$A$1649, customer_master!$A$2:$A$1649)), "Invalid", "Ok")</f>
        <v>Ok</v>
      </c>
      <c r="K2404" t="str">
        <f>IF(ISNA(_xlfn.XLOOKUP(H2404,agent_info!$A$2:$A$301, agent_info!$A$2:$A$301)), "Invalid", "Ok")</f>
        <v>Ok</v>
      </c>
    </row>
    <row r="2405" spans="1:11" x14ac:dyDescent="0.3">
      <c r="A2405" s="1" t="s">
        <v>6024</v>
      </c>
      <c r="B2405" s="1" t="s">
        <v>1570</v>
      </c>
      <c r="C2405" s="1" t="s">
        <v>3314</v>
      </c>
      <c r="D2405" s="1">
        <v>612111.61</v>
      </c>
      <c r="E2405" s="1">
        <v>30050.42</v>
      </c>
      <c r="F2405" s="41">
        <v>45757</v>
      </c>
      <c r="G2405" s="41">
        <v>46122</v>
      </c>
      <c r="H2405" s="1" t="s">
        <v>3345</v>
      </c>
      <c r="I2405" s="1" t="s">
        <v>3324</v>
      </c>
      <c r="J2405" t="str">
        <f>IF(ISNA(_xlfn.XLOOKUP(B2405,customer_master!$A$2:$A$1649, customer_master!$A$2:$A$1649)), "Invalid", "Ok")</f>
        <v>Ok</v>
      </c>
      <c r="K2405" t="str">
        <f>IF(ISNA(_xlfn.XLOOKUP(H2405,agent_info!$A$2:$A$301, agent_info!$A$2:$A$301)), "Invalid", "Ok")</f>
        <v>Ok</v>
      </c>
    </row>
    <row r="2406" spans="1:11" x14ac:dyDescent="0.3">
      <c r="A2406" s="1" t="s">
        <v>6025</v>
      </c>
      <c r="B2406" s="1" t="s">
        <v>190</v>
      </c>
      <c r="C2406" s="1" t="s">
        <v>3334</v>
      </c>
      <c r="D2406" s="1">
        <v>761809.57</v>
      </c>
      <c r="E2406" s="1">
        <v>37803.160000000003</v>
      </c>
      <c r="F2406" s="41">
        <v>44759</v>
      </c>
      <c r="G2406" s="41">
        <v>45124</v>
      </c>
      <c r="H2406" s="1" t="s">
        <v>3406</v>
      </c>
      <c r="I2406" s="1" t="s">
        <v>3324</v>
      </c>
      <c r="J2406" t="str">
        <f>IF(ISNA(_xlfn.XLOOKUP(B2406,customer_master!$A$2:$A$1649, customer_master!$A$2:$A$1649)), "Invalid", "Ok")</f>
        <v>Ok</v>
      </c>
      <c r="K2406" t="str">
        <f>IF(ISNA(_xlfn.XLOOKUP(H2406,agent_info!$A$2:$A$301, agent_info!$A$2:$A$301)), "Invalid", "Ok")</f>
        <v>Ok</v>
      </c>
    </row>
    <row r="2407" spans="1:11" x14ac:dyDescent="0.3">
      <c r="A2407" s="1" t="s">
        <v>6026</v>
      </c>
      <c r="B2407" s="1" t="s">
        <v>127</v>
      </c>
      <c r="C2407" s="1" t="s">
        <v>3326</v>
      </c>
      <c r="D2407" s="1">
        <v>604383.18000000005</v>
      </c>
      <c r="E2407" s="1">
        <v>30237.45</v>
      </c>
      <c r="F2407" s="41">
        <v>45817</v>
      </c>
      <c r="G2407" s="41">
        <v>46182</v>
      </c>
      <c r="H2407" s="1" t="s">
        <v>3785</v>
      </c>
      <c r="I2407" s="1" t="s">
        <v>3320</v>
      </c>
      <c r="J2407" t="str">
        <f>IF(ISNA(_xlfn.XLOOKUP(B2407,customer_master!$A$2:$A$1649, customer_master!$A$2:$A$1649)), "Invalid", "Ok")</f>
        <v>Ok</v>
      </c>
      <c r="K2407" t="str">
        <f>IF(ISNA(_xlfn.XLOOKUP(H2407,agent_info!$A$2:$A$301, agent_info!$A$2:$A$301)), "Invalid", "Ok")</f>
        <v>Ok</v>
      </c>
    </row>
    <row r="2408" spans="1:11" x14ac:dyDescent="0.3">
      <c r="A2408" s="1" t="s">
        <v>6027</v>
      </c>
      <c r="B2408" s="1" t="s">
        <v>491</v>
      </c>
      <c r="C2408" s="1" t="s">
        <v>3331</v>
      </c>
      <c r="D2408" s="1">
        <v>758619.31</v>
      </c>
      <c r="E2408" s="1">
        <v>35193.040000000001</v>
      </c>
      <c r="F2408" s="41">
        <v>46167</v>
      </c>
      <c r="G2408" s="41">
        <v>46532</v>
      </c>
      <c r="H2408" s="1" t="s">
        <v>4641</v>
      </c>
      <c r="I2408" s="1" t="s">
        <v>3324</v>
      </c>
      <c r="J2408" t="str">
        <f>IF(ISNA(_xlfn.XLOOKUP(B2408,customer_master!$A$2:$A$1649, customer_master!$A$2:$A$1649)), "Invalid", "Ok")</f>
        <v>Ok</v>
      </c>
      <c r="K2408" t="str">
        <f>IF(ISNA(_xlfn.XLOOKUP(H2408,agent_info!$A$2:$A$301, agent_info!$A$2:$A$301)), "Invalid", "Ok")</f>
        <v>Ok</v>
      </c>
    </row>
    <row r="2409" spans="1:11" x14ac:dyDescent="0.3">
      <c r="A2409" s="1" t="s">
        <v>6028</v>
      </c>
      <c r="B2409" s="1" t="s">
        <v>1990</v>
      </c>
      <c r="C2409" s="1" t="s">
        <v>3334</v>
      </c>
      <c r="D2409" s="1">
        <v>597038.42000000004</v>
      </c>
      <c r="E2409" s="1">
        <v>31331.32</v>
      </c>
      <c r="F2409" s="41">
        <v>45146</v>
      </c>
      <c r="G2409" s="41">
        <v>45512</v>
      </c>
      <c r="H2409" s="1" t="s">
        <v>4469</v>
      </c>
      <c r="I2409" s="1" t="s">
        <v>3324</v>
      </c>
      <c r="J2409" t="str">
        <f>IF(ISNA(_xlfn.XLOOKUP(B2409,customer_master!$A$2:$A$1649, customer_master!$A$2:$A$1649)), "Invalid", "Ok")</f>
        <v>Ok</v>
      </c>
      <c r="K2409" t="str">
        <f>IF(ISNA(_xlfn.XLOOKUP(H2409,agent_info!$A$2:$A$301, agent_info!$A$2:$A$301)), "Invalid", "Ok")</f>
        <v>Ok</v>
      </c>
    </row>
    <row r="2410" spans="1:11" x14ac:dyDescent="0.3">
      <c r="A2410" s="1" t="s">
        <v>6029</v>
      </c>
      <c r="B2410" s="1" t="s">
        <v>2643</v>
      </c>
      <c r="C2410" s="1" t="s">
        <v>3334</v>
      </c>
      <c r="D2410" s="1">
        <v>646202.93999999994</v>
      </c>
      <c r="E2410" s="1">
        <v>34567.800000000003</v>
      </c>
      <c r="F2410" s="41">
        <v>46012</v>
      </c>
      <c r="G2410" s="41">
        <v>46377</v>
      </c>
      <c r="H2410" s="1" t="s">
        <v>3500</v>
      </c>
      <c r="I2410" s="1" t="s">
        <v>3324</v>
      </c>
      <c r="J2410" t="str">
        <f>IF(ISNA(_xlfn.XLOOKUP(B2410,customer_master!$A$2:$A$1649, customer_master!$A$2:$A$1649)), "Invalid", "Ok")</f>
        <v>Ok</v>
      </c>
      <c r="K2410" t="str">
        <f>IF(ISNA(_xlfn.XLOOKUP(H2410,agent_info!$A$2:$A$301, agent_info!$A$2:$A$301)), "Invalid", "Ok")</f>
        <v>Ok</v>
      </c>
    </row>
    <row r="2411" spans="1:11" x14ac:dyDescent="0.3">
      <c r="A2411" s="1" t="s">
        <v>6030</v>
      </c>
      <c r="B2411" s="1" t="s">
        <v>3154</v>
      </c>
      <c r="C2411" s="1" t="s">
        <v>3318</v>
      </c>
      <c r="D2411" s="1">
        <v>656925.66</v>
      </c>
      <c r="E2411" s="1">
        <v>34146.339999999997</v>
      </c>
      <c r="F2411" s="41">
        <v>45005</v>
      </c>
      <c r="G2411" s="41">
        <v>45371</v>
      </c>
      <c r="H2411" s="1" t="s">
        <v>4012</v>
      </c>
      <c r="I2411" s="1" t="s">
        <v>3324</v>
      </c>
      <c r="J2411" t="str">
        <f>IF(ISNA(_xlfn.XLOOKUP(B2411,customer_master!$A$2:$A$1649, customer_master!$A$2:$A$1649)), "Invalid", "Ok")</f>
        <v>Ok</v>
      </c>
      <c r="K2411" t="str">
        <f>IF(ISNA(_xlfn.XLOOKUP(H2411,agent_info!$A$2:$A$301, agent_info!$A$2:$A$301)), "Invalid", "Ok")</f>
        <v>Ok</v>
      </c>
    </row>
    <row r="2412" spans="1:11" x14ac:dyDescent="0.3">
      <c r="A2412" s="1" t="s">
        <v>6031</v>
      </c>
      <c r="B2412" s="1" t="s">
        <v>622</v>
      </c>
      <c r="C2412" s="1" t="s">
        <v>3318</v>
      </c>
      <c r="D2412" s="1">
        <v>663294.38</v>
      </c>
      <c r="E2412" s="1">
        <v>36156.65</v>
      </c>
      <c r="F2412" s="41">
        <v>45714</v>
      </c>
      <c r="G2412" s="41">
        <v>46079</v>
      </c>
      <c r="H2412" s="1" t="s">
        <v>3729</v>
      </c>
      <c r="I2412" s="1" t="s">
        <v>3316</v>
      </c>
      <c r="J2412" t="str">
        <f>IF(ISNA(_xlfn.XLOOKUP(B2412,customer_master!$A$2:$A$1649, customer_master!$A$2:$A$1649)), "Invalid", "Ok")</f>
        <v>Ok</v>
      </c>
      <c r="K2412" t="str">
        <f>IF(ISNA(_xlfn.XLOOKUP(H2412,agent_info!$A$2:$A$301, agent_info!$A$2:$A$301)), "Invalid", "Ok")</f>
        <v>Ok</v>
      </c>
    </row>
    <row r="2413" spans="1:11" x14ac:dyDescent="0.3">
      <c r="A2413" s="1" t="s">
        <v>6032</v>
      </c>
      <c r="B2413" s="1" t="s">
        <v>931</v>
      </c>
      <c r="C2413" s="1" t="s">
        <v>3326</v>
      </c>
      <c r="D2413" s="1">
        <v>358550.37</v>
      </c>
      <c r="E2413" s="1">
        <v>17058.04</v>
      </c>
      <c r="F2413" s="41">
        <v>45865</v>
      </c>
      <c r="G2413" s="41">
        <v>46230</v>
      </c>
      <c r="H2413" s="1" t="s">
        <v>3905</v>
      </c>
      <c r="I2413" s="1" t="s">
        <v>3324</v>
      </c>
      <c r="J2413" t="str">
        <f>IF(ISNA(_xlfn.XLOOKUP(B2413,customer_master!$A$2:$A$1649, customer_master!$A$2:$A$1649)), "Invalid", "Ok")</f>
        <v>Ok</v>
      </c>
      <c r="K2413" t="str">
        <f>IF(ISNA(_xlfn.XLOOKUP(H2413,agent_info!$A$2:$A$301, agent_info!$A$2:$A$301)), "Invalid", "Ok")</f>
        <v>Ok</v>
      </c>
    </row>
    <row r="2414" spans="1:11" x14ac:dyDescent="0.3">
      <c r="A2414" s="1" t="s">
        <v>6033</v>
      </c>
      <c r="B2414" s="1" t="s">
        <v>210</v>
      </c>
      <c r="C2414" s="1" t="s">
        <v>3326</v>
      </c>
      <c r="D2414" s="1">
        <v>394616.01</v>
      </c>
      <c r="E2414" s="1">
        <v>18391.990000000002</v>
      </c>
      <c r="F2414" s="41">
        <v>45442</v>
      </c>
      <c r="G2414" s="41">
        <v>45807</v>
      </c>
      <c r="H2414" s="1" t="s">
        <v>4087</v>
      </c>
      <c r="I2414" s="1" t="s">
        <v>3324</v>
      </c>
      <c r="J2414" t="str">
        <f>IF(ISNA(_xlfn.XLOOKUP(B2414,customer_master!$A$2:$A$1649, customer_master!$A$2:$A$1649)), "Invalid", "Ok")</f>
        <v>Ok</v>
      </c>
      <c r="K2414" t="str">
        <f>IF(ISNA(_xlfn.XLOOKUP(H2414,agent_info!$A$2:$A$301, agent_info!$A$2:$A$301)), "Invalid", "Ok")</f>
        <v>Ok</v>
      </c>
    </row>
    <row r="2415" spans="1:11" x14ac:dyDescent="0.3">
      <c r="A2415" s="1" t="s">
        <v>6034</v>
      </c>
      <c r="B2415" s="1" t="s">
        <v>3277</v>
      </c>
      <c r="C2415" s="1" t="s">
        <v>3318</v>
      </c>
      <c r="D2415" s="1">
        <v>464079.06</v>
      </c>
      <c r="E2415" s="1">
        <v>21195.86</v>
      </c>
      <c r="F2415" s="41">
        <v>45408</v>
      </c>
      <c r="G2415" s="41">
        <v>45773</v>
      </c>
      <c r="H2415" s="1" t="s">
        <v>3774</v>
      </c>
      <c r="I2415" s="1" t="s">
        <v>3324</v>
      </c>
      <c r="J2415" t="str">
        <f>IF(ISNA(_xlfn.XLOOKUP(B2415,customer_master!$A$2:$A$1649, customer_master!$A$2:$A$1649)), "Invalid", "Ok")</f>
        <v>Ok</v>
      </c>
      <c r="K2415" t="str">
        <f>IF(ISNA(_xlfn.XLOOKUP(H2415,agent_info!$A$2:$A$301, agent_info!$A$2:$A$301)), "Invalid", "Ok")</f>
        <v>Ok</v>
      </c>
    </row>
    <row r="2416" spans="1:11" x14ac:dyDescent="0.3">
      <c r="A2416" s="1" t="s">
        <v>6035</v>
      </c>
      <c r="B2416" s="1" t="s">
        <v>2595</v>
      </c>
      <c r="C2416" s="1" t="s">
        <v>3334</v>
      </c>
      <c r="D2416" s="1">
        <v>489525.38</v>
      </c>
      <c r="E2416" s="1">
        <v>25560.66</v>
      </c>
      <c r="F2416" s="41">
        <v>45018</v>
      </c>
      <c r="G2416" s="41">
        <v>45384</v>
      </c>
      <c r="H2416" s="1" t="s">
        <v>3631</v>
      </c>
      <c r="I2416" s="1" t="s">
        <v>3324</v>
      </c>
      <c r="J2416" t="str">
        <f>IF(ISNA(_xlfn.XLOOKUP(B2416,customer_master!$A$2:$A$1649, customer_master!$A$2:$A$1649)), "Invalid", "Ok")</f>
        <v>Ok</v>
      </c>
      <c r="K2416" t="str">
        <f>IF(ISNA(_xlfn.XLOOKUP(H2416,agent_info!$A$2:$A$301, agent_info!$A$2:$A$301)), "Invalid", "Ok")</f>
        <v>Ok</v>
      </c>
    </row>
    <row r="2417" spans="1:11" x14ac:dyDescent="0.3">
      <c r="A2417" s="1" t="s">
        <v>6036</v>
      </c>
      <c r="B2417" s="1" t="s">
        <v>1610</v>
      </c>
      <c r="C2417" s="1" t="s">
        <v>3318</v>
      </c>
      <c r="D2417" s="1">
        <v>720229.18</v>
      </c>
      <c r="E2417" s="1">
        <v>33577.86</v>
      </c>
      <c r="F2417" s="41">
        <v>45320</v>
      </c>
      <c r="G2417" s="41">
        <v>45686</v>
      </c>
      <c r="H2417" s="1" t="s">
        <v>3807</v>
      </c>
      <c r="I2417" s="1" t="s">
        <v>3324</v>
      </c>
      <c r="J2417" t="str">
        <f>IF(ISNA(_xlfn.XLOOKUP(B2417,customer_master!$A$2:$A$1649, customer_master!$A$2:$A$1649)), "Invalid", "Ok")</f>
        <v>Ok</v>
      </c>
      <c r="K2417" t="str">
        <f>IF(ISNA(_xlfn.XLOOKUP(H2417,agent_info!$A$2:$A$301, agent_info!$A$2:$A$301)), "Invalid", "Ok")</f>
        <v>Ok</v>
      </c>
    </row>
    <row r="2418" spans="1:11" x14ac:dyDescent="0.3">
      <c r="A2418" s="1" t="s">
        <v>6037</v>
      </c>
      <c r="B2418" s="1" t="s">
        <v>1921</v>
      </c>
      <c r="C2418" s="1" t="s">
        <v>3331</v>
      </c>
      <c r="D2418" s="1">
        <v>657173.13</v>
      </c>
      <c r="E2418" s="1">
        <v>35738.269999999997</v>
      </c>
      <c r="F2418" s="41">
        <v>44896</v>
      </c>
      <c r="G2418" s="41">
        <v>45261</v>
      </c>
      <c r="H2418" s="1" t="s">
        <v>3479</v>
      </c>
      <c r="I2418" s="1" t="s">
        <v>3324</v>
      </c>
      <c r="J2418" t="str">
        <f>IF(ISNA(_xlfn.XLOOKUP(B2418,customer_master!$A$2:$A$1649, customer_master!$A$2:$A$1649)), "Invalid", "Ok")</f>
        <v>Ok</v>
      </c>
      <c r="K2418" t="str">
        <f>IF(ISNA(_xlfn.XLOOKUP(H2418,agent_info!$A$2:$A$301, agent_info!$A$2:$A$301)), "Invalid", "Ok")</f>
        <v>Ok</v>
      </c>
    </row>
    <row r="2419" spans="1:11" x14ac:dyDescent="0.3">
      <c r="A2419" s="1" t="s">
        <v>6038</v>
      </c>
      <c r="B2419" s="1" t="s">
        <v>1889</v>
      </c>
      <c r="C2419" s="1" t="s">
        <v>3331</v>
      </c>
      <c r="D2419" s="1">
        <v>436161.93</v>
      </c>
      <c r="E2419" s="1">
        <v>22237.06</v>
      </c>
      <c r="F2419" s="41">
        <v>45463</v>
      </c>
      <c r="G2419" s="41">
        <v>45828</v>
      </c>
      <c r="H2419" s="1" t="s">
        <v>3565</v>
      </c>
      <c r="I2419" s="1" t="s">
        <v>3320</v>
      </c>
      <c r="J2419" t="str">
        <f>IF(ISNA(_xlfn.XLOOKUP(B2419,customer_master!$A$2:$A$1649, customer_master!$A$2:$A$1649)), "Invalid", "Ok")</f>
        <v>Ok</v>
      </c>
      <c r="K2419" t="str">
        <f>IF(ISNA(_xlfn.XLOOKUP(H2419,agent_info!$A$2:$A$301, agent_info!$A$2:$A$301)), "Invalid", "Ok")</f>
        <v>Ok</v>
      </c>
    </row>
    <row r="2420" spans="1:11" x14ac:dyDescent="0.3">
      <c r="A2420" s="1" t="s">
        <v>6039</v>
      </c>
      <c r="B2420" s="1" t="s">
        <v>873</v>
      </c>
      <c r="C2420" s="1" t="s">
        <v>3326</v>
      </c>
      <c r="D2420" s="1">
        <v>499224.26</v>
      </c>
      <c r="E2420" s="1">
        <v>26479.53</v>
      </c>
      <c r="F2420" s="41">
        <v>44217</v>
      </c>
      <c r="G2420" s="41">
        <v>44582</v>
      </c>
      <c r="H2420" s="1" t="s">
        <v>3989</v>
      </c>
      <c r="I2420" s="1" t="s">
        <v>3316</v>
      </c>
      <c r="J2420" t="str">
        <f>IF(ISNA(_xlfn.XLOOKUP(B2420,customer_master!$A$2:$A$1649, customer_master!$A$2:$A$1649)), "Invalid", "Ok")</f>
        <v>Ok</v>
      </c>
      <c r="K2420" t="str">
        <f>IF(ISNA(_xlfn.XLOOKUP(H2420,agent_info!$A$2:$A$301, agent_info!$A$2:$A$301)), "Invalid", "Ok")</f>
        <v>Ok</v>
      </c>
    </row>
    <row r="2421" spans="1:11" x14ac:dyDescent="0.3">
      <c r="A2421" s="1" t="s">
        <v>6040</v>
      </c>
      <c r="B2421" s="1" t="s">
        <v>660</v>
      </c>
      <c r="C2421" s="1" t="s">
        <v>3314</v>
      </c>
      <c r="D2421" s="1">
        <v>478601.79</v>
      </c>
      <c r="E2421" s="1">
        <v>23617.55</v>
      </c>
      <c r="F2421" s="41">
        <v>44443</v>
      </c>
      <c r="G2421" s="41">
        <v>44808</v>
      </c>
      <c r="H2421" s="1" t="s">
        <v>3984</v>
      </c>
      <c r="I2421" s="1" t="s">
        <v>3324</v>
      </c>
      <c r="J2421" t="str">
        <f>IF(ISNA(_xlfn.XLOOKUP(B2421,customer_master!$A$2:$A$1649, customer_master!$A$2:$A$1649)), "Invalid", "Ok")</f>
        <v>Ok</v>
      </c>
      <c r="K2421" t="str">
        <f>IF(ISNA(_xlfn.XLOOKUP(H2421,agent_info!$A$2:$A$301, agent_info!$A$2:$A$301)), "Invalid", "Ok")</f>
        <v>Ok</v>
      </c>
    </row>
    <row r="2422" spans="1:11" x14ac:dyDescent="0.3">
      <c r="A2422" s="1" t="s">
        <v>6041</v>
      </c>
      <c r="B2422" s="1" t="s">
        <v>1004</v>
      </c>
      <c r="C2422" s="1" t="s">
        <v>3331</v>
      </c>
      <c r="D2422" s="1">
        <v>698092.98</v>
      </c>
      <c r="E2422" s="1">
        <v>36544.089999999997</v>
      </c>
      <c r="F2422" s="41">
        <v>44151</v>
      </c>
      <c r="G2422" s="41">
        <v>44516</v>
      </c>
      <c r="H2422" s="1" t="s">
        <v>3369</v>
      </c>
      <c r="I2422" s="1" t="s">
        <v>3324</v>
      </c>
      <c r="J2422" t="str">
        <f>IF(ISNA(_xlfn.XLOOKUP(B2422,customer_master!$A$2:$A$1649, customer_master!$A$2:$A$1649)), "Invalid", "Ok")</f>
        <v>Ok</v>
      </c>
      <c r="K2422" t="str">
        <f>IF(ISNA(_xlfn.XLOOKUP(H2422,agent_info!$A$2:$A$301, agent_info!$A$2:$A$301)), "Invalid", "Ok")</f>
        <v>Ok</v>
      </c>
    </row>
    <row r="2423" spans="1:11" x14ac:dyDescent="0.3">
      <c r="A2423" s="1" t="s">
        <v>6042</v>
      </c>
      <c r="B2423" s="1" t="s">
        <v>853</v>
      </c>
      <c r="C2423" s="1" t="s">
        <v>3326</v>
      </c>
      <c r="D2423" s="1">
        <v>671228.95</v>
      </c>
      <c r="E2423" s="1">
        <v>33183.22</v>
      </c>
      <c r="F2423" s="41">
        <v>45197</v>
      </c>
      <c r="G2423" s="41">
        <v>45563</v>
      </c>
      <c r="H2423" s="1" t="s">
        <v>3815</v>
      </c>
      <c r="I2423" s="1" t="s">
        <v>3324</v>
      </c>
      <c r="J2423" t="str">
        <f>IF(ISNA(_xlfn.XLOOKUP(B2423,customer_master!$A$2:$A$1649, customer_master!$A$2:$A$1649)), "Invalid", "Ok")</f>
        <v>Ok</v>
      </c>
      <c r="K2423" t="str">
        <f>IF(ISNA(_xlfn.XLOOKUP(H2423,agent_info!$A$2:$A$301, agent_info!$A$2:$A$301)), "Invalid", "Ok")</f>
        <v>Ok</v>
      </c>
    </row>
    <row r="2424" spans="1:11" x14ac:dyDescent="0.3">
      <c r="A2424" s="1" t="s">
        <v>6043</v>
      </c>
      <c r="B2424" s="1" t="s">
        <v>1871</v>
      </c>
      <c r="C2424" s="1" t="s">
        <v>3331</v>
      </c>
      <c r="D2424" s="1">
        <v>444176.69</v>
      </c>
      <c r="E2424" s="1">
        <v>22381.01</v>
      </c>
      <c r="F2424" s="41">
        <v>45363</v>
      </c>
      <c r="G2424" s="41">
        <v>45728</v>
      </c>
      <c r="H2424" s="1" t="s">
        <v>3445</v>
      </c>
      <c r="I2424" s="1" t="s">
        <v>3324</v>
      </c>
      <c r="J2424" t="str">
        <f>IF(ISNA(_xlfn.XLOOKUP(B2424,customer_master!$A$2:$A$1649, customer_master!$A$2:$A$1649)), "Invalid", "Ok")</f>
        <v>Ok</v>
      </c>
      <c r="K2424" t="str">
        <f>IF(ISNA(_xlfn.XLOOKUP(H2424,agent_info!$A$2:$A$301, agent_info!$A$2:$A$301)), "Invalid", "Ok")</f>
        <v>Ok</v>
      </c>
    </row>
    <row r="2425" spans="1:11" x14ac:dyDescent="0.3">
      <c r="A2425" s="1" t="s">
        <v>6044</v>
      </c>
      <c r="B2425" s="1" t="s">
        <v>1039</v>
      </c>
      <c r="C2425" s="1" t="s">
        <v>3314</v>
      </c>
      <c r="D2425" s="1">
        <v>545379.75</v>
      </c>
      <c r="E2425" s="1">
        <v>28761.05</v>
      </c>
      <c r="F2425" s="41">
        <v>44720</v>
      </c>
      <c r="G2425" s="41">
        <v>45085</v>
      </c>
      <c r="H2425" s="1" t="s">
        <v>4524</v>
      </c>
      <c r="I2425" s="1" t="s">
        <v>3324</v>
      </c>
      <c r="J2425" t="str">
        <f>IF(ISNA(_xlfn.XLOOKUP(B2425,customer_master!$A$2:$A$1649, customer_master!$A$2:$A$1649)), "Invalid", "Ok")</f>
        <v>Ok</v>
      </c>
      <c r="K2425" t="str">
        <f>IF(ISNA(_xlfn.XLOOKUP(H2425,agent_info!$A$2:$A$301, agent_info!$A$2:$A$301)), "Invalid", "Ok")</f>
        <v>Ok</v>
      </c>
    </row>
    <row r="2426" spans="1:11" x14ac:dyDescent="0.3">
      <c r="A2426" s="1" t="s">
        <v>6045</v>
      </c>
      <c r="B2426" s="1" t="s">
        <v>2440</v>
      </c>
      <c r="C2426" s="1" t="s">
        <v>3318</v>
      </c>
      <c r="D2426" s="1">
        <v>738172.38</v>
      </c>
      <c r="E2426" s="1">
        <v>34975.74</v>
      </c>
      <c r="F2426" s="41">
        <v>45889</v>
      </c>
      <c r="G2426" s="41">
        <v>46254</v>
      </c>
      <c r="H2426" s="1" t="s">
        <v>5396</v>
      </c>
      <c r="I2426" s="1" t="s">
        <v>3316</v>
      </c>
      <c r="J2426" t="str">
        <f>IF(ISNA(_xlfn.XLOOKUP(B2426,customer_master!$A$2:$A$1649, customer_master!$A$2:$A$1649)), "Invalid", "Ok")</f>
        <v>Ok</v>
      </c>
      <c r="K2426" t="str">
        <f>IF(ISNA(_xlfn.XLOOKUP(H2426,agent_info!$A$2:$A$301, agent_info!$A$2:$A$301)), "Invalid", "Ok")</f>
        <v>Ok</v>
      </c>
    </row>
    <row r="2427" spans="1:11" x14ac:dyDescent="0.3">
      <c r="A2427" s="1" t="s">
        <v>6046</v>
      </c>
      <c r="B2427" s="1" t="s">
        <v>1899</v>
      </c>
      <c r="C2427" s="1" t="s">
        <v>3314</v>
      </c>
      <c r="D2427" s="1">
        <v>637979.43999999994</v>
      </c>
      <c r="E2427" s="1">
        <v>34352.06</v>
      </c>
      <c r="F2427" s="41">
        <v>45491</v>
      </c>
      <c r="G2427" s="41">
        <v>45856</v>
      </c>
      <c r="H2427" s="1" t="s">
        <v>3485</v>
      </c>
      <c r="I2427" s="1" t="s">
        <v>3324</v>
      </c>
      <c r="J2427" t="str">
        <f>IF(ISNA(_xlfn.XLOOKUP(B2427,customer_master!$A$2:$A$1649, customer_master!$A$2:$A$1649)), "Invalid", "Ok")</f>
        <v>Ok</v>
      </c>
      <c r="K2427" t="str">
        <f>IF(ISNA(_xlfn.XLOOKUP(H2427,agent_info!$A$2:$A$301, agent_info!$A$2:$A$301)), "Invalid", "Ok")</f>
        <v>Ok</v>
      </c>
    </row>
    <row r="2428" spans="1:11" x14ac:dyDescent="0.3">
      <c r="A2428" s="1" t="s">
        <v>6047</v>
      </c>
      <c r="B2428" s="1" t="s">
        <v>1785</v>
      </c>
      <c r="C2428" s="1" t="s">
        <v>3314</v>
      </c>
      <c r="D2428" s="1">
        <v>719217.29</v>
      </c>
      <c r="E2428" s="1">
        <v>37516.519999999997</v>
      </c>
      <c r="F2428" s="41">
        <v>46192</v>
      </c>
      <c r="G2428" s="41">
        <v>46557</v>
      </c>
      <c r="H2428" s="1" t="s">
        <v>3337</v>
      </c>
      <c r="I2428" s="1" t="s">
        <v>3324</v>
      </c>
      <c r="J2428" t="str">
        <f>IF(ISNA(_xlfn.XLOOKUP(B2428,customer_master!$A$2:$A$1649, customer_master!$A$2:$A$1649)), "Invalid", "Ok")</f>
        <v>Ok</v>
      </c>
      <c r="K2428" t="str">
        <f>IF(ISNA(_xlfn.XLOOKUP(H2428,agent_info!$A$2:$A$301, agent_info!$A$2:$A$301)), "Invalid", "Ok")</f>
        <v>Ok</v>
      </c>
    </row>
    <row r="2429" spans="1:11" x14ac:dyDescent="0.3">
      <c r="A2429" s="1" t="s">
        <v>6048</v>
      </c>
      <c r="B2429" s="1" t="s">
        <v>3158</v>
      </c>
      <c r="C2429" s="1" t="s">
        <v>3314</v>
      </c>
      <c r="D2429" s="1">
        <v>522712.09</v>
      </c>
      <c r="E2429" s="1">
        <v>27424.3</v>
      </c>
      <c r="F2429" s="41">
        <v>44849</v>
      </c>
      <c r="G2429" s="41">
        <v>45214</v>
      </c>
      <c r="H2429" s="1" t="s">
        <v>3347</v>
      </c>
      <c r="I2429" s="1" t="s">
        <v>3324</v>
      </c>
      <c r="J2429" t="str">
        <f>IF(ISNA(_xlfn.XLOOKUP(B2429,customer_master!$A$2:$A$1649, customer_master!$A$2:$A$1649)), "Invalid", "Ok")</f>
        <v>Ok</v>
      </c>
      <c r="K2429" t="str">
        <f>IF(ISNA(_xlfn.XLOOKUP(H2429,agent_info!$A$2:$A$301, agent_info!$A$2:$A$301)), "Invalid", "Ok")</f>
        <v>Ok</v>
      </c>
    </row>
    <row r="2430" spans="1:11" x14ac:dyDescent="0.3">
      <c r="A2430" s="1" t="s">
        <v>6049</v>
      </c>
      <c r="B2430" s="1" t="s">
        <v>1087</v>
      </c>
      <c r="C2430" s="1" t="s">
        <v>3314</v>
      </c>
      <c r="D2430" s="1">
        <v>465735.41</v>
      </c>
      <c r="E2430" s="1">
        <v>22067.3</v>
      </c>
      <c r="F2430" s="41">
        <v>44142</v>
      </c>
      <c r="G2430" s="41">
        <v>44507</v>
      </c>
      <c r="H2430" s="1" t="s">
        <v>3389</v>
      </c>
      <c r="I2430" s="1" t="s">
        <v>3324</v>
      </c>
      <c r="J2430" t="str">
        <f>IF(ISNA(_xlfn.XLOOKUP(B2430,customer_master!$A$2:$A$1649, customer_master!$A$2:$A$1649)), "Invalid", "Ok")</f>
        <v>Ok</v>
      </c>
      <c r="K2430" t="str">
        <f>IF(ISNA(_xlfn.XLOOKUP(H2430,agent_info!$A$2:$A$301, agent_info!$A$2:$A$301)), "Invalid", "Ok")</f>
        <v>Ok</v>
      </c>
    </row>
    <row r="2431" spans="1:11" x14ac:dyDescent="0.3">
      <c r="A2431" s="1" t="s">
        <v>6050</v>
      </c>
      <c r="B2431" s="1" t="s">
        <v>2139</v>
      </c>
      <c r="C2431" s="1" t="s">
        <v>3326</v>
      </c>
      <c r="D2431" s="1">
        <v>591956.31000000006</v>
      </c>
      <c r="E2431" s="1">
        <v>27171.55</v>
      </c>
      <c r="F2431" s="41">
        <v>44471</v>
      </c>
      <c r="G2431" s="41">
        <v>44836</v>
      </c>
      <c r="H2431" s="1" t="s">
        <v>4132</v>
      </c>
      <c r="I2431" s="1" t="s">
        <v>3324</v>
      </c>
      <c r="J2431" t="str">
        <f>IF(ISNA(_xlfn.XLOOKUP(B2431,customer_master!$A$2:$A$1649, customer_master!$A$2:$A$1649)), "Invalid", "Ok")</f>
        <v>Ok</v>
      </c>
      <c r="K2431" t="str">
        <f>IF(ISNA(_xlfn.XLOOKUP(H2431,agent_info!$A$2:$A$301, agent_info!$A$2:$A$301)), "Invalid", "Ok")</f>
        <v>Ok</v>
      </c>
    </row>
    <row r="2432" spans="1:11" x14ac:dyDescent="0.3">
      <c r="A2432" s="1" t="s">
        <v>6051</v>
      </c>
      <c r="B2432" s="1" t="s">
        <v>11</v>
      </c>
      <c r="C2432" s="1" t="s">
        <v>3314</v>
      </c>
      <c r="D2432" s="1">
        <v>398099.22</v>
      </c>
      <c r="E2432" s="1">
        <v>18204.509999999998</v>
      </c>
      <c r="F2432" s="41">
        <v>44784</v>
      </c>
      <c r="G2432" s="41">
        <v>45149</v>
      </c>
      <c r="H2432" s="1" t="s">
        <v>3637</v>
      </c>
      <c r="I2432" s="1" t="s">
        <v>3324</v>
      </c>
      <c r="J2432" t="str">
        <f>IF(ISNA(_xlfn.XLOOKUP(B2432,customer_master!$A$2:$A$1649, customer_master!$A$2:$A$1649)), "Invalid", "Ok")</f>
        <v>Ok</v>
      </c>
      <c r="K2432" t="str">
        <f>IF(ISNA(_xlfn.XLOOKUP(H2432,agent_info!$A$2:$A$301, agent_info!$A$2:$A$301)), "Invalid", "Ok")</f>
        <v>Ok</v>
      </c>
    </row>
    <row r="2433" spans="1:11" x14ac:dyDescent="0.3">
      <c r="A2433" s="1" t="s">
        <v>6052</v>
      </c>
      <c r="B2433" s="1" t="s">
        <v>2458</v>
      </c>
      <c r="C2433" s="1" t="s">
        <v>3331</v>
      </c>
      <c r="D2433" s="1">
        <v>701922.57</v>
      </c>
      <c r="E2433" s="1">
        <v>36128.07</v>
      </c>
      <c r="F2433" s="41">
        <v>45810</v>
      </c>
      <c r="G2433" s="41">
        <v>46175</v>
      </c>
      <c r="H2433" s="1" t="s">
        <v>3813</v>
      </c>
      <c r="I2433" s="1" t="s">
        <v>3316</v>
      </c>
      <c r="J2433" t="str">
        <f>IF(ISNA(_xlfn.XLOOKUP(B2433,customer_master!$A$2:$A$1649, customer_master!$A$2:$A$1649)), "Invalid", "Ok")</f>
        <v>Ok</v>
      </c>
      <c r="K2433" t="str">
        <f>IF(ISNA(_xlfn.XLOOKUP(H2433,agent_info!$A$2:$A$301, agent_info!$A$2:$A$301)), "Invalid", "Ok")</f>
        <v>Ok</v>
      </c>
    </row>
    <row r="2434" spans="1:11" x14ac:dyDescent="0.3">
      <c r="A2434" s="1" t="s">
        <v>6053</v>
      </c>
      <c r="B2434" s="1" t="s">
        <v>1688</v>
      </c>
      <c r="C2434" s="1" t="s">
        <v>3331</v>
      </c>
      <c r="D2434" s="1">
        <v>669470.38</v>
      </c>
      <c r="E2434" s="1">
        <v>31130.39</v>
      </c>
      <c r="F2434" s="41">
        <v>44861</v>
      </c>
      <c r="G2434" s="41">
        <v>45226</v>
      </c>
      <c r="H2434" s="1" t="s">
        <v>3788</v>
      </c>
      <c r="I2434" s="1" t="s">
        <v>3316</v>
      </c>
      <c r="J2434" t="str">
        <f>IF(ISNA(_xlfn.XLOOKUP(B2434,customer_master!$A$2:$A$1649, customer_master!$A$2:$A$1649)), "Invalid", "Ok")</f>
        <v>Ok</v>
      </c>
      <c r="K2434" t="str">
        <f>IF(ISNA(_xlfn.XLOOKUP(H2434,agent_info!$A$2:$A$301, agent_info!$A$2:$A$301)), "Invalid", "Ok")</f>
        <v>Ok</v>
      </c>
    </row>
    <row r="2435" spans="1:11" x14ac:dyDescent="0.3">
      <c r="A2435" s="1" t="s">
        <v>6054</v>
      </c>
      <c r="B2435" s="1" t="s">
        <v>743</v>
      </c>
      <c r="C2435" s="1" t="s">
        <v>3318</v>
      </c>
      <c r="D2435" s="1">
        <v>493254.71</v>
      </c>
      <c r="E2435" s="1">
        <v>27125.02</v>
      </c>
      <c r="F2435" s="41">
        <v>44236</v>
      </c>
      <c r="G2435" s="41">
        <v>44601</v>
      </c>
      <c r="H2435" s="1" t="s">
        <v>3538</v>
      </c>
      <c r="I2435" s="1" t="s">
        <v>3324</v>
      </c>
      <c r="J2435" t="str">
        <f>IF(ISNA(_xlfn.XLOOKUP(B2435,customer_master!$A$2:$A$1649, customer_master!$A$2:$A$1649)), "Invalid", "Ok")</f>
        <v>Ok</v>
      </c>
      <c r="K2435" t="str">
        <f>IF(ISNA(_xlfn.XLOOKUP(H2435,agent_info!$A$2:$A$301, agent_info!$A$2:$A$301)), "Invalid", "Ok")</f>
        <v>Ok</v>
      </c>
    </row>
    <row r="2436" spans="1:11" x14ac:dyDescent="0.3">
      <c r="A2436" s="1" t="s">
        <v>6055</v>
      </c>
      <c r="B2436" s="1" t="s">
        <v>31</v>
      </c>
      <c r="C2436" s="1" t="s">
        <v>3334</v>
      </c>
      <c r="D2436" s="1">
        <v>577003.93999999994</v>
      </c>
      <c r="E2436" s="1">
        <v>31510.46</v>
      </c>
      <c r="F2436" s="41">
        <v>45517</v>
      </c>
      <c r="G2436" s="41">
        <v>45882</v>
      </c>
      <c r="H2436" s="1" t="s">
        <v>4282</v>
      </c>
      <c r="I2436" s="1" t="s">
        <v>3324</v>
      </c>
      <c r="J2436" t="str">
        <f>IF(ISNA(_xlfn.XLOOKUP(B2436,customer_master!$A$2:$A$1649, customer_master!$A$2:$A$1649)), "Invalid", "Ok")</f>
        <v>Ok</v>
      </c>
      <c r="K2436" t="str">
        <f>IF(ISNA(_xlfn.XLOOKUP(H2436,agent_info!$A$2:$A$301, agent_info!$A$2:$A$301)), "Invalid", "Ok")</f>
        <v>Ok</v>
      </c>
    </row>
    <row r="2437" spans="1:11" x14ac:dyDescent="0.3">
      <c r="A2437" s="1" t="s">
        <v>6056</v>
      </c>
      <c r="B2437" s="1" t="s">
        <v>2362</v>
      </c>
      <c r="C2437" s="1" t="s">
        <v>3314</v>
      </c>
      <c r="D2437" s="1">
        <v>692689.65</v>
      </c>
      <c r="E2437" s="1">
        <v>31373.14</v>
      </c>
      <c r="F2437" s="41">
        <v>44892</v>
      </c>
      <c r="G2437" s="41">
        <v>45257</v>
      </c>
      <c r="H2437" s="1" t="s">
        <v>3589</v>
      </c>
      <c r="I2437" s="1" t="s">
        <v>3324</v>
      </c>
      <c r="J2437" t="str">
        <f>IF(ISNA(_xlfn.XLOOKUP(B2437,customer_master!$A$2:$A$1649, customer_master!$A$2:$A$1649)), "Invalid", "Ok")</f>
        <v>Ok</v>
      </c>
      <c r="K2437" t="str">
        <f>IF(ISNA(_xlfn.XLOOKUP(H2437,agent_info!$A$2:$A$301, agent_info!$A$2:$A$301)), "Invalid", "Ok")</f>
        <v>Ok</v>
      </c>
    </row>
    <row r="2438" spans="1:11" x14ac:dyDescent="0.3">
      <c r="A2438" s="1" t="s">
        <v>6057</v>
      </c>
      <c r="B2438" s="1" t="s">
        <v>2212</v>
      </c>
      <c r="C2438" s="1" t="s">
        <v>3318</v>
      </c>
      <c r="D2438" s="1">
        <v>731396.1</v>
      </c>
      <c r="E2438" s="1">
        <v>38215.870000000003</v>
      </c>
      <c r="F2438" s="41">
        <v>45785</v>
      </c>
      <c r="G2438" s="41">
        <v>46150</v>
      </c>
      <c r="H2438" s="1" t="s">
        <v>3686</v>
      </c>
      <c r="I2438" s="1" t="s">
        <v>3324</v>
      </c>
      <c r="J2438" t="str">
        <f>IF(ISNA(_xlfn.XLOOKUP(B2438,customer_master!$A$2:$A$1649, customer_master!$A$2:$A$1649)), "Invalid", "Ok")</f>
        <v>Ok</v>
      </c>
      <c r="K2438" t="str">
        <f>IF(ISNA(_xlfn.XLOOKUP(H2438,agent_info!$A$2:$A$301, agent_info!$A$2:$A$301)), "Invalid", "Ok")</f>
        <v>Ok</v>
      </c>
    </row>
    <row r="2439" spans="1:11" x14ac:dyDescent="0.3">
      <c r="A2439" s="1" t="s">
        <v>6058</v>
      </c>
      <c r="B2439" s="1" t="s">
        <v>2222</v>
      </c>
      <c r="C2439" s="1" t="s">
        <v>3331</v>
      </c>
      <c r="D2439" s="1">
        <v>515849.23</v>
      </c>
      <c r="E2439" s="1">
        <v>24558.41</v>
      </c>
      <c r="F2439" s="41">
        <v>44345</v>
      </c>
      <c r="G2439" s="41">
        <v>44710</v>
      </c>
      <c r="H2439" s="1" t="s">
        <v>3770</v>
      </c>
      <c r="I2439" s="1" t="s">
        <v>3316</v>
      </c>
      <c r="J2439" t="str">
        <f>IF(ISNA(_xlfn.XLOOKUP(B2439,customer_master!$A$2:$A$1649, customer_master!$A$2:$A$1649)), "Invalid", "Ok")</f>
        <v>Ok</v>
      </c>
      <c r="K2439" t="str">
        <f>IF(ISNA(_xlfn.XLOOKUP(H2439,agent_info!$A$2:$A$301, agent_info!$A$2:$A$301)), "Invalid", "Ok")</f>
        <v>Ok</v>
      </c>
    </row>
    <row r="2440" spans="1:11" x14ac:dyDescent="0.3">
      <c r="A2440" s="1" t="s">
        <v>6059</v>
      </c>
      <c r="B2440" s="1" t="s">
        <v>1459</v>
      </c>
      <c r="C2440" s="1" t="s">
        <v>3331</v>
      </c>
      <c r="D2440" s="1">
        <v>682881.88</v>
      </c>
      <c r="E2440" s="1">
        <v>33057.629999999997</v>
      </c>
      <c r="F2440" s="41">
        <v>44775</v>
      </c>
      <c r="G2440" s="41">
        <v>45140</v>
      </c>
      <c r="H2440" s="1" t="s">
        <v>3660</v>
      </c>
      <c r="I2440" s="1" t="s">
        <v>3324</v>
      </c>
      <c r="J2440" t="str">
        <f>IF(ISNA(_xlfn.XLOOKUP(B2440,customer_master!$A$2:$A$1649, customer_master!$A$2:$A$1649)), "Invalid", "Ok")</f>
        <v>Ok</v>
      </c>
      <c r="K2440" t="str">
        <f>IF(ISNA(_xlfn.XLOOKUP(H2440,agent_info!$A$2:$A$301, agent_info!$A$2:$A$301)), "Invalid", "Ok")</f>
        <v>Ok</v>
      </c>
    </row>
    <row r="2441" spans="1:11" x14ac:dyDescent="0.3">
      <c r="A2441" s="1" t="s">
        <v>6060</v>
      </c>
      <c r="B2441" s="1" t="s">
        <v>2148</v>
      </c>
      <c r="C2441" s="1" t="s">
        <v>3314</v>
      </c>
      <c r="D2441" s="1">
        <v>459869.83</v>
      </c>
      <c r="E2441" s="1">
        <v>21799.26</v>
      </c>
      <c r="F2441" s="41">
        <v>44100</v>
      </c>
      <c r="G2441" s="41">
        <v>44465</v>
      </c>
      <c r="H2441" s="1" t="s">
        <v>4122</v>
      </c>
      <c r="I2441" s="1" t="s">
        <v>3324</v>
      </c>
      <c r="J2441" t="str">
        <f>IF(ISNA(_xlfn.XLOOKUP(B2441,customer_master!$A$2:$A$1649, customer_master!$A$2:$A$1649)), "Invalid", "Ok")</f>
        <v>Ok</v>
      </c>
      <c r="K2441" t="str">
        <f>IF(ISNA(_xlfn.XLOOKUP(H2441,agent_info!$A$2:$A$301, agent_info!$A$2:$A$301)), "Invalid", "Ok")</f>
        <v>Ok</v>
      </c>
    </row>
    <row r="2442" spans="1:11" x14ac:dyDescent="0.3">
      <c r="A2442" s="1" t="s">
        <v>6061</v>
      </c>
      <c r="B2442" s="1" t="s">
        <v>1909</v>
      </c>
      <c r="C2442" s="1" t="s">
        <v>3331</v>
      </c>
      <c r="D2442" s="1">
        <v>726200.56</v>
      </c>
      <c r="E2442" s="1">
        <v>38710.449999999997</v>
      </c>
      <c r="F2442" s="41">
        <v>44797</v>
      </c>
      <c r="G2442" s="41">
        <v>45162</v>
      </c>
      <c r="H2442" s="1" t="s">
        <v>3457</v>
      </c>
      <c r="I2442" s="1" t="s">
        <v>3316</v>
      </c>
      <c r="J2442" t="str">
        <f>IF(ISNA(_xlfn.XLOOKUP(B2442,customer_master!$A$2:$A$1649, customer_master!$A$2:$A$1649)), "Invalid", "Ok")</f>
        <v>Ok</v>
      </c>
      <c r="K2442" t="str">
        <f>IF(ISNA(_xlfn.XLOOKUP(H2442,agent_info!$A$2:$A$301, agent_info!$A$2:$A$301)), "Invalid", "Ok")</f>
        <v>Ok</v>
      </c>
    </row>
    <row r="2443" spans="1:11" x14ac:dyDescent="0.3">
      <c r="A2443" s="1" t="s">
        <v>6062</v>
      </c>
      <c r="B2443" s="1" t="s">
        <v>831</v>
      </c>
      <c r="C2443" s="1" t="s">
        <v>3331</v>
      </c>
      <c r="D2443" s="1">
        <v>643304.38</v>
      </c>
      <c r="E2443" s="1">
        <v>34698.239999999998</v>
      </c>
      <c r="F2443" s="41">
        <v>45097</v>
      </c>
      <c r="G2443" s="41">
        <v>45463</v>
      </c>
      <c r="H2443" s="1" t="s">
        <v>3880</v>
      </c>
      <c r="I2443" s="1" t="s">
        <v>3324</v>
      </c>
      <c r="J2443" t="str">
        <f>IF(ISNA(_xlfn.XLOOKUP(B2443,customer_master!$A$2:$A$1649, customer_master!$A$2:$A$1649)), "Invalid", "Ok")</f>
        <v>Ok</v>
      </c>
      <c r="K2443" t="str">
        <f>IF(ISNA(_xlfn.XLOOKUP(H2443,agent_info!$A$2:$A$301, agent_info!$A$2:$A$301)), "Invalid", "Ok")</f>
        <v>Ok</v>
      </c>
    </row>
    <row r="2444" spans="1:11" x14ac:dyDescent="0.3">
      <c r="A2444" s="1" t="s">
        <v>6063</v>
      </c>
      <c r="B2444" s="1" t="s">
        <v>1739</v>
      </c>
      <c r="C2444" s="1" t="s">
        <v>3314</v>
      </c>
      <c r="D2444" s="1">
        <v>443804.64</v>
      </c>
      <c r="E2444" s="1">
        <v>20150.509999999998</v>
      </c>
      <c r="F2444" s="41">
        <v>45820</v>
      </c>
      <c r="G2444" s="41">
        <v>46185</v>
      </c>
      <c r="H2444" s="1" t="s">
        <v>3518</v>
      </c>
      <c r="I2444" s="1" t="s">
        <v>3316</v>
      </c>
      <c r="J2444" t="str">
        <f>IF(ISNA(_xlfn.XLOOKUP(B2444,customer_master!$A$2:$A$1649, customer_master!$A$2:$A$1649)), "Invalid", "Ok")</f>
        <v>Ok</v>
      </c>
      <c r="K2444" t="str">
        <f>IF(ISNA(_xlfn.XLOOKUP(H2444,agent_info!$A$2:$A$301, agent_info!$A$2:$A$301)), "Invalid", "Ok")</f>
        <v>Ok</v>
      </c>
    </row>
    <row r="2445" spans="1:11" x14ac:dyDescent="0.3">
      <c r="A2445" s="1" t="s">
        <v>6064</v>
      </c>
      <c r="B2445" s="1" t="s">
        <v>1729</v>
      </c>
      <c r="C2445" s="1" t="s">
        <v>3326</v>
      </c>
      <c r="D2445" s="1">
        <v>608940.12</v>
      </c>
      <c r="E2445" s="1">
        <v>29046.68</v>
      </c>
      <c r="F2445" s="41">
        <v>46047</v>
      </c>
      <c r="G2445" s="41">
        <v>46412</v>
      </c>
      <c r="H2445" s="1" t="s">
        <v>3598</v>
      </c>
      <c r="I2445" s="1" t="s">
        <v>3324</v>
      </c>
      <c r="J2445" t="str">
        <f>IF(ISNA(_xlfn.XLOOKUP(B2445,customer_master!$A$2:$A$1649, customer_master!$A$2:$A$1649)), "Invalid", "Ok")</f>
        <v>Ok</v>
      </c>
      <c r="K2445" t="str">
        <f>IF(ISNA(_xlfn.XLOOKUP(H2445,agent_info!$A$2:$A$301, agent_info!$A$2:$A$301)), "Invalid", "Ok")</f>
        <v>Ok</v>
      </c>
    </row>
    <row r="2446" spans="1:11" x14ac:dyDescent="0.3">
      <c r="A2446" s="1" t="s">
        <v>6065</v>
      </c>
      <c r="B2446" s="1" t="s">
        <v>2732</v>
      </c>
      <c r="C2446" s="1" t="s">
        <v>3331</v>
      </c>
      <c r="D2446" s="1">
        <v>657728</v>
      </c>
      <c r="E2446" s="1">
        <v>32548.98</v>
      </c>
      <c r="F2446" s="41">
        <v>45308</v>
      </c>
      <c r="G2446" s="41">
        <v>45674</v>
      </c>
      <c r="H2446" s="1" t="s">
        <v>4545</v>
      </c>
      <c r="I2446" s="1" t="s">
        <v>3316</v>
      </c>
      <c r="J2446" t="str">
        <f>IF(ISNA(_xlfn.XLOOKUP(B2446,customer_master!$A$2:$A$1649, customer_master!$A$2:$A$1649)), "Invalid", "Ok")</f>
        <v>Ok</v>
      </c>
      <c r="K2446" t="str">
        <f>IF(ISNA(_xlfn.XLOOKUP(H2446,agent_info!$A$2:$A$301, agent_info!$A$2:$A$301)), "Invalid", "Ok")</f>
        <v>Ok</v>
      </c>
    </row>
    <row r="2447" spans="1:11" x14ac:dyDescent="0.3">
      <c r="A2447" s="1" t="s">
        <v>6066</v>
      </c>
      <c r="B2447" s="1" t="s">
        <v>1457</v>
      </c>
      <c r="C2447" s="1" t="s">
        <v>3318</v>
      </c>
      <c r="D2447" s="1">
        <v>658588.43999999994</v>
      </c>
      <c r="E2447" s="1">
        <v>33073.14</v>
      </c>
      <c r="F2447" s="41">
        <v>44922</v>
      </c>
      <c r="G2447" s="41">
        <v>45287</v>
      </c>
      <c r="H2447" s="1" t="s">
        <v>4179</v>
      </c>
      <c r="I2447" s="1" t="s">
        <v>3316</v>
      </c>
      <c r="J2447" t="str">
        <f>IF(ISNA(_xlfn.XLOOKUP(B2447,customer_master!$A$2:$A$1649, customer_master!$A$2:$A$1649)), "Invalid", "Ok")</f>
        <v>Ok</v>
      </c>
      <c r="K2447" t="str">
        <f>IF(ISNA(_xlfn.XLOOKUP(H2447,agent_info!$A$2:$A$301, agent_info!$A$2:$A$301)), "Invalid", "Ok")</f>
        <v>Ok</v>
      </c>
    </row>
    <row r="2448" spans="1:11" x14ac:dyDescent="0.3">
      <c r="A2448" s="1" t="s">
        <v>6067</v>
      </c>
      <c r="B2448" s="1" t="s">
        <v>1457</v>
      </c>
      <c r="C2448" s="1" t="s">
        <v>3331</v>
      </c>
      <c r="D2448" s="1">
        <v>513070.73</v>
      </c>
      <c r="E2448" s="1">
        <v>23537.87</v>
      </c>
      <c r="F2448" s="41">
        <v>45396</v>
      </c>
      <c r="G2448" s="41">
        <v>45761</v>
      </c>
      <c r="H2448" s="1" t="s">
        <v>3431</v>
      </c>
      <c r="I2448" s="1" t="s">
        <v>3324</v>
      </c>
      <c r="J2448" t="str">
        <f>IF(ISNA(_xlfn.XLOOKUP(B2448,customer_master!$A$2:$A$1649, customer_master!$A$2:$A$1649)), "Invalid", "Ok")</f>
        <v>Ok</v>
      </c>
      <c r="K2448" t="str">
        <f>IF(ISNA(_xlfn.XLOOKUP(H2448,agent_info!$A$2:$A$301, agent_info!$A$2:$A$301)), "Invalid", "Ok")</f>
        <v>Ok</v>
      </c>
    </row>
    <row r="2449" spans="1:11" x14ac:dyDescent="0.3">
      <c r="A2449" s="1" t="s">
        <v>6068</v>
      </c>
      <c r="B2449" s="1" t="s">
        <v>3265</v>
      </c>
      <c r="C2449" s="1" t="s">
        <v>3334</v>
      </c>
      <c r="D2449" s="1">
        <v>669823.1</v>
      </c>
      <c r="E2449" s="1">
        <v>35701.760000000002</v>
      </c>
      <c r="F2449" s="41">
        <v>45232</v>
      </c>
      <c r="G2449" s="41">
        <v>45598</v>
      </c>
      <c r="H2449" s="1" t="s">
        <v>3807</v>
      </c>
      <c r="I2449" s="1" t="s">
        <v>3320</v>
      </c>
      <c r="J2449" t="str">
        <f>IF(ISNA(_xlfn.XLOOKUP(B2449,customer_master!$A$2:$A$1649, customer_master!$A$2:$A$1649)), "Invalid", "Ok")</f>
        <v>Ok</v>
      </c>
      <c r="K2449" t="str">
        <f>IF(ISNA(_xlfn.XLOOKUP(H2449,agent_info!$A$2:$A$301, agent_info!$A$2:$A$301)), "Invalid", "Ok")</f>
        <v>Ok</v>
      </c>
    </row>
    <row r="2450" spans="1:11" x14ac:dyDescent="0.3">
      <c r="A2450" s="1" t="s">
        <v>6069</v>
      </c>
      <c r="B2450" s="1" t="s">
        <v>2973</v>
      </c>
      <c r="C2450" s="1" t="s">
        <v>3318</v>
      </c>
      <c r="D2450" s="1">
        <v>690443.48</v>
      </c>
      <c r="E2450" s="1">
        <v>37518.559999999998</v>
      </c>
      <c r="F2450" s="41">
        <v>44302</v>
      </c>
      <c r="G2450" s="41">
        <v>44667</v>
      </c>
      <c r="H2450" s="1" t="s">
        <v>3504</v>
      </c>
      <c r="I2450" s="1" t="s">
        <v>3316</v>
      </c>
      <c r="J2450" t="str">
        <f>IF(ISNA(_xlfn.XLOOKUP(B2450,customer_master!$A$2:$A$1649, customer_master!$A$2:$A$1649)), "Invalid", "Ok")</f>
        <v>Ok</v>
      </c>
      <c r="K2450" t="str">
        <f>IF(ISNA(_xlfn.XLOOKUP(H2450,agent_info!$A$2:$A$301, agent_info!$A$2:$A$301)), "Invalid", "Ok")</f>
        <v>Ok</v>
      </c>
    </row>
    <row r="2451" spans="1:11" x14ac:dyDescent="0.3">
      <c r="A2451" s="1" t="s">
        <v>6070</v>
      </c>
      <c r="B2451" s="1" t="s">
        <v>839</v>
      </c>
      <c r="C2451" s="1" t="s">
        <v>3334</v>
      </c>
      <c r="D2451" s="1">
        <v>518644.63</v>
      </c>
      <c r="E2451" s="1">
        <v>25428.45</v>
      </c>
      <c r="F2451" s="41">
        <v>44686</v>
      </c>
      <c r="G2451" s="41">
        <v>45051</v>
      </c>
      <c r="H2451" s="1" t="s">
        <v>3607</v>
      </c>
      <c r="I2451" s="1" t="s">
        <v>3324</v>
      </c>
      <c r="J2451" t="str">
        <f>IF(ISNA(_xlfn.XLOOKUP(B2451,customer_master!$A$2:$A$1649, customer_master!$A$2:$A$1649)), "Invalid", "Ok")</f>
        <v>Ok</v>
      </c>
      <c r="K2451" t="str">
        <f>IF(ISNA(_xlfn.XLOOKUP(H2451,agent_info!$A$2:$A$301, agent_info!$A$2:$A$301)), "Invalid", "Ok")</f>
        <v>Ok</v>
      </c>
    </row>
    <row r="2452" spans="1:11" x14ac:dyDescent="0.3">
      <c r="A2452" s="1" t="s">
        <v>6071</v>
      </c>
      <c r="B2452" s="1" t="s">
        <v>3025</v>
      </c>
      <c r="C2452" s="1" t="s">
        <v>3326</v>
      </c>
      <c r="D2452" s="1">
        <v>422785.18</v>
      </c>
      <c r="E2452" s="1">
        <v>22649.59</v>
      </c>
      <c r="F2452" s="41">
        <v>45409</v>
      </c>
      <c r="G2452" s="41">
        <v>45774</v>
      </c>
      <c r="H2452" s="1" t="s">
        <v>3443</v>
      </c>
      <c r="I2452" s="1" t="s">
        <v>3324</v>
      </c>
      <c r="J2452" t="str">
        <f>IF(ISNA(_xlfn.XLOOKUP(B2452,customer_master!$A$2:$A$1649, customer_master!$A$2:$A$1649)), "Invalid", "Ok")</f>
        <v>Ok</v>
      </c>
      <c r="K2452" t="str">
        <f>IF(ISNA(_xlfn.XLOOKUP(H2452,agent_info!$A$2:$A$301, agent_info!$A$2:$A$301)), "Invalid", "Ok")</f>
        <v>Ok</v>
      </c>
    </row>
    <row r="2453" spans="1:11" x14ac:dyDescent="0.3">
      <c r="A2453" s="1" t="s">
        <v>6072</v>
      </c>
      <c r="B2453" s="1" t="s">
        <v>489</v>
      </c>
      <c r="C2453" s="1" t="s">
        <v>3318</v>
      </c>
      <c r="D2453" s="1">
        <v>713618.61</v>
      </c>
      <c r="E2453" s="1">
        <v>36939.43</v>
      </c>
      <c r="F2453" s="41">
        <v>46013</v>
      </c>
      <c r="G2453" s="41">
        <v>46378</v>
      </c>
      <c r="H2453" s="1" t="s">
        <v>3367</v>
      </c>
      <c r="I2453" s="1" t="s">
        <v>3324</v>
      </c>
      <c r="J2453" t="str">
        <f>IF(ISNA(_xlfn.XLOOKUP(B2453,customer_master!$A$2:$A$1649, customer_master!$A$2:$A$1649)), "Invalid", "Ok")</f>
        <v>Ok</v>
      </c>
      <c r="K2453" t="str">
        <f>IF(ISNA(_xlfn.XLOOKUP(H2453,agent_info!$A$2:$A$301, agent_info!$A$2:$A$301)), "Invalid", "Ok")</f>
        <v>Ok</v>
      </c>
    </row>
    <row r="2454" spans="1:11" x14ac:dyDescent="0.3">
      <c r="A2454" s="1" t="s">
        <v>6073</v>
      </c>
      <c r="B2454" s="1" t="s">
        <v>2839</v>
      </c>
      <c r="C2454" s="1" t="s">
        <v>3326</v>
      </c>
      <c r="D2454" s="1">
        <v>567242.92000000004</v>
      </c>
      <c r="E2454" s="1">
        <v>28882.560000000001</v>
      </c>
      <c r="F2454" s="41">
        <v>45961</v>
      </c>
      <c r="G2454" s="41">
        <v>46326</v>
      </c>
      <c r="H2454" s="1" t="s">
        <v>3511</v>
      </c>
      <c r="I2454" s="1" t="s">
        <v>3324</v>
      </c>
      <c r="J2454" t="str">
        <f>IF(ISNA(_xlfn.XLOOKUP(B2454,customer_master!$A$2:$A$1649, customer_master!$A$2:$A$1649)), "Invalid", "Ok")</f>
        <v>Ok</v>
      </c>
      <c r="K2454" t="str">
        <f>IF(ISNA(_xlfn.XLOOKUP(H2454,agent_info!$A$2:$A$301, agent_info!$A$2:$A$301)), "Invalid", "Ok")</f>
        <v>Ok</v>
      </c>
    </row>
    <row r="2455" spans="1:11" x14ac:dyDescent="0.3">
      <c r="A2455" s="1" t="s">
        <v>6074</v>
      </c>
      <c r="B2455" s="1" t="s">
        <v>650</v>
      </c>
      <c r="C2455" s="1" t="s">
        <v>3326</v>
      </c>
      <c r="D2455" s="1">
        <v>511135.51</v>
      </c>
      <c r="E2455" s="1">
        <v>27187.55</v>
      </c>
      <c r="F2455" s="41">
        <v>44241</v>
      </c>
      <c r="G2455" s="41">
        <v>44606</v>
      </c>
      <c r="H2455" s="1" t="s">
        <v>3579</v>
      </c>
      <c r="I2455" s="1" t="s">
        <v>3316</v>
      </c>
      <c r="J2455" t="str">
        <f>IF(ISNA(_xlfn.XLOOKUP(B2455,customer_master!$A$2:$A$1649, customer_master!$A$2:$A$1649)), "Invalid", "Ok")</f>
        <v>Ok</v>
      </c>
      <c r="K2455" t="str">
        <f>IF(ISNA(_xlfn.XLOOKUP(H2455,agent_info!$A$2:$A$301, agent_info!$A$2:$A$301)), "Invalid", "Ok")</f>
        <v>Ok</v>
      </c>
    </row>
    <row r="2456" spans="1:11" x14ac:dyDescent="0.3">
      <c r="A2456" s="1" t="s">
        <v>6075</v>
      </c>
      <c r="B2456" s="1" t="s">
        <v>1437</v>
      </c>
      <c r="C2456" s="1" t="s">
        <v>3318</v>
      </c>
      <c r="D2456" s="1">
        <v>710543.2</v>
      </c>
      <c r="E2456" s="1">
        <v>35335.519999999997</v>
      </c>
      <c r="F2456" s="41">
        <v>46033</v>
      </c>
      <c r="G2456" s="41">
        <v>46398</v>
      </c>
      <c r="H2456" s="1" t="s">
        <v>3532</v>
      </c>
      <c r="I2456" s="1" t="s">
        <v>3324</v>
      </c>
      <c r="J2456" t="str">
        <f>IF(ISNA(_xlfn.XLOOKUP(B2456,customer_master!$A$2:$A$1649, customer_master!$A$2:$A$1649)), "Invalid", "Ok")</f>
        <v>Ok</v>
      </c>
      <c r="K2456" t="str">
        <f>IF(ISNA(_xlfn.XLOOKUP(H2456,agent_info!$A$2:$A$301, agent_info!$A$2:$A$301)), "Invalid", "Ok")</f>
        <v>Ok</v>
      </c>
    </row>
    <row r="2457" spans="1:11" x14ac:dyDescent="0.3">
      <c r="A2457" s="1" t="s">
        <v>6076</v>
      </c>
      <c r="B2457" s="1" t="s">
        <v>3265</v>
      </c>
      <c r="C2457" s="1" t="s">
        <v>3314</v>
      </c>
      <c r="D2457" s="1">
        <v>437362.17</v>
      </c>
      <c r="E2457" s="1">
        <v>22076.799999999999</v>
      </c>
      <c r="F2457" s="41">
        <v>45001</v>
      </c>
      <c r="G2457" s="41">
        <v>45367</v>
      </c>
      <c r="H2457" s="1" t="s">
        <v>3555</v>
      </c>
      <c r="I2457" s="1" t="s">
        <v>3324</v>
      </c>
      <c r="J2457" t="str">
        <f>IF(ISNA(_xlfn.XLOOKUP(B2457,customer_master!$A$2:$A$1649, customer_master!$A$2:$A$1649)), "Invalid", "Ok")</f>
        <v>Ok</v>
      </c>
      <c r="K2457" t="str">
        <f>IF(ISNA(_xlfn.XLOOKUP(H2457,agent_info!$A$2:$A$301, agent_info!$A$2:$A$301)), "Invalid", "Ok")</f>
        <v>Ok</v>
      </c>
    </row>
    <row r="2458" spans="1:11" x14ac:dyDescent="0.3">
      <c r="A2458" s="1" t="s">
        <v>6077</v>
      </c>
      <c r="B2458" s="1" t="s">
        <v>354</v>
      </c>
      <c r="C2458" s="1" t="s">
        <v>3331</v>
      </c>
      <c r="D2458" s="1">
        <v>690738.03</v>
      </c>
      <c r="E2458" s="1">
        <v>32980.43</v>
      </c>
      <c r="F2458" s="41">
        <v>45734</v>
      </c>
      <c r="G2458" s="41">
        <v>46099</v>
      </c>
      <c r="H2458" s="1" t="s">
        <v>3422</v>
      </c>
      <c r="I2458" s="1" t="s">
        <v>3316</v>
      </c>
      <c r="J2458" t="str">
        <f>IF(ISNA(_xlfn.XLOOKUP(B2458,customer_master!$A$2:$A$1649, customer_master!$A$2:$A$1649)), "Invalid", "Ok")</f>
        <v>Ok</v>
      </c>
      <c r="K2458" t="str">
        <f>IF(ISNA(_xlfn.XLOOKUP(H2458,agent_info!$A$2:$A$301, agent_info!$A$2:$A$301)), "Invalid", "Ok")</f>
        <v>Ok</v>
      </c>
    </row>
    <row r="2459" spans="1:11" x14ac:dyDescent="0.3">
      <c r="A2459" s="1" t="s">
        <v>6078</v>
      </c>
      <c r="B2459" s="1" t="s">
        <v>2788</v>
      </c>
      <c r="C2459" s="1" t="s">
        <v>3326</v>
      </c>
      <c r="D2459" s="1">
        <v>521787.45</v>
      </c>
      <c r="E2459" s="1">
        <v>27196.53</v>
      </c>
      <c r="F2459" s="41">
        <v>44773</v>
      </c>
      <c r="G2459" s="41">
        <v>45138</v>
      </c>
      <c r="H2459" s="1" t="s">
        <v>4220</v>
      </c>
      <c r="I2459" s="1" t="s">
        <v>3320</v>
      </c>
      <c r="J2459" t="str">
        <f>IF(ISNA(_xlfn.XLOOKUP(B2459,customer_master!$A$2:$A$1649, customer_master!$A$2:$A$1649)), "Invalid", "Ok")</f>
        <v>Ok</v>
      </c>
      <c r="K2459" t="str">
        <f>IF(ISNA(_xlfn.XLOOKUP(H2459,agent_info!$A$2:$A$301, agent_info!$A$2:$A$301)), "Invalid", "Ok")</f>
        <v>Ok</v>
      </c>
    </row>
    <row r="2460" spans="1:11" x14ac:dyDescent="0.3">
      <c r="A2460" s="1" t="s">
        <v>6079</v>
      </c>
      <c r="B2460" s="1" t="s">
        <v>1664</v>
      </c>
      <c r="C2460" s="1" t="s">
        <v>3326</v>
      </c>
      <c r="D2460" s="1">
        <v>364883.49</v>
      </c>
      <c r="E2460" s="1">
        <v>17000.150000000001</v>
      </c>
      <c r="F2460" s="41">
        <v>44778</v>
      </c>
      <c r="G2460" s="41">
        <v>45143</v>
      </c>
      <c r="H2460" s="1" t="s">
        <v>3574</v>
      </c>
      <c r="I2460" s="1" t="s">
        <v>3324</v>
      </c>
      <c r="J2460" t="str">
        <f>IF(ISNA(_xlfn.XLOOKUP(B2460,customer_master!$A$2:$A$1649, customer_master!$A$2:$A$1649)), "Invalid", "Ok")</f>
        <v>Ok</v>
      </c>
      <c r="K2460" t="str">
        <f>IF(ISNA(_xlfn.XLOOKUP(H2460,agent_info!$A$2:$A$301, agent_info!$A$2:$A$301)), "Invalid", "Ok")</f>
        <v>Ok</v>
      </c>
    </row>
    <row r="2461" spans="1:11" x14ac:dyDescent="0.3">
      <c r="A2461" s="1" t="s">
        <v>6080</v>
      </c>
      <c r="B2461" s="1" t="s">
        <v>395</v>
      </c>
      <c r="C2461" s="1" t="s">
        <v>3318</v>
      </c>
      <c r="D2461" s="1">
        <v>745647.6</v>
      </c>
      <c r="E2461" s="1">
        <v>35367.269999999997</v>
      </c>
      <c r="F2461" s="41">
        <v>44509</v>
      </c>
      <c r="G2461" s="41">
        <v>44874</v>
      </c>
      <c r="H2461" s="1" t="s">
        <v>3794</v>
      </c>
      <c r="I2461" s="1" t="s">
        <v>3316</v>
      </c>
      <c r="J2461" t="str">
        <f>IF(ISNA(_xlfn.XLOOKUP(B2461,customer_master!$A$2:$A$1649, customer_master!$A$2:$A$1649)), "Invalid", "Ok")</f>
        <v>Ok</v>
      </c>
      <c r="K2461" t="str">
        <f>IF(ISNA(_xlfn.XLOOKUP(H2461,agent_info!$A$2:$A$301, agent_info!$A$2:$A$301)), "Invalid", "Ok")</f>
        <v>Ok</v>
      </c>
    </row>
    <row r="2462" spans="1:11" x14ac:dyDescent="0.3">
      <c r="A2462" s="1" t="s">
        <v>6081</v>
      </c>
      <c r="B2462" s="1" t="s">
        <v>3160</v>
      </c>
      <c r="C2462" s="1" t="s">
        <v>3318</v>
      </c>
      <c r="D2462" s="1">
        <v>672109.23</v>
      </c>
      <c r="E2462" s="1">
        <v>33470.51</v>
      </c>
      <c r="F2462" s="41">
        <v>45836</v>
      </c>
      <c r="G2462" s="41">
        <v>46201</v>
      </c>
      <c r="H2462" s="1" t="s">
        <v>3420</v>
      </c>
      <c r="I2462" s="1" t="s">
        <v>3316</v>
      </c>
      <c r="J2462" t="str">
        <f>IF(ISNA(_xlfn.XLOOKUP(B2462,customer_master!$A$2:$A$1649, customer_master!$A$2:$A$1649)), "Invalid", "Ok")</f>
        <v>Ok</v>
      </c>
      <c r="K2462" t="str">
        <f>IF(ISNA(_xlfn.XLOOKUP(H2462,agent_info!$A$2:$A$301, agent_info!$A$2:$A$301)), "Invalid", "Ok")</f>
        <v>Ok</v>
      </c>
    </row>
    <row r="2463" spans="1:11" x14ac:dyDescent="0.3">
      <c r="A2463" s="1" t="s">
        <v>6082</v>
      </c>
      <c r="B2463" s="1" t="s">
        <v>1835</v>
      </c>
      <c r="C2463" s="1" t="s">
        <v>3326</v>
      </c>
      <c r="D2463" s="1">
        <v>425164.54</v>
      </c>
      <c r="E2463" s="1">
        <v>20770.62</v>
      </c>
      <c r="F2463" s="41">
        <v>45170</v>
      </c>
      <c r="G2463" s="41">
        <v>45536</v>
      </c>
      <c r="H2463" s="1" t="s">
        <v>4243</v>
      </c>
      <c r="I2463" s="1" t="s">
        <v>3324</v>
      </c>
      <c r="J2463" t="str">
        <f>IF(ISNA(_xlfn.XLOOKUP(B2463,customer_master!$A$2:$A$1649, customer_master!$A$2:$A$1649)), "Invalid", "Ok")</f>
        <v>Ok</v>
      </c>
      <c r="K2463" t="str">
        <f>IF(ISNA(_xlfn.XLOOKUP(H2463,agent_info!$A$2:$A$301, agent_info!$A$2:$A$301)), "Invalid", "Ok")</f>
        <v>Ok</v>
      </c>
    </row>
    <row r="2464" spans="1:11" x14ac:dyDescent="0.3">
      <c r="A2464" s="1" t="s">
        <v>6083</v>
      </c>
      <c r="B2464" s="1" t="s">
        <v>2929</v>
      </c>
      <c r="C2464" s="1" t="s">
        <v>3334</v>
      </c>
      <c r="D2464" s="1">
        <v>740622.8</v>
      </c>
      <c r="E2464" s="1">
        <v>35102.400000000001</v>
      </c>
      <c r="F2464" s="41">
        <v>46247</v>
      </c>
      <c r="G2464" s="41">
        <v>46612</v>
      </c>
      <c r="H2464" s="1" t="s">
        <v>3610</v>
      </c>
      <c r="I2464" s="1" t="s">
        <v>3324</v>
      </c>
      <c r="J2464" t="str">
        <f>IF(ISNA(_xlfn.XLOOKUP(B2464,customer_master!$A$2:$A$1649, customer_master!$A$2:$A$1649)), "Invalid", "Ok")</f>
        <v>Ok</v>
      </c>
      <c r="K2464" t="str">
        <f>IF(ISNA(_xlfn.XLOOKUP(H2464,agent_info!$A$2:$A$301, agent_info!$A$2:$A$301)), "Invalid", "Ok")</f>
        <v>Ok</v>
      </c>
    </row>
    <row r="2465" spans="1:11" x14ac:dyDescent="0.3">
      <c r="A2465" s="1" t="s">
        <v>6084</v>
      </c>
      <c r="B2465" s="1" t="s">
        <v>2889</v>
      </c>
      <c r="C2465" s="1" t="s">
        <v>3326</v>
      </c>
      <c r="D2465" s="1">
        <v>677370.95</v>
      </c>
      <c r="E2465" s="1">
        <v>31781.49</v>
      </c>
      <c r="F2465" s="41">
        <v>45000</v>
      </c>
      <c r="G2465" s="41">
        <v>45366</v>
      </c>
      <c r="H2465" s="1" t="s">
        <v>4303</v>
      </c>
      <c r="I2465" s="1" t="s">
        <v>3316</v>
      </c>
      <c r="J2465" t="str">
        <f>IF(ISNA(_xlfn.XLOOKUP(B2465,customer_master!$A$2:$A$1649, customer_master!$A$2:$A$1649)), "Invalid", "Ok")</f>
        <v>Ok</v>
      </c>
      <c r="K2465" t="str">
        <f>IF(ISNA(_xlfn.XLOOKUP(H2465,agent_info!$A$2:$A$301, agent_info!$A$2:$A$301)), "Invalid", "Ok")</f>
        <v>Ok</v>
      </c>
    </row>
    <row r="2466" spans="1:11" x14ac:dyDescent="0.3">
      <c r="A2466" s="1" t="s">
        <v>6085</v>
      </c>
      <c r="B2466" s="1" t="s">
        <v>83</v>
      </c>
      <c r="C2466" s="1" t="s">
        <v>3318</v>
      </c>
      <c r="D2466" s="1">
        <v>680576</v>
      </c>
      <c r="E2466" s="1">
        <v>36484.980000000003</v>
      </c>
      <c r="F2466" s="41">
        <v>44349</v>
      </c>
      <c r="G2466" s="41">
        <v>44714</v>
      </c>
      <c r="H2466" s="1" t="s">
        <v>3498</v>
      </c>
      <c r="I2466" s="1" t="s">
        <v>3320</v>
      </c>
      <c r="J2466" t="str">
        <f>IF(ISNA(_xlfn.XLOOKUP(B2466,customer_master!$A$2:$A$1649, customer_master!$A$2:$A$1649)), "Invalid", "Ok")</f>
        <v>Ok</v>
      </c>
      <c r="K2466" t="str">
        <f>IF(ISNA(_xlfn.XLOOKUP(H2466,agent_info!$A$2:$A$301, agent_info!$A$2:$A$301)), "Invalid", "Ok")</f>
        <v>Ok</v>
      </c>
    </row>
    <row r="2467" spans="1:11" x14ac:dyDescent="0.3">
      <c r="A2467" s="1" t="s">
        <v>6086</v>
      </c>
      <c r="B2467" s="1" t="s">
        <v>901</v>
      </c>
      <c r="C2467" s="1" t="s">
        <v>3331</v>
      </c>
      <c r="D2467" s="1">
        <v>430015.52</v>
      </c>
      <c r="E2467" s="1">
        <v>21891.48</v>
      </c>
      <c r="F2467" s="41">
        <v>44452</v>
      </c>
      <c r="G2467" s="41">
        <v>44817</v>
      </c>
      <c r="H2467" s="1" t="s">
        <v>3813</v>
      </c>
      <c r="I2467" s="1" t="s">
        <v>3316</v>
      </c>
      <c r="J2467" t="str">
        <f>IF(ISNA(_xlfn.XLOOKUP(B2467,customer_master!$A$2:$A$1649, customer_master!$A$2:$A$1649)), "Invalid", "Ok")</f>
        <v>Ok</v>
      </c>
      <c r="K2467" t="str">
        <f>IF(ISNA(_xlfn.XLOOKUP(H2467,agent_info!$A$2:$A$301, agent_info!$A$2:$A$301)), "Invalid", "Ok")</f>
        <v>Ok</v>
      </c>
    </row>
    <row r="2468" spans="1:11" x14ac:dyDescent="0.3">
      <c r="A2468" s="1" t="s">
        <v>6087</v>
      </c>
      <c r="B2468" s="1" t="s">
        <v>1141</v>
      </c>
      <c r="C2468" s="1" t="s">
        <v>3334</v>
      </c>
      <c r="D2468" s="1">
        <v>456756.81</v>
      </c>
      <c r="E2468" s="1">
        <v>22277.82</v>
      </c>
      <c r="F2468" s="41">
        <v>44793</v>
      </c>
      <c r="G2468" s="41">
        <v>45158</v>
      </c>
      <c r="H2468" s="1" t="s">
        <v>4187</v>
      </c>
      <c r="I2468" s="1" t="s">
        <v>3316</v>
      </c>
      <c r="J2468" t="str">
        <f>IF(ISNA(_xlfn.XLOOKUP(B2468,customer_master!$A$2:$A$1649, customer_master!$A$2:$A$1649)), "Invalid", "Ok")</f>
        <v>Ok</v>
      </c>
      <c r="K2468" t="str">
        <f>IF(ISNA(_xlfn.XLOOKUP(H2468,agent_info!$A$2:$A$301, agent_info!$A$2:$A$301)), "Invalid", "Ok")</f>
        <v>Ok</v>
      </c>
    </row>
    <row r="2469" spans="1:11" x14ac:dyDescent="0.3">
      <c r="A2469" s="1" t="s">
        <v>6088</v>
      </c>
      <c r="B2469" s="1" t="s">
        <v>1795</v>
      </c>
      <c r="C2469" s="1" t="s">
        <v>3318</v>
      </c>
      <c r="D2469" s="1">
        <v>663024.44999999995</v>
      </c>
      <c r="E2469" s="1">
        <v>35443.83</v>
      </c>
      <c r="F2469" s="41">
        <v>44916</v>
      </c>
      <c r="G2469" s="41">
        <v>45281</v>
      </c>
      <c r="H2469" s="1" t="s">
        <v>4391</v>
      </c>
      <c r="I2469" s="1" t="s">
        <v>3324</v>
      </c>
      <c r="J2469" t="str">
        <f>IF(ISNA(_xlfn.XLOOKUP(B2469,customer_master!$A$2:$A$1649, customer_master!$A$2:$A$1649)), "Invalid", "Ok")</f>
        <v>Ok</v>
      </c>
      <c r="K2469" t="str">
        <f>IF(ISNA(_xlfn.XLOOKUP(H2469,agent_info!$A$2:$A$301, agent_info!$A$2:$A$301)), "Invalid", "Ok")</f>
        <v>Ok</v>
      </c>
    </row>
    <row r="2470" spans="1:11" x14ac:dyDescent="0.3">
      <c r="A2470" s="1" t="s">
        <v>6089</v>
      </c>
      <c r="B2470" s="1" t="s">
        <v>270</v>
      </c>
      <c r="C2470" s="1" t="s">
        <v>3334</v>
      </c>
      <c r="D2470" s="1">
        <v>736815.22</v>
      </c>
      <c r="E2470" s="1">
        <v>39236.589999999997</v>
      </c>
      <c r="F2470" s="41">
        <v>45340</v>
      </c>
      <c r="G2470" s="41">
        <v>45706</v>
      </c>
      <c r="H2470" s="1" t="s">
        <v>3383</v>
      </c>
      <c r="I2470" s="1" t="s">
        <v>3316</v>
      </c>
      <c r="J2470" t="str">
        <f>IF(ISNA(_xlfn.XLOOKUP(B2470,customer_master!$A$2:$A$1649, customer_master!$A$2:$A$1649)), "Invalid", "Ok")</f>
        <v>Ok</v>
      </c>
      <c r="K2470" t="str">
        <f>IF(ISNA(_xlfn.XLOOKUP(H2470,agent_info!$A$2:$A$301, agent_info!$A$2:$A$301)), "Invalid", "Ok")</f>
        <v>Ok</v>
      </c>
    </row>
    <row r="2471" spans="1:11" x14ac:dyDescent="0.3">
      <c r="A2471" s="1" t="s">
        <v>6090</v>
      </c>
      <c r="B2471" s="1" t="s">
        <v>1325</v>
      </c>
      <c r="C2471" s="1" t="s">
        <v>3314</v>
      </c>
      <c r="D2471" s="1">
        <v>467781.98</v>
      </c>
      <c r="E2471" s="1">
        <v>21568.9</v>
      </c>
      <c r="F2471" s="41">
        <v>44701</v>
      </c>
      <c r="G2471" s="41">
        <v>45066</v>
      </c>
      <c r="H2471" s="1" t="s">
        <v>3641</v>
      </c>
      <c r="I2471" s="1" t="s">
        <v>3320</v>
      </c>
      <c r="J2471" t="str">
        <f>IF(ISNA(_xlfn.XLOOKUP(B2471,customer_master!$A$2:$A$1649, customer_master!$A$2:$A$1649)), "Invalid", "Ok")</f>
        <v>Ok</v>
      </c>
      <c r="K2471" t="str">
        <f>IF(ISNA(_xlfn.XLOOKUP(H2471,agent_info!$A$2:$A$301, agent_info!$A$2:$A$301)), "Invalid", "Ok")</f>
        <v>Ok</v>
      </c>
    </row>
    <row r="2472" spans="1:11" x14ac:dyDescent="0.3">
      <c r="A2472" s="1" t="s">
        <v>6091</v>
      </c>
      <c r="B2472" s="1" t="s">
        <v>2704</v>
      </c>
      <c r="C2472" s="1" t="s">
        <v>3326</v>
      </c>
      <c r="D2472" s="1">
        <v>511289.74</v>
      </c>
      <c r="E2472" s="1">
        <v>25908.51</v>
      </c>
      <c r="F2472" s="41">
        <v>45487</v>
      </c>
      <c r="G2472" s="41">
        <v>45852</v>
      </c>
      <c r="H2472" s="1" t="s">
        <v>3788</v>
      </c>
      <c r="I2472" s="1" t="s">
        <v>3324</v>
      </c>
      <c r="J2472" t="str">
        <f>IF(ISNA(_xlfn.XLOOKUP(B2472,customer_master!$A$2:$A$1649, customer_master!$A$2:$A$1649)), "Invalid", "Ok")</f>
        <v>Ok</v>
      </c>
      <c r="K2472" t="str">
        <f>IF(ISNA(_xlfn.XLOOKUP(H2472,agent_info!$A$2:$A$301, agent_info!$A$2:$A$301)), "Invalid", "Ok")</f>
        <v>Ok</v>
      </c>
    </row>
    <row r="2473" spans="1:11" x14ac:dyDescent="0.3">
      <c r="A2473" s="1" t="s">
        <v>6092</v>
      </c>
      <c r="B2473" s="1" t="s">
        <v>612</v>
      </c>
      <c r="C2473" s="1" t="s">
        <v>3318</v>
      </c>
      <c r="D2473" s="1">
        <v>436512.12</v>
      </c>
      <c r="E2473" s="1">
        <v>20977.08</v>
      </c>
      <c r="F2473" s="41">
        <v>45953</v>
      </c>
      <c r="G2473" s="41">
        <v>46318</v>
      </c>
      <c r="H2473" s="1" t="s">
        <v>4012</v>
      </c>
      <c r="I2473" s="1" t="s">
        <v>3324</v>
      </c>
      <c r="J2473" t="str">
        <f>IF(ISNA(_xlfn.XLOOKUP(B2473,customer_master!$A$2:$A$1649, customer_master!$A$2:$A$1649)), "Invalid", "Ok")</f>
        <v>Ok</v>
      </c>
      <c r="K2473" t="str">
        <f>IF(ISNA(_xlfn.XLOOKUP(H2473,agent_info!$A$2:$A$301, agent_info!$A$2:$A$301)), "Invalid", "Ok")</f>
        <v>Ok</v>
      </c>
    </row>
    <row r="2474" spans="1:11" x14ac:dyDescent="0.3">
      <c r="A2474" s="1" t="s">
        <v>6093</v>
      </c>
      <c r="B2474" s="1" t="s">
        <v>2341</v>
      </c>
      <c r="C2474" s="1" t="s">
        <v>3334</v>
      </c>
      <c r="D2474" s="1">
        <v>569033.02</v>
      </c>
      <c r="E2474" s="1">
        <v>28684.01</v>
      </c>
      <c r="F2474" s="41">
        <v>46242</v>
      </c>
      <c r="G2474" s="41">
        <v>46607</v>
      </c>
      <c r="H2474" s="1" t="s">
        <v>3490</v>
      </c>
      <c r="I2474" s="1" t="s">
        <v>3324</v>
      </c>
      <c r="J2474" t="str">
        <f>IF(ISNA(_xlfn.XLOOKUP(B2474,customer_master!$A$2:$A$1649, customer_master!$A$2:$A$1649)), "Invalid", "Ok")</f>
        <v>Ok</v>
      </c>
      <c r="K2474" t="str">
        <f>IF(ISNA(_xlfn.XLOOKUP(H2474,agent_info!$A$2:$A$301, agent_info!$A$2:$A$301)), "Invalid", "Ok")</f>
        <v>Ok</v>
      </c>
    </row>
    <row r="2475" spans="1:11" x14ac:dyDescent="0.3">
      <c r="A2475" s="1" t="s">
        <v>6094</v>
      </c>
      <c r="B2475" s="1" t="s">
        <v>1547</v>
      </c>
      <c r="C2475" s="1" t="s">
        <v>3318</v>
      </c>
      <c r="D2475" s="1">
        <v>620876.01</v>
      </c>
      <c r="E2475" s="1">
        <v>32397.3</v>
      </c>
      <c r="F2475" s="41">
        <v>46075</v>
      </c>
      <c r="G2475" s="41">
        <v>46440</v>
      </c>
      <c r="H2475" s="1" t="s">
        <v>3872</v>
      </c>
      <c r="I2475" s="1" t="s">
        <v>3320</v>
      </c>
      <c r="J2475" t="str">
        <f>IF(ISNA(_xlfn.XLOOKUP(B2475,customer_master!$A$2:$A$1649, customer_master!$A$2:$A$1649)), "Invalid", "Ok")</f>
        <v>Ok</v>
      </c>
      <c r="K2475" t="str">
        <f>IF(ISNA(_xlfn.XLOOKUP(H2475,agent_info!$A$2:$A$301, agent_info!$A$2:$A$301)), "Invalid", "Ok")</f>
        <v>Ok</v>
      </c>
    </row>
    <row r="2476" spans="1:11" x14ac:dyDescent="0.3">
      <c r="A2476" s="1" t="s">
        <v>6095</v>
      </c>
      <c r="B2476" s="1" t="s">
        <v>268</v>
      </c>
      <c r="C2476" s="1" t="s">
        <v>3318</v>
      </c>
      <c r="D2476" s="1">
        <v>385013.75</v>
      </c>
      <c r="E2476" s="1">
        <v>17358.37</v>
      </c>
      <c r="F2476" s="41">
        <v>44700</v>
      </c>
      <c r="G2476" s="41">
        <v>45065</v>
      </c>
      <c r="H2476" s="1" t="s">
        <v>3694</v>
      </c>
      <c r="I2476" s="1" t="s">
        <v>3324</v>
      </c>
      <c r="J2476" t="str">
        <f>IF(ISNA(_xlfn.XLOOKUP(B2476,customer_master!$A$2:$A$1649, customer_master!$A$2:$A$1649)), "Invalid", "Ok")</f>
        <v>Ok</v>
      </c>
      <c r="K2476" t="str">
        <f>IF(ISNA(_xlfn.XLOOKUP(H2476,agent_info!$A$2:$A$301, agent_info!$A$2:$A$301)), "Invalid", "Ok")</f>
        <v>Ok</v>
      </c>
    </row>
    <row r="2477" spans="1:11" x14ac:dyDescent="0.3">
      <c r="A2477" s="1" t="s">
        <v>6096</v>
      </c>
      <c r="B2477" s="1" t="s">
        <v>630</v>
      </c>
      <c r="C2477" s="1" t="s">
        <v>3331</v>
      </c>
      <c r="D2477" s="1">
        <v>626776.72</v>
      </c>
      <c r="E2477" s="1">
        <v>31423.87</v>
      </c>
      <c r="F2477" s="41">
        <v>45921</v>
      </c>
      <c r="G2477" s="41">
        <v>46286</v>
      </c>
      <c r="H2477" s="1" t="s">
        <v>4220</v>
      </c>
      <c r="I2477" s="1" t="s">
        <v>3324</v>
      </c>
      <c r="J2477" t="str">
        <f>IF(ISNA(_xlfn.XLOOKUP(B2477,customer_master!$A$2:$A$1649, customer_master!$A$2:$A$1649)), "Invalid", "Ok")</f>
        <v>Ok</v>
      </c>
      <c r="K2477" t="str">
        <f>IF(ISNA(_xlfn.XLOOKUP(H2477,agent_info!$A$2:$A$301, agent_info!$A$2:$A$301)), "Invalid", "Ok")</f>
        <v>Ok</v>
      </c>
    </row>
    <row r="2478" spans="1:11" x14ac:dyDescent="0.3">
      <c r="A2478" s="1" t="s">
        <v>6097</v>
      </c>
      <c r="B2478" s="1" t="s">
        <v>501</v>
      </c>
      <c r="C2478" s="1" t="s">
        <v>3314</v>
      </c>
      <c r="D2478" s="1">
        <v>631303.72</v>
      </c>
      <c r="E2478" s="1">
        <v>30250.38</v>
      </c>
      <c r="F2478" s="41">
        <v>44959</v>
      </c>
      <c r="G2478" s="41">
        <v>45324</v>
      </c>
      <c r="H2478" s="1" t="s">
        <v>3976</v>
      </c>
      <c r="I2478" s="1" t="s">
        <v>3316</v>
      </c>
      <c r="J2478" t="str">
        <f>IF(ISNA(_xlfn.XLOOKUP(B2478,customer_master!$A$2:$A$1649, customer_master!$A$2:$A$1649)), "Invalid", "Ok")</f>
        <v>Ok</v>
      </c>
      <c r="K2478" t="str">
        <f>IF(ISNA(_xlfn.XLOOKUP(H2478,agent_info!$A$2:$A$301, agent_info!$A$2:$A$301)), "Invalid", "Ok")</f>
        <v>Ok</v>
      </c>
    </row>
    <row r="2479" spans="1:11" x14ac:dyDescent="0.3">
      <c r="A2479" s="1" t="s">
        <v>6098</v>
      </c>
      <c r="B2479" s="1" t="s">
        <v>2089</v>
      </c>
      <c r="C2479" s="1" t="s">
        <v>3318</v>
      </c>
      <c r="D2479" s="1">
        <v>549993.21</v>
      </c>
      <c r="E2479" s="1">
        <v>27686.720000000001</v>
      </c>
      <c r="F2479" s="41">
        <v>46040</v>
      </c>
      <c r="G2479" s="41">
        <v>46405</v>
      </c>
      <c r="H2479" s="1" t="s">
        <v>3785</v>
      </c>
      <c r="I2479" s="1" t="s">
        <v>3324</v>
      </c>
      <c r="J2479" t="str">
        <f>IF(ISNA(_xlfn.XLOOKUP(B2479,customer_master!$A$2:$A$1649, customer_master!$A$2:$A$1649)), "Invalid", "Ok")</f>
        <v>Ok</v>
      </c>
      <c r="K2479" t="str">
        <f>IF(ISNA(_xlfn.XLOOKUP(H2479,agent_info!$A$2:$A$301, agent_info!$A$2:$A$301)), "Invalid", "Ok")</f>
        <v>Ok</v>
      </c>
    </row>
    <row r="2480" spans="1:11" x14ac:dyDescent="0.3">
      <c r="A2480" s="1" t="s">
        <v>6099</v>
      </c>
      <c r="B2480" s="1" t="s">
        <v>322</v>
      </c>
      <c r="C2480" s="1" t="s">
        <v>3334</v>
      </c>
      <c r="D2480" s="1">
        <v>729729.87</v>
      </c>
      <c r="E2480" s="1">
        <v>33639.4</v>
      </c>
      <c r="F2480" s="41">
        <v>46089</v>
      </c>
      <c r="G2480" s="41">
        <v>46454</v>
      </c>
      <c r="H2480" s="1" t="s">
        <v>4313</v>
      </c>
      <c r="I2480" s="1" t="s">
        <v>3316</v>
      </c>
      <c r="J2480" t="str">
        <f>IF(ISNA(_xlfn.XLOOKUP(B2480,customer_master!$A$2:$A$1649, customer_master!$A$2:$A$1649)), "Invalid", "Ok")</f>
        <v>Ok</v>
      </c>
      <c r="K2480" t="str">
        <f>IF(ISNA(_xlfn.XLOOKUP(H2480,agent_info!$A$2:$A$301, agent_info!$A$2:$A$301)), "Invalid", "Ok")</f>
        <v>Ok</v>
      </c>
    </row>
    <row r="2481" spans="1:11" x14ac:dyDescent="0.3">
      <c r="A2481" s="1" t="s">
        <v>6100</v>
      </c>
      <c r="B2481" s="1" t="s">
        <v>2730</v>
      </c>
      <c r="C2481" s="1" t="s">
        <v>3318</v>
      </c>
      <c r="D2481" s="1">
        <v>428961.59</v>
      </c>
      <c r="E2481" s="1">
        <v>22810.32</v>
      </c>
      <c r="F2481" s="41">
        <v>44162</v>
      </c>
      <c r="G2481" s="41">
        <v>44527</v>
      </c>
      <c r="H2481" s="1" t="s">
        <v>4230</v>
      </c>
      <c r="I2481" s="1" t="s">
        <v>3324</v>
      </c>
      <c r="J2481" t="str">
        <f>IF(ISNA(_xlfn.XLOOKUP(B2481,customer_master!$A$2:$A$1649, customer_master!$A$2:$A$1649)), "Invalid", "Ok")</f>
        <v>Ok</v>
      </c>
      <c r="K2481" t="str">
        <f>IF(ISNA(_xlfn.XLOOKUP(H2481,agent_info!$A$2:$A$301, agent_info!$A$2:$A$301)), "Invalid", "Ok")</f>
        <v>Ok</v>
      </c>
    </row>
    <row r="2482" spans="1:11" x14ac:dyDescent="0.3">
      <c r="A2482" s="1" t="s">
        <v>6101</v>
      </c>
      <c r="B2482" s="1" t="s">
        <v>2672</v>
      </c>
      <c r="C2482" s="1" t="s">
        <v>3318</v>
      </c>
      <c r="D2482" s="1">
        <v>397395.87</v>
      </c>
      <c r="E2482" s="1">
        <v>20043.330000000002</v>
      </c>
      <c r="F2482" s="41">
        <v>45490</v>
      </c>
      <c r="G2482" s="41">
        <v>45855</v>
      </c>
      <c r="H2482" s="1" t="s">
        <v>3653</v>
      </c>
      <c r="I2482" s="1" t="s">
        <v>3316</v>
      </c>
      <c r="J2482" t="str">
        <f>IF(ISNA(_xlfn.XLOOKUP(B2482,customer_master!$A$2:$A$1649, customer_master!$A$2:$A$1649)), "Invalid", "Ok")</f>
        <v>Ok</v>
      </c>
      <c r="K2482" t="str">
        <f>IF(ISNA(_xlfn.XLOOKUP(H2482,agent_info!$A$2:$A$301, agent_info!$A$2:$A$301)), "Invalid", "Ok")</f>
        <v>Ok</v>
      </c>
    </row>
    <row r="2483" spans="1:11" x14ac:dyDescent="0.3">
      <c r="A2483" s="1" t="s">
        <v>6102</v>
      </c>
      <c r="B2483" s="1" t="s">
        <v>304</v>
      </c>
      <c r="C2483" s="1" t="s">
        <v>3314</v>
      </c>
      <c r="D2483" s="1">
        <v>575895</v>
      </c>
      <c r="E2483" s="1">
        <v>27130.78</v>
      </c>
      <c r="F2483" s="41">
        <v>44229</v>
      </c>
      <c r="G2483" s="41">
        <v>44594</v>
      </c>
      <c r="H2483" s="1" t="s">
        <v>3674</v>
      </c>
      <c r="I2483" s="1" t="s">
        <v>3316</v>
      </c>
      <c r="J2483" t="str">
        <f>IF(ISNA(_xlfn.XLOOKUP(B2483,customer_master!$A$2:$A$1649, customer_master!$A$2:$A$1649)), "Invalid", "Ok")</f>
        <v>Ok</v>
      </c>
      <c r="K2483" t="str">
        <f>IF(ISNA(_xlfn.XLOOKUP(H2483,agent_info!$A$2:$A$301, agent_info!$A$2:$A$301)), "Invalid", "Ok")</f>
        <v>Ok</v>
      </c>
    </row>
    <row r="2484" spans="1:11" x14ac:dyDescent="0.3">
      <c r="A2484" s="1" t="s">
        <v>6103</v>
      </c>
      <c r="B2484" s="1" t="s">
        <v>2953</v>
      </c>
      <c r="C2484" s="1" t="s">
        <v>3318</v>
      </c>
      <c r="D2484" s="1">
        <v>579487.05000000005</v>
      </c>
      <c r="E2484" s="1">
        <v>30537.14</v>
      </c>
      <c r="F2484" s="41">
        <v>44285</v>
      </c>
      <c r="G2484" s="41">
        <v>44650</v>
      </c>
      <c r="H2484" s="1" t="s">
        <v>3649</v>
      </c>
      <c r="I2484" s="1" t="s">
        <v>3324</v>
      </c>
      <c r="J2484" t="str">
        <f>IF(ISNA(_xlfn.XLOOKUP(B2484,customer_master!$A$2:$A$1649, customer_master!$A$2:$A$1649)), "Invalid", "Ok")</f>
        <v>Ok</v>
      </c>
      <c r="K2484" t="str">
        <f>IF(ISNA(_xlfn.XLOOKUP(H2484,agent_info!$A$2:$A$301, agent_info!$A$2:$A$301)), "Invalid", "Ok")</f>
        <v>Ok</v>
      </c>
    </row>
    <row r="2485" spans="1:11" x14ac:dyDescent="0.3">
      <c r="A2485" s="1" t="s">
        <v>6104</v>
      </c>
      <c r="B2485" s="1" t="s">
        <v>3184</v>
      </c>
      <c r="C2485" s="1" t="s">
        <v>3314</v>
      </c>
      <c r="D2485" s="1">
        <v>487675.34</v>
      </c>
      <c r="E2485" s="1">
        <v>22129.65</v>
      </c>
      <c r="F2485" s="41">
        <v>45836</v>
      </c>
      <c r="G2485" s="41">
        <v>46201</v>
      </c>
      <c r="H2485" s="1" t="s">
        <v>3387</v>
      </c>
      <c r="I2485" s="1" t="s">
        <v>3324</v>
      </c>
      <c r="J2485" t="str">
        <f>IF(ISNA(_xlfn.XLOOKUP(B2485,customer_master!$A$2:$A$1649, customer_master!$A$2:$A$1649)), "Invalid", "Ok")</f>
        <v>Ok</v>
      </c>
      <c r="K2485" t="str">
        <f>IF(ISNA(_xlfn.XLOOKUP(H2485,agent_info!$A$2:$A$301, agent_info!$A$2:$A$301)), "Invalid", "Ok")</f>
        <v>Ok</v>
      </c>
    </row>
    <row r="2486" spans="1:11" x14ac:dyDescent="0.3">
      <c r="A2486" s="1" t="s">
        <v>6105</v>
      </c>
      <c r="B2486" s="1" t="s">
        <v>180</v>
      </c>
      <c r="C2486" s="1" t="s">
        <v>3331</v>
      </c>
      <c r="D2486" s="1">
        <v>748360.97</v>
      </c>
      <c r="E2486" s="1">
        <v>38112.699999999997</v>
      </c>
      <c r="F2486" s="41">
        <v>45662</v>
      </c>
      <c r="G2486" s="41">
        <v>46027</v>
      </c>
      <c r="H2486" s="1" t="s">
        <v>3880</v>
      </c>
      <c r="I2486" s="1" t="s">
        <v>3324</v>
      </c>
      <c r="J2486" t="str">
        <f>IF(ISNA(_xlfn.XLOOKUP(B2486,customer_master!$A$2:$A$1649, customer_master!$A$2:$A$1649)), "Invalid", "Ok")</f>
        <v>Ok</v>
      </c>
      <c r="K2486" t="str">
        <f>IF(ISNA(_xlfn.XLOOKUP(H2486,agent_info!$A$2:$A$301, agent_info!$A$2:$A$301)), "Invalid", "Ok")</f>
        <v>Ok</v>
      </c>
    </row>
    <row r="2487" spans="1:11" x14ac:dyDescent="0.3">
      <c r="A2487" s="1" t="s">
        <v>6106</v>
      </c>
      <c r="B2487" s="1" t="s">
        <v>3158</v>
      </c>
      <c r="C2487" s="1" t="s">
        <v>3318</v>
      </c>
      <c r="D2487" s="1">
        <v>473908.9</v>
      </c>
      <c r="E2487" s="1">
        <v>23703.79</v>
      </c>
      <c r="F2487" s="41">
        <v>44679</v>
      </c>
      <c r="G2487" s="41">
        <v>45044</v>
      </c>
      <c r="H2487" s="1" t="s">
        <v>3435</v>
      </c>
      <c r="I2487" s="1" t="s">
        <v>3324</v>
      </c>
      <c r="J2487" t="str">
        <f>IF(ISNA(_xlfn.XLOOKUP(B2487,customer_master!$A$2:$A$1649, customer_master!$A$2:$A$1649)), "Invalid", "Ok")</f>
        <v>Ok</v>
      </c>
      <c r="K2487" t="str">
        <f>IF(ISNA(_xlfn.XLOOKUP(H2487,agent_info!$A$2:$A$301, agent_info!$A$2:$A$301)), "Invalid", "Ok")</f>
        <v>Ok</v>
      </c>
    </row>
    <row r="2488" spans="1:11" x14ac:dyDescent="0.3">
      <c r="A2488" s="1" t="s">
        <v>6107</v>
      </c>
      <c r="B2488" s="1" t="s">
        <v>943</v>
      </c>
      <c r="C2488" s="1" t="s">
        <v>3334</v>
      </c>
      <c r="D2488" s="1">
        <v>489012.3</v>
      </c>
      <c r="E2488" s="1">
        <v>22199.42</v>
      </c>
      <c r="F2488" s="41">
        <v>45729</v>
      </c>
      <c r="G2488" s="41">
        <v>46094</v>
      </c>
      <c r="H2488" s="1" t="s">
        <v>3550</v>
      </c>
      <c r="I2488" s="1" t="s">
        <v>3316</v>
      </c>
      <c r="J2488" t="str">
        <f>IF(ISNA(_xlfn.XLOOKUP(B2488,customer_master!$A$2:$A$1649, customer_master!$A$2:$A$1649)), "Invalid", "Ok")</f>
        <v>Ok</v>
      </c>
      <c r="K2488" t="str">
        <f>IF(ISNA(_xlfn.XLOOKUP(H2488,agent_info!$A$2:$A$301, agent_info!$A$2:$A$301)), "Invalid", "Ok")</f>
        <v>Ok</v>
      </c>
    </row>
    <row r="2489" spans="1:11" x14ac:dyDescent="0.3">
      <c r="A2489" s="1" t="s">
        <v>6108</v>
      </c>
      <c r="B2489" s="1" t="s">
        <v>2220</v>
      </c>
      <c r="C2489" s="1" t="s">
        <v>3334</v>
      </c>
      <c r="D2489" s="1">
        <v>697229.79</v>
      </c>
      <c r="E2489" s="1">
        <v>33116.36</v>
      </c>
      <c r="F2489" s="41">
        <v>44954</v>
      </c>
      <c r="G2489" s="41">
        <v>45319</v>
      </c>
      <c r="H2489" s="1" t="s">
        <v>3490</v>
      </c>
      <c r="I2489" s="1" t="s">
        <v>3324</v>
      </c>
      <c r="J2489" t="str">
        <f>IF(ISNA(_xlfn.XLOOKUP(B2489,customer_master!$A$2:$A$1649, customer_master!$A$2:$A$1649)), "Invalid", "Ok")</f>
        <v>Ok</v>
      </c>
      <c r="K2489" t="str">
        <f>IF(ISNA(_xlfn.XLOOKUP(H2489,agent_info!$A$2:$A$301, agent_info!$A$2:$A$301)), "Invalid", "Ok")</f>
        <v>Ok</v>
      </c>
    </row>
    <row r="2490" spans="1:11" x14ac:dyDescent="0.3">
      <c r="A2490" s="1" t="s">
        <v>6109</v>
      </c>
      <c r="B2490" s="1" t="s">
        <v>620</v>
      </c>
      <c r="C2490" s="1" t="s">
        <v>3326</v>
      </c>
      <c r="D2490" s="1">
        <v>672988.29</v>
      </c>
      <c r="E2490" s="1">
        <v>30803.62</v>
      </c>
      <c r="F2490" s="41">
        <v>45296</v>
      </c>
      <c r="G2490" s="41">
        <v>45662</v>
      </c>
      <c r="H2490" s="1" t="s">
        <v>4033</v>
      </c>
      <c r="I2490" s="1" t="s">
        <v>3324</v>
      </c>
      <c r="J2490" t="str">
        <f>IF(ISNA(_xlfn.XLOOKUP(B2490,customer_master!$A$2:$A$1649, customer_master!$A$2:$A$1649)), "Invalid", "Ok")</f>
        <v>Ok</v>
      </c>
      <c r="K2490" t="str">
        <f>IF(ISNA(_xlfn.XLOOKUP(H2490,agent_info!$A$2:$A$301, agent_info!$A$2:$A$301)), "Invalid", "Ok")</f>
        <v>Ok</v>
      </c>
    </row>
    <row r="2491" spans="1:11" x14ac:dyDescent="0.3">
      <c r="A2491" s="1" t="s">
        <v>6110</v>
      </c>
      <c r="B2491" s="1" t="s">
        <v>2714</v>
      </c>
      <c r="C2491" s="1" t="s">
        <v>3318</v>
      </c>
      <c r="D2491" s="1">
        <v>580660.81999999995</v>
      </c>
      <c r="E2491" s="1">
        <v>30382.42</v>
      </c>
      <c r="F2491" s="41">
        <v>44763</v>
      </c>
      <c r="G2491" s="41">
        <v>45128</v>
      </c>
      <c r="H2491" s="1" t="s">
        <v>3420</v>
      </c>
      <c r="I2491" s="1" t="s">
        <v>3324</v>
      </c>
      <c r="J2491" t="str">
        <f>IF(ISNA(_xlfn.XLOOKUP(B2491,customer_master!$A$2:$A$1649, customer_master!$A$2:$A$1649)), "Invalid", "Ok")</f>
        <v>Ok</v>
      </c>
      <c r="K2491" t="str">
        <f>IF(ISNA(_xlfn.XLOOKUP(H2491,agent_info!$A$2:$A$301, agent_info!$A$2:$A$301)), "Invalid", "Ok")</f>
        <v>Ok</v>
      </c>
    </row>
    <row r="2492" spans="1:11" x14ac:dyDescent="0.3">
      <c r="A2492" s="1" t="s">
        <v>6111</v>
      </c>
      <c r="B2492" s="1" t="s">
        <v>2796</v>
      </c>
      <c r="C2492" s="1" t="s">
        <v>3314</v>
      </c>
      <c r="D2492" s="1">
        <v>392335.78</v>
      </c>
      <c r="E2492" s="1">
        <v>20424.099999999999</v>
      </c>
      <c r="F2492" s="41">
        <v>45419</v>
      </c>
      <c r="G2492" s="41">
        <v>45784</v>
      </c>
      <c r="H2492" s="1" t="s">
        <v>3767</v>
      </c>
      <c r="I2492" s="1" t="s">
        <v>3324</v>
      </c>
      <c r="J2492" t="str">
        <f>IF(ISNA(_xlfn.XLOOKUP(B2492,customer_master!$A$2:$A$1649, customer_master!$A$2:$A$1649)), "Invalid", "Ok")</f>
        <v>Ok</v>
      </c>
      <c r="K2492" t="str">
        <f>IF(ISNA(_xlfn.XLOOKUP(H2492,agent_info!$A$2:$A$301, agent_info!$A$2:$A$301)), "Invalid", "Ok")</f>
        <v>Ok</v>
      </c>
    </row>
    <row r="2493" spans="1:11" x14ac:dyDescent="0.3">
      <c r="A2493" s="1" t="s">
        <v>6112</v>
      </c>
      <c r="B2493" s="1" t="s">
        <v>3241</v>
      </c>
      <c r="C2493" s="1" t="s">
        <v>3326</v>
      </c>
      <c r="D2493" s="1">
        <v>474402.21</v>
      </c>
      <c r="E2493" s="1">
        <v>21771.73</v>
      </c>
      <c r="F2493" s="41">
        <v>44939</v>
      </c>
      <c r="G2493" s="41">
        <v>45304</v>
      </c>
      <c r="H2493" s="1" t="s">
        <v>3595</v>
      </c>
      <c r="I2493" s="1" t="s">
        <v>3324</v>
      </c>
      <c r="J2493" t="str">
        <f>IF(ISNA(_xlfn.XLOOKUP(B2493,customer_master!$A$2:$A$1649, customer_master!$A$2:$A$1649)), "Invalid", "Ok")</f>
        <v>Ok</v>
      </c>
      <c r="K2493" t="str">
        <f>IF(ISNA(_xlfn.XLOOKUP(H2493,agent_info!$A$2:$A$301, agent_info!$A$2:$A$301)), "Invalid", "Ok")</f>
        <v>Ok</v>
      </c>
    </row>
    <row r="2494" spans="1:11" x14ac:dyDescent="0.3">
      <c r="A2494" s="1" t="s">
        <v>6113</v>
      </c>
      <c r="B2494" s="1" t="s">
        <v>3287</v>
      </c>
      <c r="C2494" s="1" t="s">
        <v>3314</v>
      </c>
      <c r="D2494" s="1">
        <v>471216.83</v>
      </c>
      <c r="E2494" s="1">
        <v>21719.360000000001</v>
      </c>
      <c r="F2494" s="41">
        <v>45603</v>
      </c>
      <c r="G2494" s="41">
        <v>45968</v>
      </c>
      <c r="H2494" s="1" t="s">
        <v>4074</v>
      </c>
      <c r="I2494" s="1" t="s">
        <v>3316</v>
      </c>
      <c r="J2494" t="str">
        <f>IF(ISNA(_xlfn.XLOOKUP(B2494,customer_master!$A$2:$A$1649, customer_master!$A$2:$A$1649)), "Invalid", "Ok")</f>
        <v>Ok</v>
      </c>
      <c r="K2494" t="str">
        <f>IF(ISNA(_xlfn.XLOOKUP(H2494,agent_info!$A$2:$A$301, agent_info!$A$2:$A$301)), "Invalid", "Ok")</f>
        <v>Ok</v>
      </c>
    </row>
    <row r="2495" spans="1:11" x14ac:dyDescent="0.3">
      <c r="A2495" s="1" t="s">
        <v>6114</v>
      </c>
      <c r="B2495" s="1" t="s">
        <v>288</v>
      </c>
      <c r="C2495" s="1" t="s">
        <v>3314</v>
      </c>
      <c r="D2495" s="1">
        <v>581741.94999999995</v>
      </c>
      <c r="E2495" s="1">
        <v>31299.360000000001</v>
      </c>
      <c r="F2495" s="41">
        <v>45073</v>
      </c>
      <c r="G2495" s="41">
        <v>45439</v>
      </c>
      <c r="H2495" s="1" t="s">
        <v>3402</v>
      </c>
      <c r="I2495" s="1" t="s">
        <v>3324</v>
      </c>
      <c r="J2495" t="str">
        <f>IF(ISNA(_xlfn.XLOOKUP(B2495,customer_master!$A$2:$A$1649, customer_master!$A$2:$A$1649)), "Invalid", "Ok")</f>
        <v>Ok</v>
      </c>
      <c r="K2495" t="str">
        <f>IF(ISNA(_xlfn.XLOOKUP(H2495,agent_info!$A$2:$A$301, agent_info!$A$2:$A$301)), "Invalid", "Ok")</f>
        <v>Ok</v>
      </c>
    </row>
    <row r="2496" spans="1:11" x14ac:dyDescent="0.3">
      <c r="A2496" s="1" t="s">
        <v>6115</v>
      </c>
      <c r="B2496" s="1" t="s">
        <v>2194</v>
      </c>
      <c r="C2496" s="1" t="s">
        <v>3318</v>
      </c>
      <c r="D2496" s="1">
        <v>636012.14</v>
      </c>
      <c r="E2496" s="1">
        <v>29897.96</v>
      </c>
      <c r="F2496" s="41">
        <v>45937</v>
      </c>
      <c r="G2496" s="41">
        <v>46302</v>
      </c>
      <c r="H2496" s="1" t="s">
        <v>4179</v>
      </c>
      <c r="I2496" s="1" t="s">
        <v>3324</v>
      </c>
      <c r="J2496" t="str">
        <f>IF(ISNA(_xlfn.XLOOKUP(B2496,customer_master!$A$2:$A$1649, customer_master!$A$2:$A$1649)), "Invalid", "Ok")</f>
        <v>Ok</v>
      </c>
      <c r="K2496" t="str">
        <f>IF(ISNA(_xlfn.XLOOKUP(H2496,agent_info!$A$2:$A$301, agent_info!$A$2:$A$301)), "Invalid", "Ok")</f>
        <v>Ok</v>
      </c>
    </row>
    <row r="2497" spans="1:11" x14ac:dyDescent="0.3">
      <c r="A2497" s="1" t="s">
        <v>6116</v>
      </c>
      <c r="B2497" s="1" t="s">
        <v>923</v>
      </c>
      <c r="C2497" s="1" t="s">
        <v>3334</v>
      </c>
      <c r="D2497" s="1">
        <v>536087.97</v>
      </c>
      <c r="E2497" s="1">
        <v>25751.85</v>
      </c>
      <c r="F2497" s="41">
        <v>46196</v>
      </c>
      <c r="G2497" s="41">
        <v>46561</v>
      </c>
      <c r="H2497" s="1" t="s">
        <v>3785</v>
      </c>
      <c r="I2497" s="1" t="s">
        <v>3316</v>
      </c>
      <c r="J2497" t="str">
        <f>IF(ISNA(_xlfn.XLOOKUP(B2497,customer_master!$A$2:$A$1649, customer_master!$A$2:$A$1649)), "Invalid", "Ok")</f>
        <v>Ok</v>
      </c>
      <c r="K2497" t="str">
        <f>IF(ISNA(_xlfn.XLOOKUP(H2497,agent_info!$A$2:$A$301, agent_info!$A$2:$A$301)), "Invalid", "Ok")</f>
        <v>Ok</v>
      </c>
    </row>
    <row r="2498" spans="1:11" x14ac:dyDescent="0.3">
      <c r="A2498" s="1" t="s">
        <v>6117</v>
      </c>
      <c r="B2498" s="1" t="s">
        <v>453</v>
      </c>
      <c r="C2498" s="1" t="s">
        <v>3318</v>
      </c>
      <c r="D2498" s="1">
        <v>581122.06999999995</v>
      </c>
      <c r="E2498" s="1">
        <v>30127</v>
      </c>
      <c r="F2498" s="41">
        <v>44343</v>
      </c>
      <c r="G2498" s="41">
        <v>44708</v>
      </c>
      <c r="H2498" s="1" t="s">
        <v>3976</v>
      </c>
      <c r="I2498" s="1" t="s">
        <v>3324</v>
      </c>
      <c r="J2498" t="str">
        <f>IF(ISNA(_xlfn.XLOOKUP(B2498,customer_master!$A$2:$A$1649, customer_master!$A$2:$A$1649)), "Invalid", "Ok")</f>
        <v>Ok</v>
      </c>
      <c r="K2498" t="str">
        <f>IF(ISNA(_xlfn.XLOOKUP(H2498,agent_info!$A$2:$A$301, agent_info!$A$2:$A$301)), "Invalid", "Ok")</f>
        <v>Ok</v>
      </c>
    </row>
    <row r="2499" spans="1:11" x14ac:dyDescent="0.3">
      <c r="A2499" s="1" t="s">
        <v>6118</v>
      </c>
      <c r="B2499" s="1" t="s">
        <v>526</v>
      </c>
      <c r="C2499" s="1" t="s">
        <v>3314</v>
      </c>
      <c r="D2499" s="1">
        <v>677546.22</v>
      </c>
      <c r="E2499" s="1">
        <v>30901.01</v>
      </c>
      <c r="F2499" s="41">
        <v>44896</v>
      </c>
      <c r="G2499" s="41">
        <v>45261</v>
      </c>
      <c r="H2499" s="1" t="s">
        <v>3532</v>
      </c>
      <c r="I2499" s="1" t="s">
        <v>3324</v>
      </c>
      <c r="J2499" t="str">
        <f>IF(ISNA(_xlfn.XLOOKUP(B2499,customer_master!$A$2:$A$1649, customer_master!$A$2:$A$1649)), "Invalid", "Ok")</f>
        <v>Ok</v>
      </c>
      <c r="K2499" t="str">
        <f>IF(ISNA(_xlfn.XLOOKUP(H2499,agent_info!$A$2:$A$301, agent_info!$A$2:$A$301)), "Invalid", "Ok")</f>
        <v>Ok</v>
      </c>
    </row>
    <row r="2500" spans="1:11" x14ac:dyDescent="0.3">
      <c r="A2500" s="1" t="s">
        <v>6119</v>
      </c>
      <c r="B2500" s="1" t="s">
        <v>3112</v>
      </c>
      <c r="C2500" s="1" t="s">
        <v>3326</v>
      </c>
      <c r="D2500" s="1">
        <v>436151.45</v>
      </c>
      <c r="E2500" s="1">
        <v>23760.03</v>
      </c>
      <c r="F2500" s="41">
        <v>45431</v>
      </c>
      <c r="G2500" s="41">
        <v>45796</v>
      </c>
      <c r="H2500" s="1" t="s">
        <v>3492</v>
      </c>
      <c r="I2500" s="1" t="s">
        <v>3316</v>
      </c>
      <c r="J2500" t="str">
        <f>IF(ISNA(_xlfn.XLOOKUP(B2500,customer_master!$A$2:$A$1649, customer_master!$A$2:$A$1649)), "Invalid", "Ok")</f>
        <v>Ok</v>
      </c>
      <c r="K2500" t="str">
        <f>IF(ISNA(_xlfn.XLOOKUP(H2500,agent_info!$A$2:$A$301, agent_info!$A$2:$A$301)), "Invalid", "Ok")</f>
        <v>Ok</v>
      </c>
    </row>
    <row r="2501" spans="1:11" x14ac:dyDescent="0.3">
      <c r="A2501" s="1" t="s">
        <v>6120</v>
      </c>
      <c r="B2501" s="1" t="s">
        <v>2286</v>
      </c>
      <c r="C2501" s="1" t="s">
        <v>3318</v>
      </c>
      <c r="D2501" s="1">
        <v>452075.87</v>
      </c>
      <c r="E2501" s="1">
        <v>20447.43</v>
      </c>
      <c r="F2501" s="41">
        <v>44141</v>
      </c>
      <c r="G2501" s="41">
        <v>44506</v>
      </c>
      <c r="H2501" s="1" t="s">
        <v>3698</v>
      </c>
      <c r="I2501" s="1" t="s">
        <v>3324</v>
      </c>
      <c r="J2501" t="str">
        <f>IF(ISNA(_xlfn.XLOOKUP(B2501,customer_master!$A$2:$A$1649, customer_master!$A$2:$A$1649)), "Invalid", "Ok")</f>
        <v>Ok</v>
      </c>
      <c r="K2501" t="str">
        <f>IF(ISNA(_xlfn.XLOOKUP(H2501,agent_info!$A$2:$A$301, agent_info!$A$2:$A$301)), "Invalid", "Ok")</f>
        <v>Ok</v>
      </c>
    </row>
    <row r="2502" spans="1:11" x14ac:dyDescent="0.3">
      <c r="A2502" s="1" t="s">
        <v>6121</v>
      </c>
      <c r="B2502" s="1" t="s">
        <v>200</v>
      </c>
      <c r="C2502" s="1" t="s">
        <v>3326</v>
      </c>
      <c r="D2502" s="1">
        <v>631972.23</v>
      </c>
      <c r="E2502" s="1">
        <v>33805.1</v>
      </c>
      <c r="F2502" s="41">
        <v>44181</v>
      </c>
      <c r="G2502" s="41">
        <v>44546</v>
      </c>
      <c r="H2502" s="1" t="s">
        <v>4306</v>
      </c>
      <c r="I2502" s="1" t="s">
        <v>3324</v>
      </c>
      <c r="J2502" t="str">
        <f>IF(ISNA(_xlfn.XLOOKUP(B2502,customer_master!$A$2:$A$1649, customer_master!$A$2:$A$1649)), "Invalid", "Ok")</f>
        <v>Ok</v>
      </c>
      <c r="K2502" t="str">
        <f>IF(ISNA(_xlfn.XLOOKUP(H2502,agent_info!$A$2:$A$301, agent_info!$A$2:$A$301)), "Invalid", "Ok")</f>
        <v>Ok</v>
      </c>
    </row>
    <row r="2503" spans="1:11" x14ac:dyDescent="0.3">
      <c r="A2503" s="1" t="s">
        <v>6122</v>
      </c>
      <c r="B2503" s="1" t="s">
        <v>3265</v>
      </c>
      <c r="C2503" s="1" t="s">
        <v>3331</v>
      </c>
      <c r="D2503" s="1">
        <v>395624.51</v>
      </c>
      <c r="E2503" s="1">
        <v>19230.939999999999</v>
      </c>
      <c r="F2503" s="41">
        <v>44099</v>
      </c>
      <c r="G2503" s="41">
        <v>44464</v>
      </c>
      <c r="H2503" s="1" t="s">
        <v>3445</v>
      </c>
      <c r="I2503" s="1" t="s">
        <v>3316</v>
      </c>
      <c r="J2503" t="str">
        <f>IF(ISNA(_xlfn.XLOOKUP(B2503,customer_master!$A$2:$A$1649, customer_master!$A$2:$A$1649)), "Invalid", "Ok")</f>
        <v>Ok</v>
      </c>
      <c r="K2503" t="str">
        <f>IF(ISNA(_xlfn.XLOOKUP(H2503,agent_info!$A$2:$A$301, agent_info!$A$2:$A$301)), "Invalid", "Ok")</f>
        <v>Ok</v>
      </c>
    </row>
    <row r="2504" spans="1:11" x14ac:dyDescent="0.3">
      <c r="A2504" s="1" t="s">
        <v>6123</v>
      </c>
      <c r="B2504" s="1" t="s">
        <v>2676</v>
      </c>
      <c r="C2504" s="1" t="s">
        <v>3326</v>
      </c>
      <c r="D2504" s="1">
        <v>402708.8</v>
      </c>
      <c r="E2504" s="1">
        <v>18726.12</v>
      </c>
      <c r="F2504" s="41">
        <v>44307</v>
      </c>
      <c r="G2504" s="41">
        <v>44672</v>
      </c>
      <c r="H2504" s="1" t="s">
        <v>3466</v>
      </c>
      <c r="I2504" s="1" t="s">
        <v>3324</v>
      </c>
      <c r="J2504" t="str">
        <f>IF(ISNA(_xlfn.XLOOKUP(B2504,customer_master!$A$2:$A$1649, customer_master!$A$2:$A$1649)), "Invalid", "Ok")</f>
        <v>Ok</v>
      </c>
      <c r="K2504" t="str">
        <f>IF(ISNA(_xlfn.XLOOKUP(H2504,agent_info!$A$2:$A$301, agent_info!$A$2:$A$301)), "Invalid", "Ok")</f>
        <v>Ok</v>
      </c>
    </row>
    <row r="2505" spans="1:11" x14ac:dyDescent="0.3">
      <c r="A2505" s="1" t="s">
        <v>6124</v>
      </c>
      <c r="B2505" s="1" t="s">
        <v>1043</v>
      </c>
      <c r="C2505" s="1" t="s">
        <v>3334</v>
      </c>
      <c r="D2505" s="1">
        <v>389757.35</v>
      </c>
      <c r="E2505" s="1">
        <v>19010.38</v>
      </c>
      <c r="F2505" s="41">
        <v>44784</v>
      </c>
      <c r="G2505" s="41">
        <v>45149</v>
      </c>
      <c r="H2505" s="1" t="s">
        <v>3447</v>
      </c>
      <c r="I2505" s="1" t="s">
        <v>3324</v>
      </c>
      <c r="J2505" t="str">
        <f>IF(ISNA(_xlfn.XLOOKUP(B2505,customer_master!$A$2:$A$1649, customer_master!$A$2:$A$1649)), "Invalid", "Ok")</f>
        <v>Ok</v>
      </c>
      <c r="K2505" t="str">
        <f>IF(ISNA(_xlfn.XLOOKUP(H2505,agent_info!$A$2:$A$301, agent_info!$A$2:$A$301)), "Invalid", "Ok")</f>
        <v>Ok</v>
      </c>
    </row>
    <row r="2506" spans="1:11" x14ac:dyDescent="0.3">
      <c r="A2506" s="1" t="s">
        <v>6125</v>
      </c>
      <c r="B2506" s="1" t="s">
        <v>1578</v>
      </c>
      <c r="C2506" s="1" t="s">
        <v>3331</v>
      </c>
      <c r="D2506" s="1">
        <v>593379.30000000005</v>
      </c>
      <c r="E2506" s="1">
        <v>32474.71</v>
      </c>
      <c r="F2506" s="41">
        <v>45584</v>
      </c>
      <c r="G2506" s="41">
        <v>45949</v>
      </c>
      <c r="H2506" s="1" t="s">
        <v>4309</v>
      </c>
      <c r="I2506" s="1" t="s">
        <v>3316</v>
      </c>
      <c r="J2506" t="str">
        <f>IF(ISNA(_xlfn.XLOOKUP(B2506,customer_master!$A$2:$A$1649, customer_master!$A$2:$A$1649)), "Invalid", "Ok")</f>
        <v>Ok</v>
      </c>
      <c r="K2506" t="str">
        <f>IF(ISNA(_xlfn.XLOOKUP(H2506,agent_info!$A$2:$A$301, agent_info!$A$2:$A$301)), "Invalid", "Ok")</f>
        <v>Ok</v>
      </c>
    </row>
    <row r="2507" spans="1:11" x14ac:dyDescent="0.3">
      <c r="A2507" s="1" t="s">
        <v>6126</v>
      </c>
      <c r="B2507" s="1" t="s">
        <v>2432</v>
      </c>
      <c r="C2507" s="1" t="s">
        <v>3331</v>
      </c>
      <c r="D2507" s="1">
        <v>610432.71</v>
      </c>
      <c r="E2507" s="1">
        <v>30698.53</v>
      </c>
      <c r="F2507" s="41">
        <v>45032</v>
      </c>
      <c r="G2507" s="41">
        <v>45398</v>
      </c>
      <c r="H2507" s="1" t="s">
        <v>4524</v>
      </c>
      <c r="I2507" s="1" t="s">
        <v>3320</v>
      </c>
      <c r="J2507" t="str">
        <f>IF(ISNA(_xlfn.XLOOKUP(B2507,customer_master!$A$2:$A$1649, customer_master!$A$2:$A$1649)), "Invalid", "Ok")</f>
        <v>Ok</v>
      </c>
      <c r="K2507" t="str">
        <f>IF(ISNA(_xlfn.XLOOKUP(H2507,agent_info!$A$2:$A$301, agent_info!$A$2:$A$301)), "Invalid", "Ok")</f>
        <v>Ok</v>
      </c>
    </row>
    <row r="2508" spans="1:11" x14ac:dyDescent="0.3">
      <c r="A2508" s="1" t="s">
        <v>6127</v>
      </c>
      <c r="B2508" s="1" t="s">
        <v>2260</v>
      </c>
      <c r="C2508" s="1" t="s">
        <v>3334</v>
      </c>
      <c r="D2508" s="1">
        <v>589446.81999999995</v>
      </c>
      <c r="E2508" s="1">
        <v>26874.53</v>
      </c>
      <c r="F2508" s="41">
        <v>44450</v>
      </c>
      <c r="G2508" s="41">
        <v>44815</v>
      </c>
      <c r="H2508" s="1" t="s">
        <v>3548</v>
      </c>
      <c r="I2508" s="1" t="s">
        <v>3324</v>
      </c>
      <c r="J2508" t="str">
        <f>IF(ISNA(_xlfn.XLOOKUP(B2508,customer_master!$A$2:$A$1649, customer_master!$A$2:$A$1649)), "Invalid", "Ok")</f>
        <v>Ok</v>
      </c>
      <c r="K2508" t="str">
        <f>IF(ISNA(_xlfn.XLOOKUP(H2508,agent_info!$A$2:$A$301, agent_info!$A$2:$A$301)), "Invalid", "Ok")</f>
        <v>Ok</v>
      </c>
    </row>
    <row r="2509" spans="1:11" x14ac:dyDescent="0.3">
      <c r="A2509" s="1" t="s">
        <v>6128</v>
      </c>
      <c r="B2509" s="1" t="s">
        <v>1557</v>
      </c>
      <c r="C2509" s="1" t="s">
        <v>3318</v>
      </c>
      <c r="D2509" s="1">
        <v>534593.68999999994</v>
      </c>
      <c r="E2509" s="1">
        <v>29090.14</v>
      </c>
      <c r="F2509" s="41">
        <v>44496</v>
      </c>
      <c r="G2509" s="41">
        <v>44861</v>
      </c>
      <c r="H2509" s="1" t="s">
        <v>3400</v>
      </c>
      <c r="I2509" s="1" t="s">
        <v>3324</v>
      </c>
      <c r="J2509" t="str">
        <f>IF(ISNA(_xlfn.XLOOKUP(B2509,customer_master!$A$2:$A$1649, customer_master!$A$2:$A$1649)), "Invalid", "Ok")</f>
        <v>Ok</v>
      </c>
      <c r="K2509" t="str">
        <f>IF(ISNA(_xlfn.XLOOKUP(H2509,agent_info!$A$2:$A$301, agent_info!$A$2:$A$301)), "Invalid", "Ok")</f>
        <v>Ok</v>
      </c>
    </row>
    <row r="2510" spans="1:11" x14ac:dyDescent="0.3">
      <c r="A2510" s="1" t="s">
        <v>6129</v>
      </c>
      <c r="B2510" s="1" t="s">
        <v>1721</v>
      </c>
      <c r="C2510" s="1" t="s">
        <v>3326</v>
      </c>
      <c r="D2510" s="1">
        <v>535160.18999999994</v>
      </c>
      <c r="E2510" s="1">
        <v>24850.49</v>
      </c>
      <c r="F2510" s="41">
        <v>46054</v>
      </c>
      <c r="G2510" s="41">
        <v>46419</v>
      </c>
      <c r="H2510" s="1" t="s">
        <v>3365</v>
      </c>
      <c r="I2510" s="1" t="s">
        <v>3324</v>
      </c>
      <c r="J2510" t="str">
        <f>IF(ISNA(_xlfn.XLOOKUP(B2510,customer_master!$A$2:$A$1649, customer_master!$A$2:$A$1649)), "Invalid", "Ok")</f>
        <v>Ok</v>
      </c>
      <c r="K2510" t="str">
        <f>IF(ISNA(_xlfn.XLOOKUP(H2510,agent_info!$A$2:$A$301, agent_info!$A$2:$A$301)), "Invalid", "Ok")</f>
        <v>Ok</v>
      </c>
    </row>
    <row r="2511" spans="1:11" x14ac:dyDescent="0.3">
      <c r="A2511" s="1" t="s">
        <v>6130</v>
      </c>
      <c r="B2511" s="1" t="s">
        <v>180</v>
      </c>
      <c r="C2511" s="1" t="s">
        <v>3318</v>
      </c>
      <c r="D2511" s="1">
        <v>451308.49</v>
      </c>
      <c r="E2511" s="1">
        <v>20555.689999999999</v>
      </c>
      <c r="F2511" s="41">
        <v>44885</v>
      </c>
      <c r="G2511" s="41">
        <v>45250</v>
      </c>
      <c r="H2511" s="1" t="s">
        <v>4511</v>
      </c>
      <c r="I2511" s="1" t="s">
        <v>3320</v>
      </c>
      <c r="J2511" t="str">
        <f>IF(ISNA(_xlfn.XLOOKUP(B2511,customer_master!$A$2:$A$1649, customer_master!$A$2:$A$1649)), "Invalid", "Ok")</f>
        <v>Ok</v>
      </c>
      <c r="K2511" t="str">
        <f>IF(ISNA(_xlfn.XLOOKUP(H2511,agent_info!$A$2:$A$301, agent_info!$A$2:$A$301)), "Invalid", "Ok")</f>
        <v>Ok</v>
      </c>
    </row>
    <row r="2512" spans="1:11" x14ac:dyDescent="0.3">
      <c r="A2512" s="1" t="s">
        <v>6131</v>
      </c>
      <c r="B2512" s="1" t="s">
        <v>1682</v>
      </c>
      <c r="C2512" s="1" t="s">
        <v>3326</v>
      </c>
      <c r="D2512" s="1">
        <v>639184.94999999995</v>
      </c>
      <c r="E2512" s="1">
        <v>29053.68</v>
      </c>
      <c r="F2512" s="41">
        <v>46056</v>
      </c>
      <c r="G2512" s="41">
        <v>46421</v>
      </c>
      <c r="H2512" s="1" t="s">
        <v>3494</v>
      </c>
      <c r="I2512" s="1" t="s">
        <v>3324</v>
      </c>
      <c r="J2512" t="str">
        <f>IF(ISNA(_xlfn.XLOOKUP(B2512,customer_master!$A$2:$A$1649, customer_master!$A$2:$A$1649)), "Invalid", "Ok")</f>
        <v>Ok</v>
      </c>
      <c r="K2512" t="str">
        <f>IF(ISNA(_xlfn.XLOOKUP(H2512,agent_info!$A$2:$A$301, agent_info!$A$2:$A$301)), "Invalid", "Ok")</f>
        <v>Ok</v>
      </c>
    </row>
    <row r="2513" spans="1:11" x14ac:dyDescent="0.3">
      <c r="A2513" s="1" t="s">
        <v>6132</v>
      </c>
      <c r="B2513" s="1" t="s">
        <v>1153</v>
      </c>
      <c r="C2513" s="1" t="s">
        <v>3314</v>
      </c>
      <c r="D2513" s="1">
        <v>762597.61</v>
      </c>
      <c r="E2513" s="1">
        <v>40618.5</v>
      </c>
      <c r="F2513" s="41">
        <v>46246</v>
      </c>
      <c r="G2513" s="41">
        <v>46611</v>
      </c>
      <c r="H2513" s="1" t="s">
        <v>4055</v>
      </c>
      <c r="I2513" s="1" t="s">
        <v>3324</v>
      </c>
      <c r="J2513" t="str">
        <f>IF(ISNA(_xlfn.XLOOKUP(B2513,customer_master!$A$2:$A$1649, customer_master!$A$2:$A$1649)), "Invalid", "Ok")</f>
        <v>Ok</v>
      </c>
      <c r="K2513" t="str">
        <f>IF(ISNA(_xlfn.XLOOKUP(H2513,agent_info!$A$2:$A$301, agent_info!$A$2:$A$301)), "Invalid", "Ok")</f>
        <v>Ok</v>
      </c>
    </row>
    <row r="2514" spans="1:11" x14ac:dyDescent="0.3">
      <c r="A2514" s="1" t="s">
        <v>6133</v>
      </c>
      <c r="B2514" s="1" t="s">
        <v>960</v>
      </c>
      <c r="C2514" s="1" t="s">
        <v>3326</v>
      </c>
      <c r="D2514" s="1">
        <v>539218.01</v>
      </c>
      <c r="E2514" s="1">
        <v>25089.919999999998</v>
      </c>
      <c r="F2514" s="41">
        <v>46124</v>
      </c>
      <c r="G2514" s="41">
        <v>46489</v>
      </c>
      <c r="H2514" s="1" t="s">
        <v>3393</v>
      </c>
      <c r="I2514" s="1" t="s">
        <v>3324</v>
      </c>
      <c r="J2514" t="str">
        <f>IF(ISNA(_xlfn.XLOOKUP(B2514,customer_master!$A$2:$A$1649, customer_master!$A$2:$A$1649)), "Invalid", "Ok")</f>
        <v>Ok</v>
      </c>
      <c r="K2514" t="str">
        <f>IF(ISNA(_xlfn.XLOOKUP(H2514,agent_info!$A$2:$A$301, agent_info!$A$2:$A$301)), "Invalid", "Ok")</f>
        <v>Ok</v>
      </c>
    </row>
    <row r="2515" spans="1:11" x14ac:dyDescent="0.3">
      <c r="A2515" s="1" t="s">
        <v>6134</v>
      </c>
      <c r="B2515" s="1" t="s">
        <v>915</v>
      </c>
      <c r="C2515" s="1" t="s">
        <v>3331</v>
      </c>
      <c r="D2515" s="1">
        <v>524316.64</v>
      </c>
      <c r="E2515" s="1">
        <v>24532.69</v>
      </c>
      <c r="F2515" s="41">
        <v>45979</v>
      </c>
      <c r="G2515" s="41">
        <v>46344</v>
      </c>
      <c r="H2515" s="1" t="s">
        <v>3607</v>
      </c>
      <c r="I2515" s="1" t="s">
        <v>3324</v>
      </c>
      <c r="J2515" t="str">
        <f>IF(ISNA(_xlfn.XLOOKUP(B2515,customer_master!$A$2:$A$1649, customer_master!$A$2:$A$1649)), "Invalid", "Ok")</f>
        <v>Ok</v>
      </c>
      <c r="K2515" t="str">
        <f>IF(ISNA(_xlfn.XLOOKUP(H2515,agent_info!$A$2:$A$301, agent_info!$A$2:$A$301)), "Invalid", "Ok")</f>
        <v>Ok</v>
      </c>
    </row>
    <row r="2516" spans="1:11" x14ac:dyDescent="0.3">
      <c r="A2516" s="1" t="s">
        <v>6135</v>
      </c>
      <c r="B2516" s="1" t="s">
        <v>2170</v>
      </c>
      <c r="C2516" s="1" t="s">
        <v>3318</v>
      </c>
      <c r="D2516" s="1">
        <v>677293.87</v>
      </c>
      <c r="E2516" s="1">
        <v>36872.660000000003</v>
      </c>
      <c r="F2516" s="41">
        <v>44646</v>
      </c>
      <c r="G2516" s="41">
        <v>45011</v>
      </c>
      <c r="H2516" s="1" t="s">
        <v>3862</v>
      </c>
      <c r="I2516" s="1" t="s">
        <v>3316</v>
      </c>
      <c r="J2516" t="str">
        <f>IF(ISNA(_xlfn.XLOOKUP(B2516,customer_master!$A$2:$A$1649, customer_master!$A$2:$A$1649)), "Invalid", "Ok")</f>
        <v>Ok</v>
      </c>
      <c r="K2516" t="str">
        <f>IF(ISNA(_xlfn.XLOOKUP(H2516,agent_info!$A$2:$A$301, agent_info!$A$2:$A$301)), "Invalid", "Ok")</f>
        <v>Ok</v>
      </c>
    </row>
    <row r="2517" spans="1:11" x14ac:dyDescent="0.3">
      <c r="A2517" s="1" t="s">
        <v>6136</v>
      </c>
      <c r="B2517" s="1" t="s">
        <v>1445</v>
      </c>
      <c r="C2517" s="1" t="s">
        <v>3334</v>
      </c>
      <c r="D2517" s="1">
        <v>459332.69</v>
      </c>
      <c r="E2517" s="1">
        <v>23479.3</v>
      </c>
      <c r="F2517" s="41">
        <v>45797</v>
      </c>
      <c r="G2517" s="41">
        <v>46162</v>
      </c>
      <c r="H2517" s="1" t="s">
        <v>4067</v>
      </c>
      <c r="I2517" s="1" t="s">
        <v>3316</v>
      </c>
      <c r="J2517" t="str">
        <f>IF(ISNA(_xlfn.XLOOKUP(B2517,customer_master!$A$2:$A$1649, customer_master!$A$2:$A$1649)), "Invalid", "Ok")</f>
        <v>Ok</v>
      </c>
      <c r="K2517" t="str">
        <f>IF(ISNA(_xlfn.XLOOKUP(H2517,agent_info!$A$2:$A$301, agent_info!$A$2:$A$301)), "Invalid", "Ok")</f>
        <v>Ok</v>
      </c>
    </row>
    <row r="2518" spans="1:11" x14ac:dyDescent="0.3">
      <c r="A2518" s="1" t="s">
        <v>6137</v>
      </c>
      <c r="B2518" s="1" t="s">
        <v>1437</v>
      </c>
      <c r="C2518" s="1" t="s">
        <v>3318</v>
      </c>
      <c r="D2518" s="1">
        <v>499252.41</v>
      </c>
      <c r="E2518" s="1">
        <v>23891.32</v>
      </c>
      <c r="F2518" s="41">
        <v>44319</v>
      </c>
      <c r="G2518" s="41">
        <v>44684</v>
      </c>
      <c r="H2518" s="1" t="s">
        <v>3723</v>
      </c>
      <c r="I2518" s="1" t="s">
        <v>3324</v>
      </c>
      <c r="J2518" t="str">
        <f>IF(ISNA(_xlfn.XLOOKUP(B2518,customer_master!$A$2:$A$1649, customer_master!$A$2:$A$1649)), "Invalid", "Ok")</f>
        <v>Ok</v>
      </c>
      <c r="K2518" t="str">
        <f>IF(ISNA(_xlfn.XLOOKUP(H2518,agent_info!$A$2:$A$301, agent_info!$A$2:$A$301)), "Invalid", "Ok")</f>
        <v>Ok</v>
      </c>
    </row>
    <row r="2519" spans="1:11" x14ac:dyDescent="0.3">
      <c r="A2519" s="1" t="s">
        <v>6138</v>
      </c>
      <c r="B2519" s="1" t="s">
        <v>562</v>
      </c>
      <c r="C2519" s="1" t="s">
        <v>3326</v>
      </c>
      <c r="D2519" s="1">
        <v>678993.2</v>
      </c>
      <c r="E2519" s="1">
        <v>34536.68</v>
      </c>
      <c r="F2519" s="41">
        <v>46153</v>
      </c>
      <c r="G2519" s="41">
        <v>46518</v>
      </c>
      <c r="H2519" s="1" t="s">
        <v>4106</v>
      </c>
      <c r="I2519" s="1" t="s">
        <v>3316</v>
      </c>
      <c r="J2519" t="str">
        <f>IF(ISNA(_xlfn.XLOOKUP(B2519,customer_master!$A$2:$A$1649, customer_master!$A$2:$A$1649)), "Invalid", "Ok")</f>
        <v>Ok</v>
      </c>
      <c r="K2519" t="str">
        <f>IF(ISNA(_xlfn.XLOOKUP(H2519,agent_info!$A$2:$A$301, agent_info!$A$2:$A$301)), "Invalid", "Ok")</f>
        <v>Ok</v>
      </c>
    </row>
    <row r="2520" spans="1:11" x14ac:dyDescent="0.3">
      <c r="A2520" s="1" t="s">
        <v>6139</v>
      </c>
      <c r="B2520" s="1" t="s">
        <v>3192</v>
      </c>
      <c r="C2520" s="1" t="s">
        <v>3318</v>
      </c>
      <c r="D2520" s="1">
        <v>448419.2</v>
      </c>
      <c r="E2520" s="1">
        <v>21268.94</v>
      </c>
      <c r="F2520" s="41">
        <v>44241</v>
      </c>
      <c r="G2520" s="41">
        <v>44606</v>
      </c>
      <c r="H2520" s="1" t="s">
        <v>3335</v>
      </c>
      <c r="I2520" s="1" t="s">
        <v>3316</v>
      </c>
      <c r="J2520" t="str">
        <f>IF(ISNA(_xlfn.XLOOKUP(B2520,customer_master!$A$2:$A$1649, customer_master!$A$2:$A$1649)), "Invalid", "Ok")</f>
        <v>Ok</v>
      </c>
      <c r="K2520" t="str">
        <f>IF(ISNA(_xlfn.XLOOKUP(H2520,agent_info!$A$2:$A$301, agent_info!$A$2:$A$301)), "Invalid", "Ok")</f>
        <v>Ok</v>
      </c>
    </row>
    <row r="2521" spans="1:11" x14ac:dyDescent="0.3">
      <c r="A2521" s="1" t="s">
        <v>6140</v>
      </c>
      <c r="B2521" s="1" t="s">
        <v>791</v>
      </c>
      <c r="C2521" s="1" t="s">
        <v>3331</v>
      </c>
      <c r="D2521" s="1">
        <v>424272.09</v>
      </c>
      <c r="E2521" s="1">
        <v>21189.27</v>
      </c>
      <c r="F2521" s="41">
        <v>44798</v>
      </c>
      <c r="G2521" s="41">
        <v>45163</v>
      </c>
      <c r="H2521" s="1" t="s">
        <v>3361</v>
      </c>
      <c r="I2521" s="1" t="s">
        <v>3320</v>
      </c>
      <c r="J2521" t="str">
        <f>IF(ISNA(_xlfn.XLOOKUP(B2521,customer_master!$A$2:$A$1649, customer_master!$A$2:$A$1649)), "Invalid", "Ok")</f>
        <v>Ok</v>
      </c>
      <c r="K2521" t="str">
        <f>IF(ISNA(_xlfn.XLOOKUP(H2521,agent_info!$A$2:$A$301, agent_info!$A$2:$A$301)), "Invalid", "Ok")</f>
        <v>Ok</v>
      </c>
    </row>
    <row r="2522" spans="1:11" x14ac:dyDescent="0.3">
      <c r="A2522" s="1" t="s">
        <v>6141</v>
      </c>
      <c r="B2522" s="1" t="s">
        <v>1378</v>
      </c>
      <c r="C2522" s="1" t="s">
        <v>3318</v>
      </c>
      <c r="D2522" s="1">
        <v>584521.69999999995</v>
      </c>
      <c r="E2522" s="1">
        <v>28259.42</v>
      </c>
      <c r="F2522" s="41">
        <v>45420</v>
      </c>
      <c r="G2522" s="41">
        <v>45785</v>
      </c>
      <c r="H2522" s="1" t="s">
        <v>3492</v>
      </c>
      <c r="I2522" s="1" t="s">
        <v>3320</v>
      </c>
      <c r="J2522" t="str">
        <f>IF(ISNA(_xlfn.XLOOKUP(B2522,customer_master!$A$2:$A$1649, customer_master!$A$2:$A$1649)), "Invalid", "Ok")</f>
        <v>Ok</v>
      </c>
      <c r="K2522" t="str">
        <f>IF(ISNA(_xlfn.XLOOKUP(H2522,agent_info!$A$2:$A$301, agent_info!$A$2:$A$301)), "Invalid", "Ok")</f>
        <v>Ok</v>
      </c>
    </row>
    <row r="2523" spans="1:11" x14ac:dyDescent="0.3">
      <c r="A2523" s="1" t="s">
        <v>6142</v>
      </c>
      <c r="B2523" s="1" t="s">
        <v>676</v>
      </c>
      <c r="C2523" s="1" t="s">
        <v>3334</v>
      </c>
      <c r="D2523" s="1">
        <v>611155.67000000004</v>
      </c>
      <c r="E2523" s="1">
        <v>31307.22</v>
      </c>
      <c r="F2523" s="41">
        <v>45857</v>
      </c>
      <c r="G2523" s="41">
        <v>46222</v>
      </c>
      <c r="H2523" s="1" t="s">
        <v>3885</v>
      </c>
      <c r="I2523" s="1" t="s">
        <v>3316</v>
      </c>
      <c r="J2523" t="str">
        <f>IF(ISNA(_xlfn.XLOOKUP(B2523,customer_master!$A$2:$A$1649, customer_master!$A$2:$A$1649)), "Invalid", "Ok")</f>
        <v>Ok</v>
      </c>
      <c r="K2523" t="str">
        <f>IF(ISNA(_xlfn.XLOOKUP(H2523,agent_info!$A$2:$A$301, agent_info!$A$2:$A$301)), "Invalid", "Ok")</f>
        <v>Ok</v>
      </c>
    </row>
    <row r="2524" spans="1:11" x14ac:dyDescent="0.3">
      <c r="A2524" s="1" t="s">
        <v>6143</v>
      </c>
      <c r="B2524" s="1" t="s">
        <v>2349</v>
      </c>
      <c r="C2524" s="1" t="s">
        <v>3318</v>
      </c>
      <c r="D2524" s="1">
        <v>603722.74</v>
      </c>
      <c r="E2524" s="1">
        <v>31748.62</v>
      </c>
      <c r="F2524" s="41">
        <v>44668</v>
      </c>
      <c r="G2524" s="41">
        <v>45033</v>
      </c>
      <c r="H2524" s="1" t="s">
        <v>3637</v>
      </c>
      <c r="I2524" s="1" t="s">
        <v>3316</v>
      </c>
      <c r="J2524" t="str">
        <f>IF(ISNA(_xlfn.XLOOKUP(B2524,customer_master!$A$2:$A$1649, customer_master!$A$2:$A$1649)), "Invalid", "Ok")</f>
        <v>Ok</v>
      </c>
      <c r="K2524" t="str">
        <f>IF(ISNA(_xlfn.XLOOKUP(H2524,agent_info!$A$2:$A$301, agent_info!$A$2:$A$301)), "Invalid", "Ok")</f>
        <v>Ok</v>
      </c>
    </row>
    <row r="2525" spans="1:11" x14ac:dyDescent="0.3">
      <c r="A2525" s="1" t="s">
        <v>6144</v>
      </c>
      <c r="B2525" s="1" t="s">
        <v>1457</v>
      </c>
      <c r="C2525" s="1" t="s">
        <v>3314</v>
      </c>
      <c r="D2525" s="1">
        <v>448324.12</v>
      </c>
      <c r="E2525" s="1">
        <v>21737.03</v>
      </c>
      <c r="F2525" s="41">
        <v>44450</v>
      </c>
      <c r="G2525" s="41">
        <v>44815</v>
      </c>
      <c r="H2525" s="1" t="s">
        <v>4058</v>
      </c>
      <c r="I2525" s="1" t="s">
        <v>3324</v>
      </c>
      <c r="J2525" t="str">
        <f>IF(ISNA(_xlfn.XLOOKUP(B2525,customer_master!$A$2:$A$1649, customer_master!$A$2:$A$1649)), "Invalid", "Ok")</f>
        <v>Ok</v>
      </c>
      <c r="K2525" t="str">
        <f>IF(ISNA(_xlfn.XLOOKUP(H2525,agent_info!$A$2:$A$301, agent_info!$A$2:$A$301)), "Invalid", "Ok")</f>
        <v>Ok</v>
      </c>
    </row>
    <row r="2526" spans="1:11" x14ac:dyDescent="0.3">
      <c r="A2526" s="1" t="s">
        <v>6145</v>
      </c>
      <c r="B2526" s="1" t="s">
        <v>1402</v>
      </c>
      <c r="C2526" s="1" t="s">
        <v>3331</v>
      </c>
      <c r="D2526" s="1">
        <v>656616.71</v>
      </c>
      <c r="E2526" s="1">
        <v>30492.71</v>
      </c>
      <c r="F2526" s="41">
        <v>44378</v>
      </c>
      <c r="G2526" s="41">
        <v>44743</v>
      </c>
      <c r="H2526" s="1" t="s">
        <v>3504</v>
      </c>
      <c r="I2526" s="1" t="s">
        <v>3316</v>
      </c>
      <c r="J2526" t="str">
        <f>IF(ISNA(_xlfn.XLOOKUP(B2526,customer_master!$A$2:$A$1649, customer_master!$A$2:$A$1649)), "Invalid", "Ok")</f>
        <v>Ok</v>
      </c>
      <c r="K2526" t="str">
        <f>IF(ISNA(_xlfn.XLOOKUP(H2526,agent_info!$A$2:$A$301, agent_info!$A$2:$A$301)), "Invalid", "Ok")</f>
        <v>Ok</v>
      </c>
    </row>
    <row r="2527" spans="1:11" x14ac:dyDescent="0.3">
      <c r="A2527" s="1" t="s">
        <v>6146</v>
      </c>
      <c r="B2527" s="1" t="s">
        <v>2907</v>
      </c>
      <c r="C2527" s="1" t="s">
        <v>3326</v>
      </c>
      <c r="D2527" s="1">
        <v>434798.39</v>
      </c>
      <c r="E2527" s="1">
        <v>21112.68</v>
      </c>
      <c r="F2527" s="41">
        <v>45086</v>
      </c>
      <c r="G2527" s="41">
        <v>45452</v>
      </c>
      <c r="H2527" s="1" t="s">
        <v>4545</v>
      </c>
      <c r="I2527" s="1" t="s">
        <v>3324</v>
      </c>
      <c r="J2527" t="str">
        <f>IF(ISNA(_xlfn.XLOOKUP(B2527,customer_master!$A$2:$A$1649, customer_master!$A$2:$A$1649)), "Invalid", "Ok")</f>
        <v>Ok</v>
      </c>
      <c r="K2527" t="str">
        <f>IF(ISNA(_xlfn.XLOOKUP(H2527,agent_info!$A$2:$A$301, agent_info!$A$2:$A$301)), "Invalid", "Ok")</f>
        <v>Ok</v>
      </c>
    </row>
    <row r="2528" spans="1:11" x14ac:dyDescent="0.3">
      <c r="A2528" s="1" t="s">
        <v>6147</v>
      </c>
      <c r="B2528" s="1" t="s">
        <v>2531</v>
      </c>
      <c r="C2528" s="1" t="s">
        <v>3334</v>
      </c>
      <c r="D2528" s="1">
        <v>750019.48</v>
      </c>
      <c r="E2528" s="1">
        <v>39437.19</v>
      </c>
      <c r="F2528" s="41">
        <v>44353</v>
      </c>
      <c r="G2528" s="41">
        <v>44718</v>
      </c>
      <c r="H2528" s="1" t="s">
        <v>3449</v>
      </c>
      <c r="I2528" s="1" t="s">
        <v>3316</v>
      </c>
      <c r="J2528" t="str">
        <f>IF(ISNA(_xlfn.XLOOKUP(B2528,customer_master!$A$2:$A$1649, customer_master!$A$2:$A$1649)), "Invalid", "Ok")</f>
        <v>Ok</v>
      </c>
      <c r="K2528" t="str">
        <f>IF(ISNA(_xlfn.XLOOKUP(H2528,agent_info!$A$2:$A$301, agent_info!$A$2:$A$301)), "Invalid", "Ok")</f>
        <v>Ok</v>
      </c>
    </row>
    <row r="2529" spans="1:11" x14ac:dyDescent="0.3">
      <c r="A2529" s="1" t="s">
        <v>6148</v>
      </c>
      <c r="B2529" s="1" t="s">
        <v>1743</v>
      </c>
      <c r="C2529" s="1" t="s">
        <v>3326</v>
      </c>
      <c r="D2529" s="1">
        <v>429785.01</v>
      </c>
      <c r="E2529" s="1">
        <v>22723.08</v>
      </c>
      <c r="F2529" s="41">
        <v>45966</v>
      </c>
      <c r="G2529" s="41">
        <v>46331</v>
      </c>
      <c r="H2529" s="1" t="s">
        <v>3443</v>
      </c>
      <c r="I2529" s="1" t="s">
        <v>3316</v>
      </c>
      <c r="J2529" t="str">
        <f>IF(ISNA(_xlfn.XLOOKUP(B2529,customer_master!$A$2:$A$1649, customer_master!$A$2:$A$1649)), "Invalid", "Ok")</f>
        <v>Ok</v>
      </c>
      <c r="K2529" t="str">
        <f>IF(ISNA(_xlfn.XLOOKUP(H2529,agent_info!$A$2:$A$301, agent_info!$A$2:$A$301)), "Invalid", "Ok")</f>
        <v>Ok</v>
      </c>
    </row>
    <row r="2530" spans="1:11" x14ac:dyDescent="0.3">
      <c r="A2530" s="1" t="s">
        <v>6149</v>
      </c>
      <c r="B2530" s="1" t="s">
        <v>1570</v>
      </c>
      <c r="C2530" s="1" t="s">
        <v>3334</v>
      </c>
      <c r="D2530" s="1">
        <v>391664.92</v>
      </c>
      <c r="E2530" s="1">
        <v>20701.650000000001</v>
      </c>
      <c r="F2530" s="41">
        <v>45727</v>
      </c>
      <c r="G2530" s="41">
        <v>46092</v>
      </c>
      <c r="H2530" s="1" t="s">
        <v>3557</v>
      </c>
      <c r="I2530" s="1" t="s">
        <v>3324</v>
      </c>
      <c r="J2530" t="str">
        <f>IF(ISNA(_xlfn.XLOOKUP(B2530,customer_master!$A$2:$A$1649, customer_master!$A$2:$A$1649)), "Invalid", "Ok")</f>
        <v>Ok</v>
      </c>
      <c r="K2530" t="str">
        <f>IF(ISNA(_xlfn.XLOOKUP(H2530,agent_info!$A$2:$A$301, agent_info!$A$2:$A$301)), "Invalid", "Ok")</f>
        <v>Ok</v>
      </c>
    </row>
    <row r="2531" spans="1:11" x14ac:dyDescent="0.3">
      <c r="A2531" s="1" t="s">
        <v>6150</v>
      </c>
      <c r="B2531" s="1" t="s">
        <v>3186</v>
      </c>
      <c r="C2531" s="1" t="s">
        <v>3331</v>
      </c>
      <c r="D2531" s="1">
        <v>598132.93999999994</v>
      </c>
      <c r="E2531" s="1">
        <v>32745.22</v>
      </c>
      <c r="F2531" s="41">
        <v>46023</v>
      </c>
      <c r="G2531" s="41">
        <v>46388</v>
      </c>
      <c r="H2531" s="1" t="s">
        <v>4438</v>
      </c>
      <c r="I2531" s="1" t="s">
        <v>3324</v>
      </c>
      <c r="J2531" t="str">
        <f>IF(ISNA(_xlfn.XLOOKUP(B2531,customer_master!$A$2:$A$1649, customer_master!$A$2:$A$1649)), "Invalid", "Ok")</f>
        <v>Ok</v>
      </c>
      <c r="K2531" t="str">
        <f>IF(ISNA(_xlfn.XLOOKUP(H2531,agent_info!$A$2:$A$301, agent_info!$A$2:$A$301)), "Invalid", "Ok")</f>
        <v>Ok</v>
      </c>
    </row>
    <row r="2532" spans="1:11" x14ac:dyDescent="0.3">
      <c r="A2532" s="1" t="s">
        <v>6151</v>
      </c>
      <c r="B2532" s="1" t="s">
        <v>3172</v>
      </c>
      <c r="C2532" s="1" t="s">
        <v>3314</v>
      </c>
      <c r="D2532" s="1">
        <v>463096.43</v>
      </c>
      <c r="E2532" s="1">
        <v>24658.880000000001</v>
      </c>
      <c r="F2532" s="41">
        <v>46194</v>
      </c>
      <c r="G2532" s="41">
        <v>46559</v>
      </c>
      <c r="H2532" s="1" t="s">
        <v>3931</v>
      </c>
      <c r="I2532" s="1" t="s">
        <v>3324</v>
      </c>
      <c r="J2532" t="str">
        <f>IF(ISNA(_xlfn.XLOOKUP(B2532,customer_master!$A$2:$A$1649, customer_master!$A$2:$A$1649)), "Invalid", "Ok")</f>
        <v>Ok</v>
      </c>
      <c r="K2532" t="str">
        <f>IF(ISNA(_xlfn.XLOOKUP(H2532,agent_info!$A$2:$A$301, agent_info!$A$2:$A$301)), "Invalid", "Ok")</f>
        <v>Ok</v>
      </c>
    </row>
    <row r="2533" spans="1:11" x14ac:dyDescent="0.3">
      <c r="A2533" s="1" t="s">
        <v>6152</v>
      </c>
      <c r="B2533" s="1" t="s">
        <v>2354</v>
      </c>
      <c r="C2533" s="1" t="s">
        <v>3318</v>
      </c>
      <c r="D2533" s="1">
        <v>615600.91</v>
      </c>
      <c r="E2533" s="1">
        <v>33664.589999999997</v>
      </c>
      <c r="F2533" s="41">
        <v>44982</v>
      </c>
      <c r="G2533" s="41">
        <v>45347</v>
      </c>
      <c r="H2533" s="1" t="s">
        <v>3543</v>
      </c>
      <c r="I2533" s="1" t="s">
        <v>3324</v>
      </c>
      <c r="J2533" t="str">
        <f>IF(ISNA(_xlfn.XLOOKUP(B2533,customer_master!$A$2:$A$1649, customer_master!$A$2:$A$1649)), "Invalid", "Ok")</f>
        <v>Ok</v>
      </c>
      <c r="K2533" t="str">
        <f>IF(ISNA(_xlfn.XLOOKUP(H2533,agent_info!$A$2:$A$301, agent_info!$A$2:$A$301)), "Invalid", "Ok")</f>
        <v>Ok</v>
      </c>
    </row>
    <row r="2534" spans="1:11" x14ac:dyDescent="0.3">
      <c r="A2534" s="1" t="s">
        <v>6153</v>
      </c>
      <c r="B2534" s="1" t="s">
        <v>2533</v>
      </c>
      <c r="C2534" s="1" t="s">
        <v>3331</v>
      </c>
      <c r="D2534" s="1">
        <v>468944.9</v>
      </c>
      <c r="E2534" s="1">
        <v>24041.83</v>
      </c>
      <c r="F2534" s="41">
        <v>45056</v>
      </c>
      <c r="G2534" s="41">
        <v>45422</v>
      </c>
      <c r="H2534" s="1" t="s">
        <v>3665</v>
      </c>
      <c r="I2534" s="1" t="s">
        <v>3316</v>
      </c>
      <c r="J2534" t="str">
        <f>IF(ISNA(_xlfn.XLOOKUP(B2534,customer_master!$A$2:$A$1649, customer_master!$A$2:$A$1649)), "Invalid", "Ok")</f>
        <v>Ok</v>
      </c>
      <c r="K2534" t="str">
        <f>IF(ISNA(_xlfn.XLOOKUP(H2534,agent_info!$A$2:$A$301, agent_info!$A$2:$A$301)), "Invalid", "Ok")</f>
        <v>Ok</v>
      </c>
    </row>
    <row r="2535" spans="1:11" x14ac:dyDescent="0.3">
      <c r="A2535" s="1" t="s">
        <v>6154</v>
      </c>
      <c r="B2535" s="1" t="s">
        <v>2985</v>
      </c>
      <c r="C2535" s="1" t="s">
        <v>3334</v>
      </c>
      <c r="D2535" s="1">
        <v>549812.47999999998</v>
      </c>
      <c r="E2535" s="1">
        <v>26002.55</v>
      </c>
      <c r="F2535" s="41">
        <v>44345</v>
      </c>
      <c r="G2535" s="41">
        <v>44710</v>
      </c>
      <c r="H2535" s="1" t="s">
        <v>3515</v>
      </c>
      <c r="I2535" s="1" t="s">
        <v>3316</v>
      </c>
      <c r="J2535" t="str">
        <f>IF(ISNA(_xlfn.XLOOKUP(B2535,customer_master!$A$2:$A$1649, customer_master!$A$2:$A$1649)), "Invalid", "Ok")</f>
        <v>Ok</v>
      </c>
      <c r="K2535" t="str">
        <f>IF(ISNA(_xlfn.XLOOKUP(H2535,agent_info!$A$2:$A$301, agent_info!$A$2:$A$301)), "Invalid", "Ok")</f>
        <v>Ok</v>
      </c>
    </row>
    <row r="2536" spans="1:11" x14ac:dyDescent="0.3">
      <c r="A2536" s="1" t="s">
        <v>6155</v>
      </c>
      <c r="B2536" s="1" t="s">
        <v>3198</v>
      </c>
      <c r="C2536" s="1" t="s">
        <v>3318</v>
      </c>
      <c r="D2536" s="1">
        <v>445856.44</v>
      </c>
      <c r="E2536" s="1">
        <v>22775.22</v>
      </c>
      <c r="F2536" s="41">
        <v>45233</v>
      </c>
      <c r="G2536" s="41">
        <v>45599</v>
      </c>
      <c r="H2536" s="1" t="s">
        <v>3807</v>
      </c>
      <c r="I2536" s="1" t="s">
        <v>3324</v>
      </c>
      <c r="J2536" t="str">
        <f>IF(ISNA(_xlfn.XLOOKUP(B2536,customer_master!$A$2:$A$1649, customer_master!$A$2:$A$1649)), "Invalid", "Ok")</f>
        <v>Ok</v>
      </c>
      <c r="K2536" t="str">
        <f>IF(ISNA(_xlfn.XLOOKUP(H2536,agent_info!$A$2:$A$301, agent_info!$A$2:$A$301)), "Invalid", "Ok")</f>
        <v>Ok</v>
      </c>
    </row>
    <row r="2537" spans="1:11" x14ac:dyDescent="0.3">
      <c r="A2537" s="1" t="s">
        <v>6156</v>
      </c>
      <c r="B2537" s="1" t="s">
        <v>312</v>
      </c>
      <c r="C2537" s="1" t="s">
        <v>3314</v>
      </c>
      <c r="D2537" s="1">
        <v>550092.37</v>
      </c>
      <c r="E2537" s="1">
        <v>25842.43</v>
      </c>
      <c r="F2537" s="41">
        <v>45343</v>
      </c>
      <c r="G2537" s="41">
        <v>45709</v>
      </c>
      <c r="H2537" s="1" t="s">
        <v>4273</v>
      </c>
      <c r="I2537" s="1" t="s">
        <v>3316</v>
      </c>
      <c r="J2537" t="str">
        <f>IF(ISNA(_xlfn.XLOOKUP(B2537,customer_master!$A$2:$A$1649, customer_master!$A$2:$A$1649)), "Invalid", "Ok")</f>
        <v>Ok</v>
      </c>
      <c r="K2537" t="str">
        <f>IF(ISNA(_xlfn.XLOOKUP(H2537,agent_info!$A$2:$A$301, agent_info!$A$2:$A$301)), "Invalid", "Ok")</f>
        <v>Ok</v>
      </c>
    </row>
    <row r="2538" spans="1:11" x14ac:dyDescent="0.3">
      <c r="A2538" s="1" t="s">
        <v>6157</v>
      </c>
      <c r="B2538" s="1" t="s">
        <v>3299</v>
      </c>
      <c r="C2538" s="1" t="s">
        <v>3334</v>
      </c>
      <c r="D2538" s="1">
        <v>437560.33</v>
      </c>
      <c r="E2538" s="1">
        <v>20063.57</v>
      </c>
      <c r="F2538" s="41">
        <v>45526</v>
      </c>
      <c r="G2538" s="41">
        <v>45891</v>
      </c>
      <c r="H2538" s="1" t="s">
        <v>3464</v>
      </c>
      <c r="I2538" s="1" t="s">
        <v>3324</v>
      </c>
      <c r="J2538" t="str">
        <f>IF(ISNA(_xlfn.XLOOKUP(B2538,customer_master!$A$2:$A$1649, customer_master!$A$2:$A$1649)), "Invalid", "Ok")</f>
        <v>Ok</v>
      </c>
      <c r="K2538" t="str">
        <f>IF(ISNA(_xlfn.XLOOKUP(H2538,agent_info!$A$2:$A$301, agent_info!$A$2:$A$301)), "Invalid", "Ok")</f>
        <v>Ok</v>
      </c>
    </row>
    <row r="2539" spans="1:11" x14ac:dyDescent="0.3">
      <c r="A2539" s="1" t="s">
        <v>6158</v>
      </c>
      <c r="B2539" s="1" t="s">
        <v>2349</v>
      </c>
      <c r="C2539" s="1" t="s">
        <v>3334</v>
      </c>
      <c r="D2539" s="1">
        <v>515119.63</v>
      </c>
      <c r="E2539" s="1">
        <v>24732.57</v>
      </c>
      <c r="F2539" s="41">
        <v>46217</v>
      </c>
      <c r="G2539" s="41">
        <v>46582</v>
      </c>
      <c r="H2539" s="1" t="s">
        <v>3595</v>
      </c>
      <c r="I2539" s="1" t="s">
        <v>3324</v>
      </c>
      <c r="J2539" t="str">
        <f>IF(ISNA(_xlfn.XLOOKUP(B2539,customer_master!$A$2:$A$1649, customer_master!$A$2:$A$1649)), "Invalid", "Ok")</f>
        <v>Ok</v>
      </c>
      <c r="K2539" t="str">
        <f>IF(ISNA(_xlfn.XLOOKUP(H2539,agent_info!$A$2:$A$301, agent_info!$A$2:$A$301)), "Invalid", "Ok")</f>
        <v>Ok</v>
      </c>
    </row>
    <row r="2540" spans="1:11" x14ac:dyDescent="0.3">
      <c r="A2540" s="1" t="s">
        <v>6159</v>
      </c>
      <c r="B2540" s="1" t="s">
        <v>1980</v>
      </c>
      <c r="C2540" s="1" t="s">
        <v>3326</v>
      </c>
      <c r="D2540" s="1">
        <v>419626.07</v>
      </c>
      <c r="E2540" s="1">
        <v>20405.47</v>
      </c>
      <c r="F2540" s="41">
        <v>44782</v>
      </c>
      <c r="G2540" s="41">
        <v>45147</v>
      </c>
      <c r="H2540" s="1" t="s">
        <v>4168</v>
      </c>
      <c r="I2540" s="1" t="s">
        <v>3324</v>
      </c>
      <c r="J2540" t="str">
        <f>IF(ISNA(_xlfn.XLOOKUP(B2540,customer_master!$A$2:$A$1649, customer_master!$A$2:$A$1649)), "Invalid", "Ok")</f>
        <v>Ok</v>
      </c>
      <c r="K2540" t="str">
        <f>IF(ISNA(_xlfn.XLOOKUP(H2540,agent_info!$A$2:$A$301, agent_info!$A$2:$A$301)), "Invalid", "Ok")</f>
        <v>Ok</v>
      </c>
    </row>
    <row r="2541" spans="1:11" x14ac:dyDescent="0.3">
      <c r="A2541" s="1" t="s">
        <v>6160</v>
      </c>
      <c r="B2541" s="1" t="s">
        <v>1400</v>
      </c>
      <c r="C2541" s="1" t="s">
        <v>3334</v>
      </c>
      <c r="D2541" s="1">
        <v>699199.22</v>
      </c>
      <c r="E2541" s="1">
        <v>36420.5</v>
      </c>
      <c r="F2541" s="41">
        <v>45679</v>
      </c>
      <c r="G2541" s="41">
        <v>46044</v>
      </c>
      <c r="H2541" s="1" t="s">
        <v>3464</v>
      </c>
      <c r="I2541" s="1" t="s">
        <v>3316</v>
      </c>
      <c r="J2541" t="str">
        <f>IF(ISNA(_xlfn.XLOOKUP(B2541,customer_master!$A$2:$A$1649, customer_master!$A$2:$A$1649)), "Invalid", "Ok")</f>
        <v>Ok</v>
      </c>
      <c r="K2541" t="str">
        <f>IF(ISNA(_xlfn.XLOOKUP(H2541,agent_info!$A$2:$A$301, agent_info!$A$2:$A$301)), "Invalid", "Ok")</f>
        <v>Ok</v>
      </c>
    </row>
    <row r="2542" spans="1:11" x14ac:dyDescent="0.3">
      <c r="A2542" s="1" t="s">
        <v>6161</v>
      </c>
      <c r="B2542" s="1" t="s">
        <v>1141</v>
      </c>
      <c r="C2542" s="1" t="s">
        <v>3326</v>
      </c>
      <c r="D2542" s="1">
        <v>605273.93000000005</v>
      </c>
      <c r="E2542" s="1">
        <v>29434.94</v>
      </c>
      <c r="F2542" s="41">
        <v>44572</v>
      </c>
      <c r="G2542" s="41">
        <v>44937</v>
      </c>
      <c r="H2542" s="1" t="s">
        <v>4518</v>
      </c>
      <c r="I2542" s="1" t="s">
        <v>3316</v>
      </c>
      <c r="J2542" t="str">
        <f>IF(ISNA(_xlfn.XLOOKUP(B2542,customer_master!$A$2:$A$1649, customer_master!$A$2:$A$1649)), "Invalid", "Ok")</f>
        <v>Ok</v>
      </c>
      <c r="K2542" t="str">
        <f>IF(ISNA(_xlfn.XLOOKUP(H2542,agent_info!$A$2:$A$301, agent_info!$A$2:$A$301)), "Invalid", "Ok")</f>
        <v>Ok</v>
      </c>
    </row>
    <row r="2543" spans="1:11" x14ac:dyDescent="0.3">
      <c r="A2543" s="1" t="s">
        <v>6162</v>
      </c>
      <c r="B2543" s="1" t="s">
        <v>2661</v>
      </c>
      <c r="C2543" s="1" t="s">
        <v>3314</v>
      </c>
      <c r="D2543" s="1">
        <v>449225.47</v>
      </c>
      <c r="E2543" s="1">
        <v>20229.29</v>
      </c>
      <c r="F2543" s="41">
        <v>44655</v>
      </c>
      <c r="G2543" s="41">
        <v>45020</v>
      </c>
      <c r="H2543" s="1" t="s">
        <v>3369</v>
      </c>
      <c r="I2543" s="1" t="s">
        <v>3324</v>
      </c>
      <c r="J2543" t="str">
        <f>IF(ISNA(_xlfn.XLOOKUP(B2543,customer_master!$A$2:$A$1649, customer_master!$A$2:$A$1649)), "Invalid", "Ok")</f>
        <v>Ok</v>
      </c>
      <c r="K2543" t="str">
        <f>IF(ISNA(_xlfn.XLOOKUP(H2543,agent_info!$A$2:$A$301, agent_info!$A$2:$A$301)), "Invalid", "Ok")</f>
        <v>Ok</v>
      </c>
    </row>
    <row r="2544" spans="1:11" x14ac:dyDescent="0.3">
      <c r="A2544" s="1" t="s">
        <v>6163</v>
      </c>
      <c r="B2544" s="1" t="s">
        <v>2186</v>
      </c>
      <c r="C2544" s="1" t="s">
        <v>3314</v>
      </c>
      <c r="D2544" s="1">
        <v>416918.25</v>
      </c>
      <c r="E2544" s="1">
        <v>22584.22</v>
      </c>
      <c r="F2544" s="41">
        <v>44726</v>
      </c>
      <c r="G2544" s="41">
        <v>45091</v>
      </c>
      <c r="H2544" s="1" t="s">
        <v>3453</v>
      </c>
      <c r="I2544" s="1" t="s">
        <v>3324</v>
      </c>
      <c r="J2544" t="str">
        <f>IF(ISNA(_xlfn.XLOOKUP(B2544,customer_master!$A$2:$A$1649, customer_master!$A$2:$A$1649)), "Invalid", "Ok")</f>
        <v>Ok</v>
      </c>
      <c r="K2544" t="str">
        <f>IF(ISNA(_xlfn.XLOOKUP(H2544,agent_info!$A$2:$A$301, agent_info!$A$2:$A$301)), "Invalid", "Ok")</f>
        <v>Ok</v>
      </c>
    </row>
    <row r="2545" spans="1:11" x14ac:dyDescent="0.3">
      <c r="A2545" s="1" t="s">
        <v>6164</v>
      </c>
      <c r="B2545" s="1" t="s">
        <v>713</v>
      </c>
      <c r="C2545" s="1" t="s">
        <v>3318</v>
      </c>
      <c r="D2545" s="1">
        <v>387731.46</v>
      </c>
      <c r="E2545" s="1">
        <v>19733.22</v>
      </c>
      <c r="F2545" s="41">
        <v>44258</v>
      </c>
      <c r="G2545" s="41">
        <v>44623</v>
      </c>
      <c r="H2545" s="1" t="s">
        <v>3811</v>
      </c>
      <c r="I2545" s="1" t="s">
        <v>3316</v>
      </c>
      <c r="J2545" t="str">
        <f>IF(ISNA(_xlfn.XLOOKUP(B2545,customer_master!$A$2:$A$1649, customer_master!$A$2:$A$1649)), "Invalid", "Ok")</f>
        <v>Ok</v>
      </c>
      <c r="K2545" t="str">
        <f>IF(ISNA(_xlfn.XLOOKUP(H2545,agent_info!$A$2:$A$301, agent_info!$A$2:$A$301)), "Invalid", "Ok")</f>
        <v>Ok</v>
      </c>
    </row>
    <row r="2546" spans="1:11" x14ac:dyDescent="0.3">
      <c r="A2546" s="1" t="s">
        <v>6165</v>
      </c>
      <c r="B2546" s="1" t="s">
        <v>2046</v>
      </c>
      <c r="C2546" s="1" t="s">
        <v>3318</v>
      </c>
      <c r="D2546" s="1">
        <v>463681.94</v>
      </c>
      <c r="E2546" s="1">
        <v>21842.93</v>
      </c>
      <c r="F2546" s="41">
        <v>45301</v>
      </c>
      <c r="G2546" s="41">
        <v>45667</v>
      </c>
      <c r="H2546" s="1" t="s">
        <v>4230</v>
      </c>
      <c r="I2546" s="1" t="s">
        <v>3324</v>
      </c>
      <c r="J2546" t="str">
        <f>IF(ISNA(_xlfn.XLOOKUP(B2546,customer_master!$A$2:$A$1649, customer_master!$A$2:$A$1649)), "Invalid", "Ok")</f>
        <v>Ok</v>
      </c>
      <c r="K2546" t="str">
        <f>IF(ISNA(_xlfn.XLOOKUP(H2546,agent_info!$A$2:$A$301, agent_info!$A$2:$A$301)), "Invalid", "Ok")</f>
        <v>Ok</v>
      </c>
    </row>
    <row r="2547" spans="1:11" x14ac:dyDescent="0.3">
      <c r="A2547" s="1" t="s">
        <v>6166</v>
      </c>
      <c r="B2547" s="1" t="s">
        <v>501</v>
      </c>
      <c r="C2547" s="1" t="s">
        <v>3334</v>
      </c>
      <c r="D2547" s="1">
        <v>569868.29</v>
      </c>
      <c r="E2547" s="1">
        <v>27081.78</v>
      </c>
      <c r="F2547" s="41">
        <v>45990</v>
      </c>
      <c r="G2547" s="41">
        <v>46355</v>
      </c>
      <c r="H2547" s="1" t="s">
        <v>3530</v>
      </c>
      <c r="I2547" s="1" t="s">
        <v>3316</v>
      </c>
      <c r="J2547" t="str">
        <f>IF(ISNA(_xlfn.XLOOKUP(B2547,customer_master!$A$2:$A$1649, customer_master!$A$2:$A$1649)), "Invalid", "Ok")</f>
        <v>Ok</v>
      </c>
      <c r="K2547" t="str">
        <f>IF(ISNA(_xlfn.XLOOKUP(H2547,agent_info!$A$2:$A$301, agent_info!$A$2:$A$301)), "Invalid", "Ok")</f>
        <v>Ok</v>
      </c>
    </row>
    <row r="2548" spans="1:11" x14ac:dyDescent="0.3">
      <c r="A2548" s="1" t="s">
        <v>6167</v>
      </c>
      <c r="B2548" s="1" t="s">
        <v>1676</v>
      </c>
      <c r="C2548" s="1" t="s">
        <v>3326</v>
      </c>
      <c r="D2548" s="1">
        <v>489959.12</v>
      </c>
      <c r="E2548" s="1">
        <v>22656.400000000001</v>
      </c>
      <c r="F2548" s="41">
        <v>45522</v>
      </c>
      <c r="G2548" s="41">
        <v>45887</v>
      </c>
      <c r="H2548" s="1" t="s">
        <v>3387</v>
      </c>
      <c r="I2548" s="1" t="s">
        <v>3316</v>
      </c>
      <c r="J2548" t="str">
        <f>IF(ISNA(_xlfn.XLOOKUP(B2548,customer_master!$A$2:$A$1649, customer_master!$A$2:$A$1649)), "Invalid", "Ok")</f>
        <v>Ok</v>
      </c>
      <c r="K2548" t="str">
        <f>IF(ISNA(_xlfn.XLOOKUP(H2548,agent_info!$A$2:$A$301, agent_info!$A$2:$A$301)), "Invalid", "Ok")</f>
        <v>Ok</v>
      </c>
    </row>
    <row r="2549" spans="1:11" x14ac:dyDescent="0.3">
      <c r="A2549" s="1" t="s">
        <v>6168</v>
      </c>
      <c r="B2549" s="1" t="s">
        <v>1946</v>
      </c>
      <c r="C2549" s="1" t="s">
        <v>3318</v>
      </c>
      <c r="D2549" s="1">
        <v>745226.63</v>
      </c>
      <c r="E2549" s="1">
        <v>40291.03</v>
      </c>
      <c r="F2549" s="41">
        <v>45688</v>
      </c>
      <c r="G2549" s="41">
        <v>46053</v>
      </c>
      <c r="H2549" s="1" t="s">
        <v>3905</v>
      </c>
      <c r="I2549" s="1" t="s">
        <v>3324</v>
      </c>
      <c r="J2549" t="str">
        <f>IF(ISNA(_xlfn.XLOOKUP(B2549,customer_master!$A$2:$A$1649, customer_master!$A$2:$A$1649)), "Invalid", "Ok")</f>
        <v>Ok</v>
      </c>
      <c r="K2549" t="str">
        <f>IF(ISNA(_xlfn.XLOOKUP(H2549,agent_info!$A$2:$A$301, agent_info!$A$2:$A$301)), "Invalid", "Ok")</f>
        <v>Ok</v>
      </c>
    </row>
    <row r="2550" spans="1:11" x14ac:dyDescent="0.3">
      <c r="A2550" s="1" t="s">
        <v>6169</v>
      </c>
      <c r="B2550" s="1" t="s">
        <v>2139</v>
      </c>
      <c r="C2550" s="1" t="s">
        <v>3326</v>
      </c>
      <c r="D2550" s="1">
        <v>627285.98</v>
      </c>
      <c r="E2550" s="1">
        <v>29671.94</v>
      </c>
      <c r="F2550" s="41">
        <v>44528</v>
      </c>
      <c r="G2550" s="41">
        <v>44893</v>
      </c>
      <c r="H2550" s="1" t="s">
        <v>3451</v>
      </c>
      <c r="I2550" s="1" t="s">
        <v>3324</v>
      </c>
      <c r="J2550" t="str">
        <f>IF(ISNA(_xlfn.XLOOKUP(B2550,customer_master!$A$2:$A$1649, customer_master!$A$2:$A$1649)), "Invalid", "Ok")</f>
        <v>Ok</v>
      </c>
      <c r="K2550" t="str">
        <f>IF(ISNA(_xlfn.XLOOKUP(H2550,agent_info!$A$2:$A$301, agent_info!$A$2:$A$301)), "Invalid", "Ok")</f>
        <v>Ok</v>
      </c>
    </row>
    <row r="2551" spans="1:11" x14ac:dyDescent="0.3">
      <c r="A2551" s="1" t="s">
        <v>6170</v>
      </c>
      <c r="B2551" s="1" t="s">
        <v>517</v>
      </c>
      <c r="C2551" s="1" t="s">
        <v>3314</v>
      </c>
      <c r="D2551" s="1">
        <v>415101.87</v>
      </c>
      <c r="E2551" s="1">
        <v>22584.23</v>
      </c>
      <c r="F2551" s="41">
        <v>44248</v>
      </c>
      <c r="G2551" s="41">
        <v>44613</v>
      </c>
      <c r="H2551" s="1" t="s">
        <v>3694</v>
      </c>
      <c r="I2551" s="1" t="s">
        <v>3324</v>
      </c>
      <c r="J2551" t="str">
        <f>IF(ISNA(_xlfn.XLOOKUP(B2551,customer_master!$A$2:$A$1649, customer_master!$A$2:$A$1649)), "Invalid", "Ok")</f>
        <v>Ok</v>
      </c>
      <c r="K2551" t="str">
        <f>IF(ISNA(_xlfn.XLOOKUP(H2551,agent_info!$A$2:$A$301, agent_info!$A$2:$A$301)), "Invalid", "Ok")</f>
        <v>Ok</v>
      </c>
    </row>
    <row r="2552" spans="1:11" x14ac:dyDescent="0.3">
      <c r="A2552" s="1" t="s">
        <v>6171</v>
      </c>
      <c r="B2552" s="1" t="s">
        <v>348</v>
      </c>
      <c r="C2552" s="1" t="s">
        <v>3334</v>
      </c>
      <c r="D2552" s="1">
        <v>446188.97</v>
      </c>
      <c r="E2552" s="1">
        <v>21257.83</v>
      </c>
      <c r="F2552" s="41">
        <v>46207</v>
      </c>
      <c r="G2552" s="41">
        <v>46572</v>
      </c>
      <c r="H2552" s="1" t="s">
        <v>3315</v>
      </c>
      <c r="I2552" s="1" t="s">
        <v>3324</v>
      </c>
      <c r="J2552" t="str">
        <f>IF(ISNA(_xlfn.XLOOKUP(B2552,customer_master!$A$2:$A$1649, customer_master!$A$2:$A$1649)), "Invalid", "Ok")</f>
        <v>Ok</v>
      </c>
      <c r="K2552" t="str">
        <f>IF(ISNA(_xlfn.XLOOKUP(H2552,agent_info!$A$2:$A$301, agent_info!$A$2:$A$301)), "Invalid", "Ok")</f>
        <v>Ok</v>
      </c>
    </row>
    <row r="2553" spans="1:11" x14ac:dyDescent="0.3">
      <c r="A2553" s="1" t="s">
        <v>6172</v>
      </c>
      <c r="B2553" s="1" t="s">
        <v>885</v>
      </c>
      <c r="C2553" s="1" t="s">
        <v>3331</v>
      </c>
      <c r="D2553" s="1">
        <v>391647.54</v>
      </c>
      <c r="E2553" s="1">
        <v>20754.39</v>
      </c>
      <c r="F2553" s="41">
        <v>44209</v>
      </c>
      <c r="G2553" s="41">
        <v>44574</v>
      </c>
      <c r="H2553" s="1" t="s">
        <v>3931</v>
      </c>
      <c r="I2553" s="1" t="s">
        <v>3324</v>
      </c>
      <c r="J2553" t="str">
        <f>IF(ISNA(_xlfn.XLOOKUP(B2553,customer_master!$A$2:$A$1649, customer_master!$A$2:$A$1649)), "Invalid", "Ok")</f>
        <v>Ok</v>
      </c>
      <c r="K2553" t="str">
        <f>IF(ISNA(_xlfn.XLOOKUP(H2553,agent_info!$A$2:$A$301, agent_info!$A$2:$A$301)), "Invalid", "Ok")</f>
        <v>Ok</v>
      </c>
    </row>
    <row r="2554" spans="1:11" x14ac:dyDescent="0.3">
      <c r="A2554" s="1" t="s">
        <v>6173</v>
      </c>
      <c r="B2554" s="1" t="s">
        <v>2036</v>
      </c>
      <c r="C2554" s="1" t="s">
        <v>3334</v>
      </c>
      <c r="D2554" s="1">
        <v>438217.15</v>
      </c>
      <c r="E2554" s="1">
        <v>19765.57</v>
      </c>
      <c r="F2554" s="41">
        <v>44105</v>
      </c>
      <c r="G2554" s="41">
        <v>44470</v>
      </c>
      <c r="H2554" s="1" t="s">
        <v>3862</v>
      </c>
      <c r="I2554" s="1" t="s">
        <v>3324</v>
      </c>
      <c r="J2554" t="str">
        <f>IF(ISNA(_xlfn.XLOOKUP(B2554,customer_master!$A$2:$A$1649, customer_master!$A$2:$A$1649)), "Invalid", "Ok")</f>
        <v>Ok</v>
      </c>
      <c r="K2554" t="str">
        <f>IF(ISNA(_xlfn.XLOOKUP(H2554,agent_info!$A$2:$A$301, agent_info!$A$2:$A$301)), "Invalid", "Ok")</f>
        <v>Ok</v>
      </c>
    </row>
    <row r="2555" spans="1:11" x14ac:dyDescent="0.3">
      <c r="A2555" s="1" t="s">
        <v>6174</v>
      </c>
      <c r="B2555" s="1" t="s">
        <v>3094</v>
      </c>
      <c r="C2555" s="1" t="s">
        <v>3326</v>
      </c>
      <c r="D2555" s="1">
        <v>535296</v>
      </c>
      <c r="E2555" s="1">
        <v>26675.26</v>
      </c>
      <c r="F2555" s="41">
        <v>44550</v>
      </c>
      <c r="G2555" s="41">
        <v>44915</v>
      </c>
      <c r="H2555" s="1" t="s">
        <v>3798</v>
      </c>
      <c r="I2555" s="1" t="s">
        <v>3324</v>
      </c>
      <c r="J2555" t="str">
        <f>IF(ISNA(_xlfn.XLOOKUP(B2555,customer_master!$A$2:$A$1649, customer_master!$A$2:$A$1649)), "Invalid", "Ok")</f>
        <v>Ok</v>
      </c>
      <c r="K2555" t="str">
        <f>IF(ISNA(_xlfn.XLOOKUP(H2555,agent_info!$A$2:$A$301, agent_info!$A$2:$A$301)), "Invalid", "Ok")</f>
        <v>Ok</v>
      </c>
    </row>
    <row r="2556" spans="1:11" x14ac:dyDescent="0.3">
      <c r="A2556" s="1" t="s">
        <v>6175</v>
      </c>
      <c r="B2556" s="1" t="s">
        <v>2591</v>
      </c>
      <c r="C2556" s="1" t="s">
        <v>3318</v>
      </c>
      <c r="D2556" s="1">
        <v>407006.98</v>
      </c>
      <c r="E2556" s="1">
        <v>19818.04</v>
      </c>
      <c r="F2556" s="41">
        <v>45871</v>
      </c>
      <c r="G2556" s="41">
        <v>46236</v>
      </c>
      <c r="H2556" s="1" t="s">
        <v>3885</v>
      </c>
      <c r="I2556" s="1" t="s">
        <v>3324</v>
      </c>
      <c r="J2556" t="str">
        <f>IF(ISNA(_xlfn.XLOOKUP(B2556,customer_master!$A$2:$A$1649, customer_master!$A$2:$A$1649)), "Invalid", "Ok")</f>
        <v>Ok</v>
      </c>
      <c r="K2556" t="str">
        <f>IF(ISNA(_xlfn.XLOOKUP(H2556,agent_info!$A$2:$A$301, agent_info!$A$2:$A$301)), "Invalid", "Ok")</f>
        <v>Ok</v>
      </c>
    </row>
    <row r="2557" spans="1:11" x14ac:dyDescent="0.3">
      <c r="A2557" s="1" t="s">
        <v>6176</v>
      </c>
      <c r="B2557" s="1" t="s">
        <v>2488</v>
      </c>
      <c r="C2557" s="1" t="s">
        <v>3326</v>
      </c>
      <c r="D2557" s="1">
        <v>370953.78</v>
      </c>
      <c r="E2557" s="1">
        <v>17934.080000000002</v>
      </c>
      <c r="F2557" s="41">
        <v>44488</v>
      </c>
      <c r="G2557" s="41">
        <v>44853</v>
      </c>
      <c r="H2557" s="1" t="s">
        <v>3617</v>
      </c>
      <c r="I2557" s="1" t="s">
        <v>3324</v>
      </c>
      <c r="J2557" t="str">
        <f>IF(ISNA(_xlfn.XLOOKUP(B2557,customer_master!$A$2:$A$1649, customer_master!$A$2:$A$1649)), "Invalid", "Ok")</f>
        <v>Ok</v>
      </c>
      <c r="K2557" t="str">
        <f>IF(ISNA(_xlfn.XLOOKUP(H2557,agent_info!$A$2:$A$301, agent_info!$A$2:$A$301)), "Invalid", "Ok")</f>
        <v>Ok</v>
      </c>
    </row>
    <row r="2558" spans="1:11" x14ac:dyDescent="0.3">
      <c r="A2558" s="1" t="s">
        <v>6177</v>
      </c>
      <c r="B2558" s="1" t="s">
        <v>1119</v>
      </c>
      <c r="C2558" s="1" t="s">
        <v>3334</v>
      </c>
      <c r="D2558" s="1">
        <v>430492.18</v>
      </c>
      <c r="E2558" s="1">
        <v>23643.3</v>
      </c>
      <c r="F2558" s="41">
        <v>44306</v>
      </c>
      <c r="G2558" s="41">
        <v>44671</v>
      </c>
      <c r="H2558" s="1" t="s">
        <v>3343</v>
      </c>
      <c r="I2558" s="1" t="s">
        <v>3324</v>
      </c>
      <c r="J2558" t="str">
        <f>IF(ISNA(_xlfn.XLOOKUP(B2558,customer_master!$A$2:$A$1649, customer_master!$A$2:$A$1649)), "Invalid", "Ok")</f>
        <v>Ok</v>
      </c>
      <c r="K2558" t="str">
        <f>IF(ISNA(_xlfn.XLOOKUP(H2558,agent_info!$A$2:$A$301, agent_info!$A$2:$A$301)), "Invalid", "Ok")</f>
        <v>Ok</v>
      </c>
    </row>
    <row r="2559" spans="1:11" x14ac:dyDescent="0.3">
      <c r="A2559" s="1" t="s">
        <v>6178</v>
      </c>
      <c r="B2559" s="1" t="s">
        <v>399</v>
      </c>
      <c r="C2559" s="1" t="s">
        <v>3334</v>
      </c>
      <c r="D2559" s="1">
        <v>642724.25</v>
      </c>
      <c r="E2559" s="1">
        <v>33555.78</v>
      </c>
      <c r="F2559" s="41">
        <v>44534</v>
      </c>
      <c r="G2559" s="41">
        <v>44899</v>
      </c>
      <c r="H2559" s="1" t="s">
        <v>4539</v>
      </c>
      <c r="I2559" s="1" t="s">
        <v>3324</v>
      </c>
      <c r="J2559" t="str">
        <f>IF(ISNA(_xlfn.XLOOKUP(B2559,customer_master!$A$2:$A$1649, customer_master!$A$2:$A$1649)), "Invalid", "Ok")</f>
        <v>Ok</v>
      </c>
      <c r="K2559" t="str">
        <f>IF(ISNA(_xlfn.XLOOKUP(H2559,agent_info!$A$2:$A$301, agent_info!$A$2:$A$301)), "Invalid", "Ok")</f>
        <v>Ok</v>
      </c>
    </row>
    <row r="2560" spans="1:11" x14ac:dyDescent="0.3">
      <c r="A2560" s="1" t="s">
        <v>6179</v>
      </c>
      <c r="B2560" s="1" t="s">
        <v>2965</v>
      </c>
      <c r="C2560" s="1" t="s">
        <v>3314</v>
      </c>
      <c r="D2560" s="1">
        <v>392452.88</v>
      </c>
      <c r="E2560" s="1">
        <v>18664.189999999999</v>
      </c>
      <c r="F2560" s="41">
        <v>45371</v>
      </c>
      <c r="G2560" s="41">
        <v>45736</v>
      </c>
      <c r="H2560" s="1" t="s">
        <v>3670</v>
      </c>
      <c r="I2560" s="1" t="s">
        <v>3324</v>
      </c>
      <c r="J2560" t="str">
        <f>IF(ISNA(_xlfn.XLOOKUP(B2560,customer_master!$A$2:$A$1649, customer_master!$A$2:$A$1649)), "Invalid", "Ok")</f>
        <v>Ok</v>
      </c>
      <c r="K2560" t="str">
        <f>IF(ISNA(_xlfn.XLOOKUP(H2560,agent_info!$A$2:$A$301, agent_info!$A$2:$A$301)), "Invalid", "Ok")</f>
        <v>Ok</v>
      </c>
    </row>
    <row r="2561" spans="1:11" x14ac:dyDescent="0.3">
      <c r="A2561" s="1" t="s">
        <v>6180</v>
      </c>
      <c r="B2561" s="1" t="s">
        <v>1682</v>
      </c>
      <c r="C2561" s="1" t="s">
        <v>3318</v>
      </c>
      <c r="D2561" s="1">
        <v>744518.67</v>
      </c>
      <c r="E2561" s="1">
        <v>39105.410000000003</v>
      </c>
      <c r="F2561" s="41">
        <v>45233</v>
      </c>
      <c r="G2561" s="41">
        <v>45599</v>
      </c>
      <c r="H2561" s="1" t="s">
        <v>4014</v>
      </c>
      <c r="I2561" s="1" t="s">
        <v>3324</v>
      </c>
      <c r="J2561" t="str">
        <f>IF(ISNA(_xlfn.XLOOKUP(B2561,customer_master!$A$2:$A$1649, customer_master!$A$2:$A$1649)), "Invalid", "Ok")</f>
        <v>Ok</v>
      </c>
      <c r="K2561" t="str">
        <f>IF(ISNA(_xlfn.XLOOKUP(H2561,agent_info!$A$2:$A$301, agent_info!$A$2:$A$301)), "Invalid", "Ok")</f>
        <v>Ok</v>
      </c>
    </row>
    <row r="2562" spans="1:11" x14ac:dyDescent="0.3">
      <c r="A2562" s="1" t="s">
        <v>6181</v>
      </c>
      <c r="B2562" s="1" t="s">
        <v>363</v>
      </c>
      <c r="C2562" s="1" t="s">
        <v>3331</v>
      </c>
      <c r="D2562" s="1">
        <v>526769.96</v>
      </c>
      <c r="E2562" s="1">
        <v>24387.18</v>
      </c>
      <c r="F2562" s="41">
        <v>45958</v>
      </c>
      <c r="G2562" s="41">
        <v>46323</v>
      </c>
      <c r="H2562" s="1" t="s">
        <v>3425</v>
      </c>
      <c r="I2562" s="1" t="s">
        <v>3324</v>
      </c>
      <c r="J2562" t="str">
        <f>IF(ISNA(_xlfn.XLOOKUP(B2562,customer_master!$A$2:$A$1649, customer_master!$A$2:$A$1649)), "Invalid", "Ok")</f>
        <v>Ok</v>
      </c>
      <c r="K2562" t="str">
        <f>IF(ISNA(_xlfn.XLOOKUP(H2562,agent_info!$A$2:$A$301, agent_info!$A$2:$A$301)), "Invalid", "Ok")</f>
        <v>Ok</v>
      </c>
    </row>
    <row r="2563" spans="1:11" x14ac:dyDescent="0.3">
      <c r="A2563" s="1" t="s">
        <v>6182</v>
      </c>
      <c r="B2563" s="1" t="s">
        <v>1795</v>
      </c>
      <c r="C2563" s="1" t="s">
        <v>3318</v>
      </c>
      <c r="D2563" s="1">
        <v>505230.02</v>
      </c>
      <c r="E2563" s="1">
        <v>27413.42</v>
      </c>
      <c r="F2563" s="41">
        <v>45743</v>
      </c>
      <c r="G2563" s="41">
        <v>46108</v>
      </c>
      <c r="H2563" s="1" t="s">
        <v>3404</v>
      </c>
      <c r="I2563" s="1" t="s">
        <v>3324</v>
      </c>
      <c r="J2563" t="str">
        <f>IF(ISNA(_xlfn.XLOOKUP(B2563,customer_master!$A$2:$A$1649, customer_master!$A$2:$A$1649)), "Invalid", "Ok")</f>
        <v>Ok</v>
      </c>
      <c r="K2563" t="str">
        <f>IF(ISNA(_xlfn.XLOOKUP(H2563,agent_info!$A$2:$A$301, agent_info!$A$2:$A$301)), "Invalid", "Ok")</f>
        <v>Ok</v>
      </c>
    </row>
    <row r="2564" spans="1:11" x14ac:dyDescent="0.3">
      <c r="A2564" s="1" t="s">
        <v>6183</v>
      </c>
      <c r="B2564" s="1" t="s">
        <v>2258</v>
      </c>
      <c r="C2564" s="1" t="s">
        <v>3314</v>
      </c>
      <c r="D2564" s="1">
        <v>567802.93999999994</v>
      </c>
      <c r="E2564" s="1">
        <v>27972.17</v>
      </c>
      <c r="F2564" s="41">
        <v>44760</v>
      </c>
      <c r="G2564" s="41">
        <v>45125</v>
      </c>
      <c r="H2564" s="1" t="s">
        <v>3496</v>
      </c>
      <c r="I2564" s="1" t="s">
        <v>3324</v>
      </c>
      <c r="J2564" t="str">
        <f>IF(ISNA(_xlfn.XLOOKUP(B2564,customer_master!$A$2:$A$1649, customer_master!$A$2:$A$1649)), "Invalid", "Ok")</f>
        <v>Ok</v>
      </c>
      <c r="K2564" t="str">
        <f>IF(ISNA(_xlfn.XLOOKUP(H2564,agent_info!$A$2:$A$301, agent_info!$A$2:$A$301)), "Invalid", "Ok")</f>
        <v>Ok</v>
      </c>
    </row>
    <row r="2565" spans="1:11" x14ac:dyDescent="0.3">
      <c r="A2565" s="1" t="s">
        <v>6184</v>
      </c>
      <c r="B2565" s="1" t="s">
        <v>1079</v>
      </c>
      <c r="C2565" s="1" t="s">
        <v>3318</v>
      </c>
      <c r="D2565" s="1">
        <v>573751.76</v>
      </c>
      <c r="E2565" s="1">
        <v>26912.76</v>
      </c>
      <c r="F2565" s="41">
        <v>45072</v>
      </c>
      <c r="G2565" s="41">
        <v>45438</v>
      </c>
      <c r="H2565" s="1" t="s">
        <v>3543</v>
      </c>
      <c r="I2565" s="1" t="s">
        <v>3324</v>
      </c>
      <c r="J2565" t="str">
        <f>IF(ISNA(_xlfn.XLOOKUP(B2565,customer_master!$A$2:$A$1649, customer_master!$A$2:$A$1649)), "Invalid", "Ok")</f>
        <v>Ok</v>
      </c>
      <c r="K2565" t="str">
        <f>IF(ISNA(_xlfn.XLOOKUP(H2565,agent_info!$A$2:$A$301, agent_info!$A$2:$A$301)), "Invalid", "Ok")</f>
        <v>Ok</v>
      </c>
    </row>
    <row r="2566" spans="1:11" x14ac:dyDescent="0.3">
      <c r="A2566" s="1" t="s">
        <v>6185</v>
      </c>
      <c r="B2566" s="1" t="s">
        <v>63</v>
      </c>
      <c r="C2566" s="1" t="s">
        <v>3314</v>
      </c>
      <c r="D2566" s="1">
        <v>546705.15</v>
      </c>
      <c r="E2566" s="1">
        <v>26093.26</v>
      </c>
      <c r="F2566" s="41">
        <v>44414</v>
      </c>
      <c r="G2566" s="41">
        <v>44779</v>
      </c>
      <c r="H2566" s="1" t="s">
        <v>4282</v>
      </c>
      <c r="I2566" s="1" t="s">
        <v>3324</v>
      </c>
      <c r="J2566" t="str">
        <f>IF(ISNA(_xlfn.XLOOKUP(B2566,customer_master!$A$2:$A$1649, customer_master!$A$2:$A$1649)), "Invalid", "Ok")</f>
        <v>Ok</v>
      </c>
      <c r="K2566" t="str">
        <f>IF(ISNA(_xlfn.XLOOKUP(H2566,agent_info!$A$2:$A$301, agent_info!$A$2:$A$301)), "Invalid", "Ok")</f>
        <v>Ok</v>
      </c>
    </row>
    <row r="2567" spans="1:11" x14ac:dyDescent="0.3">
      <c r="A2567" s="1" t="s">
        <v>6186</v>
      </c>
      <c r="B2567" s="1" t="s">
        <v>2095</v>
      </c>
      <c r="C2567" s="1" t="s">
        <v>3314</v>
      </c>
      <c r="D2567" s="1">
        <v>572235.46</v>
      </c>
      <c r="E2567" s="1">
        <v>26638.41</v>
      </c>
      <c r="F2567" s="41">
        <v>45182</v>
      </c>
      <c r="G2567" s="41">
        <v>45548</v>
      </c>
      <c r="H2567" s="1" t="s">
        <v>3984</v>
      </c>
      <c r="I2567" s="1" t="s">
        <v>3324</v>
      </c>
      <c r="J2567" t="str">
        <f>IF(ISNA(_xlfn.XLOOKUP(B2567,customer_master!$A$2:$A$1649, customer_master!$A$2:$A$1649)), "Invalid", "Ok")</f>
        <v>Ok</v>
      </c>
      <c r="K2567" t="str">
        <f>IF(ISNA(_xlfn.XLOOKUP(H2567,agent_info!$A$2:$A$301, agent_info!$A$2:$A$301)), "Invalid", "Ok")</f>
        <v>Ok</v>
      </c>
    </row>
    <row r="2568" spans="1:11" x14ac:dyDescent="0.3">
      <c r="A2568" s="1" t="s">
        <v>6187</v>
      </c>
      <c r="B2568" s="1" t="s">
        <v>170</v>
      </c>
      <c r="C2568" s="1" t="s">
        <v>3314</v>
      </c>
      <c r="D2568" s="1">
        <v>515797.55</v>
      </c>
      <c r="E2568" s="1">
        <v>28010.69</v>
      </c>
      <c r="F2568" s="41">
        <v>46080</v>
      </c>
      <c r="G2568" s="41">
        <v>46445</v>
      </c>
      <c r="H2568" s="1" t="s">
        <v>3441</v>
      </c>
      <c r="I2568" s="1" t="s">
        <v>3316</v>
      </c>
      <c r="J2568" t="str">
        <f>IF(ISNA(_xlfn.XLOOKUP(B2568,customer_master!$A$2:$A$1649, customer_master!$A$2:$A$1649)), "Invalid", "Ok")</f>
        <v>Ok</v>
      </c>
      <c r="K2568" t="str">
        <f>IF(ISNA(_xlfn.XLOOKUP(H2568,agent_info!$A$2:$A$301, agent_info!$A$2:$A$301)), "Invalid", "Ok")</f>
        <v>Ok</v>
      </c>
    </row>
    <row r="2569" spans="1:11" x14ac:dyDescent="0.3">
      <c r="A2569" s="1" t="s">
        <v>6188</v>
      </c>
      <c r="B2569" s="1" t="s">
        <v>1453</v>
      </c>
      <c r="C2569" s="1" t="s">
        <v>3331</v>
      </c>
      <c r="D2569" s="1">
        <v>504345.83</v>
      </c>
      <c r="E2569" s="1">
        <v>24238.32</v>
      </c>
      <c r="F2569" s="41">
        <v>44556</v>
      </c>
      <c r="G2569" s="41">
        <v>44921</v>
      </c>
      <c r="H2569" s="1" t="s">
        <v>3402</v>
      </c>
      <c r="I2569" s="1" t="s">
        <v>3324</v>
      </c>
      <c r="J2569" t="str">
        <f>IF(ISNA(_xlfn.XLOOKUP(B2569,customer_master!$A$2:$A$1649, customer_master!$A$2:$A$1649)), "Invalid", "Ok")</f>
        <v>Ok</v>
      </c>
      <c r="K2569" t="str">
        <f>IF(ISNA(_xlfn.XLOOKUP(H2569,agent_info!$A$2:$A$301, agent_info!$A$2:$A$301)), "Invalid", "Ok")</f>
        <v>Ok</v>
      </c>
    </row>
    <row r="2570" spans="1:11" x14ac:dyDescent="0.3">
      <c r="A2570" s="1" t="s">
        <v>6189</v>
      </c>
      <c r="B2570" s="1" t="s">
        <v>2734</v>
      </c>
      <c r="C2570" s="1" t="s">
        <v>3314</v>
      </c>
      <c r="D2570" s="1">
        <v>395516.38</v>
      </c>
      <c r="E2570" s="1">
        <v>18363.240000000002</v>
      </c>
      <c r="F2570" s="41">
        <v>46214</v>
      </c>
      <c r="G2570" s="41">
        <v>46579</v>
      </c>
      <c r="H2570" s="1" t="s">
        <v>3433</v>
      </c>
      <c r="I2570" s="1" t="s">
        <v>3324</v>
      </c>
      <c r="J2570" t="str">
        <f>IF(ISNA(_xlfn.XLOOKUP(B2570,customer_master!$A$2:$A$1649, customer_master!$A$2:$A$1649)), "Invalid", "Ok")</f>
        <v>Ok</v>
      </c>
      <c r="K2570" t="str">
        <f>IF(ISNA(_xlfn.XLOOKUP(H2570,agent_info!$A$2:$A$301, agent_info!$A$2:$A$301)), "Invalid", "Ok")</f>
        <v>Ok</v>
      </c>
    </row>
    <row r="2571" spans="1:11" x14ac:dyDescent="0.3">
      <c r="A2571" s="1" t="s">
        <v>6190</v>
      </c>
      <c r="B2571" s="1" t="s">
        <v>3301</v>
      </c>
      <c r="C2571" s="1" t="s">
        <v>3331</v>
      </c>
      <c r="D2571" s="1">
        <v>637791.9</v>
      </c>
      <c r="E2571" s="1">
        <v>33885.25</v>
      </c>
      <c r="F2571" s="41">
        <v>45979</v>
      </c>
      <c r="G2571" s="41">
        <v>46344</v>
      </c>
      <c r="H2571" s="1" t="s">
        <v>3998</v>
      </c>
      <c r="I2571" s="1" t="s">
        <v>3324</v>
      </c>
      <c r="J2571" t="str">
        <f>IF(ISNA(_xlfn.XLOOKUP(B2571,customer_master!$A$2:$A$1649, customer_master!$A$2:$A$1649)), "Invalid", "Ok")</f>
        <v>Ok</v>
      </c>
      <c r="K2571" t="str">
        <f>IF(ISNA(_xlfn.XLOOKUP(H2571,agent_info!$A$2:$A$301, agent_info!$A$2:$A$301)), "Invalid", "Ok")</f>
        <v>Ok</v>
      </c>
    </row>
    <row r="2572" spans="1:11" x14ac:dyDescent="0.3">
      <c r="A2572" s="1" t="s">
        <v>6191</v>
      </c>
      <c r="B2572" s="1" t="s">
        <v>1255</v>
      </c>
      <c r="C2572" s="1" t="s">
        <v>3334</v>
      </c>
      <c r="D2572" s="1">
        <v>622649.71</v>
      </c>
      <c r="E2572" s="1">
        <v>29347.09</v>
      </c>
      <c r="F2572" s="41">
        <v>45202</v>
      </c>
      <c r="G2572" s="41">
        <v>45568</v>
      </c>
      <c r="H2572" s="1" t="s">
        <v>3431</v>
      </c>
      <c r="I2572" s="1" t="s">
        <v>3320</v>
      </c>
      <c r="J2572" t="str">
        <f>IF(ISNA(_xlfn.XLOOKUP(B2572,customer_master!$A$2:$A$1649, customer_master!$A$2:$A$1649)), "Invalid", "Ok")</f>
        <v>Ok</v>
      </c>
      <c r="K2572" t="str">
        <f>IF(ISNA(_xlfn.XLOOKUP(H2572,agent_info!$A$2:$A$301, agent_info!$A$2:$A$301)), "Invalid", "Ok")</f>
        <v>Ok</v>
      </c>
    </row>
    <row r="2573" spans="1:11" x14ac:dyDescent="0.3">
      <c r="A2573" s="1" t="s">
        <v>6192</v>
      </c>
      <c r="B2573" s="1" t="s">
        <v>101</v>
      </c>
      <c r="C2573" s="1" t="s">
        <v>3326</v>
      </c>
      <c r="D2573" s="1">
        <v>584087.13</v>
      </c>
      <c r="E2573" s="1">
        <v>26833.84</v>
      </c>
      <c r="F2573" s="41">
        <v>45786</v>
      </c>
      <c r="G2573" s="41">
        <v>46151</v>
      </c>
      <c r="H2573" s="1" t="s">
        <v>4076</v>
      </c>
      <c r="I2573" s="1" t="s">
        <v>3324</v>
      </c>
      <c r="J2573" t="str">
        <f>IF(ISNA(_xlfn.XLOOKUP(B2573,customer_master!$A$2:$A$1649, customer_master!$A$2:$A$1649)), "Invalid", "Ok")</f>
        <v>Ok</v>
      </c>
      <c r="K2573" t="str">
        <f>IF(ISNA(_xlfn.XLOOKUP(H2573,agent_info!$A$2:$A$301, agent_info!$A$2:$A$301)), "Invalid", "Ok")</f>
        <v>Ok</v>
      </c>
    </row>
    <row r="2574" spans="1:11" x14ac:dyDescent="0.3">
      <c r="A2574" s="1" t="s">
        <v>6193</v>
      </c>
      <c r="B2574" s="1" t="s">
        <v>1660</v>
      </c>
      <c r="C2574" s="1" t="s">
        <v>3334</v>
      </c>
      <c r="D2574" s="1">
        <v>747306.2</v>
      </c>
      <c r="E2574" s="1">
        <v>38623.74</v>
      </c>
      <c r="F2574" s="41">
        <v>44488</v>
      </c>
      <c r="G2574" s="41">
        <v>44853</v>
      </c>
      <c r="H2574" s="1" t="s">
        <v>4106</v>
      </c>
      <c r="I2574" s="1" t="s">
        <v>3316</v>
      </c>
      <c r="J2574" t="str">
        <f>IF(ISNA(_xlfn.XLOOKUP(B2574,customer_master!$A$2:$A$1649, customer_master!$A$2:$A$1649)), "Invalid", "Ok")</f>
        <v>Ok</v>
      </c>
      <c r="K2574" t="str">
        <f>IF(ISNA(_xlfn.XLOOKUP(H2574,agent_info!$A$2:$A$301, agent_info!$A$2:$A$301)), "Invalid", "Ok")</f>
        <v>Ok</v>
      </c>
    </row>
    <row r="2575" spans="1:11" x14ac:dyDescent="0.3">
      <c r="A2575" s="1" t="s">
        <v>6194</v>
      </c>
      <c r="B2575" s="1" t="s">
        <v>935</v>
      </c>
      <c r="C2575" s="1" t="s">
        <v>3318</v>
      </c>
      <c r="D2575" s="1">
        <v>556826.03</v>
      </c>
      <c r="E2575" s="1">
        <v>25098.41</v>
      </c>
      <c r="F2575" s="41">
        <v>44686</v>
      </c>
      <c r="G2575" s="41">
        <v>45051</v>
      </c>
      <c r="H2575" s="1" t="s">
        <v>3734</v>
      </c>
      <c r="I2575" s="1" t="s">
        <v>3316</v>
      </c>
      <c r="J2575" t="str">
        <f>IF(ISNA(_xlfn.XLOOKUP(B2575,customer_master!$A$2:$A$1649, customer_master!$A$2:$A$1649)), "Invalid", "Ok")</f>
        <v>Ok</v>
      </c>
      <c r="K2575" t="str">
        <f>IF(ISNA(_xlfn.XLOOKUP(H2575,agent_info!$A$2:$A$301, agent_info!$A$2:$A$301)), "Invalid", "Ok")</f>
        <v>Ok</v>
      </c>
    </row>
    <row r="2576" spans="1:11" x14ac:dyDescent="0.3">
      <c r="A2576" s="1" t="s">
        <v>6195</v>
      </c>
      <c r="B2576" s="1" t="s">
        <v>2967</v>
      </c>
      <c r="C2576" s="1" t="s">
        <v>3326</v>
      </c>
      <c r="D2576" s="1">
        <v>658619.65</v>
      </c>
      <c r="E2576" s="1">
        <v>35120.370000000003</v>
      </c>
      <c r="F2576" s="41">
        <v>44436</v>
      </c>
      <c r="G2576" s="41">
        <v>44801</v>
      </c>
      <c r="H2576" s="1" t="s">
        <v>4122</v>
      </c>
      <c r="I2576" s="1" t="s">
        <v>3324</v>
      </c>
      <c r="J2576" t="str">
        <f>IF(ISNA(_xlfn.XLOOKUP(B2576,customer_master!$A$2:$A$1649, customer_master!$A$2:$A$1649)), "Invalid", "Ok")</f>
        <v>Ok</v>
      </c>
      <c r="K2576" t="str">
        <f>IF(ISNA(_xlfn.XLOOKUP(H2576,agent_info!$A$2:$A$301, agent_info!$A$2:$A$301)), "Invalid", "Ok")</f>
        <v>Ok</v>
      </c>
    </row>
    <row r="2577" spans="1:11" x14ac:dyDescent="0.3">
      <c r="A2577" s="1" t="s">
        <v>6196</v>
      </c>
      <c r="B2577" s="1" t="s">
        <v>2378</v>
      </c>
      <c r="C2577" s="1" t="s">
        <v>3334</v>
      </c>
      <c r="D2577" s="1">
        <v>555918.15</v>
      </c>
      <c r="E2577" s="1">
        <v>28144.52</v>
      </c>
      <c r="F2577" s="41">
        <v>44750</v>
      </c>
      <c r="G2577" s="41">
        <v>45115</v>
      </c>
      <c r="H2577" s="1" t="s">
        <v>4045</v>
      </c>
      <c r="I2577" s="1" t="s">
        <v>3324</v>
      </c>
      <c r="J2577" t="str">
        <f>IF(ISNA(_xlfn.XLOOKUP(B2577,customer_master!$A$2:$A$1649, customer_master!$A$2:$A$1649)), "Invalid", "Ok")</f>
        <v>Ok</v>
      </c>
      <c r="K2577" t="str">
        <f>IF(ISNA(_xlfn.XLOOKUP(H2577,agent_info!$A$2:$A$301, agent_info!$A$2:$A$301)), "Invalid", "Ok")</f>
        <v>Ok</v>
      </c>
    </row>
    <row r="2578" spans="1:11" x14ac:dyDescent="0.3">
      <c r="A2578" s="1" t="s">
        <v>6197</v>
      </c>
      <c r="B2578" s="1" t="s">
        <v>1374</v>
      </c>
      <c r="C2578" s="1" t="s">
        <v>3331</v>
      </c>
      <c r="D2578" s="1">
        <v>563709.75</v>
      </c>
      <c r="E2578" s="1">
        <v>26758.28</v>
      </c>
      <c r="F2578" s="41">
        <v>45983</v>
      </c>
      <c r="G2578" s="41">
        <v>46348</v>
      </c>
      <c r="H2578" s="1" t="s">
        <v>3634</v>
      </c>
      <c r="I2578" s="1" t="s">
        <v>3324</v>
      </c>
      <c r="J2578" t="str">
        <f>IF(ISNA(_xlfn.XLOOKUP(B2578,customer_master!$A$2:$A$1649, customer_master!$A$2:$A$1649)), "Invalid", "Ok")</f>
        <v>Ok</v>
      </c>
      <c r="K2578" t="str">
        <f>IF(ISNA(_xlfn.XLOOKUP(H2578,agent_info!$A$2:$A$301, agent_info!$A$2:$A$301)), "Invalid", "Ok")</f>
        <v>Ok</v>
      </c>
    </row>
    <row r="2579" spans="1:11" x14ac:dyDescent="0.3">
      <c r="A2579" s="1" t="s">
        <v>6198</v>
      </c>
      <c r="B2579" s="1" t="s">
        <v>2541</v>
      </c>
      <c r="C2579" s="1" t="s">
        <v>3334</v>
      </c>
      <c r="D2579" s="1">
        <v>628686.72</v>
      </c>
      <c r="E2579" s="1">
        <v>31268.32</v>
      </c>
      <c r="F2579" s="41">
        <v>45498</v>
      </c>
      <c r="G2579" s="41">
        <v>45863</v>
      </c>
      <c r="H2579" s="1" t="s">
        <v>3811</v>
      </c>
      <c r="I2579" s="1" t="s">
        <v>3324</v>
      </c>
      <c r="J2579" t="str">
        <f>IF(ISNA(_xlfn.XLOOKUP(B2579,customer_master!$A$2:$A$1649, customer_master!$A$2:$A$1649)), "Invalid", "Ok")</f>
        <v>Ok</v>
      </c>
      <c r="K2579" t="str">
        <f>IF(ISNA(_xlfn.XLOOKUP(H2579,agent_info!$A$2:$A$301, agent_info!$A$2:$A$301)), "Invalid", "Ok")</f>
        <v>Ok</v>
      </c>
    </row>
    <row r="2580" spans="1:11" x14ac:dyDescent="0.3">
      <c r="A2580" s="1" t="s">
        <v>6199</v>
      </c>
      <c r="B2580" s="1" t="s">
        <v>1159</v>
      </c>
      <c r="C2580" s="1" t="s">
        <v>3331</v>
      </c>
      <c r="D2580" s="1">
        <v>463866.38</v>
      </c>
      <c r="E2580" s="1">
        <v>22091.24</v>
      </c>
      <c r="F2580" s="41">
        <v>44399</v>
      </c>
      <c r="G2580" s="41">
        <v>44764</v>
      </c>
      <c r="H2580" s="1" t="s">
        <v>3749</v>
      </c>
      <c r="I2580" s="1" t="s">
        <v>3316</v>
      </c>
      <c r="J2580" t="str">
        <f>IF(ISNA(_xlfn.XLOOKUP(B2580,customer_master!$A$2:$A$1649, customer_master!$A$2:$A$1649)), "Invalid", "Ok")</f>
        <v>Ok</v>
      </c>
      <c r="K2580" t="str">
        <f>IF(ISNA(_xlfn.XLOOKUP(H2580,agent_info!$A$2:$A$301, agent_info!$A$2:$A$301)), "Invalid", "Ok")</f>
        <v>Ok</v>
      </c>
    </row>
    <row r="2581" spans="1:11" x14ac:dyDescent="0.3">
      <c r="A2581" s="1" t="s">
        <v>6200</v>
      </c>
      <c r="B2581" s="1" t="s">
        <v>1749</v>
      </c>
      <c r="C2581" s="1" t="s">
        <v>3314</v>
      </c>
      <c r="D2581" s="1">
        <v>468682.11</v>
      </c>
      <c r="E2581" s="1">
        <v>23588.1</v>
      </c>
      <c r="F2581" s="41">
        <v>45997</v>
      </c>
      <c r="G2581" s="41">
        <v>46362</v>
      </c>
      <c r="H2581" s="1" t="s">
        <v>4173</v>
      </c>
      <c r="I2581" s="1" t="s">
        <v>3324</v>
      </c>
      <c r="J2581" t="str">
        <f>IF(ISNA(_xlfn.XLOOKUP(B2581,customer_master!$A$2:$A$1649, customer_master!$A$2:$A$1649)), "Invalid", "Ok")</f>
        <v>Ok</v>
      </c>
      <c r="K2581" t="str">
        <f>IF(ISNA(_xlfn.XLOOKUP(H2581,agent_info!$A$2:$A$301, agent_info!$A$2:$A$301)), "Invalid", "Ok")</f>
        <v>Ok</v>
      </c>
    </row>
    <row r="2582" spans="1:11" x14ac:dyDescent="0.3">
      <c r="A2582" s="1" t="s">
        <v>6201</v>
      </c>
      <c r="B2582" s="1" t="s">
        <v>3073</v>
      </c>
      <c r="C2582" s="1" t="s">
        <v>3326</v>
      </c>
      <c r="D2582" s="1">
        <v>528441.15</v>
      </c>
      <c r="E2582" s="1">
        <v>26800.65</v>
      </c>
      <c r="F2582" s="41">
        <v>45710</v>
      </c>
      <c r="G2582" s="41">
        <v>46075</v>
      </c>
      <c r="H2582" s="1" t="s">
        <v>3751</v>
      </c>
      <c r="I2582" s="1" t="s">
        <v>3324</v>
      </c>
      <c r="J2582" t="str">
        <f>IF(ISNA(_xlfn.XLOOKUP(B2582,customer_master!$A$2:$A$1649, customer_master!$A$2:$A$1649)), "Invalid", "Ok")</f>
        <v>Ok</v>
      </c>
      <c r="K2582" t="str">
        <f>IF(ISNA(_xlfn.XLOOKUP(H2582,agent_info!$A$2:$A$301, agent_info!$A$2:$A$301)), "Invalid", "Ok")</f>
        <v>Ok</v>
      </c>
    </row>
    <row r="2583" spans="1:11" x14ac:dyDescent="0.3">
      <c r="A2583" s="1" t="s">
        <v>6202</v>
      </c>
      <c r="B2583" s="1" t="s">
        <v>711</v>
      </c>
      <c r="C2583" s="1" t="s">
        <v>3331</v>
      </c>
      <c r="D2583" s="1">
        <v>407674.65</v>
      </c>
      <c r="E2583" s="1">
        <v>21491.31</v>
      </c>
      <c r="F2583" s="41">
        <v>44604</v>
      </c>
      <c r="G2583" s="41">
        <v>44969</v>
      </c>
      <c r="H2583" s="1" t="s">
        <v>3589</v>
      </c>
      <c r="I2583" s="1" t="s">
        <v>3324</v>
      </c>
      <c r="J2583" t="str">
        <f>IF(ISNA(_xlfn.XLOOKUP(B2583,customer_master!$A$2:$A$1649, customer_master!$A$2:$A$1649)), "Invalid", "Ok")</f>
        <v>Ok</v>
      </c>
      <c r="K2583" t="str">
        <f>IF(ISNA(_xlfn.XLOOKUP(H2583,agent_info!$A$2:$A$301, agent_info!$A$2:$A$301)), "Invalid", "Ok")</f>
        <v>Ok</v>
      </c>
    </row>
    <row r="2584" spans="1:11" x14ac:dyDescent="0.3">
      <c r="A2584" s="1" t="s">
        <v>6203</v>
      </c>
      <c r="B2584" s="1" t="s">
        <v>1061</v>
      </c>
      <c r="C2584" s="1" t="s">
        <v>3314</v>
      </c>
      <c r="D2584" s="1">
        <v>476113.35</v>
      </c>
      <c r="E2584" s="1">
        <v>23644.21</v>
      </c>
      <c r="F2584" s="41">
        <v>46036</v>
      </c>
      <c r="G2584" s="41">
        <v>46401</v>
      </c>
      <c r="H2584" s="1" t="s">
        <v>3443</v>
      </c>
      <c r="I2584" s="1" t="s">
        <v>3324</v>
      </c>
      <c r="J2584" t="str">
        <f>IF(ISNA(_xlfn.XLOOKUP(B2584,customer_master!$A$2:$A$1649, customer_master!$A$2:$A$1649)), "Invalid", "Ok")</f>
        <v>Ok</v>
      </c>
      <c r="K2584" t="str">
        <f>IF(ISNA(_xlfn.XLOOKUP(H2584,agent_info!$A$2:$A$301, agent_info!$A$2:$A$301)), "Invalid", "Ok")</f>
        <v>Ok</v>
      </c>
    </row>
    <row r="2585" spans="1:11" x14ac:dyDescent="0.3">
      <c r="A2585" s="1" t="s">
        <v>6204</v>
      </c>
      <c r="B2585" s="1" t="s">
        <v>2943</v>
      </c>
      <c r="C2585" s="1" t="s">
        <v>3326</v>
      </c>
      <c r="D2585" s="1">
        <v>627694.25</v>
      </c>
      <c r="E2585" s="1">
        <v>33183.919999999998</v>
      </c>
      <c r="F2585" s="41">
        <v>44486</v>
      </c>
      <c r="G2585" s="41">
        <v>44851</v>
      </c>
      <c r="H2585" s="1" t="s">
        <v>3634</v>
      </c>
      <c r="I2585" s="1" t="s">
        <v>3316</v>
      </c>
      <c r="J2585" t="str">
        <f>IF(ISNA(_xlfn.XLOOKUP(B2585,customer_master!$A$2:$A$1649, customer_master!$A$2:$A$1649)), "Invalid", "Ok")</f>
        <v>Ok</v>
      </c>
      <c r="K2585" t="str">
        <f>IF(ISNA(_xlfn.XLOOKUP(H2585,agent_info!$A$2:$A$301, agent_info!$A$2:$A$301)), "Invalid", "Ok")</f>
        <v>Ok</v>
      </c>
    </row>
    <row r="2586" spans="1:11" x14ac:dyDescent="0.3">
      <c r="A2586" s="1" t="s">
        <v>6205</v>
      </c>
      <c r="B2586" s="1" t="s">
        <v>1551</v>
      </c>
      <c r="C2586" s="1" t="s">
        <v>3331</v>
      </c>
      <c r="D2586" s="1">
        <v>558414.30000000005</v>
      </c>
      <c r="E2586" s="1">
        <v>25515.31</v>
      </c>
      <c r="F2586" s="41">
        <v>44139</v>
      </c>
      <c r="G2586" s="41">
        <v>44504</v>
      </c>
      <c r="H2586" s="1" t="s">
        <v>3801</v>
      </c>
      <c r="I2586" s="1" t="s">
        <v>3320</v>
      </c>
      <c r="J2586" t="str">
        <f>IF(ISNA(_xlfn.XLOOKUP(B2586,customer_master!$A$2:$A$1649, customer_master!$A$2:$A$1649)), "Invalid", "Ok")</f>
        <v>Ok</v>
      </c>
      <c r="K2586" t="str">
        <f>IF(ISNA(_xlfn.XLOOKUP(H2586,agent_info!$A$2:$A$301, agent_info!$A$2:$A$301)), "Invalid", "Ok")</f>
        <v>Ok</v>
      </c>
    </row>
    <row r="2587" spans="1:11" x14ac:dyDescent="0.3">
      <c r="A2587" s="1" t="s">
        <v>6206</v>
      </c>
      <c r="B2587" s="1" t="s">
        <v>1075</v>
      </c>
      <c r="C2587" s="1" t="s">
        <v>3318</v>
      </c>
      <c r="D2587" s="1">
        <v>388063.09</v>
      </c>
      <c r="E2587" s="1">
        <v>21038.23</v>
      </c>
      <c r="F2587" s="41">
        <v>45527</v>
      </c>
      <c r="G2587" s="41">
        <v>45892</v>
      </c>
      <c r="H2587" s="1" t="s">
        <v>4055</v>
      </c>
      <c r="I2587" s="1" t="s">
        <v>3324</v>
      </c>
      <c r="J2587" t="str">
        <f>IF(ISNA(_xlfn.XLOOKUP(B2587,customer_master!$A$2:$A$1649, customer_master!$A$2:$A$1649)), "Invalid", "Ok")</f>
        <v>Ok</v>
      </c>
      <c r="K2587" t="str">
        <f>IF(ISNA(_xlfn.XLOOKUP(H2587,agent_info!$A$2:$A$301, agent_info!$A$2:$A$301)), "Invalid", "Ok")</f>
        <v>Ok</v>
      </c>
    </row>
    <row r="2588" spans="1:11" x14ac:dyDescent="0.3">
      <c r="A2588" s="1" t="s">
        <v>6207</v>
      </c>
      <c r="B2588" s="1" t="s">
        <v>154</v>
      </c>
      <c r="C2588" s="1" t="s">
        <v>3331</v>
      </c>
      <c r="D2588" s="1">
        <v>404672.85</v>
      </c>
      <c r="E2588" s="1">
        <v>18960.98</v>
      </c>
      <c r="F2588" s="41">
        <v>45069</v>
      </c>
      <c r="G2588" s="41">
        <v>45435</v>
      </c>
      <c r="H2588" s="1" t="s">
        <v>3631</v>
      </c>
      <c r="I2588" s="1" t="s">
        <v>3324</v>
      </c>
      <c r="J2588" t="str">
        <f>IF(ISNA(_xlfn.XLOOKUP(B2588,customer_master!$A$2:$A$1649, customer_master!$A$2:$A$1649)), "Invalid", "Ok")</f>
        <v>Ok</v>
      </c>
      <c r="K2588" t="str">
        <f>IF(ISNA(_xlfn.XLOOKUP(H2588,agent_info!$A$2:$A$301, agent_info!$A$2:$A$301)), "Invalid", "Ok")</f>
        <v>Ok</v>
      </c>
    </row>
    <row r="2589" spans="1:11" x14ac:dyDescent="0.3">
      <c r="A2589" s="1" t="s">
        <v>6208</v>
      </c>
      <c r="B2589" s="1" t="s">
        <v>1415</v>
      </c>
      <c r="C2589" s="1" t="s">
        <v>3326</v>
      </c>
      <c r="D2589" s="1">
        <v>671830.38</v>
      </c>
      <c r="E2589" s="1">
        <v>35852.75</v>
      </c>
      <c r="F2589" s="41">
        <v>44659</v>
      </c>
      <c r="G2589" s="41">
        <v>45024</v>
      </c>
      <c r="H2589" s="1" t="s">
        <v>3762</v>
      </c>
      <c r="I2589" s="1" t="s">
        <v>3316</v>
      </c>
      <c r="J2589" t="str">
        <f>IF(ISNA(_xlfn.XLOOKUP(B2589,customer_master!$A$2:$A$1649, customer_master!$A$2:$A$1649)), "Invalid", "Ok")</f>
        <v>Ok</v>
      </c>
      <c r="K2589" t="str">
        <f>IF(ISNA(_xlfn.XLOOKUP(H2589,agent_info!$A$2:$A$301, agent_info!$A$2:$A$301)), "Invalid", "Ok")</f>
        <v>Ok</v>
      </c>
    </row>
    <row r="2590" spans="1:11" x14ac:dyDescent="0.3">
      <c r="A2590" s="1" t="s">
        <v>6209</v>
      </c>
      <c r="B2590" s="1" t="s">
        <v>1682</v>
      </c>
      <c r="C2590" s="1" t="s">
        <v>3318</v>
      </c>
      <c r="D2590" s="1">
        <v>739639.57</v>
      </c>
      <c r="E2590" s="1">
        <v>36942.269999999997</v>
      </c>
      <c r="F2590" s="41">
        <v>46108</v>
      </c>
      <c r="G2590" s="41">
        <v>46473</v>
      </c>
      <c r="H2590" s="1" t="s">
        <v>3498</v>
      </c>
      <c r="I2590" s="1" t="s">
        <v>3320</v>
      </c>
      <c r="J2590" t="str">
        <f>IF(ISNA(_xlfn.XLOOKUP(B2590,customer_master!$A$2:$A$1649, customer_master!$A$2:$A$1649)), "Invalid", "Ok")</f>
        <v>Ok</v>
      </c>
      <c r="K2590" t="str">
        <f>IF(ISNA(_xlfn.XLOOKUP(H2590,agent_info!$A$2:$A$301, agent_info!$A$2:$A$301)), "Invalid", "Ok")</f>
        <v>Ok</v>
      </c>
    </row>
    <row r="2591" spans="1:11" x14ac:dyDescent="0.3">
      <c r="A2591" s="1" t="s">
        <v>6210</v>
      </c>
      <c r="B2591" s="1" t="s">
        <v>1380</v>
      </c>
      <c r="C2591" s="1" t="s">
        <v>3334</v>
      </c>
      <c r="D2591" s="1">
        <v>631824.98</v>
      </c>
      <c r="E2591" s="1">
        <v>29093.75</v>
      </c>
      <c r="F2591" s="41">
        <v>44261</v>
      </c>
      <c r="G2591" s="41">
        <v>44626</v>
      </c>
      <c r="H2591" s="1" t="s">
        <v>3821</v>
      </c>
      <c r="I2591" s="1" t="s">
        <v>3316</v>
      </c>
      <c r="J2591" t="str">
        <f>IF(ISNA(_xlfn.XLOOKUP(B2591,customer_master!$A$2:$A$1649, customer_master!$A$2:$A$1649)), "Invalid", "Ok")</f>
        <v>Ok</v>
      </c>
      <c r="K2591" t="str">
        <f>IF(ISNA(_xlfn.XLOOKUP(H2591,agent_info!$A$2:$A$301, agent_info!$A$2:$A$301)), "Invalid", "Ok")</f>
        <v>Ok</v>
      </c>
    </row>
    <row r="2592" spans="1:11" x14ac:dyDescent="0.3">
      <c r="A2592" s="1" t="s">
        <v>6211</v>
      </c>
      <c r="B2592" s="1" t="s">
        <v>939</v>
      </c>
      <c r="C2592" s="1" t="s">
        <v>3326</v>
      </c>
      <c r="D2592" s="1">
        <v>414730.79</v>
      </c>
      <c r="E2592" s="1">
        <v>20155.099999999999</v>
      </c>
      <c r="F2592" s="41">
        <v>45022</v>
      </c>
      <c r="G2592" s="41">
        <v>45388</v>
      </c>
      <c r="H2592" s="1" t="s">
        <v>3811</v>
      </c>
      <c r="I2592" s="1" t="s">
        <v>3316</v>
      </c>
      <c r="J2592" t="str">
        <f>IF(ISNA(_xlfn.XLOOKUP(B2592,customer_master!$A$2:$A$1649, customer_master!$A$2:$A$1649)), "Invalid", "Ok")</f>
        <v>Ok</v>
      </c>
      <c r="K2592" t="str">
        <f>IF(ISNA(_xlfn.XLOOKUP(H2592,agent_info!$A$2:$A$301, agent_info!$A$2:$A$301)), "Invalid", "Ok")</f>
        <v>Ok</v>
      </c>
    </row>
    <row r="2593" spans="1:11" x14ac:dyDescent="0.3">
      <c r="A2593" s="1" t="s">
        <v>6212</v>
      </c>
      <c r="B2593" s="1" t="s">
        <v>1249</v>
      </c>
      <c r="C2593" s="1" t="s">
        <v>3331</v>
      </c>
      <c r="D2593" s="1">
        <v>521924.89</v>
      </c>
      <c r="E2593" s="1">
        <v>28279.62</v>
      </c>
      <c r="F2593" s="41">
        <v>44407</v>
      </c>
      <c r="G2593" s="41">
        <v>44772</v>
      </c>
      <c r="H2593" s="1" t="s">
        <v>3583</v>
      </c>
      <c r="I2593" s="1" t="s">
        <v>3324</v>
      </c>
      <c r="J2593" t="str">
        <f>IF(ISNA(_xlfn.XLOOKUP(B2593,customer_master!$A$2:$A$1649, customer_master!$A$2:$A$1649)), "Invalid", "Ok")</f>
        <v>Ok</v>
      </c>
      <c r="K2593" t="str">
        <f>IF(ISNA(_xlfn.XLOOKUP(H2593,agent_info!$A$2:$A$301, agent_info!$A$2:$A$301)), "Invalid", "Ok")</f>
        <v>Ok</v>
      </c>
    </row>
    <row r="2594" spans="1:11" x14ac:dyDescent="0.3">
      <c r="A2594" s="1" t="s">
        <v>6213</v>
      </c>
      <c r="B2594" s="1" t="s">
        <v>2156</v>
      </c>
      <c r="C2594" s="1" t="s">
        <v>3318</v>
      </c>
      <c r="D2594" s="1">
        <v>493466.55</v>
      </c>
      <c r="E2594" s="1">
        <v>26325.03</v>
      </c>
      <c r="F2594" s="41">
        <v>45177</v>
      </c>
      <c r="G2594" s="41">
        <v>45543</v>
      </c>
      <c r="H2594" s="1" t="s">
        <v>3581</v>
      </c>
      <c r="I2594" s="1" t="s">
        <v>3324</v>
      </c>
      <c r="J2594" t="str">
        <f>IF(ISNA(_xlfn.XLOOKUP(B2594,customer_master!$A$2:$A$1649, customer_master!$A$2:$A$1649)), "Invalid", "Ok")</f>
        <v>Ok</v>
      </c>
      <c r="K2594" t="str">
        <f>IF(ISNA(_xlfn.XLOOKUP(H2594,agent_info!$A$2:$A$301, agent_info!$A$2:$A$301)), "Invalid", "Ok")</f>
        <v>Ok</v>
      </c>
    </row>
    <row r="2595" spans="1:11" x14ac:dyDescent="0.3">
      <c r="A2595" s="1" t="s">
        <v>6214</v>
      </c>
      <c r="B2595" s="1" t="s">
        <v>2963</v>
      </c>
      <c r="C2595" s="1" t="s">
        <v>3314</v>
      </c>
      <c r="D2595" s="1">
        <v>687285.18</v>
      </c>
      <c r="E2595" s="1">
        <v>35892.199999999997</v>
      </c>
      <c r="F2595" s="41">
        <v>45190</v>
      </c>
      <c r="G2595" s="41">
        <v>45556</v>
      </c>
      <c r="H2595" s="1" t="s">
        <v>3719</v>
      </c>
      <c r="I2595" s="1" t="s">
        <v>3316</v>
      </c>
      <c r="J2595" t="str">
        <f>IF(ISNA(_xlfn.XLOOKUP(B2595,customer_master!$A$2:$A$1649, customer_master!$A$2:$A$1649)), "Invalid", "Ok")</f>
        <v>Ok</v>
      </c>
      <c r="K2595" t="str">
        <f>IF(ISNA(_xlfn.XLOOKUP(H2595,agent_info!$A$2:$A$301, agent_info!$A$2:$A$301)), "Invalid", "Ok")</f>
        <v>Ok</v>
      </c>
    </row>
    <row r="2596" spans="1:11" x14ac:dyDescent="0.3">
      <c r="A2596" s="1" t="s">
        <v>6215</v>
      </c>
      <c r="B2596" s="1" t="s">
        <v>2172</v>
      </c>
      <c r="C2596" s="1" t="s">
        <v>3326</v>
      </c>
      <c r="D2596" s="1">
        <v>537981.39</v>
      </c>
      <c r="E2596" s="1">
        <v>26252.66</v>
      </c>
      <c r="F2596" s="41">
        <v>44193</v>
      </c>
      <c r="G2596" s="41">
        <v>44558</v>
      </c>
      <c r="H2596" s="1" t="s">
        <v>3585</v>
      </c>
      <c r="I2596" s="1" t="s">
        <v>3324</v>
      </c>
      <c r="J2596" t="str">
        <f>IF(ISNA(_xlfn.XLOOKUP(B2596,customer_master!$A$2:$A$1649, customer_master!$A$2:$A$1649)), "Invalid", "Ok")</f>
        <v>Ok</v>
      </c>
      <c r="K2596" t="str">
        <f>IF(ISNA(_xlfn.XLOOKUP(H2596,agent_info!$A$2:$A$301, agent_info!$A$2:$A$301)), "Invalid", "Ok")</f>
        <v>Ok</v>
      </c>
    </row>
    <row r="2597" spans="1:11" x14ac:dyDescent="0.3">
      <c r="A2597" s="1" t="s">
        <v>6216</v>
      </c>
      <c r="B2597" s="1" t="s">
        <v>2162</v>
      </c>
      <c r="C2597" s="1" t="s">
        <v>3331</v>
      </c>
      <c r="D2597" s="1">
        <v>678938.97</v>
      </c>
      <c r="E2597" s="1">
        <v>34549.78</v>
      </c>
      <c r="F2597" s="41">
        <v>44674</v>
      </c>
      <c r="G2597" s="41">
        <v>45039</v>
      </c>
      <c r="H2597" s="1" t="s">
        <v>3774</v>
      </c>
      <c r="I2597" s="1" t="s">
        <v>3324</v>
      </c>
      <c r="J2597" t="str">
        <f>IF(ISNA(_xlfn.XLOOKUP(B2597,customer_master!$A$2:$A$1649, customer_master!$A$2:$A$1649)), "Invalid", "Ok")</f>
        <v>Ok</v>
      </c>
      <c r="K2597" t="str">
        <f>IF(ISNA(_xlfn.XLOOKUP(H2597,agent_info!$A$2:$A$301, agent_info!$A$2:$A$301)), "Invalid", "Ok")</f>
        <v>Ok</v>
      </c>
    </row>
    <row r="2598" spans="1:11" x14ac:dyDescent="0.3">
      <c r="A2598" s="1" t="s">
        <v>6217</v>
      </c>
      <c r="B2598" s="1" t="s">
        <v>2712</v>
      </c>
      <c r="C2598" s="1" t="s">
        <v>3331</v>
      </c>
      <c r="D2598" s="1">
        <v>519034.8</v>
      </c>
      <c r="E2598" s="1">
        <v>24561.360000000001</v>
      </c>
      <c r="F2598" s="41">
        <v>44291</v>
      </c>
      <c r="G2598" s="41">
        <v>44656</v>
      </c>
      <c r="H2598" s="1" t="s">
        <v>3449</v>
      </c>
      <c r="I2598" s="1" t="s">
        <v>3316</v>
      </c>
      <c r="J2598" t="str">
        <f>IF(ISNA(_xlfn.XLOOKUP(B2598,customer_master!$A$2:$A$1649, customer_master!$A$2:$A$1649)), "Invalid", "Ok")</f>
        <v>Ok</v>
      </c>
      <c r="K2598" t="str">
        <f>IF(ISNA(_xlfn.XLOOKUP(H2598,agent_info!$A$2:$A$301, agent_info!$A$2:$A$301)), "Invalid", "Ok")</f>
        <v>Ok</v>
      </c>
    </row>
    <row r="2599" spans="1:11" x14ac:dyDescent="0.3">
      <c r="A2599" s="1" t="s">
        <v>6218</v>
      </c>
      <c r="B2599" s="1" t="s">
        <v>584</v>
      </c>
      <c r="C2599" s="1" t="s">
        <v>3331</v>
      </c>
      <c r="D2599" s="1">
        <v>713218.62</v>
      </c>
      <c r="E2599" s="1">
        <v>36715.379999999997</v>
      </c>
      <c r="F2599" s="41">
        <v>45498</v>
      </c>
      <c r="G2599" s="41">
        <v>45863</v>
      </c>
      <c r="H2599" s="1" t="s">
        <v>4343</v>
      </c>
      <c r="I2599" s="1" t="s">
        <v>3324</v>
      </c>
      <c r="J2599" t="str">
        <f>IF(ISNA(_xlfn.XLOOKUP(B2599,customer_master!$A$2:$A$1649, customer_master!$A$2:$A$1649)), "Invalid", "Ok")</f>
        <v>Ok</v>
      </c>
      <c r="K2599" t="str">
        <f>IF(ISNA(_xlfn.XLOOKUP(H2599,agent_info!$A$2:$A$301, agent_info!$A$2:$A$301)), "Invalid", "Ok")</f>
        <v>Ok</v>
      </c>
    </row>
    <row r="2600" spans="1:11" x14ac:dyDescent="0.3">
      <c r="A2600" s="1" t="s">
        <v>6219</v>
      </c>
      <c r="B2600" s="1" t="s">
        <v>1016</v>
      </c>
      <c r="C2600" s="1" t="s">
        <v>3334</v>
      </c>
      <c r="D2600" s="1">
        <v>550227.51</v>
      </c>
      <c r="E2600" s="1">
        <v>26196</v>
      </c>
      <c r="F2600" s="41">
        <v>45681</v>
      </c>
      <c r="G2600" s="41">
        <v>46046</v>
      </c>
      <c r="H2600" s="1" t="s">
        <v>3984</v>
      </c>
      <c r="I2600" s="1" t="s">
        <v>3324</v>
      </c>
      <c r="J2600" t="str">
        <f>IF(ISNA(_xlfn.XLOOKUP(B2600,customer_master!$A$2:$A$1649, customer_master!$A$2:$A$1649)), "Invalid", "Ok")</f>
        <v>Ok</v>
      </c>
      <c r="K2600" t="str">
        <f>IF(ISNA(_xlfn.XLOOKUP(H2600,agent_info!$A$2:$A$301, agent_info!$A$2:$A$301)), "Invalid", "Ok")</f>
        <v>Ok</v>
      </c>
    </row>
    <row r="2601" spans="1:11" x14ac:dyDescent="0.3">
      <c r="A2601" s="1" t="s">
        <v>6220</v>
      </c>
      <c r="B2601" s="1" t="s">
        <v>202</v>
      </c>
      <c r="C2601" s="1" t="s">
        <v>3331</v>
      </c>
      <c r="D2601" s="1">
        <v>540728.21</v>
      </c>
      <c r="E2601" s="1">
        <v>28815.439999999999</v>
      </c>
      <c r="F2601" s="41">
        <v>45003</v>
      </c>
      <c r="G2601" s="41">
        <v>45369</v>
      </c>
      <c r="H2601" s="1" t="s">
        <v>4027</v>
      </c>
      <c r="I2601" s="1" t="s">
        <v>3316</v>
      </c>
      <c r="J2601" t="str">
        <f>IF(ISNA(_xlfn.XLOOKUP(B2601,customer_master!$A$2:$A$1649, customer_master!$A$2:$A$1649)), "Invalid", "Ok")</f>
        <v>Ok</v>
      </c>
      <c r="K2601" t="str">
        <f>IF(ISNA(_xlfn.XLOOKUP(H2601,agent_info!$A$2:$A$301, agent_info!$A$2:$A$301)), "Invalid", "Ok")</f>
        <v>Ok</v>
      </c>
    </row>
    <row r="2602" spans="1:11" x14ac:dyDescent="0.3">
      <c r="A2602" s="1" t="s">
        <v>6221</v>
      </c>
      <c r="B2602" s="1" t="s">
        <v>1185</v>
      </c>
      <c r="C2602" s="1" t="s">
        <v>3334</v>
      </c>
      <c r="D2602" s="1">
        <v>573302.9</v>
      </c>
      <c r="E2602" s="1">
        <v>29837.54</v>
      </c>
      <c r="F2602" s="41">
        <v>44721</v>
      </c>
      <c r="G2602" s="41">
        <v>45086</v>
      </c>
      <c r="H2602" s="1" t="s">
        <v>3422</v>
      </c>
      <c r="I2602" s="1" t="s">
        <v>3324</v>
      </c>
      <c r="J2602" t="str">
        <f>IF(ISNA(_xlfn.XLOOKUP(B2602,customer_master!$A$2:$A$1649, customer_master!$A$2:$A$1649)), "Invalid", "Ok")</f>
        <v>Ok</v>
      </c>
      <c r="K2602" t="str">
        <f>IF(ISNA(_xlfn.XLOOKUP(H2602,agent_info!$A$2:$A$301, agent_info!$A$2:$A$301)), "Invalid", "Ok")</f>
        <v>Ok</v>
      </c>
    </row>
    <row r="2603" spans="1:11" x14ac:dyDescent="0.3">
      <c r="A2603" s="1" t="s">
        <v>6222</v>
      </c>
      <c r="B2603" s="1" t="s">
        <v>3301</v>
      </c>
      <c r="C2603" s="1" t="s">
        <v>3331</v>
      </c>
      <c r="D2603" s="1">
        <v>607273.9</v>
      </c>
      <c r="E2603" s="1">
        <v>29671.95</v>
      </c>
      <c r="F2603" s="41">
        <v>44959</v>
      </c>
      <c r="G2603" s="41">
        <v>45324</v>
      </c>
      <c r="H2603" s="1" t="s">
        <v>3625</v>
      </c>
      <c r="I2603" s="1" t="s">
        <v>3316</v>
      </c>
      <c r="J2603" t="str">
        <f>IF(ISNA(_xlfn.XLOOKUP(B2603,customer_master!$A$2:$A$1649, customer_master!$A$2:$A$1649)), "Invalid", "Ok")</f>
        <v>Ok</v>
      </c>
      <c r="K2603" t="str">
        <f>IF(ISNA(_xlfn.XLOOKUP(H2603,agent_info!$A$2:$A$301, agent_info!$A$2:$A$301)), "Invalid", "Ok")</f>
        <v>Ok</v>
      </c>
    </row>
    <row r="2604" spans="1:11" x14ac:dyDescent="0.3">
      <c r="A2604" s="1" t="s">
        <v>6223</v>
      </c>
      <c r="B2604" s="1" t="s">
        <v>1117</v>
      </c>
      <c r="C2604" s="1" t="s">
        <v>3318</v>
      </c>
      <c r="D2604" s="1">
        <v>715974.28</v>
      </c>
      <c r="E2604" s="1">
        <v>36940.559999999998</v>
      </c>
      <c r="F2604" s="41">
        <v>45379</v>
      </c>
      <c r="G2604" s="41">
        <v>45744</v>
      </c>
      <c r="H2604" s="1" t="s">
        <v>3595</v>
      </c>
      <c r="I2604" s="1" t="s">
        <v>3324</v>
      </c>
      <c r="J2604" t="str">
        <f>IF(ISNA(_xlfn.XLOOKUP(B2604,customer_master!$A$2:$A$1649, customer_master!$A$2:$A$1649)), "Invalid", "Ok")</f>
        <v>Ok</v>
      </c>
      <c r="K2604" t="str">
        <f>IF(ISNA(_xlfn.XLOOKUP(H2604,agent_info!$A$2:$A$301, agent_info!$A$2:$A$301)), "Invalid", "Ok")</f>
        <v>Ok</v>
      </c>
    </row>
    <row r="2605" spans="1:11" x14ac:dyDescent="0.3">
      <c r="A2605" s="1" t="s">
        <v>6224</v>
      </c>
      <c r="B2605" s="1" t="s">
        <v>2859</v>
      </c>
      <c r="C2605" s="1" t="s">
        <v>3318</v>
      </c>
      <c r="D2605" s="1">
        <v>551031.6</v>
      </c>
      <c r="E2605" s="1">
        <v>26588.02</v>
      </c>
      <c r="F2605" s="41">
        <v>45237</v>
      </c>
      <c r="G2605" s="41">
        <v>45603</v>
      </c>
      <c r="H2605" s="1" t="s">
        <v>3343</v>
      </c>
      <c r="I2605" s="1" t="s">
        <v>3324</v>
      </c>
      <c r="J2605" t="str">
        <f>IF(ISNA(_xlfn.XLOOKUP(B2605,customer_master!$A$2:$A$1649, customer_master!$A$2:$A$1649)), "Invalid", "Ok")</f>
        <v>Ok</v>
      </c>
      <c r="K2605" t="str">
        <f>IF(ISNA(_xlfn.XLOOKUP(H2605,agent_info!$A$2:$A$301, agent_info!$A$2:$A$301)), "Invalid", "Ok")</f>
        <v>Ok</v>
      </c>
    </row>
    <row r="2606" spans="1:11" x14ac:dyDescent="0.3">
      <c r="A2606" s="1" t="s">
        <v>6225</v>
      </c>
      <c r="B2606" s="1" t="s">
        <v>320</v>
      </c>
      <c r="C2606" s="1" t="s">
        <v>3318</v>
      </c>
      <c r="D2606" s="1">
        <v>729591.5</v>
      </c>
      <c r="E2606" s="1">
        <v>33967.25</v>
      </c>
      <c r="F2606" s="41">
        <v>45159</v>
      </c>
      <c r="G2606" s="41">
        <v>45525</v>
      </c>
      <c r="H2606" s="1" t="s">
        <v>4198</v>
      </c>
      <c r="I2606" s="1" t="s">
        <v>3324</v>
      </c>
      <c r="J2606" t="str">
        <f>IF(ISNA(_xlfn.XLOOKUP(B2606,customer_master!$A$2:$A$1649, customer_master!$A$2:$A$1649)), "Invalid", "Ok")</f>
        <v>Ok</v>
      </c>
      <c r="K2606" t="str">
        <f>IF(ISNA(_xlfn.XLOOKUP(H2606,agent_info!$A$2:$A$301, agent_info!$A$2:$A$301)), "Invalid", "Ok")</f>
        <v>Ok</v>
      </c>
    </row>
    <row r="2607" spans="1:11" x14ac:dyDescent="0.3">
      <c r="A2607" s="1" t="s">
        <v>6226</v>
      </c>
      <c r="B2607" s="1" t="s">
        <v>1545</v>
      </c>
      <c r="C2607" s="1" t="s">
        <v>3326</v>
      </c>
      <c r="D2607" s="1">
        <v>487783.92</v>
      </c>
      <c r="E2607" s="1">
        <v>23097.47</v>
      </c>
      <c r="F2607" s="41">
        <v>45027</v>
      </c>
      <c r="G2607" s="41">
        <v>45393</v>
      </c>
      <c r="H2607" s="1" t="s">
        <v>3989</v>
      </c>
      <c r="I2607" s="1" t="s">
        <v>3316</v>
      </c>
      <c r="J2607" t="str">
        <f>IF(ISNA(_xlfn.XLOOKUP(B2607,customer_master!$A$2:$A$1649, customer_master!$A$2:$A$1649)), "Invalid", "Ok")</f>
        <v>Ok</v>
      </c>
      <c r="K2607" t="str">
        <f>IF(ISNA(_xlfn.XLOOKUP(H2607,agent_info!$A$2:$A$301, agent_info!$A$2:$A$301)), "Invalid", "Ok")</f>
        <v>Ok</v>
      </c>
    </row>
    <row r="2608" spans="1:11" x14ac:dyDescent="0.3">
      <c r="A2608" s="1" t="s">
        <v>6227</v>
      </c>
      <c r="B2608" s="1" t="s">
        <v>1189</v>
      </c>
      <c r="C2608" s="1" t="s">
        <v>3334</v>
      </c>
      <c r="D2608" s="1">
        <v>509960.49</v>
      </c>
      <c r="E2608" s="1">
        <v>24333.72</v>
      </c>
      <c r="F2608" s="41">
        <v>45570</v>
      </c>
      <c r="G2608" s="41">
        <v>45935</v>
      </c>
      <c r="H2608" s="1" t="s">
        <v>3840</v>
      </c>
      <c r="I2608" s="1" t="s">
        <v>3324</v>
      </c>
      <c r="J2608" t="str">
        <f>IF(ISNA(_xlfn.XLOOKUP(B2608,customer_master!$A$2:$A$1649, customer_master!$A$2:$A$1649)), "Invalid", "Ok")</f>
        <v>Ok</v>
      </c>
      <c r="K2608" t="str">
        <f>IF(ISNA(_xlfn.XLOOKUP(H2608,agent_info!$A$2:$A$301, agent_info!$A$2:$A$301)), "Invalid", "Ok")</f>
        <v>Ok</v>
      </c>
    </row>
    <row r="2609" spans="1:11" x14ac:dyDescent="0.3">
      <c r="A2609" s="1" t="s">
        <v>6228</v>
      </c>
      <c r="B2609" s="1" t="s">
        <v>717</v>
      </c>
      <c r="C2609" s="1" t="s">
        <v>3334</v>
      </c>
      <c r="D2609" s="1">
        <v>498592.56</v>
      </c>
      <c r="E2609" s="1">
        <v>23566.560000000001</v>
      </c>
      <c r="F2609" s="41">
        <v>45493</v>
      </c>
      <c r="G2609" s="41">
        <v>45858</v>
      </c>
      <c r="H2609" s="1" t="s">
        <v>3337</v>
      </c>
      <c r="I2609" s="1" t="s">
        <v>3324</v>
      </c>
      <c r="J2609" t="str">
        <f>IF(ISNA(_xlfn.XLOOKUP(B2609,customer_master!$A$2:$A$1649, customer_master!$A$2:$A$1649)), "Invalid", "Ok")</f>
        <v>Ok</v>
      </c>
      <c r="K2609" t="str">
        <f>IF(ISNA(_xlfn.XLOOKUP(H2609,agent_info!$A$2:$A$301, agent_info!$A$2:$A$301)), "Invalid", "Ok")</f>
        <v>Ok</v>
      </c>
    </row>
    <row r="2610" spans="1:11" x14ac:dyDescent="0.3">
      <c r="A2610" s="1" t="s">
        <v>6229</v>
      </c>
      <c r="B2610" s="1" t="s">
        <v>1265</v>
      </c>
      <c r="C2610" s="1" t="s">
        <v>3314</v>
      </c>
      <c r="D2610" s="1">
        <v>393143.52</v>
      </c>
      <c r="E2610" s="1">
        <v>20358.37</v>
      </c>
      <c r="F2610" s="41">
        <v>46179</v>
      </c>
      <c r="G2610" s="41">
        <v>46544</v>
      </c>
      <c r="H2610" s="1" t="s">
        <v>4198</v>
      </c>
      <c r="I2610" s="1" t="s">
        <v>3324</v>
      </c>
      <c r="J2610" t="str">
        <f>IF(ISNA(_xlfn.XLOOKUP(B2610,customer_master!$A$2:$A$1649, customer_master!$A$2:$A$1649)), "Invalid", "Ok")</f>
        <v>Ok</v>
      </c>
      <c r="K2610" t="str">
        <f>IF(ISNA(_xlfn.XLOOKUP(H2610,agent_info!$A$2:$A$301, agent_info!$A$2:$A$301)), "Invalid", "Ok")</f>
        <v>Ok</v>
      </c>
    </row>
    <row r="2611" spans="1:11" x14ac:dyDescent="0.3">
      <c r="A2611" s="1" t="s">
        <v>6230</v>
      </c>
      <c r="B2611" s="1" t="s">
        <v>2178</v>
      </c>
      <c r="C2611" s="1" t="s">
        <v>3318</v>
      </c>
      <c r="D2611" s="1">
        <v>698976.41</v>
      </c>
      <c r="E2611" s="1">
        <v>36624</v>
      </c>
      <c r="F2611" s="41">
        <v>44558</v>
      </c>
      <c r="G2611" s="41">
        <v>44923</v>
      </c>
      <c r="H2611" s="1" t="s">
        <v>3701</v>
      </c>
      <c r="I2611" s="1" t="s">
        <v>3324</v>
      </c>
      <c r="J2611" t="str">
        <f>IF(ISNA(_xlfn.XLOOKUP(B2611,customer_master!$A$2:$A$1649, customer_master!$A$2:$A$1649)), "Invalid", "Ok")</f>
        <v>Ok</v>
      </c>
      <c r="K2611" t="str">
        <f>IF(ISNA(_xlfn.XLOOKUP(H2611,agent_info!$A$2:$A$301, agent_info!$A$2:$A$301)), "Invalid", "Ok")</f>
        <v>Ok</v>
      </c>
    </row>
    <row r="2612" spans="1:11" x14ac:dyDescent="0.3">
      <c r="A2612" s="1" t="s">
        <v>6231</v>
      </c>
      <c r="B2612" s="1" t="s">
        <v>1650</v>
      </c>
      <c r="C2612" s="1" t="s">
        <v>3326</v>
      </c>
      <c r="D2612" s="1">
        <v>377731.81</v>
      </c>
      <c r="E2612" s="1">
        <v>18724.689999999999</v>
      </c>
      <c r="F2612" s="41">
        <v>44193</v>
      </c>
      <c r="G2612" s="41">
        <v>44558</v>
      </c>
      <c r="H2612" s="1" t="s">
        <v>4311</v>
      </c>
      <c r="I2612" s="1" t="s">
        <v>3316</v>
      </c>
      <c r="J2612" t="str">
        <f>IF(ISNA(_xlfn.XLOOKUP(B2612,customer_master!$A$2:$A$1649, customer_master!$A$2:$A$1649)), "Invalid", "Ok")</f>
        <v>Ok</v>
      </c>
      <c r="K2612" t="str">
        <f>IF(ISNA(_xlfn.XLOOKUP(H2612,agent_info!$A$2:$A$301, agent_info!$A$2:$A$301)), "Invalid", "Ok")</f>
        <v>Ok</v>
      </c>
    </row>
    <row r="2613" spans="1:11" x14ac:dyDescent="0.3">
      <c r="A2613" s="1" t="s">
        <v>6232</v>
      </c>
      <c r="B2613" s="1" t="s">
        <v>2806</v>
      </c>
      <c r="C2613" s="1" t="s">
        <v>3326</v>
      </c>
      <c r="D2613" s="1">
        <v>467015.97</v>
      </c>
      <c r="E2613" s="1">
        <v>25628.87</v>
      </c>
      <c r="F2613" s="41">
        <v>44155</v>
      </c>
      <c r="G2613" s="41">
        <v>44520</v>
      </c>
      <c r="H2613" s="1" t="s">
        <v>4311</v>
      </c>
      <c r="I2613" s="1" t="s">
        <v>3324</v>
      </c>
      <c r="J2613" t="str">
        <f>IF(ISNA(_xlfn.XLOOKUP(B2613,customer_master!$A$2:$A$1649, customer_master!$A$2:$A$1649)), "Invalid", "Ok")</f>
        <v>Ok</v>
      </c>
      <c r="K2613" t="str">
        <f>IF(ISNA(_xlfn.XLOOKUP(H2613,agent_info!$A$2:$A$301, agent_info!$A$2:$A$301)), "Invalid", "Ok")</f>
        <v>Ok</v>
      </c>
    </row>
    <row r="2614" spans="1:11" x14ac:dyDescent="0.3">
      <c r="A2614" s="1" t="s">
        <v>6233</v>
      </c>
      <c r="B2614" s="1" t="s">
        <v>3006</v>
      </c>
      <c r="C2614" s="1" t="s">
        <v>3314</v>
      </c>
      <c r="D2614" s="1">
        <v>481425.86</v>
      </c>
      <c r="E2614" s="1">
        <v>25953.77</v>
      </c>
      <c r="F2614" s="41">
        <v>44660</v>
      </c>
      <c r="G2614" s="41">
        <v>45025</v>
      </c>
      <c r="H2614" s="1" t="s">
        <v>3562</v>
      </c>
      <c r="I2614" s="1" t="s">
        <v>3320</v>
      </c>
      <c r="J2614" t="str">
        <f>IF(ISNA(_xlfn.XLOOKUP(B2614,customer_master!$A$2:$A$1649, customer_master!$A$2:$A$1649)), "Invalid", "Ok")</f>
        <v>Ok</v>
      </c>
      <c r="K2614" t="str">
        <f>IF(ISNA(_xlfn.XLOOKUP(H2614,agent_info!$A$2:$A$301, agent_info!$A$2:$A$301)), "Invalid", "Ok")</f>
        <v>Ok</v>
      </c>
    </row>
    <row r="2615" spans="1:11" x14ac:dyDescent="0.3">
      <c r="A2615" s="1" t="s">
        <v>6234</v>
      </c>
      <c r="B2615" s="1" t="s">
        <v>1616</v>
      </c>
      <c r="C2615" s="1" t="s">
        <v>3326</v>
      </c>
      <c r="D2615" s="1">
        <v>610552.86</v>
      </c>
      <c r="E2615" s="1">
        <v>28006.37</v>
      </c>
      <c r="F2615" s="41">
        <v>44221</v>
      </c>
      <c r="G2615" s="41">
        <v>44586</v>
      </c>
      <c r="H2615" s="1" t="s">
        <v>3607</v>
      </c>
      <c r="I2615" s="1" t="s">
        <v>3316</v>
      </c>
      <c r="J2615" t="str">
        <f>IF(ISNA(_xlfn.XLOOKUP(B2615,customer_master!$A$2:$A$1649, customer_master!$A$2:$A$1649)), "Invalid", "Ok")</f>
        <v>Ok</v>
      </c>
      <c r="K2615" t="str">
        <f>IF(ISNA(_xlfn.XLOOKUP(H2615,agent_info!$A$2:$A$301, agent_info!$A$2:$A$301)), "Invalid", "Ok")</f>
        <v>Ok</v>
      </c>
    </row>
    <row r="2616" spans="1:11" x14ac:dyDescent="0.3">
      <c r="A2616" s="1" t="s">
        <v>6235</v>
      </c>
      <c r="B2616" s="1" t="s">
        <v>3251</v>
      </c>
      <c r="C2616" s="1" t="s">
        <v>3326</v>
      </c>
      <c r="D2616" s="1">
        <v>676405.51</v>
      </c>
      <c r="E2616" s="1">
        <v>33552.76</v>
      </c>
      <c r="F2616" s="41">
        <v>44298</v>
      </c>
      <c r="G2616" s="41">
        <v>44663</v>
      </c>
      <c r="H2616" s="1" t="s">
        <v>3843</v>
      </c>
      <c r="I2616" s="1" t="s">
        <v>3324</v>
      </c>
      <c r="J2616" t="str">
        <f>IF(ISNA(_xlfn.XLOOKUP(B2616,customer_master!$A$2:$A$1649, customer_master!$A$2:$A$1649)), "Invalid", "Ok")</f>
        <v>Ok</v>
      </c>
      <c r="K2616" t="str">
        <f>IF(ISNA(_xlfn.XLOOKUP(H2616,agent_info!$A$2:$A$301, agent_info!$A$2:$A$301)), "Invalid", "Ok")</f>
        <v>Ok</v>
      </c>
    </row>
    <row r="2617" spans="1:11" x14ac:dyDescent="0.3">
      <c r="A2617" s="1" t="s">
        <v>6236</v>
      </c>
      <c r="B2617" s="1" t="s">
        <v>270</v>
      </c>
      <c r="C2617" s="1" t="s">
        <v>3334</v>
      </c>
      <c r="D2617" s="1">
        <v>699433.27</v>
      </c>
      <c r="E2617" s="1">
        <v>37828.69</v>
      </c>
      <c r="F2617" s="41">
        <v>44573</v>
      </c>
      <c r="G2617" s="41">
        <v>44938</v>
      </c>
      <c r="H2617" s="1" t="s">
        <v>3383</v>
      </c>
      <c r="I2617" s="1" t="s">
        <v>3324</v>
      </c>
      <c r="J2617" t="str">
        <f>IF(ISNA(_xlfn.XLOOKUP(B2617,customer_master!$A$2:$A$1649, customer_master!$A$2:$A$1649)), "Invalid", "Ok")</f>
        <v>Ok</v>
      </c>
      <c r="K2617" t="str">
        <f>IF(ISNA(_xlfn.XLOOKUP(H2617,agent_info!$A$2:$A$301, agent_info!$A$2:$A$301)), "Invalid", "Ok")</f>
        <v>Ok</v>
      </c>
    </row>
    <row r="2618" spans="1:11" x14ac:dyDescent="0.3">
      <c r="A2618" s="1" t="s">
        <v>6237</v>
      </c>
      <c r="B2618" s="1" t="s">
        <v>935</v>
      </c>
      <c r="C2618" s="1" t="s">
        <v>3334</v>
      </c>
      <c r="D2618" s="1">
        <v>508199.36</v>
      </c>
      <c r="E2618" s="1">
        <v>23988.35</v>
      </c>
      <c r="F2618" s="41">
        <v>45436</v>
      </c>
      <c r="G2618" s="41">
        <v>45801</v>
      </c>
      <c r="H2618" s="1" t="s">
        <v>3805</v>
      </c>
      <c r="I2618" s="1" t="s">
        <v>3324</v>
      </c>
      <c r="J2618" t="str">
        <f>IF(ISNA(_xlfn.XLOOKUP(B2618,customer_master!$A$2:$A$1649, customer_master!$A$2:$A$1649)), "Invalid", "Ok")</f>
        <v>Ok</v>
      </c>
      <c r="K2618" t="str">
        <f>IF(ISNA(_xlfn.XLOOKUP(H2618,agent_info!$A$2:$A$301, agent_info!$A$2:$A$301)), "Invalid", "Ok")</f>
        <v>Ok</v>
      </c>
    </row>
    <row r="2619" spans="1:11" x14ac:dyDescent="0.3">
      <c r="A2619" s="1" t="s">
        <v>6238</v>
      </c>
      <c r="B2619" s="1" t="s">
        <v>1410</v>
      </c>
      <c r="C2619" s="1" t="s">
        <v>3326</v>
      </c>
      <c r="D2619" s="1">
        <v>509515.07</v>
      </c>
      <c r="E2619" s="1">
        <v>24856.16</v>
      </c>
      <c r="F2619" s="41">
        <v>45646</v>
      </c>
      <c r="G2619" s="41">
        <v>46011</v>
      </c>
      <c r="H2619" s="1" t="s">
        <v>3885</v>
      </c>
      <c r="I2619" s="1" t="s">
        <v>3316</v>
      </c>
      <c r="J2619" t="str">
        <f>IF(ISNA(_xlfn.XLOOKUP(B2619,customer_master!$A$2:$A$1649, customer_master!$A$2:$A$1649)), "Invalid", "Ok")</f>
        <v>Ok</v>
      </c>
      <c r="K2619" t="str">
        <f>IF(ISNA(_xlfn.XLOOKUP(H2619,agent_info!$A$2:$A$301, agent_info!$A$2:$A$301)), "Invalid", "Ok")</f>
        <v>Ok</v>
      </c>
    </row>
    <row r="2620" spans="1:11" x14ac:dyDescent="0.3">
      <c r="A2620" s="1" t="s">
        <v>6239</v>
      </c>
      <c r="B2620" s="1" t="s">
        <v>1942</v>
      </c>
      <c r="C2620" s="1" t="s">
        <v>3314</v>
      </c>
      <c r="D2620" s="1">
        <v>480109.21</v>
      </c>
      <c r="E2620" s="1">
        <v>26151.3</v>
      </c>
      <c r="F2620" s="41">
        <v>44936</v>
      </c>
      <c r="G2620" s="41">
        <v>45301</v>
      </c>
      <c r="H2620" s="1" t="s">
        <v>3447</v>
      </c>
      <c r="I2620" s="1" t="s">
        <v>3324</v>
      </c>
      <c r="J2620" t="str">
        <f>IF(ISNA(_xlfn.XLOOKUP(B2620,customer_master!$A$2:$A$1649, customer_master!$A$2:$A$1649)), "Invalid", "Ok")</f>
        <v>Ok</v>
      </c>
      <c r="K2620" t="str">
        <f>IF(ISNA(_xlfn.XLOOKUP(H2620,agent_info!$A$2:$A$301, agent_info!$A$2:$A$301)), "Invalid", "Ok")</f>
        <v>Ok</v>
      </c>
    </row>
    <row r="2621" spans="1:11" x14ac:dyDescent="0.3">
      <c r="A2621" s="1" t="s">
        <v>6240</v>
      </c>
      <c r="B2621" s="1" t="s">
        <v>1823</v>
      </c>
      <c r="C2621" s="1" t="s">
        <v>3326</v>
      </c>
      <c r="D2621" s="1">
        <v>673393.07</v>
      </c>
      <c r="E2621" s="1">
        <v>35528.639999999999</v>
      </c>
      <c r="F2621" s="41">
        <v>44299</v>
      </c>
      <c r="G2621" s="41">
        <v>44664</v>
      </c>
      <c r="H2621" s="1" t="s">
        <v>3357</v>
      </c>
      <c r="I2621" s="1" t="s">
        <v>3324</v>
      </c>
      <c r="J2621" t="str">
        <f>IF(ISNA(_xlfn.XLOOKUP(B2621,customer_master!$A$2:$A$1649, customer_master!$A$2:$A$1649)), "Invalid", "Ok")</f>
        <v>Ok</v>
      </c>
      <c r="K2621" t="str">
        <f>IF(ISNA(_xlfn.XLOOKUP(H2621,agent_info!$A$2:$A$301, agent_info!$A$2:$A$301)), "Invalid", "Ok")</f>
        <v>Ok</v>
      </c>
    </row>
    <row r="2622" spans="1:11" x14ac:dyDescent="0.3">
      <c r="A2622" s="1" t="s">
        <v>6241</v>
      </c>
      <c r="B2622" s="1" t="s">
        <v>1899</v>
      </c>
      <c r="C2622" s="1" t="s">
        <v>3331</v>
      </c>
      <c r="D2622" s="1">
        <v>426801.06</v>
      </c>
      <c r="E2622" s="1">
        <v>22758.42</v>
      </c>
      <c r="F2622" s="41">
        <v>45685</v>
      </c>
      <c r="G2622" s="41">
        <v>46050</v>
      </c>
      <c r="H2622" s="1" t="s">
        <v>4545</v>
      </c>
      <c r="I2622" s="1" t="s">
        <v>3324</v>
      </c>
      <c r="J2622" t="str">
        <f>IF(ISNA(_xlfn.XLOOKUP(B2622,customer_master!$A$2:$A$1649, customer_master!$A$2:$A$1649)), "Invalid", "Ok")</f>
        <v>Ok</v>
      </c>
      <c r="K2622" t="str">
        <f>IF(ISNA(_xlfn.XLOOKUP(H2622,agent_info!$A$2:$A$301, agent_info!$A$2:$A$301)), "Invalid", "Ok")</f>
        <v>Ok</v>
      </c>
    </row>
    <row r="2623" spans="1:11" x14ac:dyDescent="0.3">
      <c r="A2623" s="1" t="s">
        <v>6242</v>
      </c>
      <c r="B2623" s="1" t="s">
        <v>2977</v>
      </c>
      <c r="C2623" s="1" t="s">
        <v>3314</v>
      </c>
      <c r="D2623" s="1">
        <v>751502.47</v>
      </c>
      <c r="E2623" s="1">
        <v>40426.949999999997</v>
      </c>
      <c r="F2623" s="41">
        <v>46004</v>
      </c>
      <c r="G2623" s="41">
        <v>46369</v>
      </c>
      <c r="H2623" s="1" t="s">
        <v>3545</v>
      </c>
      <c r="I2623" s="1" t="s">
        <v>3324</v>
      </c>
      <c r="J2623" t="str">
        <f>IF(ISNA(_xlfn.XLOOKUP(B2623,customer_master!$A$2:$A$1649, customer_master!$A$2:$A$1649)), "Invalid", "Ok")</f>
        <v>Ok</v>
      </c>
      <c r="K2623" t="str">
        <f>IF(ISNA(_xlfn.XLOOKUP(H2623,agent_info!$A$2:$A$301, agent_info!$A$2:$A$301)), "Invalid", "Ok")</f>
        <v>Ok</v>
      </c>
    </row>
    <row r="2624" spans="1:11" x14ac:dyDescent="0.3">
      <c r="A2624" s="1" t="s">
        <v>6243</v>
      </c>
      <c r="B2624" s="1" t="s">
        <v>939</v>
      </c>
      <c r="C2624" s="1" t="s">
        <v>3331</v>
      </c>
      <c r="D2624" s="1">
        <v>691910.08</v>
      </c>
      <c r="E2624" s="1">
        <v>32320.34</v>
      </c>
      <c r="F2624" s="41">
        <v>44665</v>
      </c>
      <c r="G2624" s="41">
        <v>45030</v>
      </c>
      <c r="H2624" s="1" t="s">
        <v>3712</v>
      </c>
      <c r="I2624" s="1" t="s">
        <v>3324</v>
      </c>
      <c r="J2624" t="str">
        <f>IF(ISNA(_xlfn.XLOOKUP(B2624,customer_master!$A$2:$A$1649, customer_master!$A$2:$A$1649)), "Invalid", "Ok")</f>
        <v>Ok</v>
      </c>
      <c r="K2624" t="str">
        <f>IF(ISNA(_xlfn.XLOOKUP(H2624,agent_info!$A$2:$A$301, agent_info!$A$2:$A$301)), "Invalid", "Ok")</f>
        <v>Ok</v>
      </c>
    </row>
    <row r="2625" spans="1:11" x14ac:dyDescent="0.3">
      <c r="A2625" s="1" t="s">
        <v>6244</v>
      </c>
      <c r="B2625" s="1" t="s">
        <v>2712</v>
      </c>
      <c r="C2625" s="1" t="s">
        <v>3326</v>
      </c>
      <c r="D2625" s="1">
        <v>599052.19999999995</v>
      </c>
      <c r="E2625" s="1">
        <v>31146.37</v>
      </c>
      <c r="F2625" s="41">
        <v>44527</v>
      </c>
      <c r="G2625" s="41">
        <v>44892</v>
      </c>
      <c r="H2625" s="1" t="s">
        <v>3880</v>
      </c>
      <c r="I2625" s="1" t="s">
        <v>3316</v>
      </c>
      <c r="J2625" t="str">
        <f>IF(ISNA(_xlfn.XLOOKUP(B2625,customer_master!$A$2:$A$1649, customer_master!$A$2:$A$1649)), "Invalid", "Ok")</f>
        <v>Ok</v>
      </c>
      <c r="K2625" t="str">
        <f>IF(ISNA(_xlfn.XLOOKUP(H2625,agent_info!$A$2:$A$301, agent_info!$A$2:$A$301)), "Invalid", "Ok")</f>
        <v>Ok</v>
      </c>
    </row>
    <row r="2626" spans="1:11" x14ac:dyDescent="0.3">
      <c r="A2626" s="1" t="s">
        <v>6245</v>
      </c>
      <c r="B2626" s="1" t="s">
        <v>1873</v>
      </c>
      <c r="C2626" s="1" t="s">
        <v>3331</v>
      </c>
      <c r="D2626" s="1">
        <v>676778.58</v>
      </c>
      <c r="E2626" s="1">
        <v>35888.22</v>
      </c>
      <c r="F2626" s="41">
        <v>45799</v>
      </c>
      <c r="G2626" s="41">
        <v>46164</v>
      </c>
      <c r="H2626" s="1" t="s">
        <v>3905</v>
      </c>
      <c r="I2626" s="1" t="s">
        <v>3324</v>
      </c>
      <c r="J2626" t="str">
        <f>IF(ISNA(_xlfn.XLOOKUP(B2626,customer_master!$A$2:$A$1649, customer_master!$A$2:$A$1649)), "Invalid", "Ok")</f>
        <v>Ok</v>
      </c>
      <c r="K2626" t="str">
        <f>IF(ISNA(_xlfn.XLOOKUP(H2626,agent_info!$A$2:$A$301, agent_info!$A$2:$A$301)), "Invalid", "Ok")</f>
        <v>Ok</v>
      </c>
    </row>
    <row r="2627" spans="1:11" x14ac:dyDescent="0.3">
      <c r="A2627" s="1" t="s">
        <v>6246</v>
      </c>
      <c r="B2627" s="1" t="s">
        <v>1650</v>
      </c>
      <c r="C2627" s="1" t="s">
        <v>3334</v>
      </c>
      <c r="D2627" s="1">
        <v>515648.52</v>
      </c>
      <c r="E2627" s="1">
        <v>24372.02</v>
      </c>
      <c r="F2627" s="41">
        <v>44839</v>
      </c>
      <c r="G2627" s="41">
        <v>45204</v>
      </c>
      <c r="H2627" s="1" t="s">
        <v>3984</v>
      </c>
      <c r="I2627" s="1" t="s">
        <v>3324</v>
      </c>
      <c r="J2627" t="str">
        <f>IF(ISNA(_xlfn.XLOOKUP(B2627,customer_master!$A$2:$A$1649, customer_master!$A$2:$A$1649)), "Invalid", "Ok")</f>
        <v>Ok</v>
      </c>
      <c r="K2627" t="str">
        <f>IF(ISNA(_xlfn.XLOOKUP(H2627,agent_info!$A$2:$A$301, agent_info!$A$2:$A$301)), "Invalid", "Ok")</f>
        <v>Ok</v>
      </c>
    </row>
    <row r="2628" spans="1:11" x14ac:dyDescent="0.3">
      <c r="A2628" s="1" t="s">
        <v>6247</v>
      </c>
      <c r="B2628" s="1" t="s">
        <v>1012</v>
      </c>
      <c r="C2628" s="1" t="s">
        <v>3318</v>
      </c>
      <c r="D2628" s="1">
        <v>489845.1</v>
      </c>
      <c r="E2628" s="1">
        <v>22255.43</v>
      </c>
      <c r="F2628" s="41">
        <v>44708</v>
      </c>
      <c r="G2628" s="41">
        <v>45073</v>
      </c>
      <c r="H2628" s="1" t="s">
        <v>3391</v>
      </c>
      <c r="I2628" s="1" t="s">
        <v>3324</v>
      </c>
      <c r="J2628" t="str">
        <f>IF(ISNA(_xlfn.XLOOKUP(B2628,customer_master!$A$2:$A$1649, customer_master!$A$2:$A$1649)), "Invalid", "Ok")</f>
        <v>Ok</v>
      </c>
      <c r="K2628" t="str">
        <f>IF(ISNA(_xlfn.XLOOKUP(H2628,agent_info!$A$2:$A$301, agent_info!$A$2:$A$301)), "Invalid", "Ok")</f>
        <v>Ok</v>
      </c>
    </row>
    <row r="2629" spans="1:11" x14ac:dyDescent="0.3">
      <c r="A2629" s="1" t="s">
        <v>6248</v>
      </c>
      <c r="B2629" s="1" t="s">
        <v>1023</v>
      </c>
      <c r="C2629" s="1" t="s">
        <v>3334</v>
      </c>
      <c r="D2629" s="1">
        <v>531847.03</v>
      </c>
      <c r="E2629" s="1">
        <v>24881.7</v>
      </c>
      <c r="F2629" s="41">
        <v>45384</v>
      </c>
      <c r="G2629" s="41">
        <v>45749</v>
      </c>
      <c r="H2629" s="1" t="s">
        <v>3607</v>
      </c>
      <c r="I2629" s="1" t="s">
        <v>3316</v>
      </c>
      <c r="J2629" t="str">
        <f>IF(ISNA(_xlfn.XLOOKUP(B2629,customer_master!$A$2:$A$1649, customer_master!$A$2:$A$1649)), "Invalid", "Ok")</f>
        <v>Ok</v>
      </c>
      <c r="K2629" t="str">
        <f>IF(ISNA(_xlfn.XLOOKUP(H2629,agent_info!$A$2:$A$301, agent_info!$A$2:$A$301)), "Invalid", "Ok")</f>
        <v>Ok</v>
      </c>
    </row>
    <row r="2630" spans="1:11" x14ac:dyDescent="0.3">
      <c r="A2630" s="1" t="s">
        <v>6249</v>
      </c>
      <c r="B2630" s="1" t="s">
        <v>1321</v>
      </c>
      <c r="C2630" s="1" t="s">
        <v>3331</v>
      </c>
      <c r="D2630" s="1">
        <v>450785.45</v>
      </c>
      <c r="E2630" s="1">
        <v>23627.48</v>
      </c>
      <c r="F2630" s="41">
        <v>45685</v>
      </c>
      <c r="G2630" s="41">
        <v>46050</v>
      </c>
      <c r="H2630" s="1" t="s">
        <v>3545</v>
      </c>
      <c r="I2630" s="1" t="s">
        <v>3324</v>
      </c>
      <c r="J2630" t="str">
        <f>IF(ISNA(_xlfn.XLOOKUP(B2630,customer_master!$A$2:$A$1649, customer_master!$A$2:$A$1649)), "Invalid", "Ok")</f>
        <v>Ok</v>
      </c>
      <c r="K2630" t="str">
        <f>IF(ISNA(_xlfn.XLOOKUP(H2630,agent_info!$A$2:$A$301, agent_info!$A$2:$A$301)), "Invalid", "Ok")</f>
        <v>Ok</v>
      </c>
    </row>
    <row r="2631" spans="1:11" x14ac:dyDescent="0.3">
      <c r="A2631" s="1" t="s">
        <v>6250</v>
      </c>
      <c r="B2631" s="1" t="s">
        <v>2545</v>
      </c>
      <c r="C2631" s="1" t="s">
        <v>3318</v>
      </c>
      <c r="D2631" s="1">
        <v>660124.11</v>
      </c>
      <c r="E2631" s="1">
        <v>34288.76</v>
      </c>
      <c r="F2631" s="41">
        <v>44283</v>
      </c>
      <c r="G2631" s="41">
        <v>44648</v>
      </c>
      <c r="H2631" s="1" t="s">
        <v>3555</v>
      </c>
      <c r="I2631" s="1" t="s">
        <v>3324</v>
      </c>
      <c r="J2631" t="str">
        <f>IF(ISNA(_xlfn.XLOOKUP(B2631,customer_master!$A$2:$A$1649, customer_master!$A$2:$A$1649)), "Invalid", "Ok")</f>
        <v>Ok</v>
      </c>
      <c r="K2631" t="str">
        <f>IF(ISNA(_xlfn.XLOOKUP(H2631,agent_info!$A$2:$A$301, agent_info!$A$2:$A$301)), "Invalid", "Ok")</f>
        <v>Ok</v>
      </c>
    </row>
    <row r="2632" spans="1:11" x14ac:dyDescent="0.3">
      <c r="A2632" s="1" t="s">
        <v>6251</v>
      </c>
      <c r="B2632" s="1" t="s">
        <v>1598</v>
      </c>
      <c r="C2632" s="1" t="s">
        <v>3326</v>
      </c>
      <c r="D2632" s="1">
        <v>516265.34</v>
      </c>
      <c r="E2632" s="1">
        <v>27835.61</v>
      </c>
      <c r="F2632" s="41">
        <v>45180</v>
      </c>
      <c r="G2632" s="41">
        <v>45546</v>
      </c>
      <c r="H2632" s="1" t="s">
        <v>3453</v>
      </c>
      <c r="I2632" s="1" t="s">
        <v>3324</v>
      </c>
      <c r="J2632" t="str">
        <f>IF(ISNA(_xlfn.XLOOKUP(B2632,customer_master!$A$2:$A$1649, customer_master!$A$2:$A$1649)), "Invalid", "Ok")</f>
        <v>Ok</v>
      </c>
      <c r="K2632" t="str">
        <f>IF(ISNA(_xlfn.XLOOKUP(H2632,agent_info!$A$2:$A$301, agent_info!$A$2:$A$301)), "Invalid", "Ok")</f>
        <v>Ok</v>
      </c>
    </row>
    <row r="2633" spans="1:11" x14ac:dyDescent="0.3">
      <c r="A2633" s="1" t="s">
        <v>6252</v>
      </c>
      <c r="B2633" s="1" t="s">
        <v>544</v>
      </c>
      <c r="C2633" s="1" t="s">
        <v>3318</v>
      </c>
      <c r="D2633" s="1">
        <v>712836.16</v>
      </c>
      <c r="E2633" s="1">
        <v>34336.980000000003</v>
      </c>
      <c r="F2633" s="41">
        <v>45612</v>
      </c>
      <c r="G2633" s="41">
        <v>45977</v>
      </c>
      <c r="H2633" s="1" t="s">
        <v>3449</v>
      </c>
      <c r="I2633" s="1" t="s">
        <v>3316</v>
      </c>
      <c r="J2633" t="str">
        <f>IF(ISNA(_xlfn.XLOOKUP(B2633,customer_master!$A$2:$A$1649, customer_master!$A$2:$A$1649)), "Invalid", "Ok")</f>
        <v>Ok</v>
      </c>
      <c r="K2633" t="str">
        <f>IF(ISNA(_xlfn.XLOOKUP(H2633,agent_info!$A$2:$A$301, agent_info!$A$2:$A$301)), "Invalid", "Ok")</f>
        <v>Ok</v>
      </c>
    </row>
    <row r="2634" spans="1:11" x14ac:dyDescent="0.3">
      <c r="A2634" s="1" t="s">
        <v>6253</v>
      </c>
      <c r="B2634" s="1" t="s">
        <v>2531</v>
      </c>
      <c r="C2634" s="1" t="s">
        <v>3331</v>
      </c>
      <c r="D2634" s="1">
        <v>716602.55</v>
      </c>
      <c r="E2634" s="1">
        <v>36702.550000000003</v>
      </c>
      <c r="F2634" s="41">
        <v>45122</v>
      </c>
      <c r="G2634" s="41">
        <v>45488</v>
      </c>
      <c r="H2634" s="1" t="s">
        <v>3453</v>
      </c>
      <c r="I2634" s="1" t="s">
        <v>3316</v>
      </c>
      <c r="J2634" t="str">
        <f>IF(ISNA(_xlfn.XLOOKUP(B2634,customer_master!$A$2:$A$1649, customer_master!$A$2:$A$1649)), "Invalid", "Ok")</f>
        <v>Ok</v>
      </c>
      <c r="K2634" t="str">
        <f>IF(ISNA(_xlfn.XLOOKUP(H2634,agent_info!$A$2:$A$301, agent_info!$A$2:$A$301)), "Invalid", "Ok")</f>
        <v>Ok</v>
      </c>
    </row>
    <row r="2635" spans="1:11" x14ac:dyDescent="0.3">
      <c r="A2635" s="1" t="s">
        <v>6254</v>
      </c>
      <c r="B2635" s="1" t="s">
        <v>2214</v>
      </c>
      <c r="C2635" s="1" t="s">
        <v>3314</v>
      </c>
      <c r="D2635" s="1">
        <v>445003.74</v>
      </c>
      <c r="E2635" s="1">
        <v>20144.400000000001</v>
      </c>
      <c r="F2635" s="41">
        <v>44746</v>
      </c>
      <c r="G2635" s="41">
        <v>45111</v>
      </c>
      <c r="H2635" s="1" t="s">
        <v>4548</v>
      </c>
      <c r="I2635" s="1" t="s">
        <v>3324</v>
      </c>
      <c r="J2635" t="str">
        <f>IF(ISNA(_xlfn.XLOOKUP(B2635,customer_master!$A$2:$A$1649, customer_master!$A$2:$A$1649)), "Invalid", "Ok")</f>
        <v>Ok</v>
      </c>
      <c r="K2635" t="str">
        <f>IF(ISNA(_xlfn.XLOOKUP(H2635,agent_info!$A$2:$A$301, agent_info!$A$2:$A$301)), "Invalid", "Ok")</f>
        <v>Ok</v>
      </c>
    </row>
    <row r="2636" spans="1:11" x14ac:dyDescent="0.3">
      <c r="A2636" s="1" t="s">
        <v>6255</v>
      </c>
      <c r="B2636" s="1" t="s">
        <v>3156</v>
      </c>
      <c r="C2636" s="1" t="s">
        <v>3314</v>
      </c>
      <c r="D2636" s="1">
        <v>469245.03</v>
      </c>
      <c r="E2636" s="1">
        <v>25503.86</v>
      </c>
      <c r="F2636" s="41">
        <v>46064</v>
      </c>
      <c r="G2636" s="41">
        <v>46429</v>
      </c>
      <c r="H2636" s="1" t="s">
        <v>3459</v>
      </c>
      <c r="I2636" s="1" t="s">
        <v>3324</v>
      </c>
      <c r="J2636" t="str">
        <f>IF(ISNA(_xlfn.XLOOKUP(B2636,customer_master!$A$2:$A$1649, customer_master!$A$2:$A$1649)), "Invalid", "Ok")</f>
        <v>Ok</v>
      </c>
      <c r="K2636" t="str">
        <f>IF(ISNA(_xlfn.XLOOKUP(H2636,agent_info!$A$2:$A$301, agent_info!$A$2:$A$301)), "Invalid", "Ok")</f>
        <v>Ok</v>
      </c>
    </row>
    <row r="2637" spans="1:11" x14ac:dyDescent="0.3">
      <c r="A2637" s="1" t="s">
        <v>6256</v>
      </c>
      <c r="B2637" s="1" t="s">
        <v>1771</v>
      </c>
      <c r="C2637" s="1" t="s">
        <v>3326</v>
      </c>
      <c r="D2637" s="1">
        <v>493724.08</v>
      </c>
      <c r="E2637" s="1">
        <v>24955.25</v>
      </c>
      <c r="F2637" s="41">
        <v>44600</v>
      </c>
      <c r="G2637" s="41">
        <v>44965</v>
      </c>
      <c r="H2637" s="1" t="s">
        <v>3634</v>
      </c>
      <c r="I2637" s="1" t="s">
        <v>3324</v>
      </c>
      <c r="J2637" t="str">
        <f>IF(ISNA(_xlfn.XLOOKUP(B2637,customer_master!$A$2:$A$1649, customer_master!$A$2:$A$1649)), "Invalid", "Ok")</f>
        <v>Ok</v>
      </c>
      <c r="K2637" t="str">
        <f>IF(ISNA(_xlfn.XLOOKUP(H2637,agent_info!$A$2:$A$301, agent_info!$A$2:$A$301)), "Invalid", "Ok")</f>
        <v>Ok</v>
      </c>
    </row>
    <row r="2638" spans="1:11" x14ac:dyDescent="0.3">
      <c r="A2638" s="1" t="s">
        <v>6257</v>
      </c>
      <c r="B2638" s="1" t="s">
        <v>2186</v>
      </c>
      <c r="C2638" s="1" t="s">
        <v>3314</v>
      </c>
      <c r="D2638" s="1">
        <v>430743.57</v>
      </c>
      <c r="E2638" s="1">
        <v>22607.08</v>
      </c>
      <c r="F2638" s="41">
        <v>44767</v>
      </c>
      <c r="G2638" s="41">
        <v>45132</v>
      </c>
      <c r="H2638" s="1" t="s">
        <v>4106</v>
      </c>
      <c r="I2638" s="1" t="s">
        <v>3320</v>
      </c>
      <c r="J2638" t="str">
        <f>IF(ISNA(_xlfn.XLOOKUP(B2638,customer_master!$A$2:$A$1649, customer_master!$A$2:$A$1649)), "Invalid", "Ok")</f>
        <v>Ok</v>
      </c>
      <c r="K2638" t="str">
        <f>IF(ISNA(_xlfn.XLOOKUP(H2638,agent_info!$A$2:$A$301, agent_info!$A$2:$A$301)), "Invalid", "Ok")</f>
        <v>Ok</v>
      </c>
    </row>
    <row r="2639" spans="1:11" x14ac:dyDescent="0.3">
      <c r="A2639" s="1" t="s">
        <v>6258</v>
      </c>
      <c r="B2639" s="1" t="s">
        <v>1606</v>
      </c>
      <c r="C2639" s="1" t="s">
        <v>3318</v>
      </c>
      <c r="D2639" s="1">
        <v>638606.01</v>
      </c>
      <c r="E2639" s="1">
        <v>30549.74</v>
      </c>
      <c r="F2639" s="41">
        <v>44229</v>
      </c>
      <c r="G2639" s="41">
        <v>44594</v>
      </c>
      <c r="H2639" s="1" t="s">
        <v>3570</v>
      </c>
      <c r="I2639" s="1" t="s">
        <v>3324</v>
      </c>
      <c r="J2639" t="str">
        <f>IF(ISNA(_xlfn.XLOOKUP(B2639,customer_master!$A$2:$A$1649, customer_master!$A$2:$A$1649)), "Invalid", "Ok")</f>
        <v>Ok</v>
      </c>
      <c r="K2639" t="str">
        <f>IF(ISNA(_xlfn.XLOOKUP(H2639,agent_info!$A$2:$A$301, agent_info!$A$2:$A$301)), "Invalid", "Ok")</f>
        <v>Ok</v>
      </c>
    </row>
    <row r="2640" spans="1:11" x14ac:dyDescent="0.3">
      <c r="A2640" s="1" t="s">
        <v>6259</v>
      </c>
      <c r="B2640" s="1" t="s">
        <v>2276</v>
      </c>
      <c r="C2640" s="1" t="s">
        <v>3331</v>
      </c>
      <c r="D2640" s="1">
        <v>662892.74</v>
      </c>
      <c r="E2640" s="1">
        <v>30373.439999999999</v>
      </c>
      <c r="F2640" s="41">
        <v>44487</v>
      </c>
      <c r="G2640" s="41">
        <v>44852</v>
      </c>
      <c r="H2640" s="1" t="s">
        <v>3743</v>
      </c>
      <c r="I2640" s="1" t="s">
        <v>3316</v>
      </c>
      <c r="J2640" t="str">
        <f>IF(ISNA(_xlfn.XLOOKUP(B2640,customer_master!$A$2:$A$1649, customer_master!$A$2:$A$1649)), "Invalid", "Ok")</f>
        <v>Ok</v>
      </c>
      <c r="K2640" t="str">
        <f>IF(ISNA(_xlfn.XLOOKUP(H2640,agent_info!$A$2:$A$301, agent_info!$A$2:$A$301)), "Invalid", "Ok")</f>
        <v>Ok</v>
      </c>
    </row>
    <row r="2641" spans="1:11" x14ac:dyDescent="0.3">
      <c r="A2641" s="1" t="s">
        <v>6260</v>
      </c>
      <c r="B2641" s="1" t="s">
        <v>1457</v>
      </c>
      <c r="C2641" s="1" t="s">
        <v>3334</v>
      </c>
      <c r="D2641" s="1">
        <v>662719.89</v>
      </c>
      <c r="E2641" s="1">
        <v>30238.73</v>
      </c>
      <c r="F2641" s="41">
        <v>46049</v>
      </c>
      <c r="G2641" s="41">
        <v>46414</v>
      </c>
      <c r="H2641" s="1" t="s">
        <v>4179</v>
      </c>
      <c r="I2641" s="1" t="s">
        <v>3324</v>
      </c>
      <c r="J2641" t="str">
        <f>IF(ISNA(_xlfn.XLOOKUP(B2641,customer_master!$A$2:$A$1649, customer_master!$A$2:$A$1649)), "Invalid", "Ok")</f>
        <v>Ok</v>
      </c>
      <c r="K2641" t="str">
        <f>IF(ISNA(_xlfn.XLOOKUP(H2641,agent_info!$A$2:$A$301, agent_info!$A$2:$A$301)), "Invalid", "Ok")</f>
        <v>Ok</v>
      </c>
    </row>
    <row r="2642" spans="1:11" x14ac:dyDescent="0.3">
      <c r="A2642" s="1" t="s">
        <v>6261</v>
      </c>
      <c r="B2642" s="1" t="s">
        <v>489</v>
      </c>
      <c r="C2642" s="1" t="s">
        <v>3331</v>
      </c>
      <c r="D2642" s="1">
        <v>560885.23</v>
      </c>
      <c r="E2642" s="1">
        <v>29809.15</v>
      </c>
      <c r="F2642" s="41">
        <v>44387</v>
      </c>
      <c r="G2642" s="41">
        <v>44752</v>
      </c>
      <c r="H2642" s="1" t="s">
        <v>3770</v>
      </c>
      <c r="I2642" s="1" t="s">
        <v>3324</v>
      </c>
      <c r="J2642" t="str">
        <f>IF(ISNA(_xlfn.XLOOKUP(B2642,customer_master!$A$2:$A$1649, customer_master!$A$2:$A$1649)), "Invalid", "Ok")</f>
        <v>Ok</v>
      </c>
      <c r="K2642" t="str">
        <f>IF(ISNA(_xlfn.XLOOKUP(H2642,agent_info!$A$2:$A$301, agent_info!$A$2:$A$301)), "Invalid", "Ok")</f>
        <v>Ok</v>
      </c>
    </row>
    <row r="2643" spans="1:11" x14ac:dyDescent="0.3">
      <c r="A2643" s="1" t="s">
        <v>6262</v>
      </c>
      <c r="B2643" s="1" t="s">
        <v>3273</v>
      </c>
      <c r="C2643" s="1" t="s">
        <v>3334</v>
      </c>
      <c r="D2643" s="1">
        <v>709638.25</v>
      </c>
      <c r="E2643" s="1">
        <v>33011.99</v>
      </c>
      <c r="F2643" s="41">
        <v>44104</v>
      </c>
      <c r="G2643" s="41">
        <v>44469</v>
      </c>
      <c r="H2643" s="1" t="s">
        <v>3712</v>
      </c>
      <c r="I2643" s="1" t="s">
        <v>3316</v>
      </c>
      <c r="J2643" t="str">
        <f>IF(ISNA(_xlfn.XLOOKUP(B2643,customer_master!$A$2:$A$1649, customer_master!$A$2:$A$1649)), "Invalid", "Ok")</f>
        <v>Ok</v>
      </c>
      <c r="K2643" t="str">
        <f>IF(ISNA(_xlfn.XLOOKUP(H2643,agent_info!$A$2:$A$301, agent_info!$A$2:$A$301)), "Invalid", "Ok")</f>
        <v>Ok</v>
      </c>
    </row>
    <row r="2644" spans="1:11" x14ac:dyDescent="0.3">
      <c r="A2644" s="1" t="s">
        <v>6263</v>
      </c>
      <c r="B2644" s="1" t="s">
        <v>2414</v>
      </c>
      <c r="C2644" s="1" t="s">
        <v>3318</v>
      </c>
      <c r="D2644" s="1">
        <v>607009.68999999994</v>
      </c>
      <c r="E2644" s="1">
        <v>32317.21</v>
      </c>
      <c r="F2644" s="41">
        <v>45117</v>
      </c>
      <c r="G2644" s="41">
        <v>45483</v>
      </c>
      <c r="H2644" s="1" t="s">
        <v>3570</v>
      </c>
      <c r="I2644" s="1" t="s">
        <v>3316</v>
      </c>
      <c r="J2644" t="str">
        <f>IF(ISNA(_xlfn.XLOOKUP(B2644,customer_master!$A$2:$A$1649, customer_master!$A$2:$A$1649)), "Invalid", "Ok")</f>
        <v>Ok</v>
      </c>
      <c r="K2644" t="str">
        <f>IF(ISNA(_xlfn.XLOOKUP(H2644,agent_info!$A$2:$A$301, agent_info!$A$2:$A$301)), "Invalid", "Ok")</f>
        <v>Ok</v>
      </c>
    </row>
    <row r="2645" spans="1:11" x14ac:dyDescent="0.3">
      <c r="A2645" s="1" t="s">
        <v>6264</v>
      </c>
      <c r="B2645" s="1" t="s">
        <v>2040</v>
      </c>
      <c r="C2645" s="1" t="s">
        <v>3334</v>
      </c>
      <c r="D2645" s="1">
        <v>767540.53</v>
      </c>
      <c r="E2645" s="1">
        <v>36575.35</v>
      </c>
      <c r="F2645" s="41">
        <v>44809</v>
      </c>
      <c r="G2645" s="41">
        <v>45174</v>
      </c>
      <c r="H2645" s="1" t="s">
        <v>3555</v>
      </c>
      <c r="I2645" s="1" t="s">
        <v>3324</v>
      </c>
      <c r="J2645" t="str">
        <f>IF(ISNA(_xlfn.XLOOKUP(B2645,customer_master!$A$2:$A$1649, customer_master!$A$2:$A$1649)), "Invalid", "Ok")</f>
        <v>Ok</v>
      </c>
      <c r="K2645" t="str">
        <f>IF(ISNA(_xlfn.XLOOKUP(H2645,agent_info!$A$2:$A$301, agent_info!$A$2:$A$301)), "Invalid", "Ok")</f>
        <v>Ok</v>
      </c>
    </row>
    <row r="2646" spans="1:11" x14ac:dyDescent="0.3">
      <c r="A2646" s="1" t="s">
        <v>6265</v>
      </c>
      <c r="B2646" s="1" t="s">
        <v>1614</v>
      </c>
      <c r="C2646" s="1" t="s">
        <v>3334</v>
      </c>
      <c r="D2646" s="1">
        <v>698943.71</v>
      </c>
      <c r="E2646" s="1">
        <v>35235.65</v>
      </c>
      <c r="F2646" s="41">
        <v>44466</v>
      </c>
      <c r="G2646" s="41">
        <v>44831</v>
      </c>
      <c r="H2646" s="1" t="s">
        <v>3361</v>
      </c>
      <c r="I2646" s="1" t="s">
        <v>3324</v>
      </c>
      <c r="J2646" t="str">
        <f>IF(ISNA(_xlfn.XLOOKUP(B2646,customer_master!$A$2:$A$1649, customer_master!$A$2:$A$1649)), "Invalid", "Ok")</f>
        <v>Ok</v>
      </c>
      <c r="K2646" t="str">
        <f>IF(ISNA(_xlfn.XLOOKUP(H2646,agent_info!$A$2:$A$301, agent_info!$A$2:$A$301)), "Invalid", "Ok")</f>
        <v>Ok</v>
      </c>
    </row>
    <row r="2647" spans="1:11" x14ac:dyDescent="0.3">
      <c r="A2647" s="1" t="s">
        <v>6266</v>
      </c>
      <c r="B2647" s="1" t="s">
        <v>2378</v>
      </c>
      <c r="C2647" s="1" t="s">
        <v>3318</v>
      </c>
      <c r="D2647" s="1">
        <v>651013.82999999996</v>
      </c>
      <c r="E2647" s="1">
        <v>31000.74</v>
      </c>
      <c r="F2647" s="41">
        <v>44655</v>
      </c>
      <c r="G2647" s="41">
        <v>45020</v>
      </c>
      <c r="H2647" s="1" t="s">
        <v>3801</v>
      </c>
      <c r="I2647" s="1" t="s">
        <v>3324</v>
      </c>
      <c r="J2647" t="str">
        <f>IF(ISNA(_xlfn.XLOOKUP(B2647,customer_master!$A$2:$A$1649, customer_master!$A$2:$A$1649)), "Invalid", "Ok")</f>
        <v>Ok</v>
      </c>
      <c r="K2647" t="str">
        <f>IF(ISNA(_xlfn.XLOOKUP(H2647,agent_info!$A$2:$A$301, agent_info!$A$2:$A$301)), "Invalid", "Ok")</f>
        <v>Ok</v>
      </c>
    </row>
    <row r="2648" spans="1:11" x14ac:dyDescent="0.3">
      <c r="A2648" s="1" t="s">
        <v>6267</v>
      </c>
      <c r="B2648" s="1" t="s">
        <v>457</v>
      </c>
      <c r="C2648" s="1" t="s">
        <v>3314</v>
      </c>
      <c r="D2648" s="1">
        <v>432471.58</v>
      </c>
      <c r="E2648" s="1">
        <v>19677.82</v>
      </c>
      <c r="F2648" s="41">
        <v>44245</v>
      </c>
      <c r="G2648" s="41">
        <v>44610</v>
      </c>
      <c r="H2648" s="1" t="s">
        <v>3764</v>
      </c>
      <c r="I2648" s="1" t="s">
        <v>3320</v>
      </c>
      <c r="J2648" t="str">
        <f>IF(ISNA(_xlfn.XLOOKUP(B2648,customer_master!$A$2:$A$1649, customer_master!$A$2:$A$1649)), "Invalid", "Ok")</f>
        <v>Ok</v>
      </c>
      <c r="K2648" t="str">
        <f>IF(ISNA(_xlfn.XLOOKUP(H2648,agent_info!$A$2:$A$301, agent_info!$A$2:$A$301)), "Invalid", "Ok")</f>
        <v>Ok</v>
      </c>
    </row>
    <row r="2649" spans="1:11" x14ac:dyDescent="0.3">
      <c r="A2649" s="1" t="s">
        <v>6268</v>
      </c>
      <c r="B2649" s="1" t="s">
        <v>1105</v>
      </c>
      <c r="C2649" s="1" t="s">
        <v>3331</v>
      </c>
      <c r="D2649" s="1">
        <v>699136.91</v>
      </c>
      <c r="E2649" s="1">
        <v>35252.43</v>
      </c>
      <c r="F2649" s="41">
        <v>45565</v>
      </c>
      <c r="G2649" s="41">
        <v>45930</v>
      </c>
      <c r="H2649" s="1" t="s">
        <v>4391</v>
      </c>
      <c r="I2649" s="1" t="s">
        <v>3324</v>
      </c>
      <c r="J2649" t="str">
        <f>IF(ISNA(_xlfn.XLOOKUP(B2649,customer_master!$A$2:$A$1649, customer_master!$A$2:$A$1649)), "Invalid", "Ok")</f>
        <v>Ok</v>
      </c>
      <c r="K2649" t="str">
        <f>IF(ISNA(_xlfn.XLOOKUP(H2649,agent_info!$A$2:$A$301, agent_info!$A$2:$A$301)), "Invalid", "Ok")</f>
        <v>Ok</v>
      </c>
    </row>
    <row r="2650" spans="1:11" x14ac:dyDescent="0.3">
      <c r="A2650" s="1" t="s">
        <v>6269</v>
      </c>
      <c r="B2650" s="1" t="s">
        <v>449</v>
      </c>
      <c r="C2650" s="1" t="s">
        <v>3331</v>
      </c>
      <c r="D2650" s="1">
        <v>498075.8</v>
      </c>
      <c r="E2650" s="1">
        <v>24241.95</v>
      </c>
      <c r="F2650" s="41">
        <v>45946</v>
      </c>
      <c r="G2650" s="41">
        <v>46311</v>
      </c>
      <c r="H2650" s="1" t="s">
        <v>3830</v>
      </c>
      <c r="I2650" s="1" t="s">
        <v>3324</v>
      </c>
      <c r="J2650" t="str">
        <f>IF(ISNA(_xlfn.XLOOKUP(B2650,customer_master!$A$2:$A$1649, customer_master!$A$2:$A$1649)), "Invalid", "Ok")</f>
        <v>Ok</v>
      </c>
      <c r="K2650" t="str">
        <f>IF(ISNA(_xlfn.XLOOKUP(H2650,agent_info!$A$2:$A$301, agent_info!$A$2:$A$301)), "Invalid", "Ok")</f>
        <v>Ok</v>
      </c>
    </row>
    <row r="2651" spans="1:11" x14ac:dyDescent="0.3">
      <c r="A2651" s="1" t="s">
        <v>6270</v>
      </c>
      <c r="B2651" s="1" t="s">
        <v>453</v>
      </c>
      <c r="C2651" s="1" t="s">
        <v>3334</v>
      </c>
      <c r="D2651" s="1">
        <v>546282</v>
      </c>
      <c r="E2651" s="1">
        <v>26959.62</v>
      </c>
      <c r="F2651" s="41">
        <v>45379</v>
      </c>
      <c r="G2651" s="41">
        <v>45744</v>
      </c>
      <c r="H2651" s="1" t="s">
        <v>3341</v>
      </c>
      <c r="I2651" s="1" t="s">
        <v>3324</v>
      </c>
      <c r="J2651" t="str">
        <f>IF(ISNA(_xlfn.XLOOKUP(B2651,customer_master!$A$2:$A$1649, customer_master!$A$2:$A$1649)), "Invalid", "Ok")</f>
        <v>Ok</v>
      </c>
      <c r="K2651" t="str">
        <f>IF(ISNA(_xlfn.XLOOKUP(H2651,agent_info!$A$2:$A$301, agent_info!$A$2:$A$301)), "Invalid", "Ok")</f>
        <v>Ok</v>
      </c>
    </row>
    <row r="2652" spans="1:11" x14ac:dyDescent="0.3">
      <c r="A2652" s="1" t="s">
        <v>6271</v>
      </c>
      <c r="B2652" s="1" t="s">
        <v>107</v>
      </c>
      <c r="C2652" s="1" t="s">
        <v>3318</v>
      </c>
      <c r="D2652" s="1">
        <v>552923.39</v>
      </c>
      <c r="E2652" s="1">
        <v>28207.71</v>
      </c>
      <c r="F2652" s="41">
        <v>46202</v>
      </c>
      <c r="G2652" s="41">
        <v>46567</v>
      </c>
      <c r="H2652" s="1" t="s">
        <v>3509</v>
      </c>
      <c r="I2652" s="1" t="s">
        <v>3324</v>
      </c>
      <c r="J2652" t="str">
        <f>IF(ISNA(_xlfn.XLOOKUP(B2652,customer_master!$A$2:$A$1649, customer_master!$A$2:$A$1649)), "Invalid", "Ok")</f>
        <v>Ok</v>
      </c>
      <c r="K2652" t="str">
        <f>IF(ISNA(_xlfn.XLOOKUP(H2652,agent_info!$A$2:$A$301, agent_info!$A$2:$A$301)), "Invalid", "Ok")</f>
        <v>Ok</v>
      </c>
    </row>
    <row r="2653" spans="1:11" x14ac:dyDescent="0.3">
      <c r="A2653" s="1" t="s">
        <v>6272</v>
      </c>
      <c r="B2653" s="1" t="s">
        <v>2521</v>
      </c>
      <c r="C2653" s="1" t="s">
        <v>3318</v>
      </c>
      <c r="D2653" s="1">
        <v>503235.38</v>
      </c>
      <c r="E2653" s="1">
        <v>24224.04</v>
      </c>
      <c r="F2653" s="41">
        <v>45355</v>
      </c>
      <c r="G2653" s="41">
        <v>45720</v>
      </c>
      <c r="H2653" s="1" t="s">
        <v>3502</v>
      </c>
      <c r="I2653" s="1" t="s">
        <v>3316</v>
      </c>
      <c r="J2653" t="str">
        <f>IF(ISNA(_xlfn.XLOOKUP(B2653,customer_master!$A$2:$A$1649, customer_master!$A$2:$A$1649)), "Invalid", "Ok")</f>
        <v>Ok</v>
      </c>
      <c r="K2653" t="str">
        <f>IF(ISNA(_xlfn.XLOOKUP(H2653,agent_info!$A$2:$A$301, agent_info!$A$2:$A$301)), "Invalid", "Ok")</f>
        <v>Ok</v>
      </c>
    </row>
    <row r="2654" spans="1:11" x14ac:dyDescent="0.3">
      <c r="A2654" s="1" t="s">
        <v>6273</v>
      </c>
      <c r="B2654" s="1" t="s">
        <v>803</v>
      </c>
      <c r="C2654" s="1" t="s">
        <v>3331</v>
      </c>
      <c r="D2654" s="1">
        <v>422869.4</v>
      </c>
      <c r="E2654" s="1">
        <v>21413.279999999999</v>
      </c>
      <c r="F2654" s="41">
        <v>45147</v>
      </c>
      <c r="G2654" s="41">
        <v>45513</v>
      </c>
      <c r="H2654" s="1" t="s">
        <v>4309</v>
      </c>
      <c r="I2654" s="1" t="s">
        <v>3324</v>
      </c>
      <c r="J2654" t="str">
        <f>IF(ISNA(_xlfn.XLOOKUP(B2654,customer_master!$A$2:$A$1649, customer_master!$A$2:$A$1649)), "Invalid", "Ok")</f>
        <v>Ok</v>
      </c>
      <c r="K2654" t="str">
        <f>IF(ISNA(_xlfn.XLOOKUP(H2654,agent_info!$A$2:$A$301, agent_info!$A$2:$A$301)), "Invalid", "Ok")</f>
        <v>Ok</v>
      </c>
    </row>
    <row r="2655" spans="1:11" x14ac:dyDescent="0.3">
      <c r="A2655" s="1" t="s">
        <v>6274</v>
      </c>
      <c r="B2655" s="1" t="s">
        <v>2760</v>
      </c>
      <c r="C2655" s="1" t="s">
        <v>3326</v>
      </c>
      <c r="D2655" s="1">
        <v>419777.35</v>
      </c>
      <c r="E2655" s="1">
        <v>21651.16</v>
      </c>
      <c r="F2655" s="41">
        <v>44619</v>
      </c>
      <c r="G2655" s="41">
        <v>44984</v>
      </c>
      <c r="H2655" s="1" t="s">
        <v>3327</v>
      </c>
      <c r="I2655" s="1" t="s">
        <v>3324</v>
      </c>
      <c r="J2655" t="str">
        <f>IF(ISNA(_xlfn.XLOOKUP(B2655,customer_master!$A$2:$A$1649, customer_master!$A$2:$A$1649)), "Invalid", "Ok")</f>
        <v>Ok</v>
      </c>
      <c r="K2655" t="str">
        <f>IF(ISNA(_xlfn.XLOOKUP(H2655,agent_info!$A$2:$A$301, agent_info!$A$2:$A$301)), "Invalid", "Ok")</f>
        <v>Ok</v>
      </c>
    </row>
    <row r="2656" spans="1:11" x14ac:dyDescent="0.3">
      <c r="A2656" s="1" t="s">
        <v>6275</v>
      </c>
      <c r="B2656" s="1" t="s">
        <v>3005</v>
      </c>
      <c r="C2656" s="1" t="s">
        <v>3326</v>
      </c>
      <c r="D2656" s="1">
        <v>631213.26</v>
      </c>
      <c r="E2656" s="1">
        <v>28969.82</v>
      </c>
      <c r="F2656" s="41">
        <v>44316</v>
      </c>
      <c r="G2656" s="41">
        <v>44681</v>
      </c>
      <c r="H2656" s="1" t="s">
        <v>3581</v>
      </c>
      <c r="I2656" s="1" t="s">
        <v>3316</v>
      </c>
      <c r="J2656" t="str">
        <f>IF(ISNA(_xlfn.XLOOKUP(B2656,customer_master!$A$2:$A$1649, customer_master!$A$2:$A$1649)), "Invalid", "Ok")</f>
        <v>Ok</v>
      </c>
      <c r="K2656" t="str">
        <f>IF(ISNA(_xlfn.XLOOKUP(H2656,agent_info!$A$2:$A$301, agent_info!$A$2:$A$301)), "Invalid", "Ok")</f>
        <v>Ok</v>
      </c>
    </row>
    <row r="2657" spans="1:11" x14ac:dyDescent="0.3">
      <c r="A2657" s="1" t="s">
        <v>6276</v>
      </c>
      <c r="B2657" s="1" t="s">
        <v>596</v>
      </c>
      <c r="C2657" s="1" t="s">
        <v>3318</v>
      </c>
      <c r="D2657" s="1">
        <v>624558.11</v>
      </c>
      <c r="E2657" s="1">
        <v>30291.67</v>
      </c>
      <c r="F2657" s="41">
        <v>45872</v>
      </c>
      <c r="G2657" s="41">
        <v>46237</v>
      </c>
      <c r="H2657" s="1" t="s">
        <v>3447</v>
      </c>
      <c r="I2657" s="1" t="s">
        <v>3324</v>
      </c>
      <c r="J2657" t="str">
        <f>IF(ISNA(_xlfn.XLOOKUP(B2657,customer_master!$A$2:$A$1649, customer_master!$A$2:$A$1649)), "Invalid", "Ok")</f>
        <v>Ok</v>
      </c>
      <c r="K2657" t="str">
        <f>IF(ISNA(_xlfn.XLOOKUP(H2657,agent_info!$A$2:$A$301, agent_info!$A$2:$A$301)), "Invalid", "Ok")</f>
        <v>Ok</v>
      </c>
    </row>
    <row r="2658" spans="1:11" x14ac:dyDescent="0.3">
      <c r="A2658" s="1" t="s">
        <v>6277</v>
      </c>
      <c r="B2658" s="1" t="s">
        <v>2370</v>
      </c>
      <c r="C2658" s="1" t="s">
        <v>3314</v>
      </c>
      <c r="D2658" s="1">
        <v>747993.97</v>
      </c>
      <c r="E2658" s="1">
        <v>34332.53</v>
      </c>
      <c r="F2658" s="41">
        <v>45320</v>
      </c>
      <c r="G2658" s="41">
        <v>45686</v>
      </c>
      <c r="H2658" s="1" t="s">
        <v>4074</v>
      </c>
      <c r="I2658" s="1" t="s">
        <v>3316</v>
      </c>
      <c r="J2658" t="str">
        <f>IF(ISNA(_xlfn.XLOOKUP(B2658,customer_master!$A$2:$A$1649, customer_master!$A$2:$A$1649)), "Invalid", "Ok")</f>
        <v>Ok</v>
      </c>
      <c r="K2658" t="str">
        <f>IF(ISNA(_xlfn.XLOOKUP(H2658,agent_info!$A$2:$A$301, agent_info!$A$2:$A$301)), "Invalid", "Ok")</f>
        <v>Ok</v>
      </c>
    </row>
    <row r="2659" spans="1:11" x14ac:dyDescent="0.3">
      <c r="A2659" s="1" t="s">
        <v>6278</v>
      </c>
      <c r="B2659" s="1" t="s">
        <v>1547</v>
      </c>
      <c r="C2659" s="1" t="s">
        <v>3331</v>
      </c>
      <c r="D2659" s="1">
        <v>694737.58</v>
      </c>
      <c r="E2659" s="1">
        <v>31311.360000000001</v>
      </c>
      <c r="F2659" s="41">
        <v>46247</v>
      </c>
      <c r="G2659" s="41">
        <v>46612</v>
      </c>
      <c r="H2659" s="1" t="s">
        <v>4400</v>
      </c>
      <c r="I2659" s="1" t="s">
        <v>3320</v>
      </c>
      <c r="J2659" t="str">
        <f>IF(ISNA(_xlfn.XLOOKUP(B2659,customer_master!$A$2:$A$1649, customer_master!$A$2:$A$1649)), "Invalid", "Ok")</f>
        <v>Ok</v>
      </c>
      <c r="K2659" t="str">
        <f>IF(ISNA(_xlfn.XLOOKUP(H2659,agent_info!$A$2:$A$301, agent_info!$A$2:$A$301)), "Invalid", "Ok")</f>
        <v>Ok</v>
      </c>
    </row>
    <row r="2660" spans="1:11" x14ac:dyDescent="0.3">
      <c r="A2660" s="1" t="s">
        <v>6279</v>
      </c>
      <c r="B2660" s="1" t="s">
        <v>3059</v>
      </c>
      <c r="C2660" s="1" t="s">
        <v>3314</v>
      </c>
      <c r="D2660" s="1">
        <v>539854.79</v>
      </c>
      <c r="E2660" s="1">
        <v>24570.03</v>
      </c>
      <c r="F2660" s="41">
        <v>45908</v>
      </c>
      <c r="G2660" s="41">
        <v>46273</v>
      </c>
      <c r="H2660" s="1" t="s">
        <v>3459</v>
      </c>
      <c r="I2660" s="1" t="s">
        <v>3324</v>
      </c>
      <c r="J2660" t="str">
        <f>IF(ISNA(_xlfn.XLOOKUP(B2660,customer_master!$A$2:$A$1649, customer_master!$A$2:$A$1649)), "Invalid", "Ok")</f>
        <v>Ok</v>
      </c>
      <c r="K2660" t="str">
        <f>IF(ISNA(_xlfn.XLOOKUP(H2660,agent_info!$A$2:$A$301, agent_info!$A$2:$A$301)), "Invalid", "Ok")</f>
        <v>Ok</v>
      </c>
    </row>
    <row r="2661" spans="1:11" x14ac:dyDescent="0.3">
      <c r="A2661" s="1" t="s">
        <v>6280</v>
      </c>
      <c r="B2661" s="1" t="s">
        <v>1626</v>
      </c>
      <c r="C2661" s="1" t="s">
        <v>3334</v>
      </c>
      <c r="D2661" s="1">
        <v>687689.37</v>
      </c>
      <c r="E2661" s="1">
        <v>35018.620000000003</v>
      </c>
      <c r="F2661" s="41">
        <v>45228</v>
      </c>
      <c r="G2661" s="41">
        <v>45594</v>
      </c>
      <c r="H2661" s="1" t="s">
        <v>4313</v>
      </c>
      <c r="I2661" s="1" t="s">
        <v>3324</v>
      </c>
      <c r="J2661" t="str">
        <f>IF(ISNA(_xlfn.XLOOKUP(B2661,customer_master!$A$2:$A$1649, customer_master!$A$2:$A$1649)), "Invalid", "Ok")</f>
        <v>Ok</v>
      </c>
      <c r="K2661" t="str">
        <f>IF(ISNA(_xlfn.XLOOKUP(H2661,agent_info!$A$2:$A$301, agent_info!$A$2:$A$301)), "Invalid", "Ok")</f>
        <v>Ok</v>
      </c>
    </row>
    <row r="2662" spans="1:11" x14ac:dyDescent="0.3">
      <c r="A2662" s="1" t="s">
        <v>6281</v>
      </c>
      <c r="B2662" s="1" t="s">
        <v>1289</v>
      </c>
      <c r="C2662" s="1" t="s">
        <v>3334</v>
      </c>
      <c r="D2662" s="1">
        <v>606925.24</v>
      </c>
      <c r="E2662" s="1">
        <v>27823.31</v>
      </c>
      <c r="F2662" s="41">
        <v>44443</v>
      </c>
      <c r="G2662" s="41">
        <v>44808</v>
      </c>
      <c r="H2662" s="1" t="s">
        <v>3536</v>
      </c>
      <c r="I2662" s="1" t="s">
        <v>3320</v>
      </c>
      <c r="J2662" t="str">
        <f>IF(ISNA(_xlfn.XLOOKUP(B2662,customer_master!$A$2:$A$1649, customer_master!$A$2:$A$1649)), "Invalid", "Ok")</f>
        <v>Ok</v>
      </c>
      <c r="K2662" t="str">
        <f>IF(ISNA(_xlfn.XLOOKUP(H2662,agent_info!$A$2:$A$301, agent_info!$A$2:$A$301)), "Invalid", "Ok")</f>
        <v>Ok</v>
      </c>
    </row>
    <row r="2663" spans="1:11" x14ac:dyDescent="0.3">
      <c r="A2663" s="1" t="s">
        <v>6282</v>
      </c>
      <c r="B2663" s="1" t="s">
        <v>996</v>
      </c>
      <c r="C2663" s="1" t="s">
        <v>3331</v>
      </c>
      <c r="D2663" s="1">
        <v>490723.86</v>
      </c>
      <c r="E2663" s="1">
        <v>26344.52</v>
      </c>
      <c r="F2663" s="41">
        <v>44398</v>
      </c>
      <c r="G2663" s="41">
        <v>44763</v>
      </c>
      <c r="H2663" s="1" t="s">
        <v>3576</v>
      </c>
      <c r="I2663" s="1" t="s">
        <v>3316</v>
      </c>
      <c r="J2663" t="str">
        <f>IF(ISNA(_xlfn.XLOOKUP(B2663,customer_master!$A$2:$A$1649, customer_master!$A$2:$A$1649)), "Invalid", "Ok")</f>
        <v>Ok</v>
      </c>
      <c r="K2663" t="str">
        <f>IF(ISNA(_xlfn.XLOOKUP(H2663,agent_info!$A$2:$A$301, agent_info!$A$2:$A$301)), "Invalid", "Ok")</f>
        <v>Ok</v>
      </c>
    </row>
    <row r="2664" spans="1:11" x14ac:dyDescent="0.3">
      <c r="A2664" s="1" t="s">
        <v>6283</v>
      </c>
      <c r="B2664" s="1" t="s">
        <v>3003</v>
      </c>
      <c r="C2664" s="1" t="s">
        <v>3326</v>
      </c>
      <c r="D2664" s="1">
        <v>691281.26</v>
      </c>
      <c r="E2664" s="1">
        <v>36357.550000000003</v>
      </c>
      <c r="F2664" s="41">
        <v>44282</v>
      </c>
      <c r="G2664" s="41">
        <v>44647</v>
      </c>
      <c r="H2664" s="1" t="s">
        <v>3543</v>
      </c>
      <c r="I2664" s="1" t="s">
        <v>3316</v>
      </c>
      <c r="J2664" t="str">
        <f>IF(ISNA(_xlfn.XLOOKUP(B2664,customer_master!$A$2:$A$1649, customer_master!$A$2:$A$1649)), "Invalid", "Ok")</f>
        <v>Ok</v>
      </c>
      <c r="K2664" t="str">
        <f>IF(ISNA(_xlfn.XLOOKUP(H2664,agent_info!$A$2:$A$301, agent_info!$A$2:$A$301)), "Invalid", "Ok")</f>
        <v>Ok</v>
      </c>
    </row>
    <row r="2665" spans="1:11" x14ac:dyDescent="0.3">
      <c r="A2665" s="1" t="s">
        <v>6284</v>
      </c>
      <c r="B2665" s="1" t="s">
        <v>801</v>
      </c>
      <c r="C2665" s="1" t="s">
        <v>3314</v>
      </c>
      <c r="D2665" s="1">
        <v>742469.03</v>
      </c>
      <c r="E2665" s="1">
        <v>33476.58</v>
      </c>
      <c r="F2665" s="41">
        <v>44744</v>
      </c>
      <c r="G2665" s="41">
        <v>45109</v>
      </c>
      <c r="H2665" s="1" t="s">
        <v>3515</v>
      </c>
      <c r="I2665" s="1" t="s">
        <v>3324</v>
      </c>
      <c r="J2665" t="str">
        <f>IF(ISNA(_xlfn.XLOOKUP(B2665,customer_master!$A$2:$A$1649, customer_master!$A$2:$A$1649)), "Invalid", "Ok")</f>
        <v>Ok</v>
      </c>
      <c r="K2665" t="str">
        <f>IF(ISNA(_xlfn.XLOOKUP(H2665,agent_info!$A$2:$A$301, agent_info!$A$2:$A$301)), "Invalid", "Ok")</f>
        <v>Ok</v>
      </c>
    </row>
    <row r="2666" spans="1:11" x14ac:dyDescent="0.3">
      <c r="A2666" s="1" t="s">
        <v>6285</v>
      </c>
      <c r="B2666" s="1" t="s">
        <v>2744</v>
      </c>
      <c r="C2666" s="1" t="s">
        <v>3331</v>
      </c>
      <c r="D2666" s="1">
        <v>424303.71</v>
      </c>
      <c r="E2666" s="1">
        <v>21525.97</v>
      </c>
      <c r="F2666" s="41">
        <v>45690</v>
      </c>
      <c r="G2666" s="41">
        <v>46055</v>
      </c>
      <c r="H2666" s="1" t="s">
        <v>3745</v>
      </c>
      <c r="I2666" s="1" t="s">
        <v>3316</v>
      </c>
      <c r="J2666" t="str">
        <f>IF(ISNA(_xlfn.XLOOKUP(B2666,customer_master!$A$2:$A$1649, customer_master!$A$2:$A$1649)), "Invalid", "Ok")</f>
        <v>Ok</v>
      </c>
      <c r="K2666" t="str">
        <f>IF(ISNA(_xlfn.XLOOKUP(H2666,agent_info!$A$2:$A$301, agent_info!$A$2:$A$301)), "Invalid", "Ok")</f>
        <v>Ok</v>
      </c>
    </row>
    <row r="2667" spans="1:11" x14ac:dyDescent="0.3">
      <c r="A2667" s="1" t="s">
        <v>6286</v>
      </c>
      <c r="B2667" s="1" t="s">
        <v>689</v>
      </c>
      <c r="C2667" s="1" t="s">
        <v>3318</v>
      </c>
      <c r="D2667" s="1">
        <v>695301.32</v>
      </c>
      <c r="E2667" s="1">
        <v>31359.84</v>
      </c>
      <c r="F2667" s="41">
        <v>45069</v>
      </c>
      <c r="G2667" s="41">
        <v>45435</v>
      </c>
      <c r="H2667" s="1" t="s">
        <v>3470</v>
      </c>
      <c r="I2667" s="1" t="s">
        <v>3320</v>
      </c>
      <c r="J2667" t="str">
        <f>IF(ISNA(_xlfn.XLOOKUP(B2667,customer_master!$A$2:$A$1649, customer_master!$A$2:$A$1649)), "Invalid", "Ok")</f>
        <v>Ok</v>
      </c>
      <c r="K2667" t="str">
        <f>IF(ISNA(_xlfn.XLOOKUP(H2667,agent_info!$A$2:$A$301, agent_info!$A$2:$A$301)), "Invalid", "Ok")</f>
        <v>Ok</v>
      </c>
    </row>
    <row r="2668" spans="1:11" x14ac:dyDescent="0.3">
      <c r="A2668" s="1" t="s">
        <v>6287</v>
      </c>
      <c r="B2668" s="1" t="s">
        <v>2158</v>
      </c>
      <c r="C2668" s="1" t="s">
        <v>3326</v>
      </c>
      <c r="D2668" s="1">
        <v>377190.35</v>
      </c>
      <c r="E2668" s="1">
        <v>17385.439999999999</v>
      </c>
      <c r="F2668" s="41">
        <v>45687</v>
      </c>
      <c r="G2668" s="41">
        <v>46052</v>
      </c>
      <c r="H2668" s="1" t="s">
        <v>3801</v>
      </c>
      <c r="I2668" s="1" t="s">
        <v>3324</v>
      </c>
      <c r="J2668" t="str">
        <f>IF(ISNA(_xlfn.XLOOKUP(B2668,customer_master!$A$2:$A$1649, customer_master!$A$2:$A$1649)), "Invalid", "Ok")</f>
        <v>Ok</v>
      </c>
      <c r="K2668" t="str">
        <f>IF(ISNA(_xlfn.XLOOKUP(H2668,agent_info!$A$2:$A$301, agent_info!$A$2:$A$301)), "Invalid", "Ok")</f>
        <v>Ok</v>
      </c>
    </row>
    <row r="2669" spans="1:11" x14ac:dyDescent="0.3">
      <c r="A2669" s="1" t="s">
        <v>6288</v>
      </c>
      <c r="B2669" s="1" t="s">
        <v>1513</v>
      </c>
      <c r="C2669" s="1" t="s">
        <v>3334</v>
      </c>
      <c r="D2669" s="1">
        <v>742595.39</v>
      </c>
      <c r="E2669" s="1">
        <v>40755.49</v>
      </c>
      <c r="F2669" s="41">
        <v>46246</v>
      </c>
      <c r="G2669" s="41">
        <v>46611</v>
      </c>
      <c r="H2669" s="1" t="s">
        <v>3858</v>
      </c>
      <c r="I2669" s="1" t="s">
        <v>3324</v>
      </c>
      <c r="J2669" t="str">
        <f>IF(ISNA(_xlfn.XLOOKUP(B2669,customer_master!$A$2:$A$1649, customer_master!$A$2:$A$1649)), "Invalid", "Ok")</f>
        <v>Ok</v>
      </c>
      <c r="K2669" t="str">
        <f>IF(ISNA(_xlfn.XLOOKUP(H2669,agent_info!$A$2:$A$301, agent_info!$A$2:$A$301)), "Invalid", "Ok")</f>
        <v>Ok</v>
      </c>
    </row>
    <row r="2670" spans="1:11" x14ac:dyDescent="0.3">
      <c r="A2670" s="1" t="s">
        <v>6289</v>
      </c>
      <c r="B2670" s="1" t="s">
        <v>377</v>
      </c>
      <c r="C2670" s="1" t="s">
        <v>3314</v>
      </c>
      <c r="D2670" s="1">
        <v>625303.93000000005</v>
      </c>
      <c r="E2670" s="1">
        <v>30996.46</v>
      </c>
      <c r="F2670" s="41">
        <v>44641</v>
      </c>
      <c r="G2670" s="41">
        <v>45006</v>
      </c>
      <c r="H2670" s="1" t="s">
        <v>3550</v>
      </c>
      <c r="I2670" s="1" t="s">
        <v>3324</v>
      </c>
      <c r="J2670" t="str">
        <f>IF(ISNA(_xlfn.XLOOKUP(B2670,customer_master!$A$2:$A$1649, customer_master!$A$2:$A$1649)), "Invalid", "Ok")</f>
        <v>Ok</v>
      </c>
      <c r="K2670" t="str">
        <f>IF(ISNA(_xlfn.XLOOKUP(H2670,agent_info!$A$2:$A$301, agent_info!$A$2:$A$301)), "Invalid", "Ok")</f>
        <v>Ok</v>
      </c>
    </row>
    <row r="2671" spans="1:11" x14ac:dyDescent="0.3">
      <c r="A2671" s="1" t="s">
        <v>6290</v>
      </c>
      <c r="B2671" s="1" t="s">
        <v>453</v>
      </c>
      <c r="C2671" s="1" t="s">
        <v>3326</v>
      </c>
      <c r="D2671" s="1">
        <v>408303.79</v>
      </c>
      <c r="E2671" s="1">
        <v>18484.77</v>
      </c>
      <c r="F2671" s="41">
        <v>45143</v>
      </c>
      <c r="G2671" s="41">
        <v>45509</v>
      </c>
      <c r="H2671" s="1" t="s">
        <v>4074</v>
      </c>
      <c r="I2671" s="1" t="s">
        <v>3316</v>
      </c>
      <c r="J2671" t="str">
        <f>IF(ISNA(_xlfn.XLOOKUP(B2671,customer_master!$A$2:$A$1649, customer_master!$A$2:$A$1649)), "Invalid", "Ok")</f>
        <v>Ok</v>
      </c>
      <c r="K2671" t="str">
        <f>IF(ISNA(_xlfn.XLOOKUP(H2671,agent_info!$A$2:$A$301, agent_info!$A$2:$A$301)), "Invalid", "Ok")</f>
        <v>Ok</v>
      </c>
    </row>
    <row r="2672" spans="1:11" x14ac:dyDescent="0.3">
      <c r="A2672" s="1" t="s">
        <v>6291</v>
      </c>
      <c r="B2672" s="1" t="s">
        <v>951</v>
      </c>
      <c r="C2672" s="1" t="s">
        <v>3326</v>
      </c>
      <c r="D2672" s="1">
        <v>636041.85</v>
      </c>
      <c r="E2672" s="1">
        <v>34030.239999999998</v>
      </c>
      <c r="F2672" s="41">
        <v>44875</v>
      </c>
      <c r="G2672" s="41">
        <v>45240</v>
      </c>
      <c r="H2672" s="1" t="s">
        <v>3846</v>
      </c>
      <c r="I2672" s="1" t="s">
        <v>3316</v>
      </c>
      <c r="J2672" t="str">
        <f>IF(ISNA(_xlfn.XLOOKUP(B2672,customer_master!$A$2:$A$1649, customer_master!$A$2:$A$1649)), "Invalid", "Ok")</f>
        <v>Ok</v>
      </c>
      <c r="K2672" t="str">
        <f>IF(ISNA(_xlfn.XLOOKUP(H2672,agent_info!$A$2:$A$301, agent_info!$A$2:$A$301)), "Invalid", "Ok")</f>
        <v>Ok</v>
      </c>
    </row>
    <row r="2673" spans="1:11" x14ac:dyDescent="0.3">
      <c r="A2673" s="1" t="s">
        <v>6292</v>
      </c>
      <c r="B2673" s="1" t="s">
        <v>2553</v>
      </c>
      <c r="C2673" s="1" t="s">
        <v>3334</v>
      </c>
      <c r="D2673" s="1">
        <v>583576.01</v>
      </c>
      <c r="E2673" s="1">
        <v>31614.32</v>
      </c>
      <c r="F2673" s="41">
        <v>44106</v>
      </c>
      <c r="G2673" s="41">
        <v>44471</v>
      </c>
      <c r="H2673" s="1" t="s">
        <v>3417</v>
      </c>
      <c r="I2673" s="1" t="s">
        <v>3324</v>
      </c>
      <c r="J2673" t="str">
        <f>IF(ISNA(_xlfn.XLOOKUP(B2673,customer_master!$A$2:$A$1649, customer_master!$A$2:$A$1649)), "Invalid", "Ok")</f>
        <v>Ok</v>
      </c>
      <c r="K2673" t="str">
        <f>IF(ISNA(_xlfn.XLOOKUP(H2673,agent_info!$A$2:$A$301, agent_info!$A$2:$A$301)), "Invalid", "Ok")</f>
        <v>Ok</v>
      </c>
    </row>
    <row r="2674" spans="1:11" x14ac:dyDescent="0.3">
      <c r="A2674" s="1" t="s">
        <v>6293</v>
      </c>
      <c r="B2674" s="1" t="s">
        <v>2440</v>
      </c>
      <c r="C2674" s="1" t="s">
        <v>3334</v>
      </c>
      <c r="D2674" s="1">
        <v>407926.7</v>
      </c>
      <c r="E2674" s="1">
        <v>20593.7</v>
      </c>
      <c r="F2674" s="41">
        <v>44849</v>
      </c>
      <c r="G2674" s="41">
        <v>45214</v>
      </c>
      <c r="H2674" s="1" t="s">
        <v>3598</v>
      </c>
      <c r="I2674" s="1" t="s">
        <v>3324</v>
      </c>
      <c r="J2674" t="str">
        <f>IF(ISNA(_xlfn.XLOOKUP(B2674,customer_master!$A$2:$A$1649, customer_master!$A$2:$A$1649)), "Invalid", "Ok")</f>
        <v>Ok</v>
      </c>
      <c r="K2674" t="str">
        <f>IF(ISNA(_xlfn.XLOOKUP(H2674,agent_info!$A$2:$A$301, agent_info!$A$2:$A$301)), "Invalid", "Ok")</f>
        <v>Ok</v>
      </c>
    </row>
    <row r="2675" spans="1:11" x14ac:dyDescent="0.3">
      <c r="A2675" s="1" t="s">
        <v>6294</v>
      </c>
      <c r="B2675" s="1" t="s">
        <v>729</v>
      </c>
      <c r="C2675" s="1" t="s">
        <v>3331</v>
      </c>
      <c r="D2675" s="1">
        <v>686100.05</v>
      </c>
      <c r="E2675" s="1">
        <v>35717.97</v>
      </c>
      <c r="F2675" s="41">
        <v>45633</v>
      </c>
      <c r="G2675" s="41">
        <v>45998</v>
      </c>
      <c r="H2675" s="1" t="s">
        <v>3427</v>
      </c>
      <c r="I2675" s="1" t="s">
        <v>3324</v>
      </c>
      <c r="J2675" t="str">
        <f>IF(ISNA(_xlfn.XLOOKUP(B2675,customer_master!$A$2:$A$1649, customer_master!$A$2:$A$1649)), "Invalid", "Ok")</f>
        <v>Ok</v>
      </c>
      <c r="K2675" t="str">
        <f>IF(ISNA(_xlfn.XLOOKUP(H2675,agent_info!$A$2:$A$301, agent_info!$A$2:$A$301)), "Invalid", "Ok")</f>
        <v>Ok</v>
      </c>
    </row>
    <row r="2676" spans="1:11" x14ac:dyDescent="0.3">
      <c r="A2676" s="1" t="s">
        <v>6295</v>
      </c>
      <c r="B2676" s="1" t="s">
        <v>1596</v>
      </c>
      <c r="C2676" s="1" t="s">
        <v>3326</v>
      </c>
      <c r="D2676" s="1">
        <v>625918.37</v>
      </c>
      <c r="E2676" s="1">
        <v>33049.25</v>
      </c>
      <c r="F2676" s="41">
        <v>46030</v>
      </c>
      <c r="G2676" s="41">
        <v>46395</v>
      </c>
      <c r="H2676" s="1" t="s">
        <v>3406</v>
      </c>
      <c r="I2676" s="1" t="s">
        <v>3324</v>
      </c>
      <c r="J2676" t="str">
        <f>IF(ISNA(_xlfn.XLOOKUP(B2676,customer_master!$A$2:$A$1649, customer_master!$A$2:$A$1649)), "Invalid", "Ok")</f>
        <v>Ok</v>
      </c>
      <c r="K2676" t="str">
        <f>IF(ISNA(_xlfn.XLOOKUP(H2676,agent_info!$A$2:$A$301, agent_info!$A$2:$A$301)), "Invalid", "Ok")</f>
        <v>Ok</v>
      </c>
    </row>
    <row r="2677" spans="1:11" x14ac:dyDescent="0.3">
      <c r="A2677" s="1" t="s">
        <v>6296</v>
      </c>
      <c r="B2677" s="1" t="s">
        <v>354</v>
      </c>
      <c r="C2677" s="1" t="s">
        <v>3331</v>
      </c>
      <c r="D2677" s="1">
        <v>565405.87</v>
      </c>
      <c r="E2677" s="1">
        <v>29597.14</v>
      </c>
      <c r="F2677" s="41">
        <v>45774</v>
      </c>
      <c r="G2677" s="41">
        <v>46139</v>
      </c>
      <c r="H2677" s="1" t="s">
        <v>4179</v>
      </c>
      <c r="I2677" s="1" t="s">
        <v>3324</v>
      </c>
      <c r="J2677" t="str">
        <f>IF(ISNA(_xlfn.XLOOKUP(B2677,customer_master!$A$2:$A$1649, customer_master!$A$2:$A$1649)), "Invalid", "Ok")</f>
        <v>Ok</v>
      </c>
      <c r="K2677" t="str">
        <f>IF(ISNA(_xlfn.XLOOKUP(H2677,agent_info!$A$2:$A$301, agent_info!$A$2:$A$301)), "Invalid", "Ok")</f>
        <v>Ok</v>
      </c>
    </row>
    <row r="2678" spans="1:11" x14ac:dyDescent="0.3">
      <c r="A2678" s="1" t="s">
        <v>6297</v>
      </c>
      <c r="B2678" s="1" t="s">
        <v>2396</v>
      </c>
      <c r="C2678" s="1" t="s">
        <v>3331</v>
      </c>
      <c r="D2678" s="1">
        <v>660418.34</v>
      </c>
      <c r="E2678" s="1">
        <v>32984.74</v>
      </c>
      <c r="F2678" s="41">
        <v>45955</v>
      </c>
      <c r="G2678" s="41">
        <v>46320</v>
      </c>
      <c r="H2678" s="1" t="s">
        <v>3559</v>
      </c>
      <c r="I2678" s="1" t="s">
        <v>3324</v>
      </c>
      <c r="J2678" t="str">
        <f>IF(ISNA(_xlfn.XLOOKUP(B2678,customer_master!$A$2:$A$1649, customer_master!$A$2:$A$1649)), "Invalid", "Ok")</f>
        <v>Ok</v>
      </c>
      <c r="K2678" t="str">
        <f>IF(ISNA(_xlfn.XLOOKUP(H2678,agent_info!$A$2:$A$301, agent_info!$A$2:$A$301)), "Invalid", "Ok")</f>
        <v>Ok</v>
      </c>
    </row>
    <row r="2679" spans="1:11" x14ac:dyDescent="0.3">
      <c r="A2679" s="1" t="s">
        <v>6298</v>
      </c>
      <c r="B2679" s="1" t="s">
        <v>2631</v>
      </c>
      <c r="C2679" s="1" t="s">
        <v>3334</v>
      </c>
      <c r="D2679" s="1">
        <v>400457.11</v>
      </c>
      <c r="E2679" s="1">
        <v>21355.11</v>
      </c>
      <c r="F2679" s="41">
        <v>46054</v>
      </c>
      <c r="G2679" s="41">
        <v>46419</v>
      </c>
      <c r="H2679" s="1" t="s">
        <v>3367</v>
      </c>
      <c r="I2679" s="1" t="s">
        <v>3316</v>
      </c>
      <c r="J2679" t="str">
        <f>IF(ISNA(_xlfn.XLOOKUP(B2679,customer_master!$A$2:$A$1649, customer_master!$A$2:$A$1649)), "Invalid", "Ok")</f>
        <v>Ok</v>
      </c>
      <c r="K2679" t="str">
        <f>IF(ISNA(_xlfn.XLOOKUP(H2679,agent_info!$A$2:$A$301, agent_info!$A$2:$A$301)), "Invalid", "Ok")</f>
        <v>Ok</v>
      </c>
    </row>
    <row r="2680" spans="1:11" x14ac:dyDescent="0.3">
      <c r="A2680" s="1" t="s">
        <v>6299</v>
      </c>
      <c r="B2680" s="1" t="s">
        <v>2969</v>
      </c>
      <c r="C2680" s="1" t="s">
        <v>3318</v>
      </c>
      <c r="D2680" s="1">
        <v>498244.29</v>
      </c>
      <c r="E2680" s="1">
        <v>25048.38</v>
      </c>
      <c r="F2680" s="41">
        <v>45382</v>
      </c>
      <c r="G2680" s="41">
        <v>45747</v>
      </c>
      <c r="H2680" s="1" t="s">
        <v>4505</v>
      </c>
      <c r="I2680" s="1" t="s">
        <v>3316</v>
      </c>
      <c r="J2680" t="str">
        <f>IF(ISNA(_xlfn.XLOOKUP(B2680,customer_master!$A$2:$A$1649, customer_master!$A$2:$A$1649)), "Invalid", "Ok")</f>
        <v>Ok</v>
      </c>
      <c r="K2680" t="str">
        <f>IF(ISNA(_xlfn.XLOOKUP(H2680,agent_info!$A$2:$A$301, agent_info!$A$2:$A$301)), "Invalid", "Ok")</f>
        <v>Ok</v>
      </c>
    </row>
    <row r="2681" spans="1:11" x14ac:dyDescent="0.3">
      <c r="A2681" s="1" t="s">
        <v>6300</v>
      </c>
      <c r="B2681" s="1" t="s">
        <v>2943</v>
      </c>
      <c r="C2681" s="1" t="s">
        <v>3331</v>
      </c>
      <c r="D2681" s="1">
        <v>638334.34</v>
      </c>
      <c r="E2681" s="1">
        <v>30381.54</v>
      </c>
      <c r="F2681" s="41">
        <v>44324</v>
      </c>
      <c r="G2681" s="41">
        <v>44689</v>
      </c>
      <c r="H2681" s="1" t="s">
        <v>3532</v>
      </c>
      <c r="I2681" s="1" t="s">
        <v>3324</v>
      </c>
      <c r="J2681" t="str">
        <f>IF(ISNA(_xlfn.XLOOKUP(B2681,customer_master!$A$2:$A$1649, customer_master!$A$2:$A$1649)), "Invalid", "Ok")</f>
        <v>Ok</v>
      </c>
      <c r="K2681" t="str">
        <f>IF(ISNA(_xlfn.XLOOKUP(H2681,agent_info!$A$2:$A$301, agent_info!$A$2:$A$301)), "Invalid", "Ok")</f>
        <v>Ok</v>
      </c>
    </row>
    <row r="2682" spans="1:11" x14ac:dyDescent="0.3">
      <c r="A2682" s="1" t="s">
        <v>6301</v>
      </c>
      <c r="B2682" s="1" t="s">
        <v>1143</v>
      </c>
      <c r="C2682" s="1" t="s">
        <v>3314</v>
      </c>
      <c r="D2682" s="1">
        <v>473783.2</v>
      </c>
      <c r="E2682" s="1">
        <v>21339.51</v>
      </c>
      <c r="F2682" s="41">
        <v>45580</v>
      </c>
      <c r="G2682" s="41">
        <v>45945</v>
      </c>
      <c r="H2682" s="1" t="s">
        <v>3341</v>
      </c>
      <c r="I2682" s="1" t="s">
        <v>3316</v>
      </c>
      <c r="J2682" t="str">
        <f>IF(ISNA(_xlfn.XLOOKUP(B2682,customer_master!$A$2:$A$1649, customer_master!$A$2:$A$1649)), "Invalid", "Ok")</f>
        <v>Ok</v>
      </c>
      <c r="K2682" t="str">
        <f>IF(ISNA(_xlfn.XLOOKUP(H2682,agent_info!$A$2:$A$301, agent_info!$A$2:$A$301)), "Invalid", "Ok")</f>
        <v>Ok</v>
      </c>
    </row>
    <row r="2683" spans="1:11" x14ac:dyDescent="0.3">
      <c r="A2683" s="1" t="s">
        <v>6302</v>
      </c>
      <c r="B2683" s="1" t="s">
        <v>875</v>
      </c>
      <c r="C2683" s="1" t="s">
        <v>3331</v>
      </c>
      <c r="D2683" s="1">
        <v>553331.93999999994</v>
      </c>
      <c r="E2683" s="1">
        <v>26884.13</v>
      </c>
      <c r="F2683" s="41">
        <v>45673</v>
      </c>
      <c r="G2683" s="41">
        <v>46038</v>
      </c>
      <c r="H2683" s="1" t="s">
        <v>3641</v>
      </c>
      <c r="I2683" s="1" t="s">
        <v>3320</v>
      </c>
      <c r="J2683" t="str">
        <f>IF(ISNA(_xlfn.XLOOKUP(B2683,customer_master!$A$2:$A$1649, customer_master!$A$2:$A$1649)), "Invalid", "Ok")</f>
        <v>Ok</v>
      </c>
      <c r="K2683" t="str">
        <f>IF(ISNA(_xlfn.XLOOKUP(H2683,agent_info!$A$2:$A$301, agent_info!$A$2:$A$301)), "Invalid", "Ok")</f>
        <v>Ok</v>
      </c>
    </row>
    <row r="2684" spans="1:11" x14ac:dyDescent="0.3">
      <c r="A2684" s="1" t="s">
        <v>6303</v>
      </c>
      <c r="B2684" s="1" t="s">
        <v>2977</v>
      </c>
      <c r="C2684" s="1" t="s">
        <v>3314</v>
      </c>
      <c r="D2684" s="1">
        <v>743799.5</v>
      </c>
      <c r="E2684" s="1">
        <v>34085.25</v>
      </c>
      <c r="F2684" s="41">
        <v>44122</v>
      </c>
      <c r="G2684" s="41">
        <v>44487</v>
      </c>
      <c r="H2684" s="1" t="s">
        <v>4835</v>
      </c>
      <c r="I2684" s="1" t="s">
        <v>3316</v>
      </c>
      <c r="J2684" t="str">
        <f>IF(ISNA(_xlfn.XLOOKUP(B2684,customer_master!$A$2:$A$1649, customer_master!$A$2:$A$1649)), "Invalid", "Ok")</f>
        <v>Ok</v>
      </c>
      <c r="K2684" t="str">
        <f>IF(ISNA(_xlfn.XLOOKUP(H2684,agent_info!$A$2:$A$301, agent_info!$A$2:$A$301)), "Invalid", "Ok")</f>
        <v>Ok</v>
      </c>
    </row>
    <row r="2685" spans="1:11" x14ac:dyDescent="0.3">
      <c r="A2685" s="1" t="s">
        <v>6304</v>
      </c>
      <c r="B2685" s="1" t="s">
        <v>519</v>
      </c>
      <c r="C2685" s="1" t="s">
        <v>3326</v>
      </c>
      <c r="D2685" s="1">
        <v>639363.12</v>
      </c>
      <c r="E2685" s="1">
        <v>29175.91</v>
      </c>
      <c r="F2685" s="41">
        <v>46222</v>
      </c>
      <c r="G2685" s="41">
        <v>46587</v>
      </c>
      <c r="H2685" s="1" t="s">
        <v>4388</v>
      </c>
      <c r="I2685" s="1" t="s">
        <v>3324</v>
      </c>
      <c r="J2685" t="str">
        <f>IF(ISNA(_xlfn.XLOOKUP(B2685,customer_master!$A$2:$A$1649, customer_master!$A$2:$A$1649)), "Invalid", "Ok")</f>
        <v>Ok</v>
      </c>
      <c r="K2685" t="str">
        <f>IF(ISNA(_xlfn.XLOOKUP(H2685,agent_info!$A$2:$A$301, agent_info!$A$2:$A$301)), "Invalid", "Ok")</f>
        <v>Ok</v>
      </c>
    </row>
    <row r="2686" spans="1:11" x14ac:dyDescent="0.3">
      <c r="A2686" s="1" t="s">
        <v>6305</v>
      </c>
      <c r="B2686" s="1" t="s">
        <v>234</v>
      </c>
      <c r="C2686" s="1" t="s">
        <v>3331</v>
      </c>
      <c r="D2686" s="1">
        <v>594375.68000000005</v>
      </c>
      <c r="E2686" s="1">
        <v>29535.86</v>
      </c>
      <c r="F2686" s="41">
        <v>45953</v>
      </c>
      <c r="G2686" s="41">
        <v>46318</v>
      </c>
      <c r="H2686" s="1" t="s">
        <v>3809</v>
      </c>
      <c r="I2686" s="1" t="s">
        <v>3324</v>
      </c>
      <c r="J2686" t="str">
        <f>IF(ISNA(_xlfn.XLOOKUP(B2686,customer_master!$A$2:$A$1649, customer_master!$A$2:$A$1649)), "Invalid", "Ok")</f>
        <v>Ok</v>
      </c>
      <c r="K2686" t="str">
        <f>IF(ISNA(_xlfn.XLOOKUP(H2686,agent_info!$A$2:$A$301, agent_info!$A$2:$A$301)), "Invalid", "Ok")</f>
        <v>Ok</v>
      </c>
    </row>
    <row r="2687" spans="1:11" x14ac:dyDescent="0.3">
      <c r="A2687" s="1" t="s">
        <v>6306</v>
      </c>
      <c r="B2687" s="1" t="s">
        <v>1063</v>
      </c>
      <c r="C2687" s="1" t="s">
        <v>3331</v>
      </c>
      <c r="D2687" s="1">
        <v>601517.28</v>
      </c>
      <c r="E2687" s="1">
        <v>32744.639999999999</v>
      </c>
      <c r="F2687" s="41">
        <v>45522</v>
      </c>
      <c r="G2687" s="41">
        <v>45887</v>
      </c>
      <c r="H2687" s="1" t="s">
        <v>4469</v>
      </c>
      <c r="I2687" s="1" t="s">
        <v>3324</v>
      </c>
      <c r="J2687" t="str">
        <f>IF(ISNA(_xlfn.XLOOKUP(B2687,customer_master!$A$2:$A$1649, customer_master!$A$2:$A$1649)), "Invalid", "Ok")</f>
        <v>Ok</v>
      </c>
      <c r="K2687" t="str">
        <f>IF(ISNA(_xlfn.XLOOKUP(H2687,agent_info!$A$2:$A$301, agent_info!$A$2:$A$301)), "Invalid", "Ok")</f>
        <v>Ok</v>
      </c>
    </row>
    <row r="2688" spans="1:11" x14ac:dyDescent="0.3">
      <c r="A2688" s="1" t="s">
        <v>6307</v>
      </c>
      <c r="B2688" s="1" t="s">
        <v>2535</v>
      </c>
      <c r="C2688" s="1" t="s">
        <v>3334</v>
      </c>
      <c r="D2688" s="1">
        <v>726497.32</v>
      </c>
      <c r="E2688" s="1">
        <v>33458.94</v>
      </c>
      <c r="F2688" s="41">
        <v>44387</v>
      </c>
      <c r="G2688" s="41">
        <v>44752</v>
      </c>
      <c r="H2688" s="1" t="s">
        <v>4524</v>
      </c>
      <c r="I2688" s="1" t="s">
        <v>3316</v>
      </c>
      <c r="J2688" t="str">
        <f>IF(ISNA(_xlfn.XLOOKUP(B2688,customer_master!$A$2:$A$1649, customer_master!$A$2:$A$1649)), "Invalid", "Ok")</f>
        <v>Ok</v>
      </c>
      <c r="K2688" t="str">
        <f>IF(ISNA(_xlfn.XLOOKUP(H2688,agent_info!$A$2:$A$301, agent_info!$A$2:$A$301)), "Invalid", "Ok")</f>
        <v>Ok</v>
      </c>
    </row>
    <row r="2689" spans="1:11" x14ac:dyDescent="0.3">
      <c r="A2689" s="1" t="s">
        <v>6308</v>
      </c>
      <c r="B2689" s="1" t="s">
        <v>2322</v>
      </c>
      <c r="C2689" s="1" t="s">
        <v>3334</v>
      </c>
      <c r="D2689" s="1">
        <v>717277.75</v>
      </c>
      <c r="E2689" s="1">
        <v>34241.050000000003</v>
      </c>
      <c r="F2689" s="41">
        <v>45168</v>
      </c>
      <c r="G2689" s="41">
        <v>45534</v>
      </c>
      <c r="H2689" s="1" t="s">
        <v>3686</v>
      </c>
      <c r="I2689" s="1" t="s">
        <v>3316</v>
      </c>
      <c r="J2689" t="str">
        <f>IF(ISNA(_xlfn.XLOOKUP(B2689,customer_master!$A$2:$A$1649, customer_master!$A$2:$A$1649)), "Invalid", "Ok")</f>
        <v>Ok</v>
      </c>
      <c r="K2689" t="str">
        <f>IF(ISNA(_xlfn.XLOOKUP(H2689,agent_info!$A$2:$A$301, agent_info!$A$2:$A$301)), "Invalid", "Ok")</f>
        <v>Ok</v>
      </c>
    </row>
    <row r="2690" spans="1:11" x14ac:dyDescent="0.3">
      <c r="A2690" s="1" t="s">
        <v>6309</v>
      </c>
      <c r="B2690" s="1" t="s">
        <v>3273</v>
      </c>
      <c r="C2690" s="1" t="s">
        <v>3326</v>
      </c>
      <c r="D2690" s="1">
        <v>380903.86</v>
      </c>
      <c r="E2690" s="1">
        <v>20302.47</v>
      </c>
      <c r="F2690" s="41">
        <v>44612</v>
      </c>
      <c r="G2690" s="41">
        <v>44977</v>
      </c>
      <c r="H2690" s="1" t="s">
        <v>3483</v>
      </c>
      <c r="I2690" s="1" t="s">
        <v>3324</v>
      </c>
      <c r="J2690" t="str">
        <f>IF(ISNA(_xlfn.XLOOKUP(B2690,customer_master!$A$2:$A$1649, customer_master!$A$2:$A$1649)), "Invalid", "Ok")</f>
        <v>Ok</v>
      </c>
      <c r="K2690" t="str">
        <f>IF(ISNA(_xlfn.XLOOKUP(H2690,agent_info!$A$2:$A$301, agent_info!$A$2:$A$301)), "Invalid", "Ok")</f>
        <v>Ok</v>
      </c>
    </row>
    <row r="2691" spans="1:11" x14ac:dyDescent="0.3">
      <c r="A2691" s="1" t="s">
        <v>6310</v>
      </c>
      <c r="B2691" s="1" t="s">
        <v>1217</v>
      </c>
      <c r="C2691" s="1" t="s">
        <v>3314</v>
      </c>
      <c r="D2691" s="1">
        <v>564247.29</v>
      </c>
      <c r="E2691" s="1">
        <v>27658.44</v>
      </c>
      <c r="F2691" s="41">
        <v>45701</v>
      </c>
      <c r="G2691" s="41">
        <v>46066</v>
      </c>
      <c r="H2691" s="1" t="s">
        <v>3710</v>
      </c>
      <c r="I2691" s="1" t="s">
        <v>3316</v>
      </c>
      <c r="J2691" t="str">
        <f>IF(ISNA(_xlfn.XLOOKUP(B2691,customer_master!$A$2:$A$1649, customer_master!$A$2:$A$1649)), "Invalid", "Ok")</f>
        <v>Ok</v>
      </c>
      <c r="K2691" t="str">
        <f>IF(ISNA(_xlfn.XLOOKUP(H2691,agent_info!$A$2:$A$301, agent_info!$A$2:$A$301)), "Invalid", "Ok")</f>
        <v>Ok</v>
      </c>
    </row>
    <row r="2692" spans="1:11" x14ac:dyDescent="0.3">
      <c r="A2692" s="1" t="s">
        <v>6311</v>
      </c>
      <c r="B2692" s="1" t="s">
        <v>933</v>
      </c>
      <c r="C2692" s="1" t="s">
        <v>3314</v>
      </c>
      <c r="D2692" s="1">
        <v>458478.66</v>
      </c>
      <c r="E2692" s="1">
        <v>24110.49</v>
      </c>
      <c r="F2692" s="41">
        <v>46210</v>
      </c>
      <c r="G2692" s="41">
        <v>46575</v>
      </c>
      <c r="H2692" s="1" t="s">
        <v>3620</v>
      </c>
      <c r="I2692" s="1" t="s">
        <v>3324</v>
      </c>
      <c r="J2692" t="str">
        <f>IF(ISNA(_xlfn.XLOOKUP(B2692,customer_master!$A$2:$A$1649, customer_master!$A$2:$A$1649)), "Invalid", "Ok")</f>
        <v>Ok</v>
      </c>
      <c r="K2692" t="str">
        <f>IF(ISNA(_xlfn.XLOOKUP(H2692,agent_info!$A$2:$A$301, agent_info!$A$2:$A$301)), "Invalid", "Ok")</f>
        <v>Ok</v>
      </c>
    </row>
    <row r="2693" spans="1:11" x14ac:dyDescent="0.3">
      <c r="A2693" s="1" t="s">
        <v>6312</v>
      </c>
      <c r="B2693" s="1" t="s">
        <v>1287</v>
      </c>
      <c r="C2693" s="1" t="s">
        <v>3326</v>
      </c>
      <c r="D2693" s="1">
        <v>379126.91</v>
      </c>
      <c r="E2693" s="1">
        <v>19116.849999999999</v>
      </c>
      <c r="F2693" s="41">
        <v>44864</v>
      </c>
      <c r="G2693" s="41">
        <v>45229</v>
      </c>
      <c r="H2693" s="1" t="s">
        <v>3843</v>
      </c>
      <c r="I2693" s="1" t="s">
        <v>3316</v>
      </c>
      <c r="J2693" t="str">
        <f>IF(ISNA(_xlfn.XLOOKUP(B2693,customer_master!$A$2:$A$1649, customer_master!$A$2:$A$1649)), "Invalid", "Ok")</f>
        <v>Ok</v>
      </c>
      <c r="K2693" t="str">
        <f>IF(ISNA(_xlfn.XLOOKUP(H2693,agent_info!$A$2:$A$301, agent_info!$A$2:$A$301)), "Invalid", "Ok")</f>
        <v>Ok</v>
      </c>
    </row>
    <row r="2694" spans="1:11" x14ac:dyDescent="0.3">
      <c r="A2694" s="1" t="s">
        <v>6313</v>
      </c>
      <c r="B2694" s="1" t="s">
        <v>2599</v>
      </c>
      <c r="C2694" s="1" t="s">
        <v>3334</v>
      </c>
      <c r="D2694" s="1">
        <v>497572.27</v>
      </c>
      <c r="E2694" s="1">
        <v>25395.75</v>
      </c>
      <c r="F2694" s="41">
        <v>45708</v>
      </c>
      <c r="G2694" s="41">
        <v>46073</v>
      </c>
      <c r="H2694" s="1" t="s">
        <v>3502</v>
      </c>
      <c r="I2694" s="1" t="s">
        <v>3324</v>
      </c>
      <c r="J2694" t="str">
        <f>IF(ISNA(_xlfn.XLOOKUP(B2694,customer_master!$A$2:$A$1649, customer_master!$A$2:$A$1649)), "Invalid", "Ok")</f>
        <v>Ok</v>
      </c>
      <c r="K2694" t="str">
        <f>IF(ISNA(_xlfn.XLOOKUP(H2694,agent_info!$A$2:$A$301, agent_info!$A$2:$A$301)), "Invalid", "Ok")</f>
        <v>Ok</v>
      </c>
    </row>
    <row r="2695" spans="1:11" x14ac:dyDescent="0.3">
      <c r="A2695" s="1" t="s">
        <v>6314</v>
      </c>
      <c r="B2695" s="1" t="s">
        <v>757</v>
      </c>
      <c r="C2695" s="1" t="s">
        <v>3318</v>
      </c>
      <c r="D2695" s="1">
        <v>608823.36</v>
      </c>
      <c r="E2695" s="1">
        <v>28378.13</v>
      </c>
      <c r="F2695" s="41">
        <v>44501</v>
      </c>
      <c r="G2695" s="41">
        <v>44866</v>
      </c>
      <c r="H2695" s="1" t="s">
        <v>3457</v>
      </c>
      <c r="I2695" s="1" t="s">
        <v>3316</v>
      </c>
      <c r="J2695" t="str">
        <f>IF(ISNA(_xlfn.XLOOKUP(B2695,customer_master!$A$2:$A$1649, customer_master!$A$2:$A$1649)), "Invalid", "Ok")</f>
        <v>Ok</v>
      </c>
      <c r="K2695" t="str">
        <f>IF(ISNA(_xlfn.XLOOKUP(H2695,agent_info!$A$2:$A$301, agent_info!$A$2:$A$301)), "Invalid", "Ok")</f>
        <v>Ok</v>
      </c>
    </row>
    <row r="2696" spans="1:11" x14ac:dyDescent="0.3">
      <c r="A2696" s="1" t="s">
        <v>6315</v>
      </c>
      <c r="B2696" s="1" t="s">
        <v>3152</v>
      </c>
      <c r="C2696" s="1" t="s">
        <v>3314</v>
      </c>
      <c r="D2696" s="1">
        <v>690832.57</v>
      </c>
      <c r="E2696" s="1">
        <v>33521.15</v>
      </c>
      <c r="F2696" s="41">
        <v>46169</v>
      </c>
      <c r="G2696" s="41">
        <v>46534</v>
      </c>
      <c r="H2696" s="1" t="s">
        <v>3518</v>
      </c>
      <c r="I2696" s="1" t="s">
        <v>3324</v>
      </c>
      <c r="J2696" t="str">
        <f>IF(ISNA(_xlfn.XLOOKUP(B2696,customer_master!$A$2:$A$1649, customer_master!$A$2:$A$1649)), "Invalid", "Ok")</f>
        <v>Ok</v>
      </c>
      <c r="K2696" t="str">
        <f>IF(ISNA(_xlfn.XLOOKUP(H2696,agent_info!$A$2:$A$301, agent_info!$A$2:$A$301)), "Invalid", "Ok")</f>
        <v>Ok</v>
      </c>
    </row>
    <row r="2697" spans="1:11" x14ac:dyDescent="0.3">
      <c r="A2697" s="1" t="s">
        <v>6316</v>
      </c>
      <c r="B2697" s="1" t="s">
        <v>1723</v>
      </c>
      <c r="C2697" s="1" t="s">
        <v>3314</v>
      </c>
      <c r="D2697" s="1">
        <v>736303.4</v>
      </c>
      <c r="E2697" s="1">
        <v>37711.660000000003</v>
      </c>
      <c r="F2697" s="41">
        <v>45477</v>
      </c>
      <c r="G2697" s="41">
        <v>45842</v>
      </c>
      <c r="H2697" s="1" t="s">
        <v>4052</v>
      </c>
      <c r="I2697" s="1" t="s">
        <v>3324</v>
      </c>
      <c r="J2697" t="str">
        <f>IF(ISNA(_xlfn.XLOOKUP(B2697,customer_master!$A$2:$A$1649, customer_master!$A$2:$A$1649)), "Invalid", "Ok")</f>
        <v>Ok</v>
      </c>
      <c r="K2697" t="str">
        <f>IF(ISNA(_xlfn.XLOOKUP(H2697,agent_info!$A$2:$A$301, agent_info!$A$2:$A$301)), "Invalid", "Ok")</f>
        <v>Ok</v>
      </c>
    </row>
    <row r="2698" spans="1:11" x14ac:dyDescent="0.3">
      <c r="A2698" s="1" t="s">
        <v>6317</v>
      </c>
      <c r="B2698" s="1" t="s">
        <v>2599</v>
      </c>
      <c r="C2698" s="1" t="s">
        <v>3314</v>
      </c>
      <c r="D2698" s="1">
        <v>547838.11</v>
      </c>
      <c r="E2698" s="1">
        <v>24799.360000000001</v>
      </c>
      <c r="F2698" s="41">
        <v>46193</v>
      </c>
      <c r="G2698" s="41">
        <v>46558</v>
      </c>
      <c r="H2698" s="1" t="s">
        <v>3843</v>
      </c>
      <c r="I2698" s="1" t="s">
        <v>3320</v>
      </c>
      <c r="J2698" t="str">
        <f>IF(ISNA(_xlfn.XLOOKUP(B2698,customer_master!$A$2:$A$1649, customer_master!$A$2:$A$1649)), "Invalid", "Ok")</f>
        <v>Ok</v>
      </c>
      <c r="K2698" t="str">
        <f>IF(ISNA(_xlfn.XLOOKUP(H2698,agent_info!$A$2:$A$301, agent_info!$A$2:$A$301)), "Invalid", "Ok")</f>
        <v>Ok</v>
      </c>
    </row>
    <row r="2699" spans="1:11" x14ac:dyDescent="0.3">
      <c r="A2699" s="1" t="s">
        <v>6318</v>
      </c>
      <c r="B2699" s="1" t="s">
        <v>2744</v>
      </c>
      <c r="C2699" s="1" t="s">
        <v>3314</v>
      </c>
      <c r="D2699" s="1">
        <v>547594.38</v>
      </c>
      <c r="E2699" s="1">
        <v>25673.01</v>
      </c>
      <c r="F2699" s="41">
        <v>45999</v>
      </c>
      <c r="G2699" s="41">
        <v>46364</v>
      </c>
      <c r="H2699" s="1" t="s">
        <v>4586</v>
      </c>
      <c r="I2699" s="1" t="s">
        <v>3324</v>
      </c>
      <c r="J2699" t="str">
        <f>IF(ISNA(_xlfn.XLOOKUP(B2699,customer_master!$A$2:$A$1649, customer_master!$A$2:$A$1649)), "Invalid", "Ok")</f>
        <v>Ok</v>
      </c>
      <c r="K2699" t="str">
        <f>IF(ISNA(_xlfn.XLOOKUP(H2699,agent_info!$A$2:$A$301, agent_info!$A$2:$A$301)), "Invalid", "Ok")</f>
        <v>Ok</v>
      </c>
    </row>
    <row r="2700" spans="1:11" x14ac:dyDescent="0.3">
      <c r="A2700" s="1" t="s">
        <v>6319</v>
      </c>
      <c r="B2700" s="1" t="s">
        <v>1604</v>
      </c>
      <c r="C2700" s="1" t="s">
        <v>3331</v>
      </c>
      <c r="D2700" s="1">
        <v>439965.85</v>
      </c>
      <c r="E2700" s="1">
        <v>21498.91</v>
      </c>
      <c r="F2700" s="41">
        <v>45564</v>
      </c>
      <c r="G2700" s="41">
        <v>45929</v>
      </c>
      <c r="H2700" s="1" t="s">
        <v>4074</v>
      </c>
      <c r="I2700" s="1" t="s">
        <v>3324</v>
      </c>
      <c r="J2700" t="str">
        <f>IF(ISNA(_xlfn.XLOOKUP(B2700,customer_master!$A$2:$A$1649, customer_master!$A$2:$A$1649)), "Invalid", "Ok")</f>
        <v>Ok</v>
      </c>
      <c r="K2700" t="str">
        <f>IF(ISNA(_xlfn.XLOOKUP(H2700,agent_info!$A$2:$A$301, agent_info!$A$2:$A$301)), "Invalid", "Ok")</f>
        <v>Ok</v>
      </c>
    </row>
    <row r="2701" spans="1:11" x14ac:dyDescent="0.3">
      <c r="A2701" s="1" t="s">
        <v>6320</v>
      </c>
      <c r="B2701" s="1" t="s">
        <v>2468</v>
      </c>
      <c r="C2701" s="1" t="s">
        <v>3334</v>
      </c>
      <c r="D2701" s="1">
        <v>460013.89</v>
      </c>
      <c r="E2701" s="1">
        <v>23803.85</v>
      </c>
      <c r="F2701" s="41">
        <v>46048</v>
      </c>
      <c r="G2701" s="41">
        <v>46413</v>
      </c>
      <c r="H2701" s="1" t="s">
        <v>4031</v>
      </c>
      <c r="I2701" s="1" t="s">
        <v>3324</v>
      </c>
      <c r="J2701" t="str">
        <f>IF(ISNA(_xlfn.XLOOKUP(B2701,customer_master!$A$2:$A$1649, customer_master!$A$2:$A$1649)), "Invalid", "Ok")</f>
        <v>Ok</v>
      </c>
      <c r="K2701" t="str">
        <f>IF(ISNA(_xlfn.XLOOKUP(H2701,agent_info!$A$2:$A$301, agent_info!$A$2:$A$301)), "Invalid", "Ok")</f>
        <v>Ok</v>
      </c>
    </row>
    <row r="2702" spans="1:11" x14ac:dyDescent="0.3">
      <c r="A2702" s="1" t="s">
        <v>6321</v>
      </c>
      <c r="B2702" s="1" t="s">
        <v>1235</v>
      </c>
      <c r="C2702" s="1" t="s">
        <v>3331</v>
      </c>
      <c r="D2702" s="1">
        <v>420601.8</v>
      </c>
      <c r="E2702" s="1">
        <v>21070.42</v>
      </c>
      <c r="F2702" s="41">
        <v>45061</v>
      </c>
      <c r="G2702" s="41">
        <v>45427</v>
      </c>
      <c r="H2702" s="1" t="s">
        <v>4040</v>
      </c>
      <c r="I2702" s="1" t="s">
        <v>3324</v>
      </c>
      <c r="J2702" t="str">
        <f>IF(ISNA(_xlfn.XLOOKUP(B2702,customer_master!$A$2:$A$1649, customer_master!$A$2:$A$1649)), "Invalid", "Ok")</f>
        <v>Ok</v>
      </c>
      <c r="K2702" t="str">
        <f>IF(ISNA(_xlfn.XLOOKUP(H2702,agent_info!$A$2:$A$301, agent_info!$A$2:$A$301)), "Invalid", "Ok")</f>
        <v>Ok</v>
      </c>
    </row>
    <row r="2703" spans="1:11" x14ac:dyDescent="0.3">
      <c r="A2703" s="1" t="s">
        <v>6322</v>
      </c>
      <c r="B2703" s="1" t="s">
        <v>2688</v>
      </c>
      <c r="C2703" s="1" t="s">
        <v>3318</v>
      </c>
      <c r="D2703" s="1">
        <v>746890.41</v>
      </c>
      <c r="E2703" s="1">
        <v>38978.21</v>
      </c>
      <c r="F2703" s="41">
        <v>46177</v>
      </c>
      <c r="G2703" s="41">
        <v>46542</v>
      </c>
      <c r="H2703" s="1" t="s">
        <v>3667</v>
      </c>
      <c r="I2703" s="1" t="s">
        <v>3316</v>
      </c>
      <c r="J2703" t="str">
        <f>IF(ISNA(_xlfn.XLOOKUP(B2703,customer_master!$A$2:$A$1649, customer_master!$A$2:$A$1649)), "Invalid", "Ok")</f>
        <v>Ok</v>
      </c>
      <c r="K2703" t="str">
        <f>IF(ISNA(_xlfn.XLOOKUP(H2703,agent_info!$A$2:$A$301, agent_info!$A$2:$A$301)), "Invalid", "Ok")</f>
        <v>Ok</v>
      </c>
    </row>
    <row r="2704" spans="1:11" x14ac:dyDescent="0.3">
      <c r="A2704" s="1" t="s">
        <v>6323</v>
      </c>
      <c r="B2704" s="1" t="s">
        <v>2732</v>
      </c>
      <c r="C2704" s="1" t="s">
        <v>3314</v>
      </c>
      <c r="D2704" s="1">
        <v>434125.01</v>
      </c>
      <c r="E2704" s="1">
        <v>22691.119999999999</v>
      </c>
      <c r="F2704" s="41">
        <v>45231</v>
      </c>
      <c r="G2704" s="41">
        <v>45597</v>
      </c>
      <c r="H2704" s="1" t="s">
        <v>4116</v>
      </c>
      <c r="I2704" s="1" t="s">
        <v>3324</v>
      </c>
      <c r="J2704" t="str">
        <f>IF(ISNA(_xlfn.XLOOKUP(B2704,customer_master!$A$2:$A$1649, customer_master!$A$2:$A$1649)), "Invalid", "Ok")</f>
        <v>Ok</v>
      </c>
      <c r="K2704" t="str">
        <f>IF(ISNA(_xlfn.XLOOKUP(H2704,agent_info!$A$2:$A$301, agent_info!$A$2:$A$301)), "Invalid", "Ok")</f>
        <v>Ok</v>
      </c>
    </row>
    <row r="2705" spans="1:11" x14ac:dyDescent="0.3">
      <c r="A2705" s="1" t="s">
        <v>6324</v>
      </c>
      <c r="B2705" s="1" t="s">
        <v>1897</v>
      </c>
      <c r="C2705" s="1" t="s">
        <v>3318</v>
      </c>
      <c r="D2705" s="1">
        <v>664010.85</v>
      </c>
      <c r="E2705" s="1">
        <v>30086.7</v>
      </c>
      <c r="F2705" s="41">
        <v>44658</v>
      </c>
      <c r="G2705" s="41">
        <v>45023</v>
      </c>
      <c r="H2705" s="1" t="s">
        <v>3976</v>
      </c>
      <c r="I2705" s="1" t="s">
        <v>3316</v>
      </c>
      <c r="J2705" t="str">
        <f>IF(ISNA(_xlfn.XLOOKUP(B2705,customer_master!$A$2:$A$1649, customer_master!$A$2:$A$1649)), "Invalid", "Ok")</f>
        <v>Ok</v>
      </c>
      <c r="K2705" t="str">
        <f>IF(ISNA(_xlfn.XLOOKUP(H2705,agent_info!$A$2:$A$301, agent_info!$A$2:$A$301)), "Invalid", "Ok")</f>
        <v>Ok</v>
      </c>
    </row>
    <row r="2706" spans="1:11" x14ac:dyDescent="0.3">
      <c r="A2706" s="1" t="s">
        <v>6325</v>
      </c>
      <c r="B2706" s="1" t="s">
        <v>773</v>
      </c>
      <c r="C2706" s="1" t="s">
        <v>3331</v>
      </c>
      <c r="D2706" s="1">
        <v>502727.08</v>
      </c>
      <c r="E2706" s="1">
        <v>27155.87</v>
      </c>
      <c r="F2706" s="41">
        <v>45565</v>
      </c>
      <c r="G2706" s="41">
        <v>45930</v>
      </c>
      <c r="H2706" s="1" t="s">
        <v>3449</v>
      </c>
      <c r="I2706" s="1" t="s">
        <v>3324</v>
      </c>
      <c r="J2706" t="str">
        <f>IF(ISNA(_xlfn.XLOOKUP(B2706,customer_master!$A$2:$A$1649, customer_master!$A$2:$A$1649)), "Invalid", "Ok")</f>
        <v>Ok</v>
      </c>
      <c r="K2706" t="str">
        <f>IF(ISNA(_xlfn.XLOOKUP(H2706,agent_info!$A$2:$A$301, agent_info!$A$2:$A$301)), "Invalid", "Ok")</f>
        <v>Ok</v>
      </c>
    </row>
    <row r="2707" spans="1:11" x14ac:dyDescent="0.3">
      <c r="A2707" s="1" t="s">
        <v>6326</v>
      </c>
      <c r="B2707" s="1" t="s">
        <v>3218</v>
      </c>
      <c r="C2707" s="1" t="s">
        <v>3326</v>
      </c>
      <c r="D2707" s="1">
        <v>538001.73</v>
      </c>
      <c r="E2707" s="1">
        <v>28644.37</v>
      </c>
      <c r="F2707" s="41">
        <v>46023</v>
      </c>
      <c r="G2707" s="41">
        <v>46388</v>
      </c>
      <c r="H2707" s="1" t="s">
        <v>3743</v>
      </c>
      <c r="I2707" s="1" t="s">
        <v>3324</v>
      </c>
      <c r="J2707" t="str">
        <f>IF(ISNA(_xlfn.XLOOKUP(B2707,customer_master!$A$2:$A$1649, customer_master!$A$2:$A$1649)), "Invalid", "Ok")</f>
        <v>Ok</v>
      </c>
      <c r="K2707" t="str">
        <f>IF(ISNA(_xlfn.XLOOKUP(H2707,agent_info!$A$2:$A$301, agent_info!$A$2:$A$301)), "Invalid", "Ok")</f>
        <v>Ok</v>
      </c>
    </row>
    <row r="2708" spans="1:11" x14ac:dyDescent="0.3">
      <c r="A2708" s="1" t="s">
        <v>6327</v>
      </c>
      <c r="B2708" s="1" t="s">
        <v>3152</v>
      </c>
      <c r="C2708" s="1" t="s">
        <v>3331</v>
      </c>
      <c r="D2708" s="1">
        <v>714438.95</v>
      </c>
      <c r="E2708" s="1">
        <v>34086.370000000003</v>
      </c>
      <c r="F2708" s="41">
        <v>44934</v>
      </c>
      <c r="G2708" s="41">
        <v>45299</v>
      </c>
      <c r="H2708" s="1" t="s">
        <v>3347</v>
      </c>
      <c r="I2708" s="1" t="s">
        <v>3316</v>
      </c>
      <c r="J2708" t="str">
        <f>IF(ISNA(_xlfn.XLOOKUP(B2708,customer_master!$A$2:$A$1649, customer_master!$A$2:$A$1649)), "Invalid", "Ok")</f>
        <v>Ok</v>
      </c>
      <c r="K2708" t="str">
        <f>IF(ISNA(_xlfn.XLOOKUP(H2708,agent_info!$A$2:$A$301, agent_info!$A$2:$A$301)), "Invalid", "Ok")</f>
        <v>Ok</v>
      </c>
    </row>
    <row r="2709" spans="1:11" x14ac:dyDescent="0.3">
      <c r="A2709" s="1" t="s">
        <v>6328</v>
      </c>
      <c r="B2709" s="1" t="s">
        <v>2089</v>
      </c>
      <c r="C2709" s="1" t="s">
        <v>3318</v>
      </c>
      <c r="D2709" s="1">
        <v>731871.3</v>
      </c>
      <c r="E2709" s="1">
        <v>36480.31</v>
      </c>
      <c r="F2709" s="41">
        <v>44991</v>
      </c>
      <c r="G2709" s="41">
        <v>45357</v>
      </c>
      <c r="H2709" s="1" t="s">
        <v>4295</v>
      </c>
      <c r="I2709" s="1" t="s">
        <v>3324</v>
      </c>
      <c r="J2709" t="str">
        <f>IF(ISNA(_xlfn.XLOOKUP(B2709,customer_master!$A$2:$A$1649, customer_master!$A$2:$A$1649)), "Invalid", "Ok")</f>
        <v>Ok</v>
      </c>
      <c r="K2709" t="str">
        <f>IF(ISNA(_xlfn.XLOOKUP(H2709,agent_info!$A$2:$A$301, agent_info!$A$2:$A$301)), "Invalid", "Ok")</f>
        <v>Ok</v>
      </c>
    </row>
    <row r="2710" spans="1:11" x14ac:dyDescent="0.3">
      <c r="A2710" s="1" t="s">
        <v>6329</v>
      </c>
      <c r="B2710" s="1" t="s">
        <v>3263</v>
      </c>
      <c r="C2710" s="1" t="s">
        <v>3318</v>
      </c>
      <c r="D2710" s="1">
        <v>468807.06</v>
      </c>
      <c r="E2710" s="1">
        <v>22540.95</v>
      </c>
      <c r="F2710" s="41">
        <v>46255</v>
      </c>
      <c r="G2710" s="41">
        <v>46620</v>
      </c>
      <c r="H2710" s="1" t="s">
        <v>4012</v>
      </c>
      <c r="I2710" s="1" t="s">
        <v>3324</v>
      </c>
      <c r="J2710" t="str">
        <f>IF(ISNA(_xlfn.XLOOKUP(B2710,customer_master!$A$2:$A$1649, customer_master!$A$2:$A$1649)), "Invalid", "Ok")</f>
        <v>Ok</v>
      </c>
      <c r="K2710" t="str">
        <f>IF(ISNA(_xlfn.XLOOKUP(H2710,agent_info!$A$2:$A$301, agent_info!$A$2:$A$301)), "Invalid", "Ok")</f>
        <v>Ok</v>
      </c>
    </row>
    <row r="2711" spans="1:11" x14ac:dyDescent="0.3">
      <c r="A2711" s="1" t="s">
        <v>6330</v>
      </c>
      <c r="B2711" s="1" t="s">
        <v>1688</v>
      </c>
      <c r="C2711" s="1" t="s">
        <v>3331</v>
      </c>
      <c r="D2711" s="1">
        <v>729149.28</v>
      </c>
      <c r="E2711" s="1">
        <v>39422.49</v>
      </c>
      <c r="F2711" s="41">
        <v>44755</v>
      </c>
      <c r="G2711" s="41">
        <v>45120</v>
      </c>
      <c r="H2711" s="1" t="s">
        <v>3492</v>
      </c>
      <c r="I2711" s="1" t="s">
        <v>3316</v>
      </c>
      <c r="J2711" t="str">
        <f>IF(ISNA(_xlfn.XLOOKUP(B2711,customer_master!$A$2:$A$1649, customer_master!$A$2:$A$1649)), "Invalid", "Ok")</f>
        <v>Ok</v>
      </c>
      <c r="K2711" t="str">
        <f>IF(ISNA(_xlfn.XLOOKUP(H2711,agent_info!$A$2:$A$301, agent_info!$A$2:$A$301)), "Invalid", "Ok")</f>
        <v>Ok</v>
      </c>
    </row>
    <row r="2712" spans="1:11" x14ac:dyDescent="0.3">
      <c r="A2712" s="1" t="s">
        <v>6331</v>
      </c>
      <c r="B2712" s="1" t="s">
        <v>1275</v>
      </c>
      <c r="C2712" s="1" t="s">
        <v>3318</v>
      </c>
      <c r="D2712" s="1">
        <v>473275.82</v>
      </c>
      <c r="E2712" s="1">
        <v>23109.200000000001</v>
      </c>
      <c r="F2712" s="41">
        <v>44167</v>
      </c>
      <c r="G2712" s="41">
        <v>44532</v>
      </c>
      <c r="H2712" s="1" t="s">
        <v>3453</v>
      </c>
      <c r="I2712" s="1" t="s">
        <v>3324</v>
      </c>
      <c r="J2712" t="str">
        <f>IF(ISNA(_xlfn.XLOOKUP(B2712,customer_master!$A$2:$A$1649, customer_master!$A$2:$A$1649)), "Invalid", "Ok")</f>
        <v>Ok</v>
      </c>
      <c r="K2712" t="str">
        <f>IF(ISNA(_xlfn.XLOOKUP(H2712,agent_info!$A$2:$A$301, agent_info!$A$2:$A$301)), "Invalid", "Ok")</f>
        <v>Ok</v>
      </c>
    </row>
    <row r="2713" spans="1:11" x14ac:dyDescent="0.3">
      <c r="A2713" s="1" t="s">
        <v>6332</v>
      </c>
      <c r="B2713" s="1" t="s">
        <v>1547</v>
      </c>
      <c r="C2713" s="1" t="s">
        <v>3326</v>
      </c>
      <c r="D2713" s="1">
        <v>631679.02</v>
      </c>
      <c r="E2713" s="1">
        <v>30927.34</v>
      </c>
      <c r="F2713" s="41">
        <v>45217</v>
      </c>
      <c r="G2713" s="41">
        <v>45583</v>
      </c>
      <c r="H2713" s="1" t="s">
        <v>3337</v>
      </c>
      <c r="I2713" s="1" t="s">
        <v>3324</v>
      </c>
      <c r="J2713" t="str">
        <f>IF(ISNA(_xlfn.XLOOKUP(B2713,customer_master!$A$2:$A$1649, customer_master!$A$2:$A$1649)), "Invalid", "Ok")</f>
        <v>Ok</v>
      </c>
      <c r="K2713" t="str">
        <f>IF(ISNA(_xlfn.XLOOKUP(H2713,agent_info!$A$2:$A$301, agent_info!$A$2:$A$301)), "Invalid", "Ok")</f>
        <v>Ok</v>
      </c>
    </row>
    <row r="2714" spans="1:11" x14ac:dyDescent="0.3">
      <c r="A2714" s="1" t="s">
        <v>6333</v>
      </c>
      <c r="B2714" s="1" t="s">
        <v>186</v>
      </c>
      <c r="C2714" s="1" t="s">
        <v>3334</v>
      </c>
      <c r="D2714" s="1">
        <v>390871.4</v>
      </c>
      <c r="E2714" s="1">
        <v>21153.62</v>
      </c>
      <c r="F2714" s="41">
        <v>44829</v>
      </c>
      <c r="G2714" s="41">
        <v>45194</v>
      </c>
      <c r="H2714" s="1" t="s">
        <v>3712</v>
      </c>
      <c r="I2714" s="1" t="s">
        <v>3324</v>
      </c>
      <c r="J2714" t="str">
        <f>IF(ISNA(_xlfn.XLOOKUP(B2714,customer_master!$A$2:$A$1649, customer_master!$A$2:$A$1649)), "Invalid", "Ok")</f>
        <v>Ok</v>
      </c>
      <c r="K2714" t="str">
        <f>IF(ISNA(_xlfn.XLOOKUP(H2714,agent_info!$A$2:$A$301, agent_info!$A$2:$A$301)), "Invalid", "Ok")</f>
        <v>Ok</v>
      </c>
    </row>
    <row r="2715" spans="1:11" x14ac:dyDescent="0.3">
      <c r="A2715" s="1" t="s">
        <v>6334</v>
      </c>
      <c r="B2715" s="1" t="s">
        <v>1833</v>
      </c>
      <c r="C2715" s="1" t="s">
        <v>3314</v>
      </c>
      <c r="D2715" s="1">
        <v>591064.12</v>
      </c>
      <c r="E2715" s="1">
        <v>30148.37</v>
      </c>
      <c r="F2715" s="41">
        <v>45419</v>
      </c>
      <c r="G2715" s="41">
        <v>45784</v>
      </c>
      <c r="H2715" s="1" t="s">
        <v>3431</v>
      </c>
      <c r="I2715" s="1" t="s">
        <v>3324</v>
      </c>
      <c r="J2715" t="str">
        <f>IF(ISNA(_xlfn.XLOOKUP(B2715,customer_master!$A$2:$A$1649, customer_master!$A$2:$A$1649)), "Invalid", "Ok")</f>
        <v>Ok</v>
      </c>
      <c r="K2715" t="str">
        <f>IF(ISNA(_xlfn.XLOOKUP(H2715,agent_info!$A$2:$A$301, agent_info!$A$2:$A$301)), "Invalid", "Ok")</f>
        <v>Ok</v>
      </c>
    </row>
    <row r="2716" spans="1:11" x14ac:dyDescent="0.3">
      <c r="A2716" s="1" t="s">
        <v>6335</v>
      </c>
      <c r="B2716" s="1" t="s">
        <v>2224</v>
      </c>
      <c r="C2716" s="1" t="s">
        <v>3314</v>
      </c>
      <c r="D2716" s="1">
        <v>664437.88</v>
      </c>
      <c r="E2716" s="1">
        <v>30815.759999999998</v>
      </c>
      <c r="F2716" s="41">
        <v>45027</v>
      </c>
      <c r="G2716" s="41">
        <v>45393</v>
      </c>
      <c r="H2716" s="1" t="s">
        <v>3824</v>
      </c>
      <c r="I2716" s="1" t="s">
        <v>3324</v>
      </c>
      <c r="J2716" t="str">
        <f>IF(ISNA(_xlfn.XLOOKUP(B2716,customer_master!$A$2:$A$1649, customer_master!$A$2:$A$1649)), "Invalid", "Ok")</f>
        <v>Ok</v>
      </c>
      <c r="K2716" t="str">
        <f>IF(ISNA(_xlfn.XLOOKUP(H2716,agent_info!$A$2:$A$301, agent_info!$A$2:$A$301)), "Invalid", "Ok")</f>
        <v>Ok</v>
      </c>
    </row>
    <row r="2717" spans="1:11" x14ac:dyDescent="0.3">
      <c r="A2717" s="1" t="s">
        <v>6336</v>
      </c>
      <c r="B2717" s="1" t="s">
        <v>391</v>
      </c>
      <c r="C2717" s="1" t="s">
        <v>3331</v>
      </c>
      <c r="D2717" s="1">
        <v>701555.22</v>
      </c>
      <c r="E2717" s="1">
        <v>35961.839999999997</v>
      </c>
      <c r="F2717" s="41">
        <v>45074</v>
      </c>
      <c r="G2717" s="41">
        <v>45440</v>
      </c>
      <c r="H2717" s="1" t="s">
        <v>3858</v>
      </c>
      <c r="I2717" s="1" t="s">
        <v>3324</v>
      </c>
      <c r="J2717" t="str">
        <f>IF(ISNA(_xlfn.XLOOKUP(B2717,customer_master!$A$2:$A$1649, customer_master!$A$2:$A$1649)), "Invalid", "Ok")</f>
        <v>Ok</v>
      </c>
      <c r="K2717" t="str">
        <f>IF(ISNA(_xlfn.XLOOKUP(H2717,agent_info!$A$2:$A$301, agent_info!$A$2:$A$301)), "Invalid", "Ok")</f>
        <v>Ok</v>
      </c>
    </row>
    <row r="2718" spans="1:11" x14ac:dyDescent="0.3">
      <c r="A2718" s="1" t="s">
        <v>6337</v>
      </c>
      <c r="B2718" s="1" t="s">
        <v>879</v>
      </c>
      <c r="C2718" s="1" t="s">
        <v>3331</v>
      </c>
      <c r="D2718" s="1">
        <v>702390.67</v>
      </c>
      <c r="E2718" s="1">
        <v>37187.71</v>
      </c>
      <c r="F2718" s="41">
        <v>46199</v>
      </c>
      <c r="G2718" s="41">
        <v>46564</v>
      </c>
      <c r="H2718" s="1" t="s">
        <v>3451</v>
      </c>
      <c r="I2718" s="1" t="s">
        <v>3324</v>
      </c>
      <c r="J2718" t="str">
        <f>IF(ISNA(_xlfn.XLOOKUP(B2718,customer_master!$A$2:$A$1649, customer_master!$A$2:$A$1649)), "Invalid", "Ok")</f>
        <v>Ok</v>
      </c>
      <c r="K2718" t="str">
        <f>IF(ISNA(_xlfn.XLOOKUP(H2718,agent_info!$A$2:$A$301, agent_info!$A$2:$A$301)), "Invalid", "Ok")</f>
        <v>Ok</v>
      </c>
    </row>
    <row r="2719" spans="1:11" x14ac:dyDescent="0.3">
      <c r="A2719" s="1" t="s">
        <v>6338</v>
      </c>
      <c r="B2719" s="1" t="s">
        <v>2414</v>
      </c>
      <c r="C2719" s="1" t="s">
        <v>3334</v>
      </c>
      <c r="D2719" s="1">
        <v>500064.12</v>
      </c>
      <c r="E2719" s="1">
        <v>24192.31</v>
      </c>
      <c r="F2719" s="41">
        <v>45813</v>
      </c>
      <c r="G2719" s="41">
        <v>46178</v>
      </c>
      <c r="H2719" s="1" t="s">
        <v>3481</v>
      </c>
      <c r="I2719" s="1" t="s">
        <v>3324</v>
      </c>
      <c r="J2719" t="str">
        <f>IF(ISNA(_xlfn.XLOOKUP(B2719,customer_master!$A$2:$A$1649, customer_master!$A$2:$A$1649)), "Invalid", "Ok")</f>
        <v>Ok</v>
      </c>
      <c r="K2719" t="str">
        <f>IF(ISNA(_xlfn.XLOOKUP(H2719,agent_info!$A$2:$A$301, agent_info!$A$2:$A$301)), "Invalid", "Ok")</f>
        <v>Ok</v>
      </c>
    </row>
    <row r="2720" spans="1:11" x14ac:dyDescent="0.3">
      <c r="A2720" s="1" t="s">
        <v>6339</v>
      </c>
      <c r="B2720" s="1" t="s">
        <v>2633</v>
      </c>
      <c r="C2720" s="1" t="s">
        <v>3331</v>
      </c>
      <c r="D2720" s="1">
        <v>706976.58</v>
      </c>
      <c r="E2720" s="1">
        <v>35539.75</v>
      </c>
      <c r="F2720" s="41">
        <v>44709</v>
      </c>
      <c r="G2720" s="41">
        <v>45074</v>
      </c>
      <c r="H2720" s="1" t="s">
        <v>4198</v>
      </c>
      <c r="I2720" s="1" t="s">
        <v>3324</v>
      </c>
      <c r="J2720" t="str">
        <f>IF(ISNA(_xlfn.XLOOKUP(B2720,customer_master!$A$2:$A$1649, customer_master!$A$2:$A$1649)), "Invalid", "Ok")</f>
        <v>Ok</v>
      </c>
      <c r="K2720" t="str">
        <f>IF(ISNA(_xlfn.XLOOKUP(H2720,agent_info!$A$2:$A$301, agent_info!$A$2:$A$301)), "Invalid", "Ok")</f>
        <v>Ok</v>
      </c>
    </row>
    <row r="2721" spans="1:11" x14ac:dyDescent="0.3">
      <c r="A2721" s="1" t="s">
        <v>6340</v>
      </c>
      <c r="B2721" s="1" t="s">
        <v>3271</v>
      </c>
      <c r="C2721" s="1" t="s">
        <v>3318</v>
      </c>
      <c r="D2721" s="1">
        <v>500338.58</v>
      </c>
      <c r="E2721" s="1">
        <v>25651.57</v>
      </c>
      <c r="F2721" s="41">
        <v>46202</v>
      </c>
      <c r="G2721" s="41">
        <v>46567</v>
      </c>
      <c r="H2721" s="1" t="s">
        <v>3758</v>
      </c>
      <c r="I2721" s="1" t="s">
        <v>3324</v>
      </c>
      <c r="J2721" t="str">
        <f>IF(ISNA(_xlfn.XLOOKUP(B2721,customer_master!$A$2:$A$1649, customer_master!$A$2:$A$1649)), "Invalid", "Ok")</f>
        <v>Ok</v>
      </c>
      <c r="K2721" t="str">
        <f>IF(ISNA(_xlfn.XLOOKUP(H2721,agent_info!$A$2:$A$301, agent_info!$A$2:$A$301)), "Invalid", "Ok")</f>
        <v>Ok</v>
      </c>
    </row>
    <row r="2722" spans="1:11" x14ac:dyDescent="0.3">
      <c r="A2722" s="1" t="s">
        <v>6341</v>
      </c>
      <c r="B2722" s="1" t="s">
        <v>871</v>
      </c>
      <c r="C2722" s="1" t="s">
        <v>3326</v>
      </c>
      <c r="D2722" s="1">
        <v>431818.58</v>
      </c>
      <c r="E2722" s="1">
        <v>21635.91</v>
      </c>
      <c r="F2722" s="41">
        <v>45170</v>
      </c>
      <c r="G2722" s="41">
        <v>45536</v>
      </c>
      <c r="H2722" s="1" t="s">
        <v>3723</v>
      </c>
      <c r="I2722" s="1" t="s">
        <v>3316</v>
      </c>
      <c r="J2722" t="str">
        <f>IF(ISNA(_xlfn.XLOOKUP(B2722,customer_master!$A$2:$A$1649, customer_master!$A$2:$A$1649)), "Invalid", "Ok")</f>
        <v>Ok</v>
      </c>
      <c r="K2722" t="str">
        <f>IF(ISNA(_xlfn.XLOOKUP(H2722,agent_info!$A$2:$A$301, agent_info!$A$2:$A$301)), "Invalid", "Ok")</f>
        <v>Ok</v>
      </c>
    </row>
    <row r="2723" spans="1:11" x14ac:dyDescent="0.3">
      <c r="A2723" s="1" t="s">
        <v>6342</v>
      </c>
      <c r="B2723" s="1" t="s">
        <v>2796</v>
      </c>
      <c r="C2723" s="1" t="s">
        <v>3314</v>
      </c>
      <c r="D2723" s="1">
        <v>385567.21</v>
      </c>
      <c r="E2723" s="1">
        <v>21202.82</v>
      </c>
      <c r="F2723" s="41">
        <v>45579</v>
      </c>
      <c r="G2723" s="41">
        <v>45944</v>
      </c>
      <c r="H2723" s="1" t="s">
        <v>3754</v>
      </c>
      <c r="I2723" s="1" t="s">
        <v>3324</v>
      </c>
      <c r="J2723" t="str">
        <f>IF(ISNA(_xlfn.XLOOKUP(B2723,customer_master!$A$2:$A$1649, customer_master!$A$2:$A$1649)), "Invalid", "Ok")</f>
        <v>Ok</v>
      </c>
      <c r="K2723" t="str">
        <f>IF(ISNA(_xlfn.XLOOKUP(H2723,agent_info!$A$2:$A$301, agent_info!$A$2:$A$301)), "Invalid", "Ok")</f>
        <v>Ok</v>
      </c>
    </row>
    <row r="2724" spans="1:11" x14ac:dyDescent="0.3">
      <c r="A2724" s="1" t="s">
        <v>6343</v>
      </c>
      <c r="B2724" s="1" t="s">
        <v>608</v>
      </c>
      <c r="C2724" s="1" t="s">
        <v>3314</v>
      </c>
      <c r="D2724" s="1">
        <v>475750.37</v>
      </c>
      <c r="E2724" s="1">
        <v>23819.84</v>
      </c>
      <c r="F2724" s="41">
        <v>45099</v>
      </c>
      <c r="G2724" s="41">
        <v>45465</v>
      </c>
      <c r="H2724" s="1" t="s">
        <v>3987</v>
      </c>
      <c r="I2724" s="1" t="s">
        <v>3324</v>
      </c>
      <c r="J2724" t="str">
        <f>IF(ISNA(_xlfn.XLOOKUP(B2724,customer_master!$A$2:$A$1649, customer_master!$A$2:$A$1649)), "Invalid", "Ok")</f>
        <v>Ok</v>
      </c>
      <c r="K2724" t="str">
        <f>IF(ISNA(_xlfn.XLOOKUP(H2724,agent_info!$A$2:$A$301, agent_info!$A$2:$A$301)), "Invalid", "Ok")</f>
        <v>Ok</v>
      </c>
    </row>
    <row r="2725" spans="1:11" x14ac:dyDescent="0.3">
      <c r="A2725" s="1" t="s">
        <v>6344</v>
      </c>
      <c r="B2725" s="1" t="s">
        <v>467</v>
      </c>
      <c r="C2725" s="1" t="s">
        <v>3326</v>
      </c>
      <c r="D2725" s="1">
        <v>391453.59</v>
      </c>
      <c r="E2725" s="1">
        <v>20133.919999999998</v>
      </c>
      <c r="F2725" s="41">
        <v>44406</v>
      </c>
      <c r="G2725" s="41">
        <v>44771</v>
      </c>
      <c r="H2725" s="1" t="s">
        <v>3738</v>
      </c>
      <c r="I2725" s="1" t="s">
        <v>3316</v>
      </c>
      <c r="J2725" t="str">
        <f>IF(ISNA(_xlfn.XLOOKUP(B2725,customer_master!$A$2:$A$1649, customer_master!$A$2:$A$1649)), "Invalid", "Ok")</f>
        <v>Ok</v>
      </c>
      <c r="K2725" t="str">
        <f>IF(ISNA(_xlfn.XLOOKUP(H2725,agent_info!$A$2:$A$301, agent_info!$A$2:$A$301)), "Invalid", "Ok")</f>
        <v>Ok</v>
      </c>
    </row>
    <row r="2726" spans="1:11" x14ac:dyDescent="0.3">
      <c r="A2726" s="1" t="s">
        <v>6345</v>
      </c>
      <c r="B2726" s="1" t="s">
        <v>2442</v>
      </c>
      <c r="C2726" s="1" t="s">
        <v>3318</v>
      </c>
      <c r="D2726" s="1">
        <v>633126.04</v>
      </c>
      <c r="E2726" s="1">
        <v>33515.089999999997</v>
      </c>
      <c r="F2726" s="41">
        <v>46195</v>
      </c>
      <c r="G2726" s="41">
        <v>46560</v>
      </c>
      <c r="H2726" s="1" t="s">
        <v>4001</v>
      </c>
      <c r="I2726" s="1" t="s">
        <v>3316</v>
      </c>
      <c r="J2726" t="str">
        <f>IF(ISNA(_xlfn.XLOOKUP(B2726,customer_master!$A$2:$A$1649, customer_master!$A$2:$A$1649)), "Invalid", "Ok")</f>
        <v>Ok</v>
      </c>
      <c r="K2726" t="str">
        <f>IF(ISNA(_xlfn.XLOOKUP(H2726,agent_info!$A$2:$A$301, agent_info!$A$2:$A$301)), "Invalid", "Ok")</f>
        <v>Ok</v>
      </c>
    </row>
    <row r="2727" spans="1:11" x14ac:dyDescent="0.3">
      <c r="A2727" s="1" t="s">
        <v>6346</v>
      </c>
      <c r="B2727" s="1" t="s">
        <v>1495</v>
      </c>
      <c r="C2727" s="1" t="s">
        <v>3331</v>
      </c>
      <c r="D2727" s="1">
        <v>436736.48</v>
      </c>
      <c r="E2727" s="1">
        <v>20249.650000000001</v>
      </c>
      <c r="F2727" s="41">
        <v>45444</v>
      </c>
      <c r="G2727" s="41">
        <v>45809</v>
      </c>
      <c r="H2727" s="1" t="s">
        <v>3538</v>
      </c>
      <c r="I2727" s="1" t="s">
        <v>3324</v>
      </c>
      <c r="J2727" t="str">
        <f>IF(ISNA(_xlfn.XLOOKUP(B2727,customer_master!$A$2:$A$1649, customer_master!$A$2:$A$1649)), "Invalid", "Ok")</f>
        <v>Ok</v>
      </c>
      <c r="K2727" t="str">
        <f>IF(ISNA(_xlfn.XLOOKUP(H2727,agent_info!$A$2:$A$301, agent_info!$A$2:$A$301)), "Invalid", "Ok")</f>
        <v>Ok</v>
      </c>
    </row>
    <row r="2728" spans="1:11" x14ac:dyDescent="0.3">
      <c r="A2728" s="1" t="s">
        <v>6347</v>
      </c>
      <c r="B2728" s="1" t="s">
        <v>2633</v>
      </c>
      <c r="C2728" s="1" t="s">
        <v>3331</v>
      </c>
      <c r="D2728" s="1">
        <v>604823.81000000006</v>
      </c>
      <c r="E2728" s="1">
        <v>27482.65</v>
      </c>
      <c r="F2728" s="41">
        <v>45533</v>
      </c>
      <c r="G2728" s="41">
        <v>45898</v>
      </c>
      <c r="H2728" s="1" t="s">
        <v>3641</v>
      </c>
      <c r="I2728" s="1" t="s">
        <v>3316</v>
      </c>
      <c r="J2728" t="str">
        <f>IF(ISNA(_xlfn.XLOOKUP(B2728,customer_master!$A$2:$A$1649, customer_master!$A$2:$A$1649)), "Invalid", "Ok")</f>
        <v>Ok</v>
      </c>
      <c r="K2728" t="str">
        <f>IF(ISNA(_xlfn.XLOOKUP(H2728,agent_info!$A$2:$A$301, agent_info!$A$2:$A$301)), "Invalid", "Ok")</f>
        <v>Ok</v>
      </c>
    </row>
    <row r="2729" spans="1:11" x14ac:dyDescent="0.3">
      <c r="A2729" s="1" t="s">
        <v>6348</v>
      </c>
      <c r="B2729" s="1" t="s">
        <v>956</v>
      </c>
      <c r="C2729" s="1" t="s">
        <v>3326</v>
      </c>
      <c r="D2729" s="1">
        <v>394263.72</v>
      </c>
      <c r="E2729" s="1">
        <v>21578.01</v>
      </c>
      <c r="F2729" s="41">
        <v>44742</v>
      </c>
      <c r="G2729" s="41">
        <v>45107</v>
      </c>
      <c r="H2729" s="1" t="s">
        <v>4122</v>
      </c>
      <c r="I2729" s="1" t="s">
        <v>3320</v>
      </c>
      <c r="J2729" t="str">
        <f>IF(ISNA(_xlfn.XLOOKUP(B2729,customer_master!$A$2:$A$1649, customer_master!$A$2:$A$1649)), "Invalid", "Ok")</f>
        <v>Ok</v>
      </c>
      <c r="K2729" t="str">
        <f>IF(ISNA(_xlfn.XLOOKUP(H2729,agent_info!$A$2:$A$301, agent_info!$A$2:$A$301)), "Invalid", "Ok")</f>
        <v>Ok</v>
      </c>
    </row>
    <row r="2730" spans="1:11" x14ac:dyDescent="0.3">
      <c r="A2730" s="1" t="s">
        <v>6349</v>
      </c>
      <c r="B2730" s="1" t="s">
        <v>755</v>
      </c>
      <c r="C2730" s="1" t="s">
        <v>3326</v>
      </c>
      <c r="D2730" s="1">
        <v>596546.49</v>
      </c>
      <c r="E2730" s="1">
        <v>31212.86</v>
      </c>
      <c r="F2730" s="41">
        <v>44708</v>
      </c>
      <c r="G2730" s="41">
        <v>45073</v>
      </c>
      <c r="H2730" s="1" t="s">
        <v>3439</v>
      </c>
      <c r="I2730" s="1" t="s">
        <v>3316</v>
      </c>
      <c r="J2730" t="str">
        <f>IF(ISNA(_xlfn.XLOOKUP(B2730,customer_master!$A$2:$A$1649, customer_master!$A$2:$A$1649)), "Invalid", "Ok")</f>
        <v>Ok</v>
      </c>
      <c r="K2730" t="str">
        <f>IF(ISNA(_xlfn.XLOOKUP(H2730,agent_info!$A$2:$A$301, agent_info!$A$2:$A$301)), "Invalid", "Ok")</f>
        <v>Ok</v>
      </c>
    </row>
    <row r="2731" spans="1:11" x14ac:dyDescent="0.3">
      <c r="A2731" s="1" t="s">
        <v>6350</v>
      </c>
      <c r="B2731" s="1" t="s">
        <v>1833</v>
      </c>
      <c r="C2731" s="1" t="s">
        <v>3314</v>
      </c>
      <c r="D2731" s="1">
        <v>494935.02</v>
      </c>
      <c r="E2731" s="1">
        <v>24218.57</v>
      </c>
      <c r="F2731" s="41">
        <v>45830</v>
      </c>
      <c r="G2731" s="41">
        <v>46195</v>
      </c>
      <c r="H2731" s="1" t="s">
        <v>3678</v>
      </c>
      <c r="I2731" s="1" t="s">
        <v>3324</v>
      </c>
      <c r="J2731" t="str">
        <f>IF(ISNA(_xlfn.XLOOKUP(B2731,customer_master!$A$2:$A$1649, customer_master!$A$2:$A$1649)), "Invalid", "Ok")</f>
        <v>Ok</v>
      </c>
      <c r="K2731" t="str">
        <f>IF(ISNA(_xlfn.XLOOKUP(H2731,agent_info!$A$2:$A$301, agent_info!$A$2:$A$301)), "Invalid", "Ok")</f>
        <v>Ok</v>
      </c>
    </row>
    <row r="2732" spans="1:11" x14ac:dyDescent="0.3">
      <c r="A2732" s="1" t="s">
        <v>6351</v>
      </c>
      <c r="B2732" s="1" t="s">
        <v>413</v>
      </c>
      <c r="C2732" s="1" t="s">
        <v>3314</v>
      </c>
      <c r="D2732" s="1">
        <v>503848.11</v>
      </c>
      <c r="E2732" s="1">
        <v>22762.19</v>
      </c>
      <c r="F2732" s="41">
        <v>44111</v>
      </c>
      <c r="G2732" s="41">
        <v>44476</v>
      </c>
      <c r="H2732" s="1" t="s">
        <v>3369</v>
      </c>
      <c r="I2732" s="1" t="s">
        <v>3324</v>
      </c>
      <c r="J2732" t="str">
        <f>IF(ISNA(_xlfn.XLOOKUP(B2732,customer_master!$A$2:$A$1649, customer_master!$A$2:$A$1649)), "Invalid", "Ok")</f>
        <v>Ok</v>
      </c>
      <c r="K2732" t="str">
        <f>IF(ISNA(_xlfn.XLOOKUP(H2732,agent_info!$A$2:$A$301, agent_info!$A$2:$A$301)), "Invalid", "Ok")</f>
        <v>Ok</v>
      </c>
    </row>
    <row r="2733" spans="1:11" x14ac:dyDescent="0.3">
      <c r="A2733" s="1" t="s">
        <v>6352</v>
      </c>
      <c r="B2733" s="1" t="s">
        <v>941</v>
      </c>
      <c r="C2733" s="1" t="s">
        <v>3331</v>
      </c>
      <c r="D2733" s="1">
        <v>625807</v>
      </c>
      <c r="E2733" s="1">
        <v>29202.66</v>
      </c>
      <c r="F2733" s="41">
        <v>44166</v>
      </c>
      <c r="G2733" s="41">
        <v>44531</v>
      </c>
      <c r="H2733" s="1" t="s">
        <v>3838</v>
      </c>
      <c r="I2733" s="1" t="s">
        <v>3324</v>
      </c>
      <c r="J2733" t="str">
        <f>IF(ISNA(_xlfn.XLOOKUP(B2733,customer_master!$A$2:$A$1649, customer_master!$A$2:$A$1649)), "Invalid", "Ok")</f>
        <v>Ok</v>
      </c>
      <c r="K2733" t="str">
        <f>IF(ISNA(_xlfn.XLOOKUP(H2733,agent_info!$A$2:$A$301, agent_info!$A$2:$A$301)), "Invalid", "Ok")</f>
        <v>Ok</v>
      </c>
    </row>
    <row r="2734" spans="1:11" x14ac:dyDescent="0.3">
      <c r="A2734" s="1" t="s">
        <v>6353</v>
      </c>
      <c r="B2734" s="1" t="s">
        <v>586</v>
      </c>
      <c r="C2734" s="1" t="s">
        <v>3331</v>
      </c>
      <c r="D2734" s="1">
        <v>739707.64</v>
      </c>
      <c r="E2734" s="1">
        <v>33358.949999999997</v>
      </c>
      <c r="F2734" s="41">
        <v>44697</v>
      </c>
      <c r="G2734" s="41">
        <v>45062</v>
      </c>
      <c r="H2734" s="1" t="s">
        <v>3400</v>
      </c>
      <c r="I2734" s="1" t="s">
        <v>3324</v>
      </c>
      <c r="J2734" t="str">
        <f>IF(ISNA(_xlfn.XLOOKUP(B2734,customer_master!$A$2:$A$1649, customer_master!$A$2:$A$1649)), "Invalid", "Ok")</f>
        <v>Ok</v>
      </c>
      <c r="K2734" t="str">
        <f>IF(ISNA(_xlfn.XLOOKUP(H2734,agent_info!$A$2:$A$301, agent_info!$A$2:$A$301)), "Invalid", "Ok")</f>
        <v>Ok</v>
      </c>
    </row>
    <row r="2735" spans="1:11" x14ac:dyDescent="0.3">
      <c r="A2735" s="1" t="s">
        <v>6354</v>
      </c>
      <c r="B2735" s="1" t="s">
        <v>1081</v>
      </c>
      <c r="C2735" s="1" t="s">
        <v>3331</v>
      </c>
      <c r="D2735" s="1">
        <v>759795.8</v>
      </c>
      <c r="E2735" s="1">
        <v>37203.08</v>
      </c>
      <c r="F2735" s="41">
        <v>45377</v>
      </c>
      <c r="G2735" s="41">
        <v>45742</v>
      </c>
      <c r="H2735" s="1" t="s">
        <v>3610</v>
      </c>
      <c r="I2735" s="1" t="s">
        <v>3324</v>
      </c>
      <c r="J2735" t="str">
        <f>IF(ISNA(_xlfn.XLOOKUP(B2735,customer_master!$A$2:$A$1649, customer_master!$A$2:$A$1649)), "Invalid", "Ok")</f>
        <v>Ok</v>
      </c>
      <c r="K2735" t="str">
        <f>IF(ISNA(_xlfn.XLOOKUP(H2735,agent_info!$A$2:$A$301, agent_info!$A$2:$A$301)), "Invalid", "Ok")</f>
        <v>Ok</v>
      </c>
    </row>
    <row r="2736" spans="1:11" x14ac:dyDescent="0.3">
      <c r="A2736" s="1" t="s">
        <v>6355</v>
      </c>
      <c r="B2736" s="1" t="s">
        <v>2549</v>
      </c>
      <c r="C2736" s="1" t="s">
        <v>3318</v>
      </c>
      <c r="D2736" s="1">
        <v>513045.65</v>
      </c>
      <c r="E2736" s="1">
        <v>25933.72</v>
      </c>
      <c r="F2736" s="41">
        <v>44193</v>
      </c>
      <c r="G2736" s="41">
        <v>44558</v>
      </c>
      <c r="H2736" s="1" t="s">
        <v>3365</v>
      </c>
      <c r="I2736" s="1" t="s">
        <v>3316</v>
      </c>
      <c r="J2736" t="str">
        <f>IF(ISNA(_xlfn.XLOOKUP(B2736,customer_master!$A$2:$A$1649, customer_master!$A$2:$A$1649)), "Invalid", "Ok")</f>
        <v>Ok</v>
      </c>
      <c r="K2736" t="str">
        <f>IF(ISNA(_xlfn.XLOOKUP(H2736,agent_info!$A$2:$A$301, agent_info!$A$2:$A$301)), "Invalid", "Ok")</f>
        <v>Ok</v>
      </c>
    </row>
    <row r="2737" spans="1:11" x14ac:dyDescent="0.3">
      <c r="A2737" s="1" t="s">
        <v>6356</v>
      </c>
      <c r="B2737" s="1" t="s">
        <v>437</v>
      </c>
      <c r="C2737" s="1" t="s">
        <v>3331</v>
      </c>
      <c r="D2737" s="1">
        <v>742523.59</v>
      </c>
      <c r="E2737" s="1">
        <v>34605.93</v>
      </c>
      <c r="F2737" s="41">
        <v>44747</v>
      </c>
      <c r="G2737" s="41">
        <v>45112</v>
      </c>
      <c r="H2737" s="1" t="s">
        <v>3479</v>
      </c>
      <c r="I2737" s="1" t="s">
        <v>3316</v>
      </c>
      <c r="J2737" t="str">
        <f>IF(ISNA(_xlfn.XLOOKUP(B2737,customer_master!$A$2:$A$1649, customer_master!$A$2:$A$1649)), "Invalid", "Ok")</f>
        <v>Ok</v>
      </c>
      <c r="K2737" t="str">
        <f>IF(ISNA(_xlfn.XLOOKUP(H2737,agent_info!$A$2:$A$301, agent_info!$A$2:$A$301)), "Invalid", "Ok")</f>
        <v>Ok</v>
      </c>
    </row>
    <row r="2738" spans="1:11" x14ac:dyDescent="0.3">
      <c r="A2738" s="1" t="s">
        <v>6357</v>
      </c>
      <c r="B2738" s="1" t="s">
        <v>2054</v>
      </c>
      <c r="C2738" s="1" t="s">
        <v>3334</v>
      </c>
      <c r="D2738" s="1">
        <v>620743.77</v>
      </c>
      <c r="E2738" s="1">
        <v>31905.34</v>
      </c>
      <c r="F2738" s="41">
        <v>45020</v>
      </c>
      <c r="G2738" s="41">
        <v>45386</v>
      </c>
      <c r="H2738" s="1" t="s">
        <v>3653</v>
      </c>
      <c r="I2738" s="1" t="s">
        <v>3316</v>
      </c>
      <c r="J2738" t="str">
        <f>IF(ISNA(_xlfn.XLOOKUP(B2738,customer_master!$A$2:$A$1649, customer_master!$A$2:$A$1649)), "Invalid", "Ok")</f>
        <v>Ok</v>
      </c>
      <c r="K2738" t="str">
        <f>IF(ISNA(_xlfn.XLOOKUP(H2738,agent_info!$A$2:$A$301, agent_info!$A$2:$A$301)), "Invalid", "Ok")</f>
        <v>Ok</v>
      </c>
    </row>
    <row r="2739" spans="1:11" x14ac:dyDescent="0.3">
      <c r="A2739" s="1" t="s">
        <v>6358</v>
      </c>
      <c r="B2739" s="1" t="s">
        <v>1952</v>
      </c>
      <c r="C2739" s="1" t="s">
        <v>3326</v>
      </c>
      <c r="D2739" s="1">
        <v>667264</v>
      </c>
      <c r="E2739" s="1">
        <v>36394.19</v>
      </c>
      <c r="F2739" s="41">
        <v>45524</v>
      </c>
      <c r="G2739" s="41">
        <v>45889</v>
      </c>
      <c r="H2739" s="1" t="s">
        <v>3422</v>
      </c>
      <c r="I2739" s="1" t="s">
        <v>3316</v>
      </c>
      <c r="J2739" t="str">
        <f>IF(ISNA(_xlfn.XLOOKUP(B2739,customer_master!$A$2:$A$1649, customer_master!$A$2:$A$1649)), "Invalid", "Ok")</f>
        <v>Ok</v>
      </c>
      <c r="K2739" t="str">
        <f>IF(ISNA(_xlfn.XLOOKUP(H2739,agent_info!$A$2:$A$301, agent_info!$A$2:$A$301)), "Invalid", "Ok")</f>
        <v>Ok</v>
      </c>
    </row>
    <row r="2740" spans="1:11" x14ac:dyDescent="0.3">
      <c r="A2740" s="1" t="s">
        <v>6359</v>
      </c>
      <c r="B2740" s="1" t="s">
        <v>1803</v>
      </c>
      <c r="C2740" s="1" t="s">
        <v>3334</v>
      </c>
      <c r="D2740" s="1">
        <v>395723.08</v>
      </c>
      <c r="E2740" s="1">
        <v>21726.98</v>
      </c>
      <c r="F2740" s="41">
        <v>44078</v>
      </c>
      <c r="G2740" s="41">
        <v>44443</v>
      </c>
      <c r="H2740" s="1" t="s">
        <v>3772</v>
      </c>
      <c r="I2740" s="1" t="s">
        <v>3324</v>
      </c>
      <c r="J2740" t="str">
        <f>IF(ISNA(_xlfn.XLOOKUP(B2740,customer_master!$A$2:$A$1649, customer_master!$A$2:$A$1649)), "Invalid", "Ok")</f>
        <v>Ok</v>
      </c>
      <c r="K2740" t="str">
        <f>IF(ISNA(_xlfn.XLOOKUP(H2740,agent_info!$A$2:$A$301, agent_info!$A$2:$A$301)), "Invalid", "Ok")</f>
        <v>Ok</v>
      </c>
    </row>
    <row r="2741" spans="1:11" x14ac:dyDescent="0.3">
      <c r="A2741" s="1" t="s">
        <v>6360</v>
      </c>
      <c r="B2741" s="1" t="s">
        <v>1626</v>
      </c>
      <c r="C2741" s="1" t="s">
        <v>3334</v>
      </c>
      <c r="D2741" s="1">
        <v>397771.55</v>
      </c>
      <c r="E2741" s="1">
        <v>21213.82</v>
      </c>
      <c r="F2741" s="41">
        <v>44628</v>
      </c>
      <c r="G2741" s="41">
        <v>44993</v>
      </c>
      <c r="H2741" s="1" t="s">
        <v>4007</v>
      </c>
      <c r="I2741" s="1" t="s">
        <v>3324</v>
      </c>
      <c r="J2741" t="str">
        <f>IF(ISNA(_xlfn.XLOOKUP(B2741,customer_master!$A$2:$A$1649, customer_master!$A$2:$A$1649)), "Invalid", "Ok")</f>
        <v>Ok</v>
      </c>
      <c r="K2741" t="str">
        <f>IF(ISNA(_xlfn.XLOOKUP(H2741,agent_info!$A$2:$A$301, agent_info!$A$2:$A$301)), "Invalid", "Ok")</f>
        <v>Ok</v>
      </c>
    </row>
    <row r="2742" spans="1:11" x14ac:dyDescent="0.3">
      <c r="A2742" s="1" t="s">
        <v>6361</v>
      </c>
      <c r="B2742" s="1" t="s">
        <v>2216</v>
      </c>
      <c r="C2742" s="1" t="s">
        <v>3334</v>
      </c>
      <c r="D2742" s="1">
        <v>413710.98</v>
      </c>
      <c r="E2742" s="1">
        <v>20453.39</v>
      </c>
      <c r="F2742" s="41">
        <v>44844</v>
      </c>
      <c r="G2742" s="41">
        <v>45209</v>
      </c>
      <c r="H2742" s="1" t="s">
        <v>4639</v>
      </c>
      <c r="I2742" s="1" t="s">
        <v>3324</v>
      </c>
      <c r="J2742" t="str">
        <f>IF(ISNA(_xlfn.XLOOKUP(B2742,customer_master!$A$2:$A$1649, customer_master!$A$2:$A$1649)), "Invalid", "Ok")</f>
        <v>Ok</v>
      </c>
      <c r="K2742" t="str">
        <f>IF(ISNA(_xlfn.XLOOKUP(H2742,agent_info!$A$2:$A$301, agent_info!$A$2:$A$301)), "Invalid", "Ok")</f>
        <v>Ok</v>
      </c>
    </row>
    <row r="2743" spans="1:11" x14ac:dyDescent="0.3">
      <c r="A2743" s="1" t="s">
        <v>6362</v>
      </c>
      <c r="B2743" s="1" t="s">
        <v>2831</v>
      </c>
      <c r="C2743" s="1" t="s">
        <v>3318</v>
      </c>
      <c r="D2743" s="1">
        <v>682060.55</v>
      </c>
      <c r="E2743" s="1">
        <v>34426.39</v>
      </c>
      <c r="F2743" s="41">
        <v>44697</v>
      </c>
      <c r="G2743" s="41">
        <v>45062</v>
      </c>
      <c r="H2743" s="1" t="s">
        <v>3462</v>
      </c>
      <c r="I2743" s="1" t="s">
        <v>3324</v>
      </c>
      <c r="J2743" t="str">
        <f>IF(ISNA(_xlfn.XLOOKUP(B2743,customer_master!$A$2:$A$1649, customer_master!$A$2:$A$1649)), "Invalid", "Ok")</f>
        <v>Ok</v>
      </c>
      <c r="K2743" t="str">
        <f>IF(ISNA(_xlfn.XLOOKUP(H2743,agent_info!$A$2:$A$301, agent_info!$A$2:$A$301)), "Invalid", "Ok")</f>
        <v>Ok</v>
      </c>
    </row>
    <row r="2744" spans="1:11" x14ac:dyDescent="0.3">
      <c r="A2744" s="1" t="s">
        <v>6363</v>
      </c>
      <c r="B2744" s="1" t="s">
        <v>574</v>
      </c>
      <c r="C2744" s="1" t="s">
        <v>3326</v>
      </c>
      <c r="D2744" s="1">
        <v>398284.77</v>
      </c>
      <c r="E2744" s="1">
        <v>19927.41</v>
      </c>
      <c r="F2744" s="41">
        <v>45959</v>
      </c>
      <c r="G2744" s="41">
        <v>46324</v>
      </c>
      <c r="H2744" s="1" t="s">
        <v>4173</v>
      </c>
      <c r="I2744" s="1" t="s">
        <v>3324</v>
      </c>
      <c r="J2744" t="str">
        <f>IF(ISNA(_xlfn.XLOOKUP(B2744,customer_master!$A$2:$A$1649, customer_master!$A$2:$A$1649)), "Invalid", "Ok")</f>
        <v>Ok</v>
      </c>
      <c r="K2744" t="str">
        <f>IF(ISNA(_xlfn.XLOOKUP(H2744,agent_info!$A$2:$A$301, agent_info!$A$2:$A$301)), "Invalid", "Ok")</f>
        <v>Ok</v>
      </c>
    </row>
    <row r="2745" spans="1:11" x14ac:dyDescent="0.3">
      <c r="A2745" s="1" t="s">
        <v>6364</v>
      </c>
      <c r="B2745" s="1" t="s">
        <v>2704</v>
      </c>
      <c r="C2745" s="1" t="s">
        <v>3318</v>
      </c>
      <c r="D2745" s="1">
        <v>444749.13</v>
      </c>
      <c r="E2745" s="1">
        <v>20706.04</v>
      </c>
      <c r="F2745" s="41">
        <v>45535</v>
      </c>
      <c r="G2745" s="41">
        <v>45900</v>
      </c>
      <c r="H2745" s="1" t="s">
        <v>3337</v>
      </c>
      <c r="I2745" s="1" t="s">
        <v>3324</v>
      </c>
      <c r="J2745" t="str">
        <f>IF(ISNA(_xlfn.XLOOKUP(B2745,customer_master!$A$2:$A$1649, customer_master!$A$2:$A$1649)), "Invalid", "Ok")</f>
        <v>Ok</v>
      </c>
      <c r="K2745" t="str">
        <f>IF(ISNA(_xlfn.XLOOKUP(H2745,agent_info!$A$2:$A$301, agent_info!$A$2:$A$301)), "Invalid", "Ok")</f>
        <v>Ok</v>
      </c>
    </row>
    <row r="2746" spans="1:11" x14ac:dyDescent="0.3">
      <c r="A2746" s="1" t="s">
        <v>6365</v>
      </c>
      <c r="B2746" s="1" t="s">
        <v>238</v>
      </c>
      <c r="C2746" s="1" t="s">
        <v>3318</v>
      </c>
      <c r="D2746" s="1">
        <v>599281.16</v>
      </c>
      <c r="E2746" s="1">
        <v>32088</v>
      </c>
      <c r="F2746" s="41">
        <v>45762</v>
      </c>
      <c r="G2746" s="41">
        <v>46127</v>
      </c>
      <c r="H2746" s="1" t="s">
        <v>3729</v>
      </c>
      <c r="I2746" s="1" t="s">
        <v>3316</v>
      </c>
      <c r="J2746" t="str">
        <f>IF(ISNA(_xlfn.XLOOKUP(B2746,customer_master!$A$2:$A$1649, customer_master!$A$2:$A$1649)), "Invalid", "Ok")</f>
        <v>Ok</v>
      </c>
      <c r="K2746" t="str">
        <f>IF(ISNA(_xlfn.XLOOKUP(H2746,agent_info!$A$2:$A$301, agent_info!$A$2:$A$301)), "Invalid", "Ok")</f>
        <v>Ok</v>
      </c>
    </row>
    <row r="2747" spans="1:11" x14ac:dyDescent="0.3">
      <c r="A2747" s="1" t="s">
        <v>6366</v>
      </c>
      <c r="B2747" s="1" t="s">
        <v>1616</v>
      </c>
      <c r="C2747" s="1" t="s">
        <v>3326</v>
      </c>
      <c r="D2747" s="1">
        <v>685106.05</v>
      </c>
      <c r="E2747" s="1">
        <v>35459.660000000003</v>
      </c>
      <c r="F2747" s="41">
        <v>44416</v>
      </c>
      <c r="G2747" s="41">
        <v>44781</v>
      </c>
      <c r="H2747" s="1" t="s">
        <v>4012</v>
      </c>
      <c r="I2747" s="1" t="s">
        <v>3324</v>
      </c>
      <c r="J2747" t="str">
        <f>IF(ISNA(_xlfn.XLOOKUP(B2747,customer_master!$A$2:$A$1649, customer_master!$A$2:$A$1649)), "Invalid", "Ok")</f>
        <v>Ok</v>
      </c>
      <c r="K2747" t="str">
        <f>IF(ISNA(_xlfn.XLOOKUP(H2747,agent_info!$A$2:$A$301, agent_info!$A$2:$A$301)), "Invalid", "Ok")</f>
        <v>Ok</v>
      </c>
    </row>
    <row r="2748" spans="1:11" x14ac:dyDescent="0.3">
      <c r="A2748" s="1" t="s">
        <v>6367</v>
      </c>
      <c r="B2748" s="1" t="s">
        <v>1719</v>
      </c>
      <c r="C2748" s="1" t="s">
        <v>3318</v>
      </c>
      <c r="D2748" s="1">
        <v>592368.52</v>
      </c>
      <c r="E2748" s="1">
        <v>30435.51</v>
      </c>
      <c r="F2748" s="41">
        <v>44265</v>
      </c>
      <c r="G2748" s="41">
        <v>44630</v>
      </c>
      <c r="H2748" s="1" t="s">
        <v>3734</v>
      </c>
      <c r="I2748" s="1" t="s">
        <v>3324</v>
      </c>
      <c r="J2748" t="str">
        <f>IF(ISNA(_xlfn.XLOOKUP(B2748,customer_master!$A$2:$A$1649, customer_master!$A$2:$A$1649)), "Invalid", "Ok")</f>
        <v>Ok</v>
      </c>
      <c r="K2748" t="str">
        <f>IF(ISNA(_xlfn.XLOOKUP(H2748,agent_info!$A$2:$A$301, agent_info!$A$2:$A$301)), "Invalid", "Ok")</f>
        <v>Ok</v>
      </c>
    </row>
    <row r="2749" spans="1:11" x14ac:dyDescent="0.3">
      <c r="A2749" s="1" t="s">
        <v>6368</v>
      </c>
      <c r="B2749" s="1" t="s">
        <v>703</v>
      </c>
      <c r="C2749" s="1" t="s">
        <v>3331</v>
      </c>
      <c r="D2749" s="1">
        <v>660985.30000000005</v>
      </c>
      <c r="E2749" s="1">
        <v>31200.7</v>
      </c>
      <c r="F2749" s="41">
        <v>44670</v>
      </c>
      <c r="G2749" s="41">
        <v>45035</v>
      </c>
      <c r="H2749" s="1" t="s">
        <v>3655</v>
      </c>
      <c r="I2749" s="1" t="s">
        <v>3316</v>
      </c>
      <c r="J2749" t="str">
        <f>IF(ISNA(_xlfn.XLOOKUP(B2749,customer_master!$A$2:$A$1649, customer_master!$A$2:$A$1649)), "Invalid", "Ok")</f>
        <v>Ok</v>
      </c>
      <c r="K2749" t="str">
        <f>IF(ISNA(_xlfn.XLOOKUP(H2749,agent_info!$A$2:$A$301, agent_info!$A$2:$A$301)), "Invalid", "Ok")</f>
        <v>Ok</v>
      </c>
    </row>
    <row r="2750" spans="1:11" x14ac:dyDescent="0.3">
      <c r="A2750" s="1" t="s">
        <v>6369</v>
      </c>
      <c r="B2750" s="1" t="s">
        <v>328</v>
      </c>
      <c r="C2750" s="1" t="s">
        <v>3318</v>
      </c>
      <c r="D2750" s="1">
        <v>448963.55</v>
      </c>
      <c r="E2750" s="1">
        <v>20890.990000000002</v>
      </c>
      <c r="F2750" s="41">
        <v>46260</v>
      </c>
      <c r="G2750" s="41">
        <v>46625</v>
      </c>
      <c r="H2750" s="1" t="s">
        <v>3435</v>
      </c>
      <c r="I2750" s="1" t="s">
        <v>3320</v>
      </c>
      <c r="J2750" t="str">
        <f>IF(ISNA(_xlfn.XLOOKUP(B2750,customer_master!$A$2:$A$1649, customer_master!$A$2:$A$1649)), "Invalid", "Ok")</f>
        <v>Ok</v>
      </c>
      <c r="K2750" t="str">
        <f>IF(ISNA(_xlfn.XLOOKUP(H2750,agent_info!$A$2:$A$301, agent_info!$A$2:$A$301)), "Invalid", "Ok")</f>
        <v>Ok</v>
      </c>
    </row>
    <row r="2751" spans="1:11" x14ac:dyDescent="0.3">
      <c r="A2751" s="1" t="s">
        <v>6370</v>
      </c>
      <c r="B2751" s="1" t="s">
        <v>286</v>
      </c>
      <c r="C2751" s="1" t="s">
        <v>3326</v>
      </c>
      <c r="D2751" s="1">
        <v>669960.92000000004</v>
      </c>
      <c r="E2751" s="1">
        <v>35997.18</v>
      </c>
      <c r="F2751" s="41">
        <v>44508</v>
      </c>
      <c r="G2751" s="41">
        <v>44873</v>
      </c>
      <c r="H2751" s="1" t="s">
        <v>4472</v>
      </c>
      <c r="I2751" s="1" t="s">
        <v>3324</v>
      </c>
      <c r="J2751" t="str">
        <f>IF(ISNA(_xlfn.XLOOKUP(B2751,customer_master!$A$2:$A$1649, customer_master!$A$2:$A$1649)), "Invalid", "Ok")</f>
        <v>Ok</v>
      </c>
      <c r="K2751" t="str">
        <f>IF(ISNA(_xlfn.XLOOKUP(H2751,agent_info!$A$2:$A$301, agent_info!$A$2:$A$301)), "Invalid", "Ok")</f>
        <v>Ok</v>
      </c>
    </row>
    <row r="2752" spans="1:11" x14ac:dyDescent="0.3">
      <c r="A2752" s="1" t="s">
        <v>6371</v>
      </c>
      <c r="B2752" s="1" t="s">
        <v>154</v>
      </c>
      <c r="C2752" s="1" t="s">
        <v>3331</v>
      </c>
      <c r="D2752" s="1">
        <v>402816.94</v>
      </c>
      <c r="E2752" s="1">
        <v>18849.47</v>
      </c>
      <c r="F2752" s="41">
        <v>45359</v>
      </c>
      <c r="G2752" s="41">
        <v>45724</v>
      </c>
      <c r="H2752" s="1" t="s">
        <v>3719</v>
      </c>
      <c r="I2752" s="1" t="s">
        <v>3324</v>
      </c>
      <c r="J2752" t="str">
        <f>IF(ISNA(_xlfn.XLOOKUP(B2752,customer_master!$A$2:$A$1649, customer_master!$A$2:$A$1649)), "Invalid", "Ok")</f>
        <v>Ok</v>
      </c>
      <c r="K2752" t="str">
        <f>IF(ISNA(_xlfn.XLOOKUP(H2752,agent_info!$A$2:$A$301, agent_info!$A$2:$A$301)), "Invalid", "Ok")</f>
        <v>Ok</v>
      </c>
    </row>
    <row r="2753" spans="1:11" x14ac:dyDescent="0.3">
      <c r="A2753" s="1" t="s">
        <v>6372</v>
      </c>
      <c r="B2753" s="1" t="s">
        <v>1915</v>
      </c>
      <c r="C2753" s="1" t="s">
        <v>3318</v>
      </c>
      <c r="D2753" s="1">
        <v>484905.59</v>
      </c>
      <c r="E2753" s="1">
        <v>22178.22</v>
      </c>
      <c r="F2753" s="41">
        <v>44253</v>
      </c>
      <c r="G2753" s="41">
        <v>44618</v>
      </c>
      <c r="H2753" s="1" t="s">
        <v>3453</v>
      </c>
      <c r="I2753" s="1" t="s">
        <v>3324</v>
      </c>
      <c r="J2753" t="str">
        <f>IF(ISNA(_xlfn.XLOOKUP(B2753,customer_master!$A$2:$A$1649, customer_master!$A$2:$A$1649)), "Invalid", "Ok")</f>
        <v>Ok</v>
      </c>
      <c r="K2753" t="str">
        <f>IF(ISNA(_xlfn.XLOOKUP(H2753,agent_info!$A$2:$A$301, agent_info!$A$2:$A$301)), "Invalid", "Ok")</f>
        <v>Ok</v>
      </c>
    </row>
    <row r="2754" spans="1:11" x14ac:dyDescent="0.3">
      <c r="A2754" s="1" t="s">
        <v>6373</v>
      </c>
      <c r="B2754" s="1" t="s">
        <v>554</v>
      </c>
      <c r="C2754" s="1" t="s">
        <v>3318</v>
      </c>
      <c r="D2754" s="1">
        <v>549507.74</v>
      </c>
      <c r="E2754" s="1">
        <v>28165.599999999999</v>
      </c>
      <c r="F2754" s="41">
        <v>44556</v>
      </c>
      <c r="G2754" s="41">
        <v>44921</v>
      </c>
      <c r="H2754" s="1" t="s">
        <v>3653</v>
      </c>
      <c r="I2754" s="1" t="s">
        <v>3324</v>
      </c>
      <c r="J2754" t="str">
        <f>IF(ISNA(_xlfn.XLOOKUP(B2754,customer_master!$A$2:$A$1649, customer_master!$A$2:$A$1649)), "Invalid", "Ok")</f>
        <v>Ok</v>
      </c>
      <c r="K2754" t="str">
        <f>IF(ISNA(_xlfn.XLOOKUP(H2754,agent_info!$A$2:$A$301, agent_info!$A$2:$A$301)), "Invalid", "Ok")</f>
        <v>Ok</v>
      </c>
    </row>
    <row r="2755" spans="1:11" x14ac:dyDescent="0.3">
      <c r="A2755" s="1" t="s">
        <v>6374</v>
      </c>
      <c r="B2755" s="1" t="s">
        <v>2680</v>
      </c>
      <c r="C2755" s="1" t="s">
        <v>3326</v>
      </c>
      <c r="D2755" s="1">
        <v>429160.25</v>
      </c>
      <c r="E2755" s="1">
        <v>22334.97</v>
      </c>
      <c r="F2755" s="41">
        <v>45114</v>
      </c>
      <c r="G2755" s="41">
        <v>45480</v>
      </c>
      <c r="H2755" s="1" t="s">
        <v>3431</v>
      </c>
      <c r="I2755" s="1" t="s">
        <v>3320</v>
      </c>
      <c r="J2755" t="str">
        <f>IF(ISNA(_xlfn.XLOOKUP(B2755,customer_master!$A$2:$A$1649, customer_master!$A$2:$A$1649)), "Invalid", "Ok")</f>
        <v>Ok</v>
      </c>
      <c r="K2755" t="str">
        <f>IF(ISNA(_xlfn.XLOOKUP(H2755,agent_info!$A$2:$A$301, agent_info!$A$2:$A$301)), "Invalid", "Ok")</f>
        <v>Ok</v>
      </c>
    </row>
    <row r="2756" spans="1:11" x14ac:dyDescent="0.3">
      <c r="A2756" s="1" t="s">
        <v>6375</v>
      </c>
      <c r="B2756" s="1" t="s">
        <v>2985</v>
      </c>
      <c r="C2756" s="1" t="s">
        <v>3326</v>
      </c>
      <c r="D2756" s="1">
        <v>582316.28</v>
      </c>
      <c r="E2756" s="1">
        <v>26900.81</v>
      </c>
      <c r="F2756" s="41">
        <v>44854</v>
      </c>
      <c r="G2756" s="41">
        <v>45219</v>
      </c>
      <c r="H2756" s="1" t="s">
        <v>3764</v>
      </c>
      <c r="I2756" s="1" t="s">
        <v>3324</v>
      </c>
      <c r="J2756" t="str">
        <f>IF(ISNA(_xlfn.XLOOKUP(B2756,customer_master!$A$2:$A$1649, customer_master!$A$2:$A$1649)), "Invalid", "Ok")</f>
        <v>Ok</v>
      </c>
      <c r="K2756" t="str">
        <f>IF(ISNA(_xlfn.XLOOKUP(H2756,agent_info!$A$2:$A$301, agent_info!$A$2:$A$301)), "Invalid", "Ok")</f>
        <v>Ok</v>
      </c>
    </row>
    <row r="2757" spans="1:11" x14ac:dyDescent="0.3">
      <c r="A2757" s="1" t="s">
        <v>6376</v>
      </c>
      <c r="B2757" s="1" t="s">
        <v>986</v>
      </c>
      <c r="C2757" s="1" t="s">
        <v>3326</v>
      </c>
      <c r="D2757" s="1">
        <v>587577.35</v>
      </c>
      <c r="E2757" s="1">
        <v>27656.44</v>
      </c>
      <c r="F2757" s="41">
        <v>45856</v>
      </c>
      <c r="G2757" s="41">
        <v>46221</v>
      </c>
      <c r="H2757" s="1" t="s">
        <v>3361</v>
      </c>
      <c r="I2757" s="1" t="s">
        <v>3324</v>
      </c>
      <c r="J2757" t="str">
        <f>IF(ISNA(_xlfn.XLOOKUP(B2757,customer_master!$A$2:$A$1649, customer_master!$A$2:$A$1649)), "Invalid", "Ok")</f>
        <v>Ok</v>
      </c>
      <c r="K2757" t="str">
        <f>IF(ISNA(_xlfn.XLOOKUP(H2757,agent_info!$A$2:$A$301, agent_info!$A$2:$A$301)), "Invalid", "Ok")</f>
        <v>Ok</v>
      </c>
    </row>
    <row r="2758" spans="1:11" x14ac:dyDescent="0.3">
      <c r="A2758" s="1" t="s">
        <v>6377</v>
      </c>
      <c r="B2758" s="1" t="s">
        <v>580</v>
      </c>
      <c r="C2758" s="1" t="s">
        <v>3314</v>
      </c>
      <c r="D2758" s="1">
        <v>466565.34</v>
      </c>
      <c r="E2758" s="1">
        <v>24675.54</v>
      </c>
      <c r="F2758" s="41">
        <v>45473</v>
      </c>
      <c r="G2758" s="41">
        <v>45838</v>
      </c>
      <c r="H2758" s="1" t="s">
        <v>3543</v>
      </c>
      <c r="I2758" s="1" t="s">
        <v>3324</v>
      </c>
      <c r="J2758" t="str">
        <f>IF(ISNA(_xlfn.XLOOKUP(B2758,customer_master!$A$2:$A$1649, customer_master!$A$2:$A$1649)), "Invalid", "Ok")</f>
        <v>Ok</v>
      </c>
      <c r="K2758" t="str">
        <f>IF(ISNA(_xlfn.XLOOKUP(H2758,agent_info!$A$2:$A$301, agent_info!$A$2:$A$301)), "Invalid", "Ok")</f>
        <v>Ok</v>
      </c>
    </row>
    <row r="2759" spans="1:11" x14ac:dyDescent="0.3">
      <c r="A2759" s="1" t="s">
        <v>6378</v>
      </c>
      <c r="B2759" s="1" t="s">
        <v>1392</v>
      </c>
      <c r="C2759" s="1" t="s">
        <v>3334</v>
      </c>
      <c r="D2759" s="1">
        <v>388307.64</v>
      </c>
      <c r="E2759" s="1">
        <v>21083.49</v>
      </c>
      <c r="F2759" s="41">
        <v>45003</v>
      </c>
      <c r="G2759" s="41">
        <v>45369</v>
      </c>
      <c r="H2759" s="1" t="s">
        <v>4187</v>
      </c>
      <c r="I2759" s="1" t="s">
        <v>3324</v>
      </c>
      <c r="J2759" t="str">
        <f>IF(ISNA(_xlfn.XLOOKUP(B2759,customer_master!$A$2:$A$1649, customer_master!$A$2:$A$1649)), "Invalid", "Ok")</f>
        <v>Ok</v>
      </c>
      <c r="K2759" t="str">
        <f>IF(ISNA(_xlfn.XLOOKUP(H2759,agent_info!$A$2:$A$301, agent_info!$A$2:$A$301)), "Invalid", "Ok")</f>
        <v>Ok</v>
      </c>
    </row>
    <row r="2760" spans="1:11" x14ac:dyDescent="0.3">
      <c r="A2760" s="1" t="s">
        <v>6379</v>
      </c>
      <c r="B2760" s="1" t="s">
        <v>2935</v>
      </c>
      <c r="C2760" s="1" t="s">
        <v>3318</v>
      </c>
      <c r="D2760" s="1">
        <v>406091.92</v>
      </c>
      <c r="E2760" s="1">
        <v>20209.12</v>
      </c>
      <c r="F2760" s="41">
        <v>46196</v>
      </c>
      <c r="G2760" s="41">
        <v>46561</v>
      </c>
      <c r="H2760" s="1" t="s">
        <v>4146</v>
      </c>
      <c r="I2760" s="1" t="s">
        <v>3324</v>
      </c>
      <c r="J2760" t="str">
        <f>IF(ISNA(_xlfn.XLOOKUP(B2760,customer_master!$A$2:$A$1649, customer_master!$A$2:$A$1649)), "Invalid", "Ok")</f>
        <v>Ok</v>
      </c>
      <c r="K2760" t="str">
        <f>IF(ISNA(_xlfn.XLOOKUP(H2760,agent_info!$A$2:$A$301, agent_info!$A$2:$A$301)), "Invalid", "Ok")</f>
        <v>Ok</v>
      </c>
    </row>
    <row r="2761" spans="1:11" x14ac:dyDescent="0.3">
      <c r="A2761" s="1" t="s">
        <v>6380</v>
      </c>
      <c r="B2761" s="1" t="s">
        <v>1362</v>
      </c>
      <c r="C2761" s="1" t="s">
        <v>3331</v>
      </c>
      <c r="D2761" s="1">
        <v>381663.24</v>
      </c>
      <c r="E2761" s="1">
        <v>20197.64</v>
      </c>
      <c r="F2761" s="41">
        <v>44292</v>
      </c>
      <c r="G2761" s="41">
        <v>44657</v>
      </c>
      <c r="H2761" s="1" t="s">
        <v>4025</v>
      </c>
      <c r="I2761" s="1" t="s">
        <v>3316</v>
      </c>
      <c r="J2761" t="str">
        <f>IF(ISNA(_xlfn.XLOOKUP(B2761,customer_master!$A$2:$A$1649, customer_master!$A$2:$A$1649)), "Invalid", "Ok")</f>
        <v>Ok</v>
      </c>
      <c r="K2761" t="str">
        <f>IF(ISNA(_xlfn.XLOOKUP(H2761,agent_info!$A$2:$A$301, agent_info!$A$2:$A$301)), "Invalid", "Ok")</f>
        <v>Ok</v>
      </c>
    </row>
    <row r="2762" spans="1:11" x14ac:dyDescent="0.3">
      <c r="A2762" s="1" t="s">
        <v>6381</v>
      </c>
      <c r="B2762" s="1" t="s">
        <v>389</v>
      </c>
      <c r="C2762" s="1" t="s">
        <v>3331</v>
      </c>
      <c r="D2762" s="1">
        <v>726907.7</v>
      </c>
      <c r="E2762" s="1">
        <v>35032.589999999997</v>
      </c>
      <c r="F2762" s="41">
        <v>44649</v>
      </c>
      <c r="G2762" s="41">
        <v>45014</v>
      </c>
      <c r="H2762" s="1" t="s">
        <v>3897</v>
      </c>
      <c r="I2762" s="1" t="s">
        <v>3324</v>
      </c>
      <c r="J2762" t="str">
        <f>IF(ISNA(_xlfn.XLOOKUP(B2762,customer_master!$A$2:$A$1649, customer_master!$A$2:$A$1649)), "Invalid", "Ok")</f>
        <v>Ok</v>
      </c>
      <c r="K2762" t="str">
        <f>IF(ISNA(_xlfn.XLOOKUP(H2762,agent_info!$A$2:$A$301, agent_info!$A$2:$A$301)), "Invalid", "Ok")</f>
        <v>Ok</v>
      </c>
    </row>
    <row r="2763" spans="1:11" x14ac:dyDescent="0.3">
      <c r="A2763" s="1" t="s">
        <v>6382</v>
      </c>
      <c r="B2763" s="1" t="s">
        <v>3267</v>
      </c>
      <c r="C2763" s="1" t="s">
        <v>3326</v>
      </c>
      <c r="D2763" s="1">
        <v>567582.99</v>
      </c>
      <c r="E2763" s="1">
        <v>29532.67</v>
      </c>
      <c r="F2763" s="41">
        <v>44739</v>
      </c>
      <c r="G2763" s="41">
        <v>45104</v>
      </c>
      <c r="H2763" s="1" t="s">
        <v>3332</v>
      </c>
      <c r="I2763" s="1" t="s">
        <v>3324</v>
      </c>
      <c r="J2763" t="str">
        <f>IF(ISNA(_xlfn.XLOOKUP(B2763,customer_master!$A$2:$A$1649, customer_master!$A$2:$A$1649)), "Invalid", "Ok")</f>
        <v>Ok</v>
      </c>
      <c r="K2763" t="str">
        <f>IF(ISNA(_xlfn.XLOOKUP(H2763,agent_info!$A$2:$A$301, agent_info!$A$2:$A$301)), "Invalid", "Ok")</f>
        <v>Ok</v>
      </c>
    </row>
    <row r="2764" spans="1:11" x14ac:dyDescent="0.3">
      <c r="A2764" s="1" t="s">
        <v>6383</v>
      </c>
      <c r="B2764" s="1" t="s">
        <v>1680</v>
      </c>
      <c r="C2764" s="1" t="s">
        <v>3314</v>
      </c>
      <c r="D2764" s="1">
        <v>438297.58</v>
      </c>
      <c r="E2764" s="1">
        <v>22165.67</v>
      </c>
      <c r="F2764" s="41">
        <v>44758</v>
      </c>
      <c r="G2764" s="41">
        <v>45123</v>
      </c>
      <c r="H2764" s="1" t="s">
        <v>3322</v>
      </c>
      <c r="I2764" s="1" t="s">
        <v>3316</v>
      </c>
      <c r="J2764" t="str">
        <f>IF(ISNA(_xlfn.XLOOKUP(B2764,customer_master!$A$2:$A$1649, customer_master!$A$2:$A$1649)), "Invalid", "Ok")</f>
        <v>Ok</v>
      </c>
      <c r="K2764" t="str">
        <f>IF(ISNA(_xlfn.XLOOKUP(H2764,agent_info!$A$2:$A$301, agent_info!$A$2:$A$301)), "Invalid", "Ok")</f>
        <v>Ok</v>
      </c>
    </row>
    <row r="2765" spans="1:11" x14ac:dyDescent="0.3">
      <c r="A2765" s="1" t="s">
        <v>6384</v>
      </c>
      <c r="B2765" s="1" t="s">
        <v>1163</v>
      </c>
      <c r="C2765" s="1" t="s">
        <v>3334</v>
      </c>
      <c r="D2765" s="1">
        <v>420617.48</v>
      </c>
      <c r="E2765" s="1">
        <v>22474.48</v>
      </c>
      <c r="F2765" s="41">
        <v>45313</v>
      </c>
      <c r="G2765" s="41">
        <v>45679</v>
      </c>
      <c r="H2765" s="1" t="s">
        <v>3803</v>
      </c>
      <c r="I2765" s="1" t="s">
        <v>3324</v>
      </c>
      <c r="J2765" t="str">
        <f>IF(ISNA(_xlfn.XLOOKUP(B2765,customer_master!$A$2:$A$1649, customer_master!$A$2:$A$1649)), "Invalid", "Ok")</f>
        <v>Ok</v>
      </c>
      <c r="K2765" t="str">
        <f>IF(ISNA(_xlfn.XLOOKUP(H2765,agent_info!$A$2:$A$301, agent_info!$A$2:$A$301)), "Invalid", "Ok")</f>
        <v>Ok</v>
      </c>
    </row>
    <row r="2766" spans="1:11" x14ac:dyDescent="0.3">
      <c r="A2766" s="1" t="s">
        <v>6385</v>
      </c>
      <c r="B2766" s="1" t="s">
        <v>2971</v>
      </c>
      <c r="C2766" s="1" t="s">
        <v>3331</v>
      </c>
      <c r="D2766" s="1">
        <v>693412.44</v>
      </c>
      <c r="E2766" s="1">
        <v>36583.75</v>
      </c>
      <c r="F2766" s="41">
        <v>45565</v>
      </c>
      <c r="G2766" s="41">
        <v>45930</v>
      </c>
      <c r="H2766" s="1" t="s">
        <v>3504</v>
      </c>
      <c r="I2766" s="1" t="s">
        <v>3324</v>
      </c>
      <c r="J2766" t="str">
        <f>IF(ISNA(_xlfn.XLOOKUP(B2766,customer_master!$A$2:$A$1649, customer_master!$A$2:$A$1649)), "Invalid", "Ok")</f>
        <v>Ok</v>
      </c>
      <c r="K2766" t="str">
        <f>IF(ISNA(_xlfn.XLOOKUP(H2766,agent_info!$A$2:$A$301, agent_info!$A$2:$A$301)), "Invalid", "Ok")</f>
        <v>Ok</v>
      </c>
    </row>
    <row r="2767" spans="1:11" x14ac:dyDescent="0.3">
      <c r="A2767" s="1" t="s">
        <v>6386</v>
      </c>
      <c r="B2767" s="1" t="s">
        <v>3082</v>
      </c>
      <c r="C2767" s="1" t="s">
        <v>3314</v>
      </c>
      <c r="D2767" s="1">
        <v>697250.24</v>
      </c>
      <c r="E2767" s="1">
        <v>33357.4</v>
      </c>
      <c r="F2767" s="41">
        <v>44783</v>
      </c>
      <c r="G2767" s="41">
        <v>45148</v>
      </c>
      <c r="H2767" s="1" t="s">
        <v>3472</v>
      </c>
      <c r="I2767" s="1" t="s">
        <v>3324</v>
      </c>
      <c r="J2767" t="str">
        <f>IF(ISNA(_xlfn.XLOOKUP(B2767,customer_master!$A$2:$A$1649, customer_master!$A$2:$A$1649)), "Invalid", "Ok")</f>
        <v>Ok</v>
      </c>
      <c r="K2767" t="str">
        <f>IF(ISNA(_xlfn.XLOOKUP(H2767,agent_info!$A$2:$A$301, agent_info!$A$2:$A$301)), "Invalid", "Ok")</f>
        <v>Ok</v>
      </c>
    </row>
    <row r="2768" spans="1:11" x14ac:dyDescent="0.3">
      <c r="A2768" s="1" t="s">
        <v>6387</v>
      </c>
      <c r="B2768" s="1" t="s">
        <v>1674</v>
      </c>
      <c r="C2768" s="1" t="s">
        <v>3318</v>
      </c>
      <c r="D2768" s="1">
        <v>728549.5</v>
      </c>
      <c r="E2768" s="1">
        <v>33873.58</v>
      </c>
      <c r="F2768" s="41">
        <v>45344</v>
      </c>
      <c r="G2768" s="41">
        <v>45710</v>
      </c>
      <c r="H2768" s="1" t="s">
        <v>3500</v>
      </c>
      <c r="I2768" s="1" t="s">
        <v>3324</v>
      </c>
      <c r="J2768" t="str">
        <f>IF(ISNA(_xlfn.XLOOKUP(B2768,customer_master!$A$2:$A$1649, customer_master!$A$2:$A$1649)), "Invalid", "Ok")</f>
        <v>Ok</v>
      </c>
      <c r="K2768" t="str">
        <f>IF(ISNA(_xlfn.XLOOKUP(H2768,agent_info!$A$2:$A$301, agent_info!$A$2:$A$301)), "Invalid", "Ok")</f>
        <v>Ok</v>
      </c>
    </row>
    <row r="2769" spans="1:11" x14ac:dyDescent="0.3">
      <c r="A2769" s="1" t="s">
        <v>6388</v>
      </c>
      <c r="B2769" s="1" t="s">
        <v>1033</v>
      </c>
      <c r="C2769" s="1" t="s">
        <v>3326</v>
      </c>
      <c r="D2769" s="1">
        <v>405745.72</v>
      </c>
      <c r="E2769" s="1">
        <v>21535.59</v>
      </c>
      <c r="F2769" s="41">
        <v>45574</v>
      </c>
      <c r="G2769" s="41">
        <v>45939</v>
      </c>
      <c r="H2769" s="1" t="s">
        <v>3627</v>
      </c>
      <c r="I2769" s="1" t="s">
        <v>3316</v>
      </c>
      <c r="J2769" t="str">
        <f>IF(ISNA(_xlfn.XLOOKUP(B2769,customer_master!$A$2:$A$1649, customer_master!$A$2:$A$1649)), "Invalid", "Ok")</f>
        <v>Ok</v>
      </c>
      <c r="K2769" t="str">
        <f>IF(ISNA(_xlfn.XLOOKUP(H2769,agent_info!$A$2:$A$301, agent_info!$A$2:$A$301)), "Invalid", "Ok")</f>
        <v>Ok</v>
      </c>
    </row>
    <row r="2770" spans="1:11" x14ac:dyDescent="0.3">
      <c r="A2770" s="1" t="s">
        <v>6389</v>
      </c>
      <c r="B2770" s="1" t="s">
        <v>1620</v>
      </c>
      <c r="C2770" s="1" t="s">
        <v>3318</v>
      </c>
      <c r="D2770" s="1">
        <v>575419.86</v>
      </c>
      <c r="E2770" s="1">
        <v>26082.59</v>
      </c>
      <c r="F2770" s="41">
        <v>44514</v>
      </c>
      <c r="G2770" s="41">
        <v>44879</v>
      </c>
      <c r="H2770" s="1" t="s">
        <v>3885</v>
      </c>
      <c r="I2770" s="1" t="s">
        <v>3316</v>
      </c>
      <c r="J2770" t="str">
        <f>IF(ISNA(_xlfn.XLOOKUP(B2770,customer_master!$A$2:$A$1649, customer_master!$A$2:$A$1649)), "Invalid", "Ok")</f>
        <v>Ok</v>
      </c>
      <c r="K2770" t="str">
        <f>IF(ISNA(_xlfn.XLOOKUP(H2770,agent_info!$A$2:$A$301, agent_info!$A$2:$A$301)), "Invalid", "Ok")</f>
        <v>Ok</v>
      </c>
    </row>
    <row r="2771" spans="1:11" x14ac:dyDescent="0.3">
      <c r="A2771" s="1" t="s">
        <v>6390</v>
      </c>
      <c r="B2771" s="1" t="s">
        <v>777</v>
      </c>
      <c r="C2771" s="1" t="s">
        <v>3334</v>
      </c>
      <c r="D2771" s="1">
        <v>431768.28</v>
      </c>
      <c r="E2771" s="1">
        <v>22361.45</v>
      </c>
      <c r="F2771" s="41">
        <v>44374</v>
      </c>
      <c r="G2771" s="41">
        <v>44739</v>
      </c>
      <c r="H2771" s="1" t="s">
        <v>4771</v>
      </c>
      <c r="I2771" s="1" t="s">
        <v>3324</v>
      </c>
      <c r="J2771" t="str">
        <f>IF(ISNA(_xlfn.XLOOKUP(B2771,customer_master!$A$2:$A$1649, customer_master!$A$2:$A$1649)), "Invalid", "Ok")</f>
        <v>Ok</v>
      </c>
      <c r="K2771" t="str">
        <f>IF(ISNA(_xlfn.XLOOKUP(H2771,agent_info!$A$2:$A$301, agent_info!$A$2:$A$301)), "Invalid", "Ok")</f>
        <v>Ok</v>
      </c>
    </row>
    <row r="2772" spans="1:11" x14ac:dyDescent="0.3">
      <c r="A2772" s="1" t="s">
        <v>6391</v>
      </c>
      <c r="B2772" s="1" t="s">
        <v>1602</v>
      </c>
      <c r="C2772" s="1" t="s">
        <v>3314</v>
      </c>
      <c r="D2772" s="1">
        <v>691321.23</v>
      </c>
      <c r="E2772" s="1">
        <v>34399.550000000003</v>
      </c>
      <c r="F2772" s="41">
        <v>45291</v>
      </c>
      <c r="G2772" s="41">
        <v>45657</v>
      </c>
      <c r="H2772" s="1" t="s">
        <v>3379</v>
      </c>
      <c r="I2772" s="1" t="s">
        <v>3316</v>
      </c>
      <c r="J2772" t="str">
        <f>IF(ISNA(_xlfn.XLOOKUP(B2772,customer_master!$A$2:$A$1649, customer_master!$A$2:$A$1649)), "Invalid", "Ok")</f>
        <v>Ok</v>
      </c>
      <c r="K2772" t="str">
        <f>IF(ISNA(_xlfn.XLOOKUP(H2772,agent_info!$A$2:$A$301, agent_info!$A$2:$A$301)), "Invalid", "Ok")</f>
        <v>Ok</v>
      </c>
    </row>
    <row r="2773" spans="1:11" x14ac:dyDescent="0.3">
      <c r="A2773" s="1" t="s">
        <v>6392</v>
      </c>
      <c r="B2773" s="1" t="s">
        <v>805</v>
      </c>
      <c r="C2773" s="1" t="s">
        <v>3331</v>
      </c>
      <c r="D2773" s="1">
        <v>538862.94999999995</v>
      </c>
      <c r="E2773" s="1">
        <v>24654.59</v>
      </c>
      <c r="F2773" s="41">
        <v>44736</v>
      </c>
      <c r="G2773" s="41">
        <v>45101</v>
      </c>
      <c r="H2773" s="1" t="s">
        <v>3672</v>
      </c>
      <c r="I2773" s="1" t="s">
        <v>3324</v>
      </c>
      <c r="J2773" t="str">
        <f>IF(ISNA(_xlfn.XLOOKUP(B2773,customer_master!$A$2:$A$1649, customer_master!$A$2:$A$1649)), "Invalid", "Ok")</f>
        <v>Ok</v>
      </c>
      <c r="K2773" t="str">
        <f>IF(ISNA(_xlfn.XLOOKUP(H2773,agent_info!$A$2:$A$301, agent_info!$A$2:$A$301)), "Invalid", "Ok")</f>
        <v>Ok</v>
      </c>
    </row>
    <row r="2774" spans="1:11" x14ac:dyDescent="0.3">
      <c r="A2774" s="1" t="s">
        <v>6393</v>
      </c>
      <c r="B2774" s="1" t="s">
        <v>2099</v>
      </c>
      <c r="C2774" s="1" t="s">
        <v>3314</v>
      </c>
      <c r="D2774" s="1">
        <v>652892.84</v>
      </c>
      <c r="E2774" s="1">
        <v>33875.74</v>
      </c>
      <c r="F2774" s="41">
        <v>44264</v>
      </c>
      <c r="G2774" s="41">
        <v>44629</v>
      </c>
      <c r="H2774" s="1" t="s">
        <v>4040</v>
      </c>
      <c r="I2774" s="1" t="s">
        <v>3324</v>
      </c>
      <c r="J2774" t="str">
        <f>IF(ISNA(_xlfn.XLOOKUP(B2774,customer_master!$A$2:$A$1649, customer_master!$A$2:$A$1649)), "Invalid", "Ok")</f>
        <v>Ok</v>
      </c>
      <c r="K2774" t="str">
        <f>IF(ISNA(_xlfn.XLOOKUP(H2774,agent_info!$A$2:$A$301, agent_info!$A$2:$A$301)), "Invalid", "Ok")</f>
        <v>Ok</v>
      </c>
    </row>
    <row r="2775" spans="1:11" x14ac:dyDescent="0.3">
      <c r="A2775" s="1" t="s">
        <v>6394</v>
      </c>
      <c r="B2775" s="1" t="s">
        <v>2533</v>
      </c>
      <c r="C2775" s="1" t="s">
        <v>3314</v>
      </c>
      <c r="D2775" s="1">
        <v>396670.77</v>
      </c>
      <c r="E2775" s="1">
        <v>19765.61</v>
      </c>
      <c r="F2775" s="41">
        <v>45319</v>
      </c>
      <c r="G2775" s="41">
        <v>45685</v>
      </c>
      <c r="H2775" s="1" t="s">
        <v>4058</v>
      </c>
      <c r="I2775" s="1" t="s">
        <v>3316</v>
      </c>
      <c r="J2775" t="str">
        <f>IF(ISNA(_xlfn.XLOOKUP(B2775,customer_master!$A$2:$A$1649, customer_master!$A$2:$A$1649)), "Invalid", "Ok")</f>
        <v>Ok</v>
      </c>
      <c r="K2775" t="str">
        <f>IF(ISNA(_xlfn.XLOOKUP(H2775,agent_info!$A$2:$A$301, agent_info!$A$2:$A$301)), "Invalid", "Ok")</f>
        <v>Ok</v>
      </c>
    </row>
    <row r="2776" spans="1:11" x14ac:dyDescent="0.3">
      <c r="A2776" s="1" t="s">
        <v>6395</v>
      </c>
      <c r="B2776" s="1" t="s">
        <v>3218</v>
      </c>
      <c r="C2776" s="1" t="s">
        <v>3326</v>
      </c>
      <c r="D2776" s="1">
        <v>622275.85</v>
      </c>
      <c r="E2776" s="1">
        <v>33354.620000000003</v>
      </c>
      <c r="F2776" s="41">
        <v>45454</v>
      </c>
      <c r="G2776" s="41">
        <v>45819</v>
      </c>
      <c r="H2776" s="1" t="s">
        <v>3738</v>
      </c>
      <c r="I2776" s="1" t="s">
        <v>3320</v>
      </c>
      <c r="J2776" t="str">
        <f>IF(ISNA(_xlfn.XLOOKUP(B2776,customer_master!$A$2:$A$1649, customer_master!$A$2:$A$1649)), "Invalid", "Ok")</f>
        <v>Ok</v>
      </c>
      <c r="K2776" t="str">
        <f>IF(ISNA(_xlfn.XLOOKUP(H2776,agent_info!$A$2:$A$301, agent_info!$A$2:$A$301)), "Invalid", "Ok")</f>
        <v>Ok</v>
      </c>
    </row>
    <row r="2777" spans="1:11" x14ac:dyDescent="0.3">
      <c r="A2777" s="1" t="s">
        <v>6396</v>
      </c>
      <c r="B2777" s="1" t="s">
        <v>2798</v>
      </c>
      <c r="C2777" s="1" t="s">
        <v>3326</v>
      </c>
      <c r="D2777" s="1">
        <v>430320.2</v>
      </c>
      <c r="E2777" s="1">
        <v>20262.189999999999</v>
      </c>
      <c r="F2777" s="41">
        <v>45273</v>
      </c>
      <c r="G2777" s="41">
        <v>45639</v>
      </c>
      <c r="H2777" s="1" t="s">
        <v>3557</v>
      </c>
      <c r="I2777" s="1" t="s">
        <v>3324</v>
      </c>
      <c r="J2777" t="str">
        <f>IF(ISNA(_xlfn.XLOOKUP(B2777,customer_master!$A$2:$A$1649, customer_master!$A$2:$A$1649)), "Invalid", "Ok")</f>
        <v>Ok</v>
      </c>
      <c r="K2777" t="str">
        <f>IF(ISNA(_xlfn.XLOOKUP(H2777,agent_info!$A$2:$A$301, agent_info!$A$2:$A$301)), "Invalid", "Ok")</f>
        <v>Ok</v>
      </c>
    </row>
    <row r="2778" spans="1:11" x14ac:dyDescent="0.3">
      <c r="A2778" s="1" t="s">
        <v>6397</v>
      </c>
      <c r="B2778" s="1" t="s">
        <v>322</v>
      </c>
      <c r="C2778" s="1" t="s">
        <v>3331</v>
      </c>
      <c r="D2778" s="1">
        <v>703029.86</v>
      </c>
      <c r="E2778" s="1">
        <v>31652.51</v>
      </c>
      <c r="F2778" s="41">
        <v>44901</v>
      </c>
      <c r="G2778" s="41">
        <v>45266</v>
      </c>
      <c r="H2778" s="1" t="s">
        <v>3433</v>
      </c>
      <c r="I2778" s="1" t="s">
        <v>3324</v>
      </c>
      <c r="J2778" t="str">
        <f>IF(ISNA(_xlfn.XLOOKUP(B2778,customer_master!$A$2:$A$1649, customer_master!$A$2:$A$1649)), "Invalid", "Ok")</f>
        <v>Ok</v>
      </c>
      <c r="K2778" t="str">
        <f>IF(ISNA(_xlfn.XLOOKUP(H2778,agent_info!$A$2:$A$301, agent_info!$A$2:$A$301)), "Invalid", "Ok")</f>
        <v>Ok</v>
      </c>
    </row>
    <row r="2779" spans="1:11" x14ac:dyDescent="0.3">
      <c r="A2779" s="1" t="s">
        <v>6398</v>
      </c>
      <c r="B2779" s="1" t="s">
        <v>753</v>
      </c>
      <c r="C2779" s="1" t="s">
        <v>3331</v>
      </c>
      <c r="D2779" s="1">
        <v>452405.01</v>
      </c>
      <c r="E2779" s="1">
        <v>20948.55</v>
      </c>
      <c r="F2779" s="41">
        <v>45997</v>
      </c>
      <c r="G2779" s="41">
        <v>46362</v>
      </c>
      <c r="H2779" s="1" t="s">
        <v>3457</v>
      </c>
      <c r="I2779" s="1" t="s">
        <v>3324</v>
      </c>
      <c r="J2779" t="str">
        <f>IF(ISNA(_xlfn.XLOOKUP(B2779,customer_master!$A$2:$A$1649, customer_master!$A$2:$A$1649)), "Invalid", "Ok")</f>
        <v>Ok</v>
      </c>
      <c r="K2779" t="str">
        <f>IF(ISNA(_xlfn.XLOOKUP(H2779,agent_info!$A$2:$A$301, agent_info!$A$2:$A$301)), "Invalid", "Ok")</f>
        <v>Ok</v>
      </c>
    </row>
    <row r="2780" spans="1:11" x14ac:dyDescent="0.3">
      <c r="A2780" s="1" t="s">
        <v>6399</v>
      </c>
      <c r="B2780" s="1" t="s">
        <v>1783</v>
      </c>
      <c r="C2780" s="1" t="s">
        <v>3314</v>
      </c>
      <c r="D2780" s="1">
        <v>689187.44</v>
      </c>
      <c r="E2780" s="1">
        <v>32871.550000000003</v>
      </c>
      <c r="F2780" s="41">
        <v>45034</v>
      </c>
      <c r="G2780" s="41">
        <v>45400</v>
      </c>
      <c r="H2780" s="1" t="s">
        <v>4309</v>
      </c>
      <c r="I2780" s="1" t="s">
        <v>3320</v>
      </c>
      <c r="J2780" t="str">
        <f>IF(ISNA(_xlfn.XLOOKUP(B2780,customer_master!$A$2:$A$1649, customer_master!$A$2:$A$1649)), "Invalid", "Ok")</f>
        <v>Ok</v>
      </c>
      <c r="K2780" t="str">
        <f>IF(ISNA(_xlfn.XLOOKUP(H2780,agent_info!$A$2:$A$301, agent_info!$A$2:$A$301)), "Invalid", "Ok")</f>
        <v>Ok</v>
      </c>
    </row>
    <row r="2781" spans="1:11" x14ac:dyDescent="0.3">
      <c r="A2781" s="1" t="s">
        <v>6400</v>
      </c>
      <c r="B2781" s="1" t="s">
        <v>885</v>
      </c>
      <c r="C2781" s="1" t="s">
        <v>3331</v>
      </c>
      <c r="D2781" s="1">
        <v>432661.34</v>
      </c>
      <c r="E2781" s="1">
        <v>22291.77</v>
      </c>
      <c r="F2781" s="41">
        <v>44380</v>
      </c>
      <c r="G2781" s="41">
        <v>44745</v>
      </c>
      <c r="H2781" s="1" t="s">
        <v>3817</v>
      </c>
      <c r="I2781" s="1" t="s">
        <v>3316</v>
      </c>
      <c r="J2781" t="str">
        <f>IF(ISNA(_xlfn.XLOOKUP(B2781,customer_master!$A$2:$A$1649, customer_master!$A$2:$A$1649)), "Invalid", "Ok")</f>
        <v>Ok</v>
      </c>
      <c r="K2781" t="str">
        <f>IF(ISNA(_xlfn.XLOOKUP(H2781,agent_info!$A$2:$A$301, agent_info!$A$2:$A$301)), "Invalid", "Ok")</f>
        <v>Ok</v>
      </c>
    </row>
    <row r="2782" spans="1:11" x14ac:dyDescent="0.3">
      <c r="A2782" s="1" t="s">
        <v>6401</v>
      </c>
      <c r="B2782" s="1" t="s">
        <v>83</v>
      </c>
      <c r="C2782" s="1" t="s">
        <v>3314</v>
      </c>
      <c r="D2782" s="1">
        <v>640415.64</v>
      </c>
      <c r="E2782" s="1">
        <v>31141.13</v>
      </c>
      <c r="F2782" s="41">
        <v>45045</v>
      </c>
      <c r="G2782" s="41">
        <v>45411</v>
      </c>
      <c r="H2782" s="1" t="s">
        <v>3767</v>
      </c>
      <c r="I2782" s="1" t="s">
        <v>3324</v>
      </c>
      <c r="J2782" t="str">
        <f>IF(ISNA(_xlfn.XLOOKUP(B2782,customer_master!$A$2:$A$1649, customer_master!$A$2:$A$1649)), "Invalid", "Ok")</f>
        <v>Ok</v>
      </c>
      <c r="K2782" t="str">
        <f>IF(ISNA(_xlfn.XLOOKUP(H2782,agent_info!$A$2:$A$301, agent_info!$A$2:$A$301)), "Invalid", "Ok")</f>
        <v>Ok</v>
      </c>
    </row>
    <row r="2783" spans="1:11" x14ac:dyDescent="0.3">
      <c r="A2783" s="1" t="s">
        <v>6402</v>
      </c>
      <c r="B2783" s="1" t="s">
        <v>2516</v>
      </c>
      <c r="C2783" s="1" t="s">
        <v>3334</v>
      </c>
      <c r="D2783" s="1">
        <v>685014.61</v>
      </c>
      <c r="E2783" s="1">
        <v>31635.67</v>
      </c>
      <c r="F2783" s="41">
        <v>44763</v>
      </c>
      <c r="G2783" s="41">
        <v>45128</v>
      </c>
      <c r="H2783" s="1" t="s">
        <v>4771</v>
      </c>
      <c r="I2783" s="1" t="s">
        <v>3320</v>
      </c>
      <c r="J2783" t="str">
        <f>IF(ISNA(_xlfn.XLOOKUP(B2783,customer_master!$A$2:$A$1649, customer_master!$A$2:$A$1649)), "Invalid", "Ok")</f>
        <v>Ok</v>
      </c>
      <c r="K2783" t="str">
        <f>IF(ISNA(_xlfn.XLOOKUP(H2783,agent_info!$A$2:$A$301, agent_info!$A$2:$A$301)), "Invalid", "Ok")</f>
        <v>Ok</v>
      </c>
    </row>
    <row r="2784" spans="1:11" x14ac:dyDescent="0.3">
      <c r="A2784" s="1" t="s">
        <v>6403</v>
      </c>
      <c r="B2784" s="1" t="s">
        <v>1213</v>
      </c>
      <c r="C2784" s="1" t="s">
        <v>3326</v>
      </c>
      <c r="D2784" s="1">
        <v>485181.5</v>
      </c>
      <c r="E2784" s="1">
        <v>26595.58</v>
      </c>
      <c r="F2784" s="41">
        <v>46126</v>
      </c>
      <c r="G2784" s="41">
        <v>46491</v>
      </c>
      <c r="H2784" s="1" t="s">
        <v>3905</v>
      </c>
      <c r="I2784" s="1" t="s">
        <v>3324</v>
      </c>
      <c r="J2784" t="str">
        <f>IF(ISNA(_xlfn.XLOOKUP(B2784,customer_master!$A$2:$A$1649, customer_master!$A$2:$A$1649)), "Invalid", "Ok")</f>
        <v>Ok</v>
      </c>
      <c r="K2784" t="str">
        <f>IF(ISNA(_xlfn.XLOOKUP(H2784,agent_info!$A$2:$A$301, agent_info!$A$2:$A$301)), "Invalid", "Ok")</f>
        <v>Ok</v>
      </c>
    </row>
    <row r="2785" spans="1:11" x14ac:dyDescent="0.3">
      <c r="A2785" s="1" t="s">
        <v>6404</v>
      </c>
      <c r="B2785" s="1" t="s">
        <v>252</v>
      </c>
      <c r="C2785" s="1" t="s">
        <v>3326</v>
      </c>
      <c r="D2785" s="1">
        <v>435516.41</v>
      </c>
      <c r="E2785" s="1">
        <v>20069.59</v>
      </c>
      <c r="F2785" s="41">
        <v>45639</v>
      </c>
      <c r="G2785" s="41">
        <v>46004</v>
      </c>
      <c r="H2785" s="1" t="s">
        <v>3738</v>
      </c>
      <c r="I2785" s="1" t="s">
        <v>3324</v>
      </c>
      <c r="J2785" t="str">
        <f>IF(ISNA(_xlfn.XLOOKUP(B2785,customer_master!$A$2:$A$1649, customer_master!$A$2:$A$1649)), "Invalid", "Ok")</f>
        <v>Ok</v>
      </c>
      <c r="K2785" t="str">
        <f>IF(ISNA(_xlfn.XLOOKUP(H2785,agent_info!$A$2:$A$301, agent_info!$A$2:$A$301)), "Invalid", "Ok")</f>
        <v>Ok</v>
      </c>
    </row>
    <row r="2786" spans="1:11" x14ac:dyDescent="0.3">
      <c r="A2786" s="1" t="s">
        <v>6405</v>
      </c>
      <c r="B2786" s="1" t="s">
        <v>1709</v>
      </c>
      <c r="C2786" s="1" t="s">
        <v>3318</v>
      </c>
      <c r="D2786" s="1">
        <v>508231.43</v>
      </c>
      <c r="E2786" s="1">
        <v>24675.25</v>
      </c>
      <c r="F2786" s="41">
        <v>45103</v>
      </c>
      <c r="G2786" s="41">
        <v>45469</v>
      </c>
      <c r="H2786" s="1" t="s">
        <v>3882</v>
      </c>
      <c r="I2786" s="1" t="s">
        <v>3324</v>
      </c>
      <c r="J2786" t="str">
        <f>IF(ISNA(_xlfn.XLOOKUP(B2786,customer_master!$A$2:$A$1649, customer_master!$A$2:$A$1649)), "Invalid", "Ok")</f>
        <v>Ok</v>
      </c>
      <c r="K2786" t="str">
        <f>IF(ISNA(_xlfn.XLOOKUP(H2786,agent_info!$A$2:$A$301, agent_info!$A$2:$A$301)), "Invalid", "Ok")</f>
        <v>Ok</v>
      </c>
    </row>
    <row r="2787" spans="1:11" x14ac:dyDescent="0.3">
      <c r="A2787" s="1" t="s">
        <v>6406</v>
      </c>
      <c r="B2787" s="1" t="s">
        <v>3238</v>
      </c>
      <c r="C2787" s="1" t="s">
        <v>3326</v>
      </c>
      <c r="D2787" s="1">
        <v>453807.08</v>
      </c>
      <c r="E2787" s="1">
        <v>24399.41</v>
      </c>
      <c r="F2787" s="41">
        <v>45014</v>
      </c>
      <c r="G2787" s="41">
        <v>45380</v>
      </c>
      <c r="H2787" s="1" t="s">
        <v>3337</v>
      </c>
      <c r="I2787" s="1" t="s">
        <v>3316</v>
      </c>
      <c r="J2787" t="str">
        <f>IF(ISNA(_xlfn.XLOOKUP(B2787,customer_master!$A$2:$A$1649, customer_master!$A$2:$A$1649)), "Invalid", "Ok")</f>
        <v>Ok</v>
      </c>
      <c r="K2787" t="str">
        <f>IF(ISNA(_xlfn.XLOOKUP(H2787,agent_info!$A$2:$A$301, agent_info!$A$2:$A$301)), "Invalid", "Ok")</f>
        <v>Ok</v>
      </c>
    </row>
    <row r="2788" spans="1:11" x14ac:dyDescent="0.3">
      <c r="A2788" s="1" t="s">
        <v>6407</v>
      </c>
      <c r="B2788" s="1" t="s">
        <v>2268</v>
      </c>
      <c r="C2788" s="1" t="s">
        <v>3318</v>
      </c>
      <c r="D2788" s="1">
        <v>617299.18999999994</v>
      </c>
      <c r="E2788" s="1">
        <v>31807.05</v>
      </c>
      <c r="F2788" s="41">
        <v>44998</v>
      </c>
      <c r="G2788" s="41">
        <v>45364</v>
      </c>
      <c r="H2788" s="1" t="s">
        <v>3704</v>
      </c>
      <c r="I2788" s="1" t="s">
        <v>3324</v>
      </c>
      <c r="J2788" t="str">
        <f>IF(ISNA(_xlfn.XLOOKUP(B2788,customer_master!$A$2:$A$1649, customer_master!$A$2:$A$1649)), "Invalid", "Ok")</f>
        <v>Ok</v>
      </c>
      <c r="K2788" t="str">
        <f>IF(ISNA(_xlfn.XLOOKUP(H2788,agent_info!$A$2:$A$301, agent_info!$A$2:$A$301)), "Invalid", "Ok")</f>
        <v>Ok</v>
      </c>
    </row>
    <row r="2789" spans="1:11" x14ac:dyDescent="0.3">
      <c r="A2789" s="1" t="s">
        <v>6408</v>
      </c>
      <c r="B2789" s="1" t="s">
        <v>562</v>
      </c>
      <c r="C2789" s="1" t="s">
        <v>3318</v>
      </c>
      <c r="D2789" s="1">
        <v>394844.34</v>
      </c>
      <c r="E2789" s="1">
        <v>19030.7</v>
      </c>
      <c r="F2789" s="41">
        <v>44976</v>
      </c>
      <c r="G2789" s="41">
        <v>45341</v>
      </c>
      <c r="H2789" s="1" t="s">
        <v>4004</v>
      </c>
      <c r="I2789" s="1" t="s">
        <v>3324</v>
      </c>
      <c r="J2789" t="str">
        <f>IF(ISNA(_xlfn.XLOOKUP(B2789,customer_master!$A$2:$A$1649, customer_master!$A$2:$A$1649)), "Invalid", "Ok")</f>
        <v>Ok</v>
      </c>
      <c r="K2789" t="str">
        <f>IF(ISNA(_xlfn.XLOOKUP(H2789,agent_info!$A$2:$A$301, agent_info!$A$2:$A$301)), "Invalid", "Ok")</f>
        <v>Ok</v>
      </c>
    </row>
    <row r="2790" spans="1:11" x14ac:dyDescent="0.3">
      <c r="A2790" s="1" t="s">
        <v>6409</v>
      </c>
      <c r="B2790" s="1" t="s">
        <v>1729</v>
      </c>
      <c r="C2790" s="1" t="s">
        <v>3334</v>
      </c>
      <c r="D2790" s="1">
        <v>400953.01</v>
      </c>
      <c r="E2790" s="1">
        <v>21933.52</v>
      </c>
      <c r="F2790" s="41">
        <v>44137</v>
      </c>
      <c r="G2790" s="41">
        <v>44502</v>
      </c>
      <c r="H2790" s="1" t="s">
        <v>3532</v>
      </c>
      <c r="I2790" s="1" t="s">
        <v>3316</v>
      </c>
      <c r="J2790" t="str">
        <f>IF(ISNA(_xlfn.XLOOKUP(B2790,customer_master!$A$2:$A$1649, customer_master!$A$2:$A$1649)), "Invalid", "Ok")</f>
        <v>Ok</v>
      </c>
      <c r="K2790" t="str">
        <f>IF(ISNA(_xlfn.XLOOKUP(H2790,agent_info!$A$2:$A$301, agent_info!$A$2:$A$301)), "Invalid", "Ok")</f>
        <v>Ok</v>
      </c>
    </row>
    <row r="2791" spans="1:11" x14ac:dyDescent="0.3">
      <c r="A2791" s="1" t="s">
        <v>6410</v>
      </c>
      <c r="B2791" s="1" t="s">
        <v>2995</v>
      </c>
      <c r="C2791" s="1" t="s">
        <v>3318</v>
      </c>
      <c r="D2791" s="1">
        <v>486778.04</v>
      </c>
      <c r="E2791" s="1">
        <v>24344.25</v>
      </c>
      <c r="F2791" s="41">
        <v>45302</v>
      </c>
      <c r="G2791" s="41">
        <v>45668</v>
      </c>
      <c r="H2791" s="1" t="s">
        <v>3593</v>
      </c>
      <c r="I2791" s="1" t="s">
        <v>3324</v>
      </c>
      <c r="J2791" t="str">
        <f>IF(ISNA(_xlfn.XLOOKUP(B2791,customer_master!$A$2:$A$1649, customer_master!$A$2:$A$1649)), "Invalid", "Ok")</f>
        <v>Ok</v>
      </c>
      <c r="K2791" t="str">
        <f>IF(ISNA(_xlfn.XLOOKUP(H2791,agent_info!$A$2:$A$301, agent_info!$A$2:$A$301)), "Invalid", "Ok")</f>
        <v>Ok</v>
      </c>
    </row>
    <row r="2792" spans="1:11" x14ac:dyDescent="0.3">
      <c r="A2792" s="1" t="s">
        <v>6411</v>
      </c>
      <c r="B2792" s="1" t="s">
        <v>212</v>
      </c>
      <c r="C2792" s="1" t="s">
        <v>3331</v>
      </c>
      <c r="D2792" s="1">
        <v>487165.34</v>
      </c>
      <c r="E2792" s="1">
        <v>21961.95</v>
      </c>
      <c r="F2792" s="41">
        <v>46175</v>
      </c>
      <c r="G2792" s="41">
        <v>46540</v>
      </c>
      <c r="H2792" s="1" t="s">
        <v>4400</v>
      </c>
      <c r="I2792" s="1" t="s">
        <v>3324</v>
      </c>
      <c r="J2792" t="str">
        <f>IF(ISNA(_xlfn.XLOOKUP(B2792,customer_master!$A$2:$A$1649, customer_master!$A$2:$A$1649)), "Invalid", "Ok")</f>
        <v>Ok</v>
      </c>
      <c r="K2792" t="str">
        <f>IF(ISNA(_xlfn.XLOOKUP(H2792,agent_info!$A$2:$A$301, agent_info!$A$2:$A$301)), "Invalid", "Ok")</f>
        <v>Ok</v>
      </c>
    </row>
    <row r="2793" spans="1:11" x14ac:dyDescent="0.3">
      <c r="A2793" s="1" t="s">
        <v>6412</v>
      </c>
      <c r="B2793" s="1" t="s">
        <v>2143</v>
      </c>
      <c r="C2793" s="1" t="s">
        <v>3326</v>
      </c>
      <c r="D2793" s="1">
        <v>411974.58</v>
      </c>
      <c r="E2793" s="1">
        <v>18564.25</v>
      </c>
      <c r="F2793" s="41">
        <v>44999</v>
      </c>
      <c r="G2793" s="41">
        <v>45365</v>
      </c>
      <c r="H2793" s="1" t="s">
        <v>3347</v>
      </c>
      <c r="I2793" s="1" t="s">
        <v>3316</v>
      </c>
      <c r="J2793" t="str">
        <f>IF(ISNA(_xlfn.XLOOKUP(B2793,customer_master!$A$2:$A$1649, customer_master!$A$2:$A$1649)), "Invalid", "Ok")</f>
        <v>Ok</v>
      </c>
      <c r="K2793" t="str">
        <f>IF(ISNA(_xlfn.XLOOKUP(H2793,agent_info!$A$2:$A$301, agent_info!$A$2:$A$301)), "Invalid", "Ok")</f>
        <v>Ok</v>
      </c>
    </row>
    <row r="2794" spans="1:11" x14ac:dyDescent="0.3">
      <c r="A2794" s="1" t="s">
        <v>6413</v>
      </c>
      <c r="B2794" s="1" t="s">
        <v>2414</v>
      </c>
      <c r="C2794" s="1" t="s">
        <v>3318</v>
      </c>
      <c r="D2794" s="1">
        <v>648956.05000000005</v>
      </c>
      <c r="E2794" s="1">
        <v>35309.760000000002</v>
      </c>
      <c r="F2794" s="41">
        <v>45733</v>
      </c>
      <c r="G2794" s="41">
        <v>46098</v>
      </c>
      <c r="H2794" s="1" t="s">
        <v>3725</v>
      </c>
      <c r="I2794" s="1" t="s">
        <v>3316</v>
      </c>
      <c r="J2794" t="str">
        <f>IF(ISNA(_xlfn.XLOOKUP(B2794,customer_master!$A$2:$A$1649, customer_master!$A$2:$A$1649)), "Invalid", "Ok")</f>
        <v>Ok</v>
      </c>
      <c r="K2794" t="str">
        <f>IF(ISNA(_xlfn.XLOOKUP(H2794,agent_info!$A$2:$A$301, agent_info!$A$2:$A$301)), "Invalid", "Ok")</f>
        <v>Ok</v>
      </c>
    </row>
    <row r="2795" spans="1:11" x14ac:dyDescent="0.3">
      <c r="A2795" s="1" t="s">
        <v>6414</v>
      </c>
      <c r="B2795" s="1" t="s">
        <v>2353</v>
      </c>
      <c r="C2795" s="1" t="s">
        <v>3314</v>
      </c>
      <c r="D2795" s="1">
        <v>394148.73</v>
      </c>
      <c r="E2795" s="1">
        <v>18844.96</v>
      </c>
      <c r="F2795" s="41">
        <v>45425</v>
      </c>
      <c r="G2795" s="41">
        <v>45790</v>
      </c>
      <c r="H2795" s="1" t="s">
        <v>4045</v>
      </c>
      <c r="I2795" s="1" t="s">
        <v>3324</v>
      </c>
      <c r="J2795" t="str">
        <f>IF(ISNA(_xlfn.XLOOKUP(B2795,customer_master!$A$2:$A$1649, customer_master!$A$2:$A$1649)), "Invalid", "Ok")</f>
        <v>Ok</v>
      </c>
      <c r="K2795" t="str">
        <f>IF(ISNA(_xlfn.XLOOKUP(H2795,agent_info!$A$2:$A$301, agent_info!$A$2:$A$301)), "Invalid", "Ok")</f>
        <v>Ok</v>
      </c>
    </row>
    <row r="2796" spans="1:11" x14ac:dyDescent="0.3">
      <c r="A2796" s="1" t="s">
        <v>6415</v>
      </c>
      <c r="B2796" s="1" t="s">
        <v>530</v>
      </c>
      <c r="C2796" s="1" t="s">
        <v>3334</v>
      </c>
      <c r="D2796" s="1">
        <v>740830.39</v>
      </c>
      <c r="E2796" s="1">
        <v>39353.39</v>
      </c>
      <c r="F2796" s="41">
        <v>44739</v>
      </c>
      <c r="G2796" s="41">
        <v>45104</v>
      </c>
      <c r="H2796" s="1" t="s">
        <v>3455</v>
      </c>
      <c r="I2796" s="1" t="s">
        <v>3324</v>
      </c>
      <c r="J2796" t="str">
        <f>IF(ISNA(_xlfn.XLOOKUP(B2796,customer_master!$A$2:$A$1649, customer_master!$A$2:$A$1649)), "Invalid", "Ok")</f>
        <v>Ok</v>
      </c>
      <c r="K2796" t="str">
        <f>IF(ISNA(_xlfn.XLOOKUP(H2796,agent_info!$A$2:$A$301, agent_info!$A$2:$A$301)), "Invalid", "Ok")</f>
        <v>Ok</v>
      </c>
    </row>
    <row r="2797" spans="1:11" x14ac:dyDescent="0.3">
      <c r="A2797" s="1" t="s">
        <v>6416</v>
      </c>
      <c r="B2797" s="1" t="s">
        <v>3016</v>
      </c>
      <c r="C2797" s="1" t="s">
        <v>3331</v>
      </c>
      <c r="D2797" s="1">
        <v>670481.22</v>
      </c>
      <c r="E2797" s="1">
        <v>30463.72</v>
      </c>
      <c r="F2797" s="41">
        <v>44608</v>
      </c>
      <c r="G2797" s="41">
        <v>44973</v>
      </c>
      <c r="H2797" s="1" t="s">
        <v>3801</v>
      </c>
      <c r="I2797" s="1" t="s">
        <v>3324</v>
      </c>
      <c r="J2797" t="str">
        <f>IF(ISNA(_xlfn.XLOOKUP(B2797,customer_master!$A$2:$A$1649, customer_master!$A$2:$A$1649)), "Invalid", "Ok")</f>
        <v>Ok</v>
      </c>
      <c r="K2797" t="str">
        <f>IF(ISNA(_xlfn.XLOOKUP(H2797,agent_info!$A$2:$A$301, agent_info!$A$2:$A$301)), "Invalid", "Ok")</f>
        <v>Ok</v>
      </c>
    </row>
    <row r="2798" spans="1:11" x14ac:dyDescent="0.3">
      <c r="A2798" s="1" t="s">
        <v>6417</v>
      </c>
      <c r="B2798" s="1" t="s">
        <v>1087</v>
      </c>
      <c r="C2798" s="1" t="s">
        <v>3334</v>
      </c>
      <c r="D2798" s="1">
        <v>540138.72</v>
      </c>
      <c r="E2798" s="1">
        <v>25099.8</v>
      </c>
      <c r="F2798" s="41">
        <v>45199</v>
      </c>
      <c r="G2798" s="41">
        <v>45565</v>
      </c>
      <c r="H2798" s="1" t="s">
        <v>3601</v>
      </c>
      <c r="I2798" s="1" t="s">
        <v>3316</v>
      </c>
      <c r="J2798" t="str">
        <f>IF(ISNA(_xlfn.XLOOKUP(B2798,customer_master!$A$2:$A$1649, customer_master!$A$2:$A$1649)), "Invalid", "Ok")</f>
        <v>Ok</v>
      </c>
      <c r="K2798" t="str">
        <f>IF(ISNA(_xlfn.XLOOKUP(H2798,agent_info!$A$2:$A$301, agent_info!$A$2:$A$301)), "Invalid", "Ok")</f>
        <v>Ok</v>
      </c>
    </row>
    <row r="2799" spans="1:11" x14ac:dyDescent="0.3">
      <c r="A2799" s="1" t="s">
        <v>6418</v>
      </c>
      <c r="B2799" s="1" t="s">
        <v>204</v>
      </c>
      <c r="C2799" s="1" t="s">
        <v>3334</v>
      </c>
      <c r="D2799" s="1">
        <v>715689.75</v>
      </c>
      <c r="E2799" s="1">
        <v>38337.919999999998</v>
      </c>
      <c r="F2799" s="41">
        <v>44355</v>
      </c>
      <c r="G2799" s="41">
        <v>44720</v>
      </c>
      <c r="H2799" s="1" t="s">
        <v>3361</v>
      </c>
      <c r="I2799" s="1" t="s">
        <v>3316</v>
      </c>
      <c r="J2799" t="str">
        <f>IF(ISNA(_xlfn.XLOOKUP(B2799,customer_master!$A$2:$A$1649, customer_master!$A$2:$A$1649)), "Invalid", "Ok")</f>
        <v>Ok</v>
      </c>
      <c r="K2799" t="str">
        <f>IF(ISNA(_xlfn.XLOOKUP(H2799,agent_info!$A$2:$A$301, agent_info!$A$2:$A$301)), "Invalid", "Ok")</f>
        <v>Ok</v>
      </c>
    </row>
    <row r="2800" spans="1:11" x14ac:dyDescent="0.3">
      <c r="A2800" s="1" t="s">
        <v>6419</v>
      </c>
      <c r="B2800" s="1" t="s">
        <v>314</v>
      </c>
      <c r="C2800" s="1" t="s">
        <v>3314</v>
      </c>
      <c r="D2800" s="1">
        <v>622989.1</v>
      </c>
      <c r="E2800" s="1">
        <v>34227.589999999997</v>
      </c>
      <c r="F2800" s="41">
        <v>45267</v>
      </c>
      <c r="G2800" s="41">
        <v>45633</v>
      </c>
      <c r="H2800" s="1" t="s">
        <v>3764</v>
      </c>
      <c r="I2800" s="1" t="s">
        <v>3324</v>
      </c>
      <c r="J2800" t="str">
        <f>IF(ISNA(_xlfn.XLOOKUP(B2800,customer_master!$A$2:$A$1649, customer_master!$A$2:$A$1649)), "Invalid", "Ok")</f>
        <v>Ok</v>
      </c>
      <c r="K2800" t="str">
        <f>IF(ISNA(_xlfn.XLOOKUP(H2800,agent_info!$A$2:$A$301, agent_info!$A$2:$A$301)), "Invalid", "Ok")</f>
        <v>Ok</v>
      </c>
    </row>
    <row r="2801" spans="1:11" x14ac:dyDescent="0.3">
      <c r="A2801" s="1" t="s">
        <v>6420</v>
      </c>
      <c r="B2801" s="1" t="s">
        <v>1537</v>
      </c>
      <c r="C2801" s="1" t="s">
        <v>3334</v>
      </c>
      <c r="D2801" s="1">
        <v>604538.38</v>
      </c>
      <c r="E2801" s="1">
        <v>27518.12</v>
      </c>
      <c r="F2801" s="41">
        <v>45316</v>
      </c>
      <c r="G2801" s="41">
        <v>45682</v>
      </c>
      <c r="H2801" s="1" t="s">
        <v>4004</v>
      </c>
      <c r="I2801" s="1" t="s">
        <v>3324</v>
      </c>
      <c r="J2801" t="str">
        <f>IF(ISNA(_xlfn.XLOOKUP(B2801,customer_master!$A$2:$A$1649, customer_master!$A$2:$A$1649)), "Invalid", "Ok")</f>
        <v>Ok</v>
      </c>
      <c r="K2801" t="str">
        <f>IF(ISNA(_xlfn.XLOOKUP(H2801,agent_info!$A$2:$A$301, agent_info!$A$2:$A$301)), "Invalid", "Ok")</f>
        <v>Ok</v>
      </c>
    </row>
    <row r="2802" spans="1:11" x14ac:dyDescent="0.3">
      <c r="A2802" s="1" t="s">
        <v>6421</v>
      </c>
      <c r="B2802" s="1" t="s">
        <v>168</v>
      </c>
      <c r="C2802" s="1" t="s">
        <v>3314</v>
      </c>
      <c r="D2802" s="1">
        <v>505511.88</v>
      </c>
      <c r="E2802" s="1">
        <v>23595.46</v>
      </c>
      <c r="F2802" s="41">
        <v>44720</v>
      </c>
      <c r="G2802" s="41">
        <v>45085</v>
      </c>
      <c r="H2802" s="1" t="s">
        <v>3557</v>
      </c>
      <c r="I2802" s="1" t="s">
        <v>3320</v>
      </c>
      <c r="J2802" t="str">
        <f>IF(ISNA(_xlfn.XLOOKUP(B2802,customer_master!$A$2:$A$1649, customer_master!$A$2:$A$1649)), "Invalid", "Ok")</f>
        <v>Ok</v>
      </c>
      <c r="K2802" t="str">
        <f>IF(ISNA(_xlfn.XLOOKUP(H2802,agent_info!$A$2:$A$301, agent_info!$A$2:$A$301)), "Invalid", "Ok")</f>
        <v>Ok</v>
      </c>
    </row>
    <row r="2803" spans="1:11" x14ac:dyDescent="0.3">
      <c r="A2803" s="1" t="s">
        <v>6422</v>
      </c>
      <c r="B2803" s="1" t="s">
        <v>2591</v>
      </c>
      <c r="C2803" s="1" t="s">
        <v>3331</v>
      </c>
      <c r="D2803" s="1">
        <v>634474.43000000005</v>
      </c>
      <c r="E2803" s="1">
        <v>33138.04</v>
      </c>
      <c r="F2803" s="41">
        <v>45732</v>
      </c>
      <c r="G2803" s="41">
        <v>46097</v>
      </c>
      <c r="H2803" s="1" t="s">
        <v>3545</v>
      </c>
      <c r="I2803" s="1" t="s">
        <v>3324</v>
      </c>
      <c r="J2803" t="str">
        <f>IF(ISNA(_xlfn.XLOOKUP(B2803,customer_master!$A$2:$A$1649, customer_master!$A$2:$A$1649)), "Invalid", "Ok")</f>
        <v>Ok</v>
      </c>
      <c r="K2803" t="str">
        <f>IF(ISNA(_xlfn.XLOOKUP(H2803,agent_info!$A$2:$A$301, agent_info!$A$2:$A$301)), "Invalid", "Ok")</f>
        <v>Ok</v>
      </c>
    </row>
    <row r="2804" spans="1:11" x14ac:dyDescent="0.3">
      <c r="A2804" s="1" t="s">
        <v>6423</v>
      </c>
      <c r="B2804" s="1" t="s">
        <v>2879</v>
      </c>
      <c r="C2804" s="1" t="s">
        <v>3314</v>
      </c>
      <c r="D2804" s="1">
        <v>438782.46</v>
      </c>
      <c r="E2804" s="1">
        <v>22068.58</v>
      </c>
      <c r="F2804" s="41">
        <v>44937</v>
      </c>
      <c r="G2804" s="41">
        <v>45302</v>
      </c>
      <c r="H2804" s="1" t="s">
        <v>3662</v>
      </c>
      <c r="I2804" s="1" t="s">
        <v>3324</v>
      </c>
      <c r="J2804" t="str">
        <f>IF(ISNA(_xlfn.XLOOKUP(B2804,customer_master!$A$2:$A$1649, customer_master!$A$2:$A$1649)), "Invalid", "Ok")</f>
        <v>Ok</v>
      </c>
      <c r="K2804" t="str">
        <f>IF(ISNA(_xlfn.XLOOKUP(H2804,agent_info!$A$2:$A$301, agent_info!$A$2:$A$301)), "Invalid", "Ok")</f>
        <v>Ok</v>
      </c>
    </row>
    <row r="2805" spans="1:11" x14ac:dyDescent="0.3">
      <c r="A2805" s="1" t="s">
        <v>6424</v>
      </c>
      <c r="B2805" s="1" t="s">
        <v>79</v>
      </c>
      <c r="C2805" s="1" t="s">
        <v>3314</v>
      </c>
      <c r="D2805" s="1">
        <v>587086.23</v>
      </c>
      <c r="E2805" s="1">
        <v>28802.25</v>
      </c>
      <c r="F2805" s="41">
        <v>44960</v>
      </c>
      <c r="G2805" s="41">
        <v>45325</v>
      </c>
      <c r="H2805" s="1" t="s">
        <v>3562</v>
      </c>
      <c r="I2805" s="1" t="s">
        <v>3324</v>
      </c>
      <c r="J2805" t="str">
        <f>IF(ISNA(_xlfn.XLOOKUP(B2805,customer_master!$A$2:$A$1649, customer_master!$A$2:$A$1649)), "Invalid", "Ok")</f>
        <v>Ok</v>
      </c>
      <c r="K2805" t="str">
        <f>IF(ISNA(_xlfn.XLOOKUP(H2805,agent_info!$A$2:$A$301, agent_info!$A$2:$A$301)), "Invalid", "Ok")</f>
        <v>Ok</v>
      </c>
    </row>
    <row r="2806" spans="1:11" x14ac:dyDescent="0.3">
      <c r="A2806" s="1" t="s">
        <v>6425</v>
      </c>
      <c r="B2806" s="1" t="s">
        <v>2684</v>
      </c>
      <c r="C2806" s="1" t="s">
        <v>3314</v>
      </c>
      <c r="D2806" s="1">
        <v>429702.37</v>
      </c>
      <c r="E2806" s="1">
        <v>20172.240000000002</v>
      </c>
      <c r="F2806" s="41">
        <v>44090</v>
      </c>
      <c r="G2806" s="41">
        <v>44455</v>
      </c>
      <c r="H2806" s="1" t="s">
        <v>3464</v>
      </c>
      <c r="I2806" s="1" t="s">
        <v>3324</v>
      </c>
      <c r="J2806" t="str">
        <f>IF(ISNA(_xlfn.XLOOKUP(B2806,customer_master!$A$2:$A$1649, customer_master!$A$2:$A$1649)), "Invalid", "Ok")</f>
        <v>Ok</v>
      </c>
      <c r="K2806" t="str">
        <f>IF(ISNA(_xlfn.XLOOKUP(H2806,agent_info!$A$2:$A$301, agent_info!$A$2:$A$301)), "Invalid", "Ok")</f>
        <v>Ok</v>
      </c>
    </row>
    <row r="2807" spans="1:11" x14ac:dyDescent="0.3">
      <c r="A2807" s="1" t="s">
        <v>6426</v>
      </c>
      <c r="B2807" s="1" t="s">
        <v>3249</v>
      </c>
      <c r="C2807" s="1" t="s">
        <v>3318</v>
      </c>
      <c r="D2807" s="1">
        <v>546265.54</v>
      </c>
      <c r="E2807" s="1">
        <v>29746.54</v>
      </c>
      <c r="F2807" s="41">
        <v>45846</v>
      </c>
      <c r="G2807" s="41">
        <v>46211</v>
      </c>
      <c r="H2807" s="1" t="s">
        <v>3747</v>
      </c>
      <c r="I2807" s="1" t="s">
        <v>3324</v>
      </c>
      <c r="J2807" t="str">
        <f>IF(ISNA(_xlfn.XLOOKUP(B2807,customer_master!$A$2:$A$1649, customer_master!$A$2:$A$1649)), "Invalid", "Ok")</f>
        <v>Ok</v>
      </c>
      <c r="K2807" t="str">
        <f>IF(ISNA(_xlfn.XLOOKUP(H2807,agent_info!$A$2:$A$301, agent_info!$A$2:$A$301)), "Invalid", "Ok")</f>
        <v>Ok</v>
      </c>
    </row>
    <row r="2808" spans="1:11" x14ac:dyDescent="0.3">
      <c r="A2808" s="1" t="s">
        <v>6427</v>
      </c>
      <c r="B2808" s="1" t="s">
        <v>133</v>
      </c>
      <c r="C2808" s="1" t="s">
        <v>3314</v>
      </c>
      <c r="D2808" s="1">
        <v>622264.42000000004</v>
      </c>
      <c r="E2808" s="1">
        <v>29073.86</v>
      </c>
      <c r="F2808" s="41">
        <v>45994</v>
      </c>
      <c r="G2808" s="41">
        <v>46359</v>
      </c>
      <c r="H2808" s="1" t="s">
        <v>3345</v>
      </c>
      <c r="I2808" s="1" t="s">
        <v>3320</v>
      </c>
      <c r="J2808" t="str">
        <f>IF(ISNA(_xlfn.XLOOKUP(B2808,customer_master!$A$2:$A$1649, customer_master!$A$2:$A$1649)), "Invalid", "Ok")</f>
        <v>Ok</v>
      </c>
      <c r="K2808" t="str">
        <f>IF(ISNA(_xlfn.XLOOKUP(H2808,agent_info!$A$2:$A$301, agent_info!$A$2:$A$301)), "Invalid", "Ok")</f>
        <v>Ok</v>
      </c>
    </row>
    <row r="2809" spans="1:11" x14ac:dyDescent="0.3">
      <c r="A2809" s="1" t="s">
        <v>6428</v>
      </c>
      <c r="B2809" s="1" t="s">
        <v>2426</v>
      </c>
      <c r="C2809" s="1" t="s">
        <v>3326</v>
      </c>
      <c r="D2809" s="1">
        <v>404426.2</v>
      </c>
      <c r="E2809" s="1">
        <v>19271.919999999998</v>
      </c>
      <c r="F2809" s="41">
        <v>45085</v>
      </c>
      <c r="G2809" s="41">
        <v>45451</v>
      </c>
      <c r="H2809" s="1" t="s">
        <v>4179</v>
      </c>
      <c r="I2809" s="1" t="s">
        <v>3324</v>
      </c>
      <c r="J2809" t="str">
        <f>IF(ISNA(_xlfn.XLOOKUP(B2809,customer_master!$A$2:$A$1649, customer_master!$A$2:$A$1649)), "Invalid", "Ok")</f>
        <v>Ok</v>
      </c>
      <c r="K2809" t="str">
        <f>IF(ISNA(_xlfn.XLOOKUP(H2809,agent_info!$A$2:$A$301, agent_info!$A$2:$A$301)), "Invalid", "Ok")</f>
        <v>Ok</v>
      </c>
    </row>
    <row r="2810" spans="1:11" x14ac:dyDescent="0.3">
      <c r="A2810" s="1" t="s">
        <v>6429</v>
      </c>
      <c r="B2810" s="1" t="s">
        <v>3303</v>
      </c>
      <c r="C2810" s="1" t="s">
        <v>3318</v>
      </c>
      <c r="D2810" s="1">
        <v>461961.21</v>
      </c>
      <c r="E2810" s="1">
        <v>22286.39</v>
      </c>
      <c r="F2810" s="41">
        <v>44196</v>
      </c>
      <c r="G2810" s="41">
        <v>44561</v>
      </c>
      <c r="H2810" s="1" t="s">
        <v>3764</v>
      </c>
      <c r="I2810" s="1" t="s">
        <v>3316</v>
      </c>
      <c r="J2810" t="str">
        <f>IF(ISNA(_xlfn.XLOOKUP(B2810,customer_master!$A$2:$A$1649, customer_master!$A$2:$A$1649)), "Invalid", "Ok")</f>
        <v>Ok</v>
      </c>
      <c r="K2810" t="str">
        <f>IF(ISNA(_xlfn.XLOOKUP(H2810,agent_info!$A$2:$A$301, agent_info!$A$2:$A$301)), "Invalid", "Ok")</f>
        <v>Ok</v>
      </c>
    </row>
    <row r="2811" spans="1:11" x14ac:dyDescent="0.3">
      <c r="A2811" s="1" t="s">
        <v>6430</v>
      </c>
      <c r="B2811" s="1" t="s">
        <v>2643</v>
      </c>
      <c r="C2811" s="1" t="s">
        <v>3334</v>
      </c>
      <c r="D2811" s="1">
        <v>698104.22</v>
      </c>
      <c r="E2811" s="1">
        <v>32382.15</v>
      </c>
      <c r="F2811" s="41">
        <v>44196</v>
      </c>
      <c r="G2811" s="41">
        <v>44561</v>
      </c>
      <c r="H2811" s="1" t="s">
        <v>3809</v>
      </c>
      <c r="I2811" s="1" t="s">
        <v>3324</v>
      </c>
      <c r="J2811" t="str">
        <f>IF(ISNA(_xlfn.XLOOKUP(B2811,customer_master!$A$2:$A$1649, customer_master!$A$2:$A$1649)), "Invalid", "Ok")</f>
        <v>Ok</v>
      </c>
      <c r="K2811" t="str">
        <f>IF(ISNA(_xlfn.XLOOKUP(H2811,agent_info!$A$2:$A$301, agent_info!$A$2:$A$301)), "Invalid", "Ok")</f>
        <v>Ok</v>
      </c>
    </row>
    <row r="2812" spans="1:11" x14ac:dyDescent="0.3">
      <c r="A2812" s="1" t="s">
        <v>6431</v>
      </c>
      <c r="B2812" s="1" t="s">
        <v>1697</v>
      </c>
      <c r="C2812" s="1" t="s">
        <v>3326</v>
      </c>
      <c r="D2812" s="1">
        <v>439499.5</v>
      </c>
      <c r="E2812" s="1">
        <v>22134.22</v>
      </c>
      <c r="F2812" s="41">
        <v>45896</v>
      </c>
      <c r="G2812" s="41">
        <v>46261</v>
      </c>
      <c r="H2812" s="1" t="s">
        <v>3500</v>
      </c>
      <c r="I2812" s="1" t="s">
        <v>3324</v>
      </c>
      <c r="J2812" t="str">
        <f>IF(ISNA(_xlfn.XLOOKUP(B2812,customer_master!$A$2:$A$1649, customer_master!$A$2:$A$1649)), "Invalid", "Ok")</f>
        <v>Ok</v>
      </c>
      <c r="K2812" t="str">
        <f>IF(ISNA(_xlfn.XLOOKUP(H2812,agent_info!$A$2:$A$301, agent_info!$A$2:$A$301)), "Invalid", "Ok")</f>
        <v>Ok</v>
      </c>
    </row>
    <row r="2813" spans="1:11" x14ac:dyDescent="0.3">
      <c r="A2813" s="1" t="s">
        <v>6432</v>
      </c>
      <c r="B2813" s="1" t="s">
        <v>2941</v>
      </c>
      <c r="C2813" s="1" t="s">
        <v>3314</v>
      </c>
      <c r="D2813" s="1">
        <v>421789.08</v>
      </c>
      <c r="E2813" s="1">
        <v>20420.18</v>
      </c>
      <c r="F2813" s="41">
        <v>45501</v>
      </c>
      <c r="G2813" s="41">
        <v>45866</v>
      </c>
      <c r="H2813" s="1" t="s">
        <v>3415</v>
      </c>
      <c r="I2813" s="1" t="s">
        <v>3324</v>
      </c>
      <c r="J2813" t="str">
        <f>IF(ISNA(_xlfn.XLOOKUP(B2813,customer_master!$A$2:$A$1649, customer_master!$A$2:$A$1649)), "Invalid", "Ok")</f>
        <v>Ok</v>
      </c>
      <c r="K2813" t="str">
        <f>IF(ISNA(_xlfn.XLOOKUP(H2813,agent_info!$A$2:$A$301, agent_info!$A$2:$A$301)), "Invalid", "Ok")</f>
        <v>Ok</v>
      </c>
    </row>
    <row r="2814" spans="1:11" x14ac:dyDescent="0.3">
      <c r="A2814" s="1" t="s">
        <v>6433</v>
      </c>
      <c r="B2814" s="1" t="s">
        <v>2366</v>
      </c>
      <c r="C2814" s="1" t="s">
        <v>3314</v>
      </c>
      <c r="D2814" s="1">
        <v>512315.7</v>
      </c>
      <c r="E2814" s="1">
        <v>26168.3</v>
      </c>
      <c r="F2814" s="41">
        <v>44807</v>
      </c>
      <c r="G2814" s="41">
        <v>45172</v>
      </c>
      <c r="H2814" s="1" t="s">
        <v>3610</v>
      </c>
      <c r="I2814" s="1" t="s">
        <v>3324</v>
      </c>
      <c r="J2814" t="str">
        <f>IF(ISNA(_xlfn.XLOOKUP(B2814,customer_master!$A$2:$A$1649, customer_master!$A$2:$A$1649)), "Invalid", "Ok")</f>
        <v>Ok</v>
      </c>
      <c r="K2814" t="str">
        <f>IF(ISNA(_xlfn.XLOOKUP(H2814,agent_info!$A$2:$A$301, agent_info!$A$2:$A$301)), "Invalid", "Ok")</f>
        <v>Ok</v>
      </c>
    </row>
    <row r="2815" spans="1:11" x14ac:dyDescent="0.3">
      <c r="A2815" s="1" t="s">
        <v>6434</v>
      </c>
      <c r="B2815" s="1" t="s">
        <v>986</v>
      </c>
      <c r="C2815" s="1" t="s">
        <v>3331</v>
      </c>
      <c r="D2815" s="1">
        <v>738255.89</v>
      </c>
      <c r="E2815" s="1">
        <v>35937.25</v>
      </c>
      <c r="F2815" s="41">
        <v>44290</v>
      </c>
      <c r="G2815" s="41">
        <v>44655</v>
      </c>
      <c r="H2815" s="1" t="s">
        <v>3555</v>
      </c>
      <c r="I2815" s="1" t="s">
        <v>3316</v>
      </c>
      <c r="J2815" t="str">
        <f>IF(ISNA(_xlfn.XLOOKUP(B2815,customer_master!$A$2:$A$1649, customer_master!$A$2:$A$1649)), "Invalid", "Ok")</f>
        <v>Ok</v>
      </c>
      <c r="K2815" t="str">
        <f>IF(ISNA(_xlfn.XLOOKUP(H2815,agent_info!$A$2:$A$301, agent_info!$A$2:$A$301)), "Invalid", "Ok")</f>
        <v>Ok</v>
      </c>
    </row>
    <row r="2816" spans="1:11" x14ac:dyDescent="0.3">
      <c r="A2816" s="1" t="s">
        <v>6435</v>
      </c>
      <c r="B2816" s="1" t="s">
        <v>793</v>
      </c>
      <c r="C2816" s="1" t="s">
        <v>3331</v>
      </c>
      <c r="D2816" s="1">
        <v>646178.05000000005</v>
      </c>
      <c r="E2816" s="1">
        <v>29830.32</v>
      </c>
      <c r="F2816" s="41">
        <v>44713</v>
      </c>
      <c r="G2816" s="41">
        <v>45078</v>
      </c>
      <c r="H2816" s="1" t="s">
        <v>4095</v>
      </c>
      <c r="I2816" s="1" t="s">
        <v>3316</v>
      </c>
      <c r="J2816" t="str">
        <f>IF(ISNA(_xlfn.XLOOKUP(B2816,customer_master!$A$2:$A$1649, customer_master!$A$2:$A$1649)), "Invalid", "Ok")</f>
        <v>Ok</v>
      </c>
      <c r="K2816" t="str">
        <f>IF(ISNA(_xlfn.XLOOKUP(H2816,agent_info!$A$2:$A$301, agent_info!$A$2:$A$301)), "Invalid", "Ok")</f>
        <v>Ok</v>
      </c>
    </row>
    <row r="2817" spans="1:11" x14ac:dyDescent="0.3">
      <c r="A2817" s="1" t="s">
        <v>6436</v>
      </c>
      <c r="B2817" s="1" t="s">
        <v>1723</v>
      </c>
      <c r="C2817" s="1" t="s">
        <v>3331</v>
      </c>
      <c r="D2817" s="1">
        <v>601028.18999999994</v>
      </c>
      <c r="E2817" s="1">
        <v>32290.82</v>
      </c>
      <c r="F2817" s="41">
        <v>45132</v>
      </c>
      <c r="G2817" s="41">
        <v>45498</v>
      </c>
      <c r="H2817" s="1" t="s">
        <v>3485</v>
      </c>
      <c r="I2817" s="1" t="s">
        <v>3324</v>
      </c>
      <c r="J2817" t="str">
        <f>IF(ISNA(_xlfn.XLOOKUP(B2817,customer_master!$A$2:$A$1649, customer_master!$A$2:$A$1649)), "Invalid", "Ok")</f>
        <v>Ok</v>
      </c>
      <c r="K2817" t="str">
        <f>IF(ISNA(_xlfn.XLOOKUP(H2817,agent_info!$A$2:$A$301, agent_info!$A$2:$A$301)), "Invalid", "Ok")</f>
        <v>Ok</v>
      </c>
    </row>
    <row r="2818" spans="1:11" x14ac:dyDescent="0.3">
      <c r="A2818" s="1" t="s">
        <v>6437</v>
      </c>
      <c r="B2818" s="1" t="s">
        <v>1267</v>
      </c>
      <c r="C2818" s="1" t="s">
        <v>3334</v>
      </c>
      <c r="D2818" s="1">
        <v>708561.55</v>
      </c>
      <c r="E2818" s="1">
        <v>35496.47</v>
      </c>
      <c r="F2818" s="41">
        <v>44803</v>
      </c>
      <c r="G2818" s="41">
        <v>45168</v>
      </c>
      <c r="H2818" s="1" t="s">
        <v>3555</v>
      </c>
      <c r="I2818" s="1" t="s">
        <v>3316</v>
      </c>
      <c r="J2818" t="str">
        <f>IF(ISNA(_xlfn.XLOOKUP(B2818,customer_master!$A$2:$A$1649, customer_master!$A$2:$A$1649)), "Invalid", "Ok")</f>
        <v>Ok</v>
      </c>
      <c r="K2818" t="str">
        <f>IF(ISNA(_xlfn.XLOOKUP(H2818,agent_info!$A$2:$A$301, agent_info!$A$2:$A$301)), "Invalid", "Ok")</f>
        <v>Ok</v>
      </c>
    </row>
    <row r="2819" spans="1:11" x14ac:dyDescent="0.3">
      <c r="A2819" s="1" t="s">
        <v>6438</v>
      </c>
      <c r="B2819" s="1" t="s">
        <v>1117</v>
      </c>
      <c r="C2819" s="1" t="s">
        <v>3331</v>
      </c>
      <c r="D2819" s="1">
        <v>633361.43999999994</v>
      </c>
      <c r="E2819" s="1">
        <v>30539.74</v>
      </c>
      <c r="F2819" s="41">
        <v>44210</v>
      </c>
      <c r="G2819" s="41">
        <v>44575</v>
      </c>
      <c r="H2819" s="1" t="s">
        <v>4132</v>
      </c>
      <c r="I2819" s="1" t="s">
        <v>3320</v>
      </c>
      <c r="J2819" t="str">
        <f>IF(ISNA(_xlfn.XLOOKUP(B2819,customer_master!$A$2:$A$1649, customer_master!$A$2:$A$1649)), "Invalid", "Ok")</f>
        <v>Ok</v>
      </c>
      <c r="K2819" t="str">
        <f>IF(ISNA(_xlfn.XLOOKUP(H2819,agent_info!$A$2:$A$301, agent_info!$A$2:$A$301)), "Invalid", "Ok")</f>
        <v>Ok</v>
      </c>
    </row>
    <row r="2820" spans="1:11" x14ac:dyDescent="0.3">
      <c r="A2820" s="1" t="s">
        <v>6439</v>
      </c>
      <c r="B2820" s="1" t="s">
        <v>632</v>
      </c>
      <c r="C2820" s="1" t="s">
        <v>3314</v>
      </c>
      <c r="D2820" s="1">
        <v>697291</v>
      </c>
      <c r="E2820" s="1">
        <v>31492.2</v>
      </c>
      <c r="F2820" s="41">
        <v>45700</v>
      </c>
      <c r="G2820" s="41">
        <v>46065</v>
      </c>
      <c r="H2820" s="1" t="s">
        <v>3335</v>
      </c>
      <c r="I2820" s="1" t="s">
        <v>3320</v>
      </c>
      <c r="J2820" t="str">
        <f>IF(ISNA(_xlfn.XLOOKUP(B2820,customer_master!$A$2:$A$1649, customer_master!$A$2:$A$1649)), "Invalid", "Ok")</f>
        <v>Ok</v>
      </c>
      <c r="K2820" t="str">
        <f>IF(ISNA(_xlfn.XLOOKUP(H2820,agent_info!$A$2:$A$301, agent_info!$A$2:$A$301)), "Invalid", "Ok")</f>
        <v>Ok</v>
      </c>
    </row>
    <row r="2821" spans="1:11" x14ac:dyDescent="0.3">
      <c r="A2821" s="1" t="s">
        <v>6440</v>
      </c>
      <c r="B2821" s="1" t="s">
        <v>2807</v>
      </c>
      <c r="C2821" s="1" t="s">
        <v>3334</v>
      </c>
      <c r="D2821" s="1">
        <v>638005.44999999995</v>
      </c>
      <c r="E2821" s="1">
        <v>32524.54</v>
      </c>
      <c r="F2821" s="41">
        <v>45555</v>
      </c>
      <c r="G2821" s="41">
        <v>45920</v>
      </c>
      <c r="H2821" s="1" t="s">
        <v>3387</v>
      </c>
      <c r="I2821" s="1" t="s">
        <v>3324</v>
      </c>
      <c r="J2821" t="str">
        <f>IF(ISNA(_xlfn.XLOOKUP(B2821,customer_master!$A$2:$A$1649, customer_master!$A$2:$A$1649)), "Invalid", "Ok")</f>
        <v>Ok</v>
      </c>
      <c r="K2821" t="str">
        <f>IF(ISNA(_xlfn.XLOOKUP(H2821,agent_info!$A$2:$A$301, agent_info!$A$2:$A$301)), "Invalid", "Ok")</f>
        <v>Ok</v>
      </c>
    </row>
    <row r="2822" spans="1:11" x14ac:dyDescent="0.3">
      <c r="A2822" s="1" t="s">
        <v>6441</v>
      </c>
      <c r="B2822" s="1" t="s">
        <v>2356</v>
      </c>
      <c r="C2822" s="1" t="s">
        <v>3334</v>
      </c>
      <c r="D2822" s="1">
        <v>717739.26</v>
      </c>
      <c r="E2822" s="1">
        <v>37914.61</v>
      </c>
      <c r="F2822" s="41">
        <v>45697</v>
      </c>
      <c r="G2822" s="41">
        <v>46062</v>
      </c>
      <c r="H2822" s="1" t="s">
        <v>3570</v>
      </c>
      <c r="I2822" s="1" t="s">
        <v>3324</v>
      </c>
      <c r="J2822" t="str">
        <f>IF(ISNA(_xlfn.XLOOKUP(B2822,customer_master!$A$2:$A$1649, customer_master!$A$2:$A$1649)), "Invalid", "Ok")</f>
        <v>Ok</v>
      </c>
      <c r="K2822" t="str">
        <f>IF(ISNA(_xlfn.XLOOKUP(H2822,agent_info!$A$2:$A$301, agent_info!$A$2:$A$301)), "Invalid", "Ok")</f>
        <v>Ok</v>
      </c>
    </row>
    <row r="2823" spans="1:11" x14ac:dyDescent="0.3">
      <c r="A2823" s="1" t="s">
        <v>6442</v>
      </c>
      <c r="B2823" s="1" t="s">
        <v>1123</v>
      </c>
      <c r="C2823" s="1" t="s">
        <v>3326</v>
      </c>
      <c r="D2823" s="1">
        <v>568402.86</v>
      </c>
      <c r="E2823" s="1">
        <v>29273.1</v>
      </c>
      <c r="F2823" s="41">
        <v>44193</v>
      </c>
      <c r="G2823" s="41">
        <v>44558</v>
      </c>
      <c r="H2823" s="1" t="s">
        <v>3770</v>
      </c>
      <c r="I2823" s="1" t="s">
        <v>3324</v>
      </c>
      <c r="J2823" t="str">
        <f>IF(ISNA(_xlfn.XLOOKUP(B2823,customer_master!$A$2:$A$1649, customer_master!$A$2:$A$1649)), "Invalid", "Ok")</f>
        <v>Ok</v>
      </c>
      <c r="K2823" t="str">
        <f>IF(ISNA(_xlfn.XLOOKUP(H2823,agent_info!$A$2:$A$301, agent_info!$A$2:$A$301)), "Invalid", "Ok")</f>
        <v>Ok</v>
      </c>
    </row>
    <row r="2824" spans="1:11" x14ac:dyDescent="0.3">
      <c r="A2824" s="1" t="s">
        <v>6443</v>
      </c>
      <c r="B2824" s="1" t="s">
        <v>827</v>
      </c>
      <c r="C2824" s="1" t="s">
        <v>3314</v>
      </c>
      <c r="D2824" s="1">
        <v>486976.82</v>
      </c>
      <c r="E2824" s="1">
        <v>25749.97</v>
      </c>
      <c r="F2824" s="41">
        <v>44526</v>
      </c>
      <c r="G2824" s="41">
        <v>44891</v>
      </c>
      <c r="H2824" s="1" t="s">
        <v>4007</v>
      </c>
      <c r="I2824" s="1" t="s">
        <v>3324</v>
      </c>
      <c r="J2824" t="str">
        <f>IF(ISNA(_xlfn.XLOOKUP(B2824,customer_master!$A$2:$A$1649, customer_master!$A$2:$A$1649)), "Invalid", "Ok")</f>
        <v>Ok</v>
      </c>
      <c r="K2824" t="str">
        <f>IF(ISNA(_xlfn.XLOOKUP(H2824,agent_info!$A$2:$A$301, agent_info!$A$2:$A$301)), "Invalid", "Ok")</f>
        <v>Ok</v>
      </c>
    </row>
    <row r="2825" spans="1:11" x14ac:dyDescent="0.3">
      <c r="A2825" s="1" t="s">
        <v>6444</v>
      </c>
      <c r="B2825" s="1" t="s">
        <v>461</v>
      </c>
      <c r="C2825" s="1" t="s">
        <v>3318</v>
      </c>
      <c r="D2825" s="1">
        <v>393542.66</v>
      </c>
      <c r="E2825" s="1">
        <v>18319.36</v>
      </c>
      <c r="F2825" s="41">
        <v>44392</v>
      </c>
      <c r="G2825" s="41">
        <v>44757</v>
      </c>
      <c r="H2825" s="1" t="s">
        <v>3509</v>
      </c>
      <c r="I2825" s="1" t="s">
        <v>3324</v>
      </c>
      <c r="J2825" t="str">
        <f>IF(ISNA(_xlfn.XLOOKUP(B2825,customer_master!$A$2:$A$1649, customer_master!$A$2:$A$1649)), "Invalid", "Ok")</f>
        <v>Ok</v>
      </c>
      <c r="K2825" t="str">
        <f>IF(ISNA(_xlfn.XLOOKUP(H2825,agent_info!$A$2:$A$301, agent_info!$A$2:$A$301)), "Invalid", "Ok")</f>
        <v>Ok</v>
      </c>
    </row>
    <row r="2826" spans="1:11" x14ac:dyDescent="0.3">
      <c r="A2826" s="1" t="s">
        <v>6445</v>
      </c>
      <c r="B2826" s="1" t="s">
        <v>401</v>
      </c>
      <c r="C2826" s="1" t="s">
        <v>3318</v>
      </c>
      <c r="D2826" s="1">
        <v>417811.05</v>
      </c>
      <c r="E2826" s="1">
        <v>22861.38</v>
      </c>
      <c r="F2826" s="41">
        <v>45700</v>
      </c>
      <c r="G2826" s="41">
        <v>46065</v>
      </c>
      <c r="H2826" s="1" t="s">
        <v>3595</v>
      </c>
      <c r="I2826" s="1" t="s">
        <v>3324</v>
      </c>
      <c r="J2826" t="str">
        <f>IF(ISNA(_xlfn.XLOOKUP(B2826,customer_master!$A$2:$A$1649, customer_master!$A$2:$A$1649)), "Invalid", "Ok")</f>
        <v>Ok</v>
      </c>
      <c r="K2826" t="str">
        <f>IF(ISNA(_xlfn.XLOOKUP(H2826,agent_info!$A$2:$A$301, agent_info!$A$2:$A$301)), "Invalid", "Ok")</f>
        <v>Ok</v>
      </c>
    </row>
    <row r="2827" spans="1:11" x14ac:dyDescent="0.3">
      <c r="A2827" s="1" t="s">
        <v>6446</v>
      </c>
      <c r="B2827" s="1" t="s">
        <v>2107</v>
      </c>
      <c r="C2827" s="1" t="s">
        <v>3334</v>
      </c>
      <c r="D2827" s="1">
        <v>582291.63</v>
      </c>
      <c r="E2827" s="1">
        <v>27433.7</v>
      </c>
      <c r="F2827" s="41">
        <v>45162</v>
      </c>
      <c r="G2827" s="41">
        <v>45528</v>
      </c>
      <c r="H2827" s="1" t="s">
        <v>4282</v>
      </c>
      <c r="I2827" s="1" t="s">
        <v>3324</v>
      </c>
      <c r="J2827" t="str">
        <f>IF(ISNA(_xlfn.XLOOKUP(B2827,customer_master!$A$2:$A$1649, customer_master!$A$2:$A$1649)), "Invalid", "Ok")</f>
        <v>Ok</v>
      </c>
      <c r="K2827" t="str">
        <f>IF(ISNA(_xlfn.XLOOKUP(H2827,agent_info!$A$2:$A$301, agent_info!$A$2:$A$301)), "Invalid", "Ok")</f>
        <v>Ok</v>
      </c>
    </row>
    <row r="2828" spans="1:11" x14ac:dyDescent="0.3">
      <c r="A2828" s="1" t="s">
        <v>6447</v>
      </c>
      <c r="B2828" s="1" t="s">
        <v>389</v>
      </c>
      <c r="C2828" s="1" t="s">
        <v>3326</v>
      </c>
      <c r="D2828" s="1">
        <v>690118.93</v>
      </c>
      <c r="E2828" s="1">
        <v>32896.449999999997</v>
      </c>
      <c r="F2828" s="41">
        <v>44567</v>
      </c>
      <c r="G2828" s="41">
        <v>44932</v>
      </c>
      <c r="H2828" s="1" t="s">
        <v>3404</v>
      </c>
      <c r="I2828" s="1" t="s">
        <v>3316</v>
      </c>
      <c r="J2828" t="str">
        <f>IF(ISNA(_xlfn.XLOOKUP(B2828,customer_master!$A$2:$A$1649, customer_master!$A$2:$A$1649)), "Invalid", "Ok")</f>
        <v>Ok</v>
      </c>
      <c r="K2828" t="str">
        <f>IF(ISNA(_xlfn.XLOOKUP(H2828,agent_info!$A$2:$A$301, agent_info!$A$2:$A$301)), "Invalid", "Ok")</f>
        <v>Ok</v>
      </c>
    </row>
    <row r="2829" spans="1:11" x14ac:dyDescent="0.3">
      <c r="A2829" s="1" t="s">
        <v>6448</v>
      </c>
      <c r="B2829" s="1" t="s">
        <v>3186</v>
      </c>
      <c r="C2829" s="1" t="s">
        <v>3314</v>
      </c>
      <c r="D2829" s="1">
        <v>677392.75</v>
      </c>
      <c r="E2829" s="1">
        <v>33953.160000000003</v>
      </c>
      <c r="F2829" s="41">
        <v>45558</v>
      </c>
      <c r="G2829" s="41">
        <v>45923</v>
      </c>
      <c r="H2829" s="1" t="s">
        <v>3714</v>
      </c>
      <c r="I2829" s="1" t="s">
        <v>3324</v>
      </c>
      <c r="J2829" t="str">
        <f>IF(ISNA(_xlfn.XLOOKUP(B2829,customer_master!$A$2:$A$1649, customer_master!$A$2:$A$1649)), "Invalid", "Ok")</f>
        <v>Ok</v>
      </c>
      <c r="K2829" t="str">
        <f>IF(ISNA(_xlfn.XLOOKUP(H2829,agent_info!$A$2:$A$301, agent_info!$A$2:$A$301)), "Invalid", "Ok")</f>
        <v>Ok</v>
      </c>
    </row>
  </sheetData>
  <autoFilter ref="A1:K2829" xr:uid="{191F015A-7C49-4B73-9683-008AEB60731F}"/>
  <sortState xmlns:xlrd2="http://schemas.microsoft.com/office/spreadsheetml/2017/richdata2" ref="F2:G2829">
    <sortCondition sortBy="cellColor" ref="F2:F2829" dxfId="7"/>
  </sortState>
  <conditionalFormatting sqref="F2:G2829">
    <cfRule type="expression" dxfId="6" priority="3">
      <formula>$F2 &gt;= $G2</formula>
    </cfRule>
  </conditionalFormatting>
  <conditionalFormatting sqref="I2:K2829">
    <cfRule type="cellIs" dxfId="5" priority="1" operator="equal">
      <formula>"Lapsed"</formula>
    </cfRule>
    <cfRule type="cellIs" dxfId="4" priority="2" operator="equal">
      <formula>"Cancelled"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E97D-DCF9-4259-8709-218B55F23ADA}">
  <dimension ref="A1:L1407"/>
  <sheetViews>
    <sheetView topLeftCell="A1383" workbookViewId="0">
      <selection activeCell="K4" sqref="K4"/>
    </sheetView>
  </sheetViews>
  <sheetFormatPr defaultRowHeight="14.4" x14ac:dyDescent="0.3"/>
  <cols>
    <col min="1" max="1" width="10.44140625" bestFit="1" customWidth="1"/>
    <col min="2" max="2" width="10.77734375" bestFit="1" customWidth="1"/>
    <col min="3" max="3" width="12.5546875" style="38" bestFit="1" customWidth="1"/>
    <col min="4" max="4" width="15.109375" bestFit="1" customWidth="1"/>
    <col min="5" max="5" width="13.88671875" bestFit="1" customWidth="1"/>
    <col min="6" max="6" width="12.44140625" bestFit="1" customWidth="1"/>
    <col min="7" max="7" width="11.33203125" bestFit="1" customWidth="1"/>
    <col min="8" max="8" width="17" bestFit="1" customWidth="1"/>
    <col min="9" max="9" width="28.109375" bestFit="1" customWidth="1"/>
    <col min="11" max="11" width="46.77734375" bestFit="1" customWidth="1"/>
  </cols>
  <sheetData>
    <row r="1" spans="1:12" ht="15" thickBot="1" x14ac:dyDescent="0.35">
      <c r="A1" s="8" t="s">
        <v>6449</v>
      </c>
      <c r="B1" s="8" t="s">
        <v>3305</v>
      </c>
      <c r="C1" s="39" t="s">
        <v>6450</v>
      </c>
      <c r="D1" s="8" t="s">
        <v>6451</v>
      </c>
      <c r="E1" s="8" t="s">
        <v>6452</v>
      </c>
      <c r="F1" s="8" t="s">
        <v>6453</v>
      </c>
      <c r="G1" s="8" t="s">
        <v>6454</v>
      </c>
      <c r="H1" s="8" t="s">
        <v>6455</v>
      </c>
      <c r="I1" s="29" t="s">
        <v>9314</v>
      </c>
      <c r="K1" s="30" t="s">
        <v>9301</v>
      </c>
      <c r="L1" s="31"/>
    </row>
    <row r="2" spans="1:12" x14ac:dyDescent="0.3">
      <c r="A2" s="6" t="s">
        <v>6456</v>
      </c>
      <c r="B2" s="6" t="s">
        <v>3889</v>
      </c>
      <c r="C2" s="40">
        <v>45999</v>
      </c>
      <c r="D2" s="6">
        <v>1379173.1</v>
      </c>
      <c r="E2" s="6" t="s">
        <v>6457</v>
      </c>
      <c r="F2" s="6" t="s">
        <v>6458</v>
      </c>
      <c r="G2" s="6" t="s">
        <v>30</v>
      </c>
      <c r="H2" s="6">
        <v>4</v>
      </c>
      <c r="I2" t="str">
        <f>IF(ISNA(_xlfn.XLOOKUP(B2, policy_details!$A$2:$A$2829, policy_details!$A$2:$A$2829)), "Invalid", "Ok")</f>
        <v>Ok</v>
      </c>
      <c r="K2" s="2" t="s">
        <v>9306</v>
      </c>
      <c r="L2" s="32" cm="1">
        <f t="array" ref="L2">SUMPRODUCT(--ISNA(MATCH(E2:E1407, {"Pending","Approved","Rejected"},0)))</f>
        <v>0</v>
      </c>
    </row>
    <row r="3" spans="1:12" ht="15" thickBot="1" x14ac:dyDescent="0.35">
      <c r="A3" s="1" t="s">
        <v>6459</v>
      </c>
      <c r="B3" s="1" t="s">
        <v>4276</v>
      </c>
      <c r="C3" s="41">
        <v>44991</v>
      </c>
      <c r="D3" s="1">
        <v>51992.54</v>
      </c>
      <c r="E3" s="1" t="s">
        <v>6460</v>
      </c>
      <c r="F3" s="1" t="s">
        <v>6461</v>
      </c>
      <c r="G3" s="1" t="s">
        <v>17</v>
      </c>
      <c r="H3" s="1">
        <v>41</v>
      </c>
      <c r="I3" t="str">
        <f>IF(ISNA(_xlfn.XLOOKUP(B3, policy_details!$A$2:$A$2829, policy_details!$A$2:$A$2829)), "Invalid", "Ok")</f>
        <v>Ok</v>
      </c>
      <c r="K3" s="3" t="s">
        <v>9317</v>
      </c>
      <c r="L3" s="33" cm="1">
        <f t="array" ref="L3">SUMPRODUCT(--(COUNTIF(A2:A1407,A2:A1407) &gt; 1))</f>
        <v>0</v>
      </c>
    </row>
    <row r="4" spans="1:12" x14ac:dyDescent="0.3">
      <c r="A4" s="1" t="s">
        <v>6462</v>
      </c>
      <c r="B4" s="1" t="s">
        <v>4663</v>
      </c>
      <c r="C4" s="41">
        <v>45009</v>
      </c>
      <c r="D4" s="1">
        <v>230303.22</v>
      </c>
      <c r="E4" s="1" t="s">
        <v>6457</v>
      </c>
      <c r="F4" s="1" t="s">
        <v>6461</v>
      </c>
      <c r="G4" s="1" t="s">
        <v>17</v>
      </c>
      <c r="H4" s="1">
        <v>44</v>
      </c>
      <c r="I4" t="str">
        <f>IF(ISNA(_xlfn.XLOOKUP(B4, policy_details!$A$2:$A$2829, policy_details!$A$2:$A$2829)), "Invalid", "Ok")</f>
        <v>Ok</v>
      </c>
    </row>
    <row r="5" spans="1:12" x14ac:dyDescent="0.3">
      <c r="A5" s="1" t="s">
        <v>6463</v>
      </c>
      <c r="B5" s="1" t="s">
        <v>5104</v>
      </c>
      <c r="C5" s="41">
        <v>46249</v>
      </c>
      <c r="D5" s="1">
        <v>1756085.1</v>
      </c>
      <c r="E5" s="1" t="s">
        <v>6464</v>
      </c>
      <c r="F5" s="1" t="s">
        <v>6458</v>
      </c>
      <c r="G5" s="1" t="s">
        <v>17</v>
      </c>
      <c r="H5" s="1">
        <v>29</v>
      </c>
      <c r="I5" t="str">
        <f>IF(ISNA(_xlfn.XLOOKUP(B5, policy_details!$A$2:$A$2829, policy_details!$A$2:$A$2829)), "Invalid", "Ok")</f>
        <v>Ok</v>
      </c>
    </row>
    <row r="6" spans="1:12" x14ac:dyDescent="0.3">
      <c r="A6" s="1" t="s">
        <v>6465</v>
      </c>
      <c r="B6" s="1" t="s">
        <v>5444</v>
      </c>
      <c r="C6" s="41">
        <v>44453</v>
      </c>
      <c r="D6" s="1">
        <v>273937.90999999997</v>
      </c>
      <c r="E6" s="1" t="s">
        <v>6460</v>
      </c>
      <c r="F6" s="1" t="s">
        <v>6466</v>
      </c>
      <c r="G6" s="1" t="s">
        <v>17</v>
      </c>
      <c r="H6" s="1">
        <v>1</v>
      </c>
      <c r="I6" t="str">
        <f>IF(ISNA(_xlfn.XLOOKUP(B6, policy_details!$A$2:$A$2829, policy_details!$A$2:$A$2829)), "Invalid", "Ok")</f>
        <v>Ok</v>
      </c>
    </row>
    <row r="7" spans="1:12" x14ac:dyDescent="0.3">
      <c r="A7" s="1" t="s">
        <v>6467</v>
      </c>
      <c r="B7" s="1" t="s">
        <v>4011</v>
      </c>
      <c r="C7" s="41">
        <v>45328</v>
      </c>
      <c r="D7" s="1">
        <v>223326.99</v>
      </c>
      <c r="E7" s="1" t="s">
        <v>6464</v>
      </c>
      <c r="F7" s="1" t="s">
        <v>6466</v>
      </c>
      <c r="G7" s="1" t="s">
        <v>17</v>
      </c>
      <c r="H7" s="1">
        <v>39</v>
      </c>
      <c r="I7" t="str">
        <f>IF(ISNA(_xlfn.XLOOKUP(B7, policy_details!$A$2:$A$2829, policy_details!$A$2:$A$2829)), "Invalid", "Ok")</f>
        <v>Ok</v>
      </c>
    </row>
    <row r="8" spans="1:12" x14ac:dyDescent="0.3">
      <c r="A8" s="1" t="s">
        <v>6468</v>
      </c>
      <c r="B8" s="1" t="s">
        <v>4104</v>
      </c>
      <c r="C8" s="41">
        <v>45698</v>
      </c>
      <c r="D8" s="1">
        <v>231189.32</v>
      </c>
      <c r="E8" s="1" t="s">
        <v>6460</v>
      </c>
      <c r="F8" s="1" t="s">
        <v>6461</v>
      </c>
      <c r="G8" s="1" t="s">
        <v>17</v>
      </c>
      <c r="H8" s="1">
        <v>22</v>
      </c>
      <c r="I8" t="str">
        <f>IF(ISNA(_xlfn.XLOOKUP(B8, policy_details!$A$2:$A$2829, policy_details!$A$2:$A$2829)), "Invalid", "Ok")</f>
        <v>Ok</v>
      </c>
    </row>
    <row r="9" spans="1:12" x14ac:dyDescent="0.3">
      <c r="A9" s="1" t="s">
        <v>6469</v>
      </c>
      <c r="B9" s="1" t="s">
        <v>4050</v>
      </c>
      <c r="C9" s="41">
        <v>44651</v>
      </c>
      <c r="D9" s="1">
        <v>339906.64</v>
      </c>
      <c r="E9" s="1" t="s">
        <v>6457</v>
      </c>
      <c r="F9" s="1" t="s">
        <v>6470</v>
      </c>
      <c r="G9" s="1" t="s">
        <v>17</v>
      </c>
      <c r="H9" s="1">
        <v>11</v>
      </c>
      <c r="I9" t="str">
        <f>IF(ISNA(_xlfn.XLOOKUP(B9, policy_details!$A$2:$A$2829, policy_details!$A$2:$A$2829)), "Invalid", "Ok")</f>
        <v>Ok</v>
      </c>
    </row>
    <row r="10" spans="1:12" x14ac:dyDescent="0.3">
      <c r="A10" s="1" t="s">
        <v>6471</v>
      </c>
      <c r="B10" s="1" t="s">
        <v>5751</v>
      </c>
      <c r="C10" s="41">
        <v>44442</v>
      </c>
      <c r="D10" s="1">
        <v>233789.27</v>
      </c>
      <c r="E10" s="1" t="s">
        <v>6460</v>
      </c>
      <c r="F10" s="1" t="s">
        <v>6470</v>
      </c>
      <c r="G10" s="1" t="s">
        <v>17</v>
      </c>
      <c r="H10" s="1">
        <v>17</v>
      </c>
      <c r="I10" t="str">
        <f>IF(ISNA(_xlfn.XLOOKUP(B10, policy_details!$A$2:$A$2829, policy_details!$A$2:$A$2829)), "Invalid", "Ok")</f>
        <v>Ok</v>
      </c>
    </row>
    <row r="11" spans="1:12" x14ac:dyDescent="0.3">
      <c r="A11" s="1" t="s">
        <v>6472</v>
      </c>
      <c r="B11" s="1" t="s">
        <v>4453</v>
      </c>
      <c r="C11" s="41">
        <v>45545</v>
      </c>
      <c r="D11" s="1">
        <v>242688.19</v>
      </c>
      <c r="E11" s="1" t="s">
        <v>6457</v>
      </c>
      <c r="F11" s="1" t="s">
        <v>6470</v>
      </c>
      <c r="G11" s="1" t="s">
        <v>17</v>
      </c>
      <c r="H11" s="1">
        <v>42</v>
      </c>
      <c r="I11" t="str">
        <f>IF(ISNA(_xlfn.XLOOKUP(B11, policy_details!$A$2:$A$2829, policy_details!$A$2:$A$2829)), "Invalid", "Ok")</f>
        <v>Ok</v>
      </c>
    </row>
    <row r="12" spans="1:12" x14ac:dyDescent="0.3">
      <c r="A12" s="1" t="s">
        <v>6473</v>
      </c>
      <c r="B12" s="1" t="s">
        <v>4026</v>
      </c>
      <c r="C12" s="41">
        <v>44663</v>
      </c>
      <c r="D12" s="1">
        <v>2060833.31</v>
      </c>
      <c r="E12" s="1" t="s">
        <v>6460</v>
      </c>
      <c r="F12" s="1" t="s">
        <v>6458</v>
      </c>
      <c r="G12" s="1" t="s">
        <v>17</v>
      </c>
      <c r="H12" s="1">
        <v>35</v>
      </c>
      <c r="I12" t="str">
        <f>IF(ISNA(_xlfn.XLOOKUP(B12, policy_details!$A$2:$A$2829, policy_details!$A$2:$A$2829)), "Invalid", "Ok")</f>
        <v>Ok</v>
      </c>
    </row>
    <row r="13" spans="1:12" x14ac:dyDescent="0.3">
      <c r="A13" s="1" t="s">
        <v>6474</v>
      </c>
      <c r="B13" s="1" t="s">
        <v>4832</v>
      </c>
      <c r="C13" s="41">
        <v>44618</v>
      </c>
      <c r="D13" s="1">
        <v>1316817.68</v>
      </c>
      <c r="E13" s="1" t="s">
        <v>6460</v>
      </c>
      <c r="F13" s="1" t="s">
        <v>6458</v>
      </c>
      <c r="G13" s="1" t="s">
        <v>17</v>
      </c>
      <c r="H13" s="1">
        <v>27</v>
      </c>
      <c r="I13" t="str">
        <f>IF(ISNA(_xlfn.XLOOKUP(B13, policy_details!$A$2:$A$2829, policy_details!$A$2:$A$2829)), "Invalid", "Ok")</f>
        <v>Ok</v>
      </c>
    </row>
    <row r="14" spans="1:12" x14ac:dyDescent="0.3">
      <c r="A14" s="1" t="s">
        <v>6475</v>
      </c>
      <c r="B14" s="1" t="s">
        <v>4286</v>
      </c>
      <c r="C14" s="41">
        <v>44815</v>
      </c>
      <c r="D14" s="1">
        <v>100534.98</v>
      </c>
      <c r="E14" s="1" t="s">
        <v>6464</v>
      </c>
      <c r="F14" s="1" t="s">
        <v>6461</v>
      </c>
      <c r="G14" s="1" t="s">
        <v>17</v>
      </c>
      <c r="H14" s="1">
        <v>33</v>
      </c>
      <c r="I14" t="str">
        <f>IF(ISNA(_xlfn.XLOOKUP(B14, policy_details!$A$2:$A$2829, policy_details!$A$2:$A$2829)), "Invalid", "Ok")</f>
        <v>Ok</v>
      </c>
    </row>
    <row r="15" spans="1:12" x14ac:dyDescent="0.3">
      <c r="A15" s="1" t="s">
        <v>6476</v>
      </c>
      <c r="B15" s="1" t="s">
        <v>4655</v>
      </c>
      <c r="C15" s="41">
        <v>45307</v>
      </c>
      <c r="D15" s="1">
        <v>1695470.76</v>
      </c>
      <c r="E15" s="1" t="s">
        <v>6464</v>
      </c>
      <c r="F15" s="1" t="s">
        <v>6458</v>
      </c>
      <c r="G15" s="1" t="s">
        <v>17</v>
      </c>
      <c r="H15" s="1">
        <v>38</v>
      </c>
      <c r="I15" t="str">
        <f>IF(ISNA(_xlfn.XLOOKUP(B15, policy_details!$A$2:$A$2829, policy_details!$A$2:$A$2829)), "Invalid", "Ok")</f>
        <v>Ok</v>
      </c>
    </row>
    <row r="16" spans="1:12" x14ac:dyDescent="0.3">
      <c r="A16" s="1" t="s">
        <v>6477</v>
      </c>
      <c r="B16" s="1" t="s">
        <v>5949</v>
      </c>
      <c r="C16" s="41">
        <v>45963</v>
      </c>
      <c r="D16" s="1">
        <v>846012.49</v>
      </c>
      <c r="E16" s="1" t="s">
        <v>6457</v>
      </c>
      <c r="F16" s="1" t="s">
        <v>6458</v>
      </c>
      <c r="G16" s="1" t="s">
        <v>17</v>
      </c>
      <c r="H16" s="1">
        <v>28</v>
      </c>
      <c r="I16" t="str">
        <f>IF(ISNA(_xlfn.XLOOKUP(B16, policy_details!$A$2:$A$2829, policy_details!$A$2:$A$2829)), "Invalid", "Ok")</f>
        <v>Ok</v>
      </c>
    </row>
    <row r="17" spans="1:9" x14ac:dyDescent="0.3">
      <c r="A17" s="1" t="s">
        <v>6478</v>
      </c>
      <c r="B17" s="1" t="s">
        <v>4551</v>
      </c>
      <c r="C17" s="41">
        <v>45252</v>
      </c>
      <c r="D17" s="1">
        <v>915102.67</v>
      </c>
      <c r="E17" s="1" t="s">
        <v>6460</v>
      </c>
      <c r="F17" s="1" t="s">
        <v>6458</v>
      </c>
      <c r="G17" s="1" t="s">
        <v>17</v>
      </c>
      <c r="H17" s="1">
        <v>14</v>
      </c>
      <c r="I17" t="str">
        <f>IF(ISNA(_xlfn.XLOOKUP(B17, policy_details!$A$2:$A$2829, policy_details!$A$2:$A$2829)), "Invalid", "Ok")</f>
        <v>Ok</v>
      </c>
    </row>
    <row r="18" spans="1:9" x14ac:dyDescent="0.3">
      <c r="A18" s="1" t="s">
        <v>6479</v>
      </c>
      <c r="B18" s="1" t="s">
        <v>4057</v>
      </c>
      <c r="C18" s="41">
        <v>44543</v>
      </c>
      <c r="D18" s="1">
        <v>949404.53</v>
      </c>
      <c r="E18" s="1" t="s">
        <v>6460</v>
      </c>
      <c r="F18" s="1" t="s">
        <v>6458</v>
      </c>
      <c r="G18" s="1" t="s">
        <v>17</v>
      </c>
      <c r="H18" s="1">
        <v>4</v>
      </c>
      <c r="I18" t="str">
        <f>IF(ISNA(_xlfn.XLOOKUP(B18, policy_details!$A$2:$A$2829, policy_details!$A$2:$A$2829)), "Invalid", "Ok")</f>
        <v>Ok</v>
      </c>
    </row>
    <row r="19" spans="1:9" x14ac:dyDescent="0.3">
      <c r="A19" s="1" t="s">
        <v>6480</v>
      </c>
      <c r="B19" s="1" t="s">
        <v>4241</v>
      </c>
      <c r="C19" s="41">
        <v>44664</v>
      </c>
      <c r="D19" s="1">
        <v>405813.97</v>
      </c>
      <c r="E19" s="1" t="s">
        <v>6464</v>
      </c>
      <c r="F19" s="1" t="s">
        <v>6481</v>
      </c>
      <c r="G19" s="1" t="s">
        <v>17</v>
      </c>
      <c r="H19" s="1">
        <v>6</v>
      </c>
      <c r="I19" t="str">
        <f>IF(ISNA(_xlfn.XLOOKUP(B19, policy_details!$A$2:$A$2829, policy_details!$A$2:$A$2829)), "Invalid", "Ok")</f>
        <v>Ok</v>
      </c>
    </row>
    <row r="20" spans="1:9" x14ac:dyDescent="0.3">
      <c r="A20" s="1" t="s">
        <v>6482</v>
      </c>
      <c r="B20" s="1" t="s">
        <v>3495</v>
      </c>
      <c r="C20" s="41">
        <v>45181</v>
      </c>
      <c r="D20" s="1">
        <v>599374.96</v>
      </c>
      <c r="E20" s="1" t="s">
        <v>6464</v>
      </c>
      <c r="F20" s="1" t="s">
        <v>6481</v>
      </c>
      <c r="G20" s="1" t="s">
        <v>30</v>
      </c>
      <c r="H20" s="1">
        <v>11</v>
      </c>
      <c r="I20" t="str">
        <f>IF(ISNA(_xlfn.XLOOKUP(B20, policy_details!$A$2:$A$2829, policy_details!$A$2:$A$2829)), "Invalid", "Ok")</f>
        <v>Ok</v>
      </c>
    </row>
    <row r="21" spans="1:9" x14ac:dyDescent="0.3">
      <c r="A21" s="1" t="s">
        <v>6483</v>
      </c>
      <c r="B21" s="1" t="s">
        <v>6169</v>
      </c>
      <c r="C21" s="41">
        <v>46237</v>
      </c>
      <c r="D21" s="1">
        <v>182211.4</v>
      </c>
      <c r="E21" s="1" t="s">
        <v>6460</v>
      </c>
      <c r="F21" s="1" t="s">
        <v>6470</v>
      </c>
      <c r="G21" s="1" t="s">
        <v>17</v>
      </c>
      <c r="H21" s="1">
        <v>34</v>
      </c>
      <c r="I21" t="str">
        <f>IF(ISNA(_xlfn.XLOOKUP(B21, policy_details!$A$2:$A$2829, policy_details!$A$2:$A$2829)), "Invalid", "Ok")</f>
        <v>Ok</v>
      </c>
    </row>
    <row r="22" spans="1:9" x14ac:dyDescent="0.3">
      <c r="A22" s="1" t="s">
        <v>6484</v>
      </c>
      <c r="B22" s="1" t="s">
        <v>5588</v>
      </c>
      <c r="C22" s="41">
        <v>45940</v>
      </c>
      <c r="D22" s="1">
        <v>427770.96</v>
      </c>
      <c r="E22" s="1" t="s">
        <v>6457</v>
      </c>
      <c r="F22" s="1" t="s">
        <v>6470</v>
      </c>
      <c r="G22" s="1" t="s">
        <v>17</v>
      </c>
      <c r="H22" s="1">
        <v>5</v>
      </c>
      <c r="I22" t="str">
        <f>IF(ISNA(_xlfn.XLOOKUP(B22, policy_details!$A$2:$A$2829, policy_details!$A$2:$A$2829)), "Invalid", "Ok")</f>
        <v>Ok</v>
      </c>
    </row>
    <row r="23" spans="1:9" x14ac:dyDescent="0.3">
      <c r="A23" s="1" t="s">
        <v>6485</v>
      </c>
      <c r="B23" s="1" t="s">
        <v>4923</v>
      </c>
      <c r="C23" s="41">
        <v>45979</v>
      </c>
      <c r="D23" s="1">
        <v>977197.64</v>
      </c>
      <c r="E23" s="1" t="s">
        <v>6464</v>
      </c>
      <c r="F23" s="1" t="s">
        <v>6458</v>
      </c>
      <c r="G23" s="1" t="s">
        <v>17</v>
      </c>
      <c r="H23" s="1">
        <v>6</v>
      </c>
      <c r="I23" t="str">
        <f>IF(ISNA(_xlfn.XLOOKUP(B23, policy_details!$A$2:$A$2829, policy_details!$A$2:$A$2829)), "Invalid", "Ok")</f>
        <v>Ok</v>
      </c>
    </row>
    <row r="24" spans="1:9" x14ac:dyDescent="0.3">
      <c r="A24" s="1" t="s">
        <v>6486</v>
      </c>
      <c r="B24" s="1" t="s">
        <v>5201</v>
      </c>
      <c r="C24" s="41">
        <v>45440</v>
      </c>
      <c r="D24" s="1">
        <v>503984.19</v>
      </c>
      <c r="E24" s="1" t="s">
        <v>6460</v>
      </c>
      <c r="F24" s="1" t="s">
        <v>6481</v>
      </c>
      <c r="G24" s="1" t="s">
        <v>17</v>
      </c>
      <c r="H24" s="1">
        <v>44</v>
      </c>
      <c r="I24" t="str">
        <f>IF(ISNA(_xlfn.XLOOKUP(B24, policy_details!$A$2:$A$2829, policy_details!$A$2:$A$2829)), "Invalid", "Ok")</f>
        <v>Ok</v>
      </c>
    </row>
    <row r="25" spans="1:9" x14ac:dyDescent="0.3">
      <c r="A25" s="1" t="s">
        <v>6487</v>
      </c>
      <c r="B25" s="1" t="s">
        <v>4307</v>
      </c>
      <c r="C25" s="41">
        <v>45943</v>
      </c>
      <c r="D25" s="1">
        <v>165645.81</v>
      </c>
      <c r="E25" s="1" t="s">
        <v>6464</v>
      </c>
      <c r="F25" s="1" t="s">
        <v>6461</v>
      </c>
      <c r="G25" s="1" t="s">
        <v>17</v>
      </c>
      <c r="H25" s="1">
        <v>18</v>
      </c>
      <c r="I25" t="str">
        <f>IF(ISNA(_xlfn.XLOOKUP(B25, policy_details!$A$2:$A$2829, policy_details!$A$2:$A$2829)), "Invalid", "Ok")</f>
        <v>Ok</v>
      </c>
    </row>
    <row r="26" spans="1:9" x14ac:dyDescent="0.3">
      <c r="A26" s="1" t="s">
        <v>6488</v>
      </c>
      <c r="B26" s="1" t="s">
        <v>4754</v>
      </c>
      <c r="C26" s="41">
        <v>45686</v>
      </c>
      <c r="D26" s="1">
        <v>195439.15</v>
      </c>
      <c r="E26" s="1" t="s">
        <v>6460</v>
      </c>
      <c r="F26" s="1" t="s">
        <v>6481</v>
      </c>
      <c r="G26" s="1" t="s">
        <v>17</v>
      </c>
      <c r="H26" s="1">
        <v>6</v>
      </c>
      <c r="I26" t="str">
        <f>IF(ISNA(_xlfn.XLOOKUP(B26, policy_details!$A$2:$A$2829, policy_details!$A$2:$A$2829)), "Invalid", "Ok")</f>
        <v>Ok</v>
      </c>
    </row>
    <row r="27" spans="1:9" x14ac:dyDescent="0.3">
      <c r="A27" s="1" t="s">
        <v>6489</v>
      </c>
      <c r="B27" s="1" t="s">
        <v>4507</v>
      </c>
      <c r="C27" s="41">
        <v>46011</v>
      </c>
      <c r="D27" s="1">
        <v>653609.74</v>
      </c>
      <c r="E27" s="1" t="s">
        <v>6464</v>
      </c>
      <c r="F27" s="1" t="s">
        <v>6481</v>
      </c>
      <c r="G27" s="1" t="s">
        <v>17</v>
      </c>
      <c r="H27" s="1">
        <v>39</v>
      </c>
      <c r="I27" t="str">
        <f>IF(ISNA(_xlfn.XLOOKUP(B27, policy_details!$A$2:$A$2829, policy_details!$A$2:$A$2829)), "Invalid", "Ok")</f>
        <v>Ok</v>
      </c>
    </row>
    <row r="28" spans="1:9" x14ac:dyDescent="0.3">
      <c r="A28" s="1" t="s">
        <v>6490</v>
      </c>
      <c r="B28" s="1" t="s">
        <v>5951</v>
      </c>
      <c r="C28" s="41">
        <v>45569</v>
      </c>
      <c r="D28" s="1">
        <v>163970.26999999999</v>
      </c>
      <c r="E28" s="1" t="s">
        <v>6457</v>
      </c>
      <c r="F28" s="1" t="s">
        <v>6466</v>
      </c>
      <c r="G28" s="1" t="s">
        <v>17</v>
      </c>
      <c r="H28" s="1">
        <v>43</v>
      </c>
      <c r="I28" t="str">
        <f>IF(ISNA(_xlfn.XLOOKUP(B28, policy_details!$A$2:$A$2829, policy_details!$A$2:$A$2829)), "Invalid", "Ok")</f>
        <v>Ok</v>
      </c>
    </row>
    <row r="29" spans="1:9" x14ac:dyDescent="0.3">
      <c r="A29" s="1" t="s">
        <v>6491</v>
      </c>
      <c r="B29" s="1" t="s">
        <v>5719</v>
      </c>
      <c r="C29" s="41">
        <v>45231</v>
      </c>
      <c r="D29" s="1">
        <v>108118.81</v>
      </c>
      <c r="E29" s="1" t="s">
        <v>6464</v>
      </c>
      <c r="F29" s="1" t="s">
        <v>6461</v>
      </c>
      <c r="G29" s="1" t="s">
        <v>17</v>
      </c>
      <c r="H29" s="1">
        <v>23</v>
      </c>
      <c r="I29" t="str">
        <f>IF(ISNA(_xlfn.XLOOKUP(B29, policy_details!$A$2:$A$2829, policy_details!$A$2:$A$2829)), "Invalid", "Ok")</f>
        <v>Ok</v>
      </c>
    </row>
    <row r="30" spans="1:9" x14ac:dyDescent="0.3">
      <c r="A30" s="1" t="s">
        <v>6492</v>
      </c>
      <c r="B30" s="1" t="s">
        <v>4401</v>
      </c>
      <c r="C30" s="41">
        <v>45604</v>
      </c>
      <c r="D30" s="1">
        <v>117402.41</v>
      </c>
      <c r="E30" s="1" t="s">
        <v>6460</v>
      </c>
      <c r="F30" s="1" t="s">
        <v>6466</v>
      </c>
      <c r="G30" s="1" t="s">
        <v>17</v>
      </c>
      <c r="H30" s="1">
        <v>5</v>
      </c>
      <c r="I30" t="str">
        <f>IF(ISNA(_xlfn.XLOOKUP(B30, policy_details!$A$2:$A$2829, policy_details!$A$2:$A$2829)), "Invalid", "Ok")</f>
        <v>Ok</v>
      </c>
    </row>
    <row r="31" spans="1:9" x14ac:dyDescent="0.3">
      <c r="A31" s="1" t="s">
        <v>6493</v>
      </c>
      <c r="B31" s="1" t="s">
        <v>5772</v>
      </c>
      <c r="C31" s="41">
        <v>44779</v>
      </c>
      <c r="D31" s="1">
        <v>1696001.2</v>
      </c>
      <c r="E31" s="1" t="s">
        <v>6460</v>
      </c>
      <c r="F31" s="1" t="s">
        <v>6458</v>
      </c>
      <c r="G31" s="1" t="s">
        <v>17</v>
      </c>
      <c r="H31" s="1">
        <v>28</v>
      </c>
      <c r="I31" t="str">
        <f>IF(ISNA(_xlfn.XLOOKUP(B31, policy_details!$A$2:$A$2829, policy_details!$A$2:$A$2829)), "Invalid", "Ok")</f>
        <v>Ok</v>
      </c>
    </row>
    <row r="32" spans="1:9" x14ac:dyDescent="0.3">
      <c r="A32" s="1" t="s">
        <v>6494</v>
      </c>
      <c r="B32" s="1" t="s">
        <v>3756</v>
      </c>
      <c r="C32" s="41">
        <v>45937</v>
      </c>
      <c r="D32" s="1">
        <v>318097.82</v>
      </c>
      <c r="E32" s="1" t="s">
        <v>6464</v>
      </c>
      <c r="F32" s="1" t="s">
        <v>6461</v>
      </c>
      <c r="G32" s="1" t="s">
        <v>17</v>
      </c>
      <c r="H32" s="1">
        <v>38</v>
      </c>
      <c r="I32" t="str">
        <f>IF(ISNA(_xlfn.XLOOKUP(B32, policy_details!$A$2:$A$2829, policy_details!$A$2:$A$2829)), "Invalid", "Ok")</f>
        <v>Ok</v>
      </c>
    </row>
    <row r="33" spans="1:9" x14ac:dyDescent="0.3">
      <c r="A33" s="1" t="s">
        <v>6495</v>
      </c>
      <c r="B33" s="1" t="s">
        <v>4148</v>
      </c>
      <c r="C33" s="41">
        <v>45643</v>
      </c>
      <c r="D33" s="1">
        <v>301275.71000000002</v>
      </c>
      <c r="E33" s="1" t="s">
        <v>6460</v>
      </c>
      <c r="F33" s="1" t="s">
        <v>6481</v>
      </c>
      <c r="G33" s="1" t="s">
        <v>17</v>
      </c>
      <c r="H33" s="1">
        <v>43</v>
      </c>
      <c r="I33" t="str">
        <f>IF(ISNA(_xlfn.XLOOKUP(B33, policy_details!$A$2:$A$2829, policy_details!$A$2:$A$2829)), "Invalid", "Ok")</f>
        <v>Ok</v>
      </c>
    </row>
    <row r="34" spans="1:9" x14ac:dyDescent="0.3">
      <c r="A34" s="1" t="s">
        <v>6496</v>
      </c>
      <c r="B34" s="1" t="s">
        <v>3810</v>
      </c>
      <c r="C34" s="41">
        <v>44754</v>
      </c>
      <c r="D34" s="1">
        <v>152860.29</v>
      </c>
      <c r="E34" s="1" t="s">
        <v>6464</v>
      </c>
      <c r="F34" s="1" t="s">
        <v>6481</v>
      </c>
      <c r="G34" s="1" t="s">
        <v>30</v>
      </c>
      <c r="H34" s="1">
        <v>26</v>
      </c>
      <c r="I34" t="str">
        <f>IF(ISNA(_xlfn.XLOOKUP(B34, policy_details!$A$2:$A$2829, policy_details!$A$2:$A$2829)), "Invalid", "Ok")</f>
        <v>Ok</v>
      </c>
    </row>
    <row r="35" spans="1:9" x14ac:dyDescent="0.3">
      <c r="A35" s="1" t="s">
        <v>6497</v>
      </c>
      <c r="B35" s="1" t="s">
        <v>4258</v>
      </c>
      <c r="C35" s="41">
        <v>45797</v>
      </c>
      <c r="D35" s="1">
        <v>149492.45000000001</v>
      </c>
      <c r="E35" s="1" t="s">
        <v>6457</v>
      </c>
      <c r="F35" s="1" t="s">
        <v>6461</v>
      </c>
      <c r="G35" s="1" t="s">
        <v>17</v>
      </c>
      <c r="H35" s="1">
        <v>42</v>
      </c>
      <c r="I35" t="str">
        <f>IF(ISNA(_xlfn.XLOOKUP(B35, policy_details!$A$2:$A$2829, policy_details!$A$2:$A$2829)), "Invalid", "Ok")</f>
        <v>Ok</v>
      </c>
    </row>
    <row r="36" spans="1:9" x14ac:dyDescent="0.3">
      <c r="A36" s="1" t="s">
        <v>6498</v>
      </c>
      <c r="B36" s="1" t="s">
        <v>4221</v>
      </c>
      <c r="C36" s="41">
        <v>45440</v>
      </c>
      <c r="D36" s="1">
        <v>214895.37</v>
      </c>
      <c r="E36" s="1" t="s">
        <v>6457</v>
      </c>
      <c r="F36" s="1" t="s">
        <v>6481</v>
      </c>
      <c r="G36" s="1" t="s">
        <v>17</v>
      </c>
      <c r="H36" s="1">
        <v>37</v>
      </c>
      <c r="I36" t="str">
        <f>IF(ISNA(_xlfn.XLOOKUP(B36, policy_details!$A$2:$A$2829, policy_details!$A$2:$A$2829)), "Invalid", "Ok")</f>
        <v>Ok</v>
      </c>
    </row>
    <row r="37" spans="1:9" x14ac:dyDescent="0.3">
      <c r="A37" s="1" t="s">
        <v>6499</v>
      </c>
      <c r="B37" s="1" t="s">
        <v>6167</v>
      </c>
      <c r="C37" s="41">
        <v>45311</v>
      </c>
      <c r="D37" s="1">
        <v>131419.34</v>
      </c>
      <c r="E37" s="1" t="s">
        <v>6460</v>
      </c>
      <c r="F37" s="1" t="s">
        <v>6466</v>
      </c>
      <c r="G37" s="1" t="s">
        <v>17</v>
      </c>
      <c r="H37" s="1">
        <v>8</v>
      </c>
      <c r="I37" t="str">
        <f>IF(ISNA(_xlfn.XLOOKUP(B37, policy_details!$A$2:$A$2829, policy_details!$A$2:$A$2829)), "Invalid", "Ok")</f>
        <v>Ok</v>
      </c>
    </row>
    <row r="38" spans="1:9" x14ac:dyDescent="0.3">
      <c r="A38" s="1" t="s">
        <v>6500</v>
      </c>
      <c r="B38" s="1" t="s">
        <v>4530</v>
      </c>
      <c r="C38" s="41">
        <v>44971</v>
      </c>
      <c r="D38" s="1">
        <v>704824.6</v>
      </c>
      <c r="E38" s="1" t="s">
        <v>6460</v>
      </c>
      <c r="F38" s="1" t="s">
        <v>6458</v>
      </c>
      <c r="G38" s="1" t="s">
        <v>30</v>
      </c>
      <c r="H38" s="1">
        <v>28</v>
      </c>
      <c r="I38" t="str">
        <f>IF(ISNA(_xlfn.XLOOKUP(B38, policy_details!$A$2:$A$2829, policy_details!$A$2:$A$2829)), "Invalid", "Ok")</f>
        <v>Ok</v>
      </c>
    </row>
    <row r="39" spans="1:9" x14ac:dyDescent="0.3">
      <c r="A39" s="1" t="s">
        <v>6501</v>
      </c>
      <c r="B39" s="1" t="s">
        <v>4612</v>
      </c>
      <c r="C39" s="41">
        <v>45661</v>
      </c>
      <c r="D39" s="1">
        <v>231788.35</v>
      </c>
      <c r="E39" s="1" t="s">
        <v>6457</v>
      </c>
      <c r="F39" s="1" t="s">
        <v>6470</v>
      </c>
      <c r="G39" s="1" t="s">
        <v>17</v>
      </c>
      <c r="H39" s="1">
        <v>30</v>
      </c>
      <c r="I39" t="str">
        <f>IF(ISNA(_xlfn.XLOOKUP(B39, policy_details!$A$2:$A$2829, policy_details!$A$2:$A$2829)), "Invalid", "Ok")</f>
        <v>Ok</v>
      </c>
    </row>
    <row r="40" spans="1:9" x14ac:dyDescent="0.3">
      <c r="A40" s="1" t="s">
        <v>6502</v>
      </c>
      <c r="B40" s="1" t="s">
        <v>3780</v>
      </c>
      <c r="C40" s="41">
        <v>46194</v>
      </c>
      <c r="D40" s="1">
        <v>184726.53</v>
      </c>
      <c r="E40" s="1" t="s">
        <v>6464</v>
      </c>
      <c r="F40" s="1" t="s">
        <v>6481</v>
      </c>
      <c r="G40" s="1" t="s">
        <v>30</v>
      </c>
      <c r="H40" s="1">
        <v>34</v>
      </c>
      <c r="I40" t="str">
        <f>IF(ISNA(_xlfn.XLOOKUP(B40, policy_details!$A$2:$A$2829, policy_details!$A$2:$A$2829)), "Invalid", "Ok")</f>
        <v>Ok</v>
      </c>
    </row>
    <row r="41" spans="1:9" x14ac:dyDescent="0.3">
      <c r="A41" s="1" t="s">
        <v>6503</v>
      </c>
      <c r="B41" s="1" t="s">
        <v>3638</v>
      </c>
      <c r="C41" s="41">
        <v>45342</v>
      </c>
      <c r="D41" s="1">
        <v>173556.33</v>
      </c>
      <c r="E41" s="1" t="s">
        <v>6460</v>
      </c>
      <c r="F41" s="1" t="s">
        <v>6461</v>
      </c>
      <c r="G41" s="1" t="s">
        <v>17</v>
      </c>
      <c r="H41" s="1">
        <v>24</v>
      </c>
      <c r="I41" t="str">
        <f>IF(ISNA(_xlfn.XLOOKUP(B41, policy_details!$A$2:$A$2829, policy_details!$A$2:$A$2829)), "Invalid", "Ok")</f>
        <v>Ok</v>
      </c>
    </row>
    <row r="42" spans="1:9" x14ac:dyDescent="0.3">
      <c r="A42" s="1" t="s">
        <v>6504</v>
      </c>
      <c r="B42" s="1" t="s">
        <v>4200</v>
      </c>
      <c r="C42" s="41">
        <v>45661</v>
      </c>
      <c r="D42" s="1">
        <v>370270.44</v>
      </c>
      <c r="E42" s="1" t="s">
        <v>6457</v>
      </c>
      <c r="F42" s="1" t="s">
        <v>6458</v>
      </c>
      <c r="G42" s="1" t="s">
        <v>17</v>
      </c>
      <c r="H42" s="1">
        <v>33</v>
      </c>
      <c r="I42" t="str">
        <f>IF(ISNA(_xlfn.XLOOKUP(B42, policy_details!$A$2:$A$2829, policy_details!$A$2:$A$2829)), "Invalid", "Ok")</f>
        <v>Ok</v>
      </c>
    </row>
    <row r="43" spans="1:9" x14ac:dyDescent="0.3">
      <c r="A43" s="1" t="s">
        <v>6505</v>
      </c>
      <c r="B43" s="1" t="s">
        <v>3913</v>
      </c>
      <c r="C43" s="41">
        <v>45156</v>
      </c>
      <c r="D43" s="1">
        <v>416775.36</v>
      </c>
      <c r="E43" s="1" t="s">
        <v>6464</v>
      </c>
      <c r="F43" s="1" t="s">
        <v>6470</v>
      </c>
      <c r="G43" s="1" t="s">
        <v>30</v>
      </c>
      <c r="H43" s="1">
        <v>26</v>
      </c>
      <c r="I43" t="str">
        <f>IF(ISNA(_xlfn.XLOOKUP(B43, policy_details!$A$2:$A$2829, policy_details!$A$2:$A$2829)), "Invalid", "Ok")</f>
        <v>Ok</v>
      </c>
    </row>
    <row r="44" spans="1:9" x14ac:dyDescent="0.3">
      <c r="A44" s="1" t="s">
        <v>6506</v>
      </c>
      <c r="B44" s="1" t="s">
        <v>4581</v>
      </c>
      <c r="C44" s="41">
        <v>45716</v>
      </c>
      <c r="D44" s="1">
        <v>180895.91</v>
      </c>
      <c r="E44" s="1" t="s">
        <v>6460</v>
      </c>
      <c r="F44" s="1" t="s">
        <v>6466</v>
      </c>
      <c r="G44" s="1" t="s">
        <v>17</v>
      </c>
      <c r="H44" s="1">
        <v>12</v>
      </c>
      <c r="I44" t="str">
        <f>IF(ISNA(_xlfn.XLOOKUP(B44, policy_details!$A$2:$A$2829, policy_details!$A$2:$A$2829)), "Invalid", "Ok")</f>
        <v>Ok</v>
      </c>
    </row>
    <row r="45" spans="1:9" x14ac:dyDescent="0.3">
      <c r="A45" s="1" t="s">
        <v>6507</v>
      </c>
      <c r="B45" s="1" t="s">
        <v>4097</v>
      </c>
      <c r="C45" s="41">
        <v>44638</v>
      </c>
      <c r="D45" s="1">
        <v>339934.17</v>
      </c>
      <c r="E45" s="1" t="s">
        <v>6460</v>
      </c>
      <c r="F45" s="1" t="s">
        <v>6466</v>
      </c>
      <c r="G45" s="1" t="s">
        <v>17</v>
      </c>
      <c r="H45" s="1">
        <v>22</v>
      </c>
      <c r="I45" t="str">
        <f>IF(ISNA(_xlfn.XLOOKUP(B45, policy_details!$A$2:$A$2829, policy_details!$A$2:$A$2829)), "Invalid", "Ok")</f>
        <v>Ok</v>
      </c>
    </row>
    <row r="46" spans="1:9" x14ac:dyDescent="0.3">
      <c r="A46" s="1" t="s">
        <v>6508</v>
      </c>
      <c r="B46" s="1" t="s">
        <v>4069</v>
      </c>
      <c r="C46" s="41">
        <v>45203</v>
      </c>
      <c r="D46" s="1">
        <v>197808.49</v>
      </c>
      <c r="E46" s="1" t="s">
        <v>6464</v>
      </c>
      <c r="F46" s="1" t="s">
        <v>6470</v>
      </c>
      <c r="G46" s="1" t="s">
        <v>17</v>
      </c>
      <c r="H46" s="1">
        <v>42</v>
      </c>
      <c r="I46" t="str">
        <f>IF(ISNA(_xlfn.XLOOKUP(B46, policy_details!$A$2:$A$2829, policy_details!$A$2:$A$2829)), "Invalid", "Ok")</f>
        <v>Ok</v>
      </c>
    </row>
    <row r="47" spans="1:9" x14ac:dyDescent="0.3">
      <c r="A47" s="1" t="s">
        <v>6509</v>
      </c>
      <c r="B47" s="1" t="s">
        <v>5449</v>
      </c>
      <c r="C47" s="41">
        <v>45218</v>
      </c>
      <c r="D47" s="1">
        <v>220127.28</v>
      </c>
      <c r="E47" s="1" t="s">
        <v>6460</v>
      </c>
      <c r="F47" s="1" t="s">
        <v>6470</v>
      </c>
      <c r="G47" s="1" t="s">
        <v>17</v>
      </c>
      <c r="H47" s="1">
        <v>38</v>
      </c>
      <c r="I47" t="str">
        <f>IF(ISNA(_xlfn.XLOOKUP(B47, policy_details!$A$2:$A$2829, policy_details!$A$2:$A$2829)), "Invalid", "Ok")</f>
        <v>Ok</v>
      </c>
    </row>
    <row r="48" spans="1:9" x14ac:dyDescent="0.3">
      <c r="A48" s="1" t="s">
        <v>6510</v>
      </c>
      <c r="B48" s="1" t="s">
        <v>6285</v>
      </c>
      <c r="C48" s="41">
        <v>44493</v>
      </c>
      <c r="D48" s="1">
        <v>141949.13</v>
      </c>
      <c r="E48" s="1" t="s">
        <v>6457</v>
      </c>
      <c r="F48" s="1" t="s">
        <v>6481</v>
      </c>
      <c r="G48" s="1" t="s">
        <v>17</v>
      </c>
      <c r="H48" s="1">
        <v>29</v>
      </c>
      <c r="I48" t="str">
        <f>IF(ISNA(_xlfn.XLOOKUP(B48, policy_details!$A$2:$A$2829, policy_details!$A$2:$A$2829)), "Invalid", "Ok")</f>
        <v>Ok</v>
      </c>
    </row>
    <row r="49" spans="1:9" x14ac:dyDescent="0.3">
      <c r="A49" s="1" t="s">
        <v>6511</v>
      </c>
      <c r="B49" s="1" t="s">
        <v>3384</v>
      </c>
      <c r="C49" s="41">
        <v>45277</v>
      </c>
      <c r="D49" s="1">
        <v>170917.58</v>
      </c>
      <c r="E49" s="1" t="s">
        <v>6464</v>
      </c>
      <c r="F49" s="1" t="s">
        <v>6481</v>
      </c>
      <c r="G49" s="1" t="s">
        <v>17</v>
      </c>
      <c r="H49" s="1">
        <v>15</v>
      </c>
      <c r="I49" t="str">
        <f>IF(ISNA(_xlfn.XLOOKUP(B49, policy_details!$A$2:$A$2829, policy_details!$A$2:$A$2829)), "Invalid", "Ok")</f>
        <v>Ok</v>
      </c>
    </row>
    <row r="50" spans="1:9" x14ac:dyDescent="0.3">
      <c r="A50" s="1" t="s">
        <v>6512</v>
      </c>
      <c r="B50" s="1" t="s">
        <v>5613</v>
      </c>
      <c r="C50" s="41">
        <v>45472</v>
      </c>
      <c r="D50" s="1">
        <v>172869.02</v>
      </c>
      <c r="E50" s="1" t="s">
        <v>6457</v>
      </c>
      <c r="F50" s="1" t="s">
        <v>6481</v>
      </c>
      <c r="G50" s="1" t="s">
        <v>30</v>
      </c>
      <c r="H50" s="1">
        <v>9</v>
      </c>
      <c r="I50" t="str">
        <f>IF(ISNA(_xlfn.XLOOKUP(B50, policy_details!$A$2:$A$2829, policy_details!$A$2:$A$2829)), "Invalid", "Ok")</f>
        <v>Ok</v>
      </c>
    </row>
    <row r="51" spans="1:9" x14ac:dyDescent="0.3">
      <c r="A51" s="1" t="s">
        <v>6513</v>
      </c>
      <c r="B51" s="1" t="s">
        <v>5482</v>
      </c>
      <c r="C51" s="41">
        <v>44462</v>
      </c>
      <c r="D51" s="1">
        <v>151913.15</v>
      </c>
      <c r="E51" s="1" t="s">
        <v>6460</v>
      </c>
      <c r="F51" s="1" t="s">
        <v>6461</v>
      </c>
      <c r="G51" s="1" t="s">
        <v>17</v>
      </c>
      <c r="H51" s="1">
        <v>13</v>
      </c>
      <c r="I51" t="str">
        <f>IF(ISNA(_xlfn.XLOOKUP(B51, policy_details!$A$2:$A$2829, policy_details!$A$2:$A$2829)), "Invalid", "Ok")</f>
        <v>Ok</v>
      </c>
    </row>
    <row r="52" spans="1:9" x14ac:dyDescent="0.3">
      <c r="A52" s="1" t="s">
        <v>6514</v>
      </c>
      <c r="B52" s="1" t="s">
        <v>5270</v>
      </c>
      <c r="C52" s="41">
        <v>44995</v>
      </c>
      <c r="D52" s="1">
        <v>349336.15</v>
      </c>
      <c r="E52" s="1" t="s">
        <v>6460</v>
      </c>
      <c r="F52" s="1" t="s">
        <v>6470</v>
      </c>
      <c r="G52" s="1" t="s">
        <v>17</v>
      </c>
      <c r="H52" s="1">
        <v>14</v>
      </c>
      <c r="I52" t="str">
        <f>IF(ISNA(_xlfn.XLOOKUP(B52, policy_details!$A$2:$A$2829, policy_details!$A$2:$A$2829)), "Invalid", "Ok")</f>
        <v>Ok</v>
      </c>
    </row>
    <row r="53" spans="1:9" x14ac:dyDescent="0.3">
      <c r="A53" s="1" t="s">
        <v>6515</v>
      </c>
      <c r="B53" s="1" t="s">
        <v>5575</v>
      </c>
      <c r="C53" s="41">
        <v>45620</v>
      </c>
      <c r="D53" s="1">
        <v>273213.89</v>
      </c>
      <c r="E53" s="1" t="s">
        <v>6464</v>
      </c>
      <c r="F53" s="1" t="s">
        <v>6466</v>
      </c>
      <c r="G53" s="1" t="s">
        <v>17</v>
      </c>
      <c r="H53" s="1">
        <v>43</v>
      </c>
      <c r="I53" t="str">
        <f>IF(ISNA(_xlfn.XLOOKUP(B53, policy_details!$A$2:$A$2829, policy_details!$A$2:$A$2829)), "Invalid", "Ok")</f>
        <v>Ok</v>
      </c>
    </row>
    <row r="54" spans="1:9" x14ac:dyDescent="0.3">
      <c r="A54" s="1" t="s">
        <v>6516</v>
      </c>
      <c r="B54" s="1" t="s">
        <v>5053</v>
      </c>
      <c r="C54" s="41">
        <v>46073</v>
      </c>
      <c r="D54" s="1">
        <v>95627.95</v>
      </c>
      <c r="E54" s="1" t="s">
        <v>6460</v>
      </c>
      <c r="F54" s="1" t="s">
        <v>6461</v>
      </c>
      <c r="G54" s="1" t="s">
        <v>17</v>
      </c>
      <c r="H54" s="1">
        <v>24</v>
      </c>
      <c r="I54" t="str">
        <f>IF(ISNA(_xlfn.XLOOKUP(B54, policy_details!$A$2:$A$2829, policy_details!$A$2:$A$2829)), "Invalid", "Ok")</f>
        <v>Ok</v>
      </c>
    </row>
    <row r="55" spans="1:9" x14ac:dyDescent="0.3">
      <c r="A55" s="1" t="s">
        <v>6517</v>
      </c>
      <c r="B55" s="1" t="s">
        <v>6242</v>
      </c>
      <c r="C55" s="41">
        <v>45574</v>
      </c>
      <c r="D55" s="1">
        <v>156695.16</v>
      </c>
      <c r="E55" s="1" t="s">
        <v>6457</v>
      </c>
      <c r="F55" s="1" t="s">
        <v>6461</v>
      </c>
      <c r="G55" s="1" t="s">
        <v>30</v>
      </c>
      <c r="H55" s="1">
        <v>18</v>
      </c>
      <c r="I55" t="str">
        <f>IF(ISNA(_xlfn.XLOOKUP(B55, policy_details!$A$2:$A$2829, policy_details!$A$2:$A$2829)), "Invalid", "Ok")</f>
        <v>Ok</v>
      </c>
    </row>
    <row r="56" spans="1:9" x14ac:dyDescent="0.3">
      <c r="A56" s="1" t="s">
        <v>6518</v>
      </c>
      <c r="B56" s="1" t="s">
        <v>3995</v>
      </c>
      <c r="C56" s="41">
        <v>44519</v>
      </c>
      <c r="D56" s="1">
        <v>211306.7</v>
      </c>
      <c r="E56" s="1" t="s">
        <v>6460</v>
      </c>
      <c r="F56" s="1" t="s">
        <v>6466</v>
      </c>
      <c r="G56" s="1" t="s">
        <v>17</v>
      </c>
      <c r="H56" s="1">
        <v>39</v>
      </c>
      <c r="I56" t="str">
        <f>IF(ISNA(_xlfn.XLOOKUP(B56, policy_details!$A$2:$A$2829, policy_details!$A$2:$A$2829)), "Invalid", "Ok")</f>
        <v>Ok</v>
      </c>
    </row>
    <row r="57" spans="1:9" x14ac:dyDescent="0.3">
      <c r="A57" s="1" t="s">
        <v>6519</v>
      </c>
      <c r="B57" s="1" t="s">
        <v>4952</v>
      </c>
      <c r="C57" s="41">
        <v>46099</v>
      </c>
      <c r="D57" s="1">
        <v>125864.1</v>
      </c>
      <c r="E57" s="1" t="s">
        <v>6457</v>
      </c>
      <c r="F57" s="1" t="s">
        <v>6461</v>
      </c>
      <c r="G57" s="1" t="s">
        <v>17</v>
      </c>
      <c r="H57" s="1">
        <v>17</v>
      </c>
      <c r="I57" t="str">
        <f>IF(ISNA(_xlfn.XLOOKUP(B57, policy_details!$A$2:$A$2829, policy_details!$A$2:$A$2829)), "Invalid", "Ok")</f>
        <v>Ok</v>
      </c>
    </row>
    <row r="58" spans="1:9" x14ac:dyDescent="0.3">
      <c r="A58" s="1" t="s">
        <v>6520</v>
      </c>
      <c r="B58" s="1" t="s">
        <v>5464</v>
      </c>
      <c r="C58" s="41">
        <v>46201</v>
      </c>
      <c r="D58" s="1">
        <v>178617.85</v>
      </c>
      <c r="E58" s="1" t="s">
        <v>6457</v>
      </c>
      <c r="F58" s="1" t="s">
        <v>6470</v>
      </c>
      <c r="G58" s="1" t="s">
        <v>17</v>
      </c>
      <c r="H58" s="1">
        <v>36</v>
      </c>
      <c r="I58" t="str">
        <f>IF(ISNA(_xlfn.XLOOKUP(B58, policy_details!$A$2:$A$2829, policy_details!$A$2:$A$2829)), "Invalid", "Ok")</f>
        <v>Ok</v>
      </c>
    </row>
    <row r="59" spans="1:9" x14ac:dyDescent="0.3">
      <c r="A59" s="1" t="s">
        <v>6521</v>
      </c>
      <c r="B59" s="1" t="s">
        <v>6191</v>
      </c>
      <c r="C59" s="41">
        <v>45296</v>
      </c>
      <c r="D59" s="1">
        <v>219750.16</v>
      </c>
      <c r="E59" s="1" t="s">
        <v>6460</v>
      </c>
      <c r="F59" s="1" t="s">
        <v>6461</v>
      </c>
      <c r="G59" s="1" t="s">
        <v>17</v>
      </c>
      <c r="H59" s="1">
        <v>29</v>
      </c>
      <c r="I59" t="str">
        <f>IF(ISNA(_xlfn.XLOOKUP(B59, policy_details!$A$2:$A$2829, policy_details!$A$2:$A$2829)), "Invalid", "Ok")</f>
        <v>Ok</v>
      </c>
    </row>
    <row r="60" spans="1:9" x14ac:dyDescent="0.3">
      <c r="A60" s="1" t="s">
        <v>6522</v>
      </c>
      <c r="B60" s="1" t="s">
        <v>4990</v>
      </c>
      <c r="C60" s="41">
        <v>45763</v>
      </c>
      <c r="D60" s="1">
        <v>153494.44</v>
      </c>
      <c r="E60" s="1" t="s">
        <v>6460</v>
      </c>
      <c r="F60" s="1" t="s">
        <v>6466</v>
      </c>
      <c r="G60" s="1" t="s">
        <v>17</v>
      </c>
      <c r="H60" s="1">
        <v>14</v>
      </c>
      <c r="I60" t="str">
        <f>IF(ISNA(_xlfn.XLOOKUP(B60, policy_details!$A$2:$A$2829, policy_details!$A$2:$A$2829)), "Invalid", "Ok")</f>
        <v>Ok</v>
      </c>
    </row>
    <row r="61" spans="1:9" x14ac:dyDescent="0.3">
      <c r="A61" s="1" t="s">
        <v>6523</v>
      </c>
      <c r="B61" s="1" t="s">
        <v>6383</v>
      </c>
      <c r="C61" s="41">
        <v>44947</v>
      </c>
      <c r="D61" s="1">
        <v>185060.36</v>
      </c>
      <c r="E61" s="1" t="s">
        <v>6464</v>
      </c>
      <c r="F61" s="1" t="s">
        <v>6466</v>
      </c>
      <c r="G61" s="1" t="s">
        <v>17</v>
      </c>
      <c r="H61" s="1">
        <v>43</v>
      </c>
      <c r="I61" t="str">
        <f>IF(ISNA(_xlfn.XLOOKUP(B61, policy_details!$A$2:$A$2829, policy_details!$A$2:$A$2829)), "Invalid", "Ok")</f>
        <v>Ok</v>
      </c>
    </row>
    <row r="62" spans="1:9" x14ac:dyDescent="0.3">
      <c r="A62" s="1" t="s">
        <v>6524</v>
      </c>
      <c r="B62" s="1" t="s">
        <v>5474</v>
      </c>
      <c r="C62" s="41">
        <v>46235</v>
      </c>
      <c r="D62" s="1">
        <v>359490.57</v>
      </c>
      <c r="E62" s="1" t="s">
        <v>6457</v>
      </c>
      <c r="F62" s="1" t="s">
        <v>6466</v>
      </c>
      <c r="G62" s="1" t="s">
        <v>17</v>
      </c>
      <c r="H62" s="1">
        <v>31</v>
      </c>
      <c r="I62" t="str">
        <f>IF(ISNA(_xlfn.XLOOKUP(B62, policy_details!$A$2:$A$2829, policy_details!$A$2:$A$2829)), "Invalid", "Ok")</f>
        <v>Ok</v>
      </c>
    </row>
    <row r="63" spans="1:9" x14ac:dyDescent="0.3">
      <c r="A63" s="1" t="s">
        <v>6525</v>
      </c>
      <c r="B63" s="1" t="s">
        <v>5595</v>
      </c>
      <c r="C63" s="41">
        <v>45095</v>
      </c>
      <c r="D63" s="1">
        <v>189637.94</v>
      </c>
      <c r="E63" s="1" t="s">
        <v>6460</v>
      </c>
      <c r="F63" s="1" t="s">
        <v>6461</v>
      </c>
      <c r="G63" s="1" t="s">
        <v>17</v>
      </c>
      <c r="H63" s="1">
        <v>44</v>
      </c>
      <c r="I63" t="str">
        <f>IF(ISNA(_xlfn.XLOOKUP(B63, policy_details!$A$2:$A$2829, policy_details!$A$2:$A$2829)), "Invalid", "Ok")</f>
        <v>Ok</v>
      </c>
    </row>
    <row r="64" spans="1:9" x14ac:dyDescent="0.3">
      <c r="A64" s="1" t="s">
        <v>6526</v>
      </c>
      <c r="B64" s="1" t="s">
        <v>5932</v>
      </c>
      <c r="C64" s="41">
        <v>46005</v>
      </c>
      <c r="D64" s="1">
        <v>473909.71</v>
      </c>
      <c r="E64" s="1" t="s">
        <v>6464</v>
      </c>
      <c r="F64" s="1" t="s">
        <v>6481</v>
      </c>
      <c r="G64" s="1" t="s">
        <v>30</v>
      </c>
      <c r="H64" s="1">
        <v>1</v>
      </c>
      <c r="I64" t="str">
        <f>IF(ISNA(_xlfn.XLOOKUP(B64, policy_details!$A$2:$A$2829, policy_details!$A$2:$A$2829)), "Invalid", "Ok")</f>
        <v>Ok</v>
      </c>
    </row>
    <row r="65" spans="1:9" x14ac:dyDescent="0.3">
      <c r="A65" s="1" t="s">
        <v>6527</v>
      </c>
      <c r="B65" s="1" t="s">
        <v>5693</v>
      </c>
      <c r="C65" s="41">
        <v>45361</v>
      </c>
      <c r="D65" s="1">
        <v>307526.15999999997</v>
      </c>
      <c r="E65" s="1" t="s">
        <v>6457</v>
      </c>
      <c r="F65" s="1" t="s">
        <v>6461</v>
      </c>
      <c r="G65" s="1" t="s">
        <v>30</v>
      </c>
      <c r="H65" s="1">
        <v>13</v>
      </c>
      <c r="I65" t="str">
        <f>IF(ISNA(_xlfn.XLOOKUP(B65, policy_details!$A$2:$A$2829, policy_details!$A$2:$A$2829)), "Invalid", "Ok")</f>
        <v>Ok</v>
      </c>
    </row>
    <row r="66" spans="1:9" x14ac:dyDescent="0.3">
      <c r="A66" s="1" t="s">
        <v>6528</v>
      </c>
      <c r="B66" s="1" t="s">
        <v>5093</v>
      </c>
      <c r="C66" s="41">
        <v>45079</v>
      </c>
      <c r="D66" s="1">
        <v>91166.39</v>
      </c>
      <c r="E66" s="1" t="s">
        <v>6460</v>
      </c>
      <c r="F66" s="1" t="s">
        <v>6470</v>
      </c>
      <c r="G66" s="1" t="s">
        <v>17</v>
      </c>
      <c r="H66" s="1">
        <v>15</v>
      </c>
      <c r="I66" t="str">
        <f>IF(ISNA(_xlfn.XLOOKUP(B66, policy_details!$A$2:$A$2829, policy_details!$A$2:$A$2829)), "Invalid", "Ok")</f>
        <v>Ok</v>
      </c>
    </row>
    <row r="67" spans="1:9" x14ac:dyDescent="0.3">
      <c r="A67" s="1" t="s">
        <v>6529</v>
      </c>
      <c r="B67" s="1" t="s">
        <v>5800</v>
      </c>
      <c r="C67" s="41">
        <v>45732</v>
      </c>
      <c r="D67" s="1">
        <v>1039550.47</v>
      </c>
      <c r="E67" s="1" t="s">
        <v>6464</v>
      </c>
      <c r="F67" s="1" t="s">
        <v>6458</v>
      </c>
      <c r="G67" s="1" t="s">
        <v>17</v>
      </c>
      <c r="H67" s="1">
        <v>30</v>
      </c>
      <c r="I67" t="str">
        <f>IF(ISNA(_xlfn.XLOOKUP(B67, policy_details!$A$2:$A$2829, policy_details!$A$2:$A$2829)), "Invalid", "Ok")</f>
        <v>Ok</v>
      </c>
    </row>
    <row r="68" spans="1:9" x14ac:dyDescent="0.3">
      <c r="A68" s="1" t="s">
        <v>6530</v>
      </c>
      <c r="B68" s="1" t="s">
        <v>3503</v>
      </c>
      <c r="C68" s="41">
        <v>45155</v>
      </c>
      <c r="D68" s="1">
        <v>170655.9</v>
      </c>
      <c r="E68" s="1" t="s">
        <v>6464</v>
      </c>
      <c r="F68" s="1" t="s">
        <v>6466</v>
      </c>
      <c r="G68" s="1" t="s">
        <v>30</v>
      </c>
      <c r="H68" s="1">
        <v>37</v>
      </c>
      <c r="I68" t="str">
        <f>IF(ISNA(_xlfn.XLOOKUP(B68, policy_details!$A$2:$A$2829, policy_details!$A$2:$A$2829)), "Invalid", "Ok")</f>
        <v>Ok</v>
      </c>
    </row>
    <row r="69" spans="1:9" x14ac:dyDescent="0.3">
      <c r="A69" s="1" t="s">
        <v>6531</v>
      </c>
      <c r="B69" s="1" t="s">
        <v>6259</v>
      </c>
      <c r="C69" s="41">
        <v>44556</v>
      </c>
      <c r="D69" s="1">
        <v>98849.38</v>
      </c>
      <c r="E69" s="1" t="s">
        <v>6460</v>
      </c>
      <c r="F69" s="1" t="s">
        <v>6470</v>
      </c>
      <c r="G69" s="1" t="s">
        <v>17</v>
      </c>
      <c r="H69" s="1">
        <v>6</v>
      </c>
      <c r="I69" t="str">
        <f>IF(ISNA(_xlfn.XLOOKUP(B69, policy_details!$A$2:$A$2829, policy_details!$A$2:$A$2829)), "Invalid", "Ok")</f>
        <v>Ok</v>
      </c>
    </row>
    <row r="70" spans="1:9" x14ac:dyDescent="0.3">
      <c r="A70" s="1" t="s">
        <v>6532</v>
      </c>
      <c r="B70" s="1" t="s">
        <v>5946</v>
      </c>
      <c r="C70" s="41">
        <v>45640</v>
      </c>
      <c r="D70" s="1">
        <v>606556.62</v>
      </c>
      <c r="E70" s="1" t="s">
        <v>6464</v>
      </c>
      <c r="F70" s="1" t="s">
        <v>6458</v>
      </c>
      <c r="G70" s="1" t="s">
        <v>17</v>
      </c>
      <c r="H70" s="1">
        <v>7</v>
      </c>
      <c r="I70" t="str">
        <f>IF(ISNA(_xlfn.XLOOKUP(B70, policy_details!$A$2:$A$2829, policy_details!$A$2:$A$2829)), "Invalid", "Ok")</f>
        <v>Ok</v>
      </c>
    </row>
    <row r="71" spans="1:9" x14ac:dyDescent="0.3">
      <c r="A71" s="1" t="s">
        <v>6533</v>
      </c>
      <c r="B71" s="1" t="s">
        <v>5420</v>
      </c>
      <c r="C71" s="41">
        <v>45084</v>
      </c>
      <c r="D71" s="1">
        <v>189283.02</v>
      </c>
      <c r="E71" s="1" t="s">
        <v>6457</v>
      </c>
      <c r="F71" s="1" t="s">
        <v>6466</v>
      </c>
      <c r="G71" s="1" t="s">
        <v>17</v>
      </c>
      <c r="H71" s="1">
        <v>30</v>
      </c>
      <c r="I71" t="str">
        <f>IF(ISNA(_xlfn.XLOOKUP(B71, policy_details!$A$2:$A$2829, policy_details!$A$2:$A$2829)), "Invalid", "Ok")</f>
        <v>Ok</v>
      </c>
    </row>
    <row r="72" spans="1:9" x14ac:dyDescent="0.3">
      <c r="A72" s="1" t="s">
        <v>6534</v>
      </c>
      <c r="B72" s="1" t="s">
        <v>3651</v>
      </c>
      <c r="C72" s="41">
        <v>45755</v>
      </c>
      <c r="D72" s="1">
        <v>129460.39</v>
      </c>
      <c r="E72" s="1" t="s">
        <v>6457</v>
      </c>
      <c r="F72" s="1" t="s">
        <v>6461</v>
      </c>
      <c r="G72" s="1" t="s">
        <v>30</v>
      </c>
      <c r="H72" s="1">
        <v>16</v>
      </c>
      <c r="I72" t="str">
        <f>IF(ISNA(_xlfn.XLOOKUP(B72, policy_details!$A$2:$A$2829, policy_details!$A$2:$A$2829)), "Invalid", "Ok")</f>
        <v>Ok</v>
      </c>
    </row>
    <row r="73" spans="1:9" x14ac:dyDescent="0.3">
      <c r="A73" s="1" t="s">
        <v>6535</v>
      </c>
      <c r="B73" s="1" t="s">
        <v>4432</v>
      </c>
      <c r="C73" s="41">
        <v>45061</v>
      </c>
      <c r="D73" s="1">
        <v>184567.74</v>
      </c>
      <c r="E73" s="1" t="s">
        <v>6460</v>
      </c>
      <c r="F73" s="1" t="s">
        <v>6481</v>
      </c>
      <c r="G73" s="1" t="s">
        <v>17</v>
      </c>
      <c r="H73" s="1">
        <v>31</v>
      </c>
      <c r="I73" t="str">
        <f>IF(ISNA(_xlfn.XLOOKUP(B73, policy_details!$A$2:$A$2829, policy_details!$A$2:$A$2829)), "Invalid", "Ok")</f>
        <v>Ok</v>
      </c>
    </row>
    <row r="74" spans="1:9" x14ac:dyDescent="0.3">
      <c r="A74" s="1" t="s">
        <v>6536</v>
      </c>
      <c r="B74" s="1" t="s">
        <v>4305</v>
      </c>
      <c r="C74" s="41">
        <v>45748</v>
      </c>
      <c r="D74" s="1">
        <v>893882.26</v>
      </c>
      <c r="E74" s="1" t="s">
        <v>6457</v>
      </c>
      <c r="F74" s="1" t="s">
        <v>6458</v>
      </c>
      <c r="G74" s="1" t="s">
        <v>17</v>
      </c>
      <c r="H74" s="1">
        <v>1</v>
      </c>
      <c r="I74" t="str">
        <f>IF(ISNA(_xlfn.XLOOKUP(B74, policy_details!$A$2:$A$2829, policy_details!$A$2:$A$2829)), "Invalid", "Ok")</f>
        <v>Ok</v>
      </c>
    </row>
    <row r="75" spans="1:9" x14ac:dyDescent="0.3">
      <c r="A75" s="1" t="s">
        <v>6537</v>
      </c>
      <c r="B75" s="1" t="s">
        <v>4318</v>
      </c>
      <c r="C75" s="41">
        <v>45879</v>
      </c>
      <c r="D75" s="1">
        <v>747661.73</v>
      </c>
      <c r="E75" s="1" t="s">
        <v>6457</v>
      </c>
      <c r="F75" s="1" t="s">
        <v>6466</v>
      </c>
      <c r="G75" s="1" t="s">
        <v>30</v>
      </c>
      <c r="H75" s="1">
        <v>24</v>
      </c>
      <c r="I75" t="str">
        <f>IF(ISNA(_xlfn.XLOOKUP(B75, policy_details!$A$2:$A$2829, policy_details!$A$2:$A$2829)), "Invalid", "Ok")</f>
        <v>Ok</v>
      </c>
    </row>
    <row r="76" spans="1:9" x14ac:dyDescent="0.3">
      <c r="A76" s="1" t="s">
        <v>6538</v>
      </c>
      <c r="B76" s="1" t="s">
        <v>5517</v>
      </c>
      <c r="C76" s="41">
        <v>44950</v>
      </c>
      <c r="D76" s="1">
        <v>63308.9</v>
      </c>
      <c r="E76" s="1" t="s">
        <v>6457</v>
      </c>
      <c r="F76" s="1" t="s">
        <v>6461</v>
      </c>
      <c r="G76" s="1" t="s">
        <v>30</v>
      </c>
      <c r="H76" s="1">
        <v>2</v>
      </c>
      <c r="I76" t="str">
        <f>IF(ISNA(_xlfn.XLOOKUP(B76, policy_details!$A$2:$A$2829, policy_details!$A$2:$A$2829)), "Invalid", "Ok")</f>
        <v>Ok</v>
      </c>
    </row>
    <row r="77" spans="1:9" x14ac:dyDescent="0.3">
      <c r="A77" s="1" t="s">
        <v>6539</v>
      </c>
      <c r="B77" s="1" t="s">
        <v>6099</v>
      </c>
      <c r="C77" s="41">
        <v>45835</v>
      </c>
      <c r="D77" s="1">
        <v>388470.02</v>
      </c>
      <c r="E77" s="1" t="s">
        <v>6460</v>
      </c>
      <c r="F77" s="1" t="s">
        <v>6466</v>
      </c>
      <c r="G77" s="1" t="s">
        <v>17</v>
      </c>
      <c r="H77" s="1">
        <v>42</v>
      </c>
      <c r="I77" t="str">
        <f>IF(ISNA(_xlfn.XLOOKUP(B77, policy_details!$A$2:$A$2829, policy_details!$A$2:$A$2829)), "Invalid", "Ok")</f>
        <v>Ok</v>
      </c>
    </row>
    <row r="78" spans="1:9" x14ac:dyDescent="0.3">
      <c r="A78" s="1" t="s">
        <v>6540</v>
      </c>
      <c r="B78" s="1" t="s">
        <v>5544</v>
      </c>
      <c r="C78" s="41">
        <v>44995</v>
      </c>
      <c r="D78" s="1">
        <v>891769.42</v>
      </c>
      <c r="E78" s="1" t="s">
        <v>6460</v>
      </c>
      <c r="F78" s="1" t="s">
        <v>6458</v>
      </c>
      <c r="G78" s="1" t="s">
        <v>17</v>
      </c>
      <c r="H78" s="1">
        <v>7</v>
      </c>
      <c r="I78" t="str">
        <f>IF(ISNA(_xlfn.XLOOKUP(B78, policy_details!$A$2:$A$2829, policy_details!$A$2:$A$2829)), "Invalid", "Ok")</f>
        <v>Ok</v>
      </c>
    </row>
    <row r="79" spans="1:9" x14ac:dyDescent="0.3">
      <c r="A79" s="1" t="s">
        <v>6541</v>
      </c>
      <c r="B79" s="1" t="s">
        <v>4711</v>
      </c>
      <c r="C79" s="41">
        <v>45161</v>
      </c>
      <c r="D79" s="1">
        <v>144606.67000000001</v>
      </c>
      <c r="E79" s="1" t="s">
        <v>6464</v>
      </c>
      <c r="F79" s="1" t="s">
        <v>6470</v>
      </c>
      <c r="G79" s="1" t="s">
        <v>17</v>
      </c>
      <c r="H79" s="1">
        <v>8</v>
      </c>
      <c r="I79" t="str">
        <f>IF(ISNA(_xlfn.XLOOKUP(B79, policy_details!$A$2:$A$2829, policy_details!$A$2:$A$2829)), "Invalid", "Ok")</f>
        <v>Ok</v>
      </c>
    </row>
    <row r="80" spans="1:9" x14ac:dyDescent="0.3">
      <c r="A80" s="1" t="s">
        <v>6542</v>
      </c>
      <c r="B80" s="1" t="s">
        <v>6362</v>
      </c>
      <c r="C80" s="41">
        <v>46115</v>
      </c>
      <c r="D80" s="1">
        <v>80199.92</v>
      </c>
      <c r="E80" s="1" t="s">
        <v>6457</v>
      </c>
      <c r="F80" s="1" t="s">
        <v>6466</v>
      </c>
      <c r="G80" s="1" t="s">
        <v>17</v>
      </c>
      <c r="H80" s="1">
        <v>5</v>
      </c>
      <c r="I80" t="str">
        <f>IF(ISNA(_xlfn.XLOOKUP(B80, policy_details!$A$2:$A$2829, policy_details!$A$2:$A$2829)), "Invalid", "Ok")</f>
        <v>Ok</v>
      </c>
    </row>
    <row r="81" spans="1:9" x14ac:dyDescent="0.3">
      <c r="A81" s="1" t="s">
        <v>6543</v>
      </c>
      <c r="B81" s="1" t="s">
        <v>6060</v>
      </c>
      <c r="C81" s="41">
        <v>45620</v>
      </c>
      <c r="D81" s="1">
        <v>219645.95</v>
      </c>
      <c r="E81" s="1" t="s">
        <v>6460</v>
      </c>
      <c r="F81" s="1" t="s">
        <v>6461</v>
      </c>
      <c r="G81" s="1" t="s">
        <v>17</v>
      </c>
      <c r="H81" s="1">
        <v>10</v>
      </c>
      <c r="I81" t="str">
        <f>IF(ISNA(_xlfn.XLOOKUP(B81, policy_details!$A$2:$A$2829, policy_details!$A$2:$A$2829)), "Invalid", "Ok")</f>
        <v>Ok</v>
      </c>
    </row>
    <row r="82" spans="1:9" x14ac:dyDescent="0.3">
      <c r="A82" s="1" t="s">
        <v>6544</v>
      </c>
      <c r="B82" s="1" t="s">
        <v>5555</v>
      </c>
      <c r="C82" s="41">
        <v>45129</v>
      </c>
      <c r="D82" s="1">
        <v>72977.53</v>
      </c>
      <c r="E82" s="1" t="s">
        <v>6457</v>
      </c>
      <c r="F82" s="1" t="s">
        <v>6461</v>
      </c>
      <c r="G82" s="1" t="s">
        <v>17</v>
      </c>
      <c r="H82" s="1">
        <v>22</v>
      </c>
      <c r="I82" t="str">
        <f>IF(ISNA(_xlfn.XLOOKUP(B82, policy_details!$A$2:$A$2829, policy_details!$A$2:$A$2829)), "Invalid", "Ok")</f>
        <v>Ok</v>
      </c>
    </row>
    <row r="83" spans="1:9" x14ac:dyDescent="0.3">
      <c r="A83" s="1" t="s">
        <v>6545</v>
      </c>
      <c r="B83" s="1" t="s">
        <v>4737</v>
      </c>
      <c r="C83" s="41">
        <v>45303</v>
      </c>
      <c r="D83" s="1">
        <v>272299.84000000003</v>
      </c>
      <c r="E83" s="1" t="s">
        <v>6457</v>
      </c>
      <c r="F83" s="1" t="s">
        <v>6470</v>
      </c>
      <c r="G83" s="1" t="s">
        <v>17</v>
      </c>
      <c r="H83" s="1">
        <v>28</v>
      </c>
      <c r="I83" t="str">
        <f>IF(ISNA(_xlfn.XLOOKUP(B83, policy_details!$A$2:$A$2829, policy_details!$A$2:$A$2829)), "Invalid", "Ok")</f>
        <v>Ok</v>
      </c>
    </row>
    <row r="84" spans="1:9" x14ac:dyDescent="0.3">
      <c r="A84" s="1" t="s">
        <v>6546</v>
      </c>
      <c r="B84" s="1" t="s">
        <v>5551</v>
      </c>
      <c r="C84" s="41">
        <v>45645</v>
      </c>
      <c r="D84" s="1">
        <v>358274.96</v>
      </c>
      <c r="E84" s="1" t="s">
        <v>6460</v>
      </c>
      <c r="F84" s="1" t="s">
        <v>6461</v>
      </c>
      <c r="G84" s="1" t="s">
        <v>17</v>
      </c>
      <c r="H84" s="1">
        <v>40</v>
      </c>
      <c r="I84" t="str">
        <f>IF(ISNA(_xlfn.XLOOKUP(B84, policy_details!$A$2:$A$2829, policy_details!$A$2:$A$2829)), "Invalid", "Ok")</f>
        <v>Ok</v>
      </c>
    </row>
    <row r="85" spans="1:9" x14ac:dyDescent="0.3">
      <c r="A85" s="1" t="s">
        <v>6547</v>
      </c>
      <c r="B85" s="1" t="s">
        <v>4766</v>
      </c>
      <c r="C85" s="41">
        <v>45494</v>
      </c>
      <c r="D85" s="1">
        <v>78983.06</v>
      </c>
      <c r="E85" s="1" t="s">
        <v>6457</v>
      </c>
      <c r="F85" s="1" t="s">
        <v>6461</v>
      </c>
      <c r="G85" s="1" t="s">
        <v>17</v>
      </c>
      <c r="H85" s="1">
        <v>39</v>
      </c>
      <c r="I85" t="str">
        <f>IF(ISNA(_xlfn.XLOOKUP(B85, policy_details!$A$2:$A$2829, policy_details!$A$2:$A$2829)), "Invalid", "Ok")</f>
        <v>Ok</v>
      </c>
    </row>
    <row r="86" spans="1:9" x14ac:dyDescent="0.3">
      <c r="A86" s="1" t="s">
        <v>6548</v>
      </c>
      <c r="B86" s="1" t="s">
        <v>3983</v>
      </c>
      <c r="C86" s="41">
        <v>46136</v>
      </c>
      <c r="D86" s="1">
        <v>394574.45</v>
      </c>
      <c r="E86" s="1" t="s">
        <v>6460</v>
      </c>
      <c r="F86" s="1" t="s">
        <v>6466</v>
      </c>
      <c r="G86" s="1" t="s">
        <v>17</v>
      </c>
      <c r="H86" s="1">
        <v>4</v>
      </c>
      <c r="I86" t="str">
        <f>IF(ISNA(_xlfn.XLOOKUP(B86, policy_details!$A$2:$A$2829, policy_details!$A$2:$A$2829)), "Invalid", "Ok")</f>
        <v>Ok</v>
      </c>
    </row>
    <row r="87" spans="1:9" x14ac:dyDescent="0.3">
      <c r="A87" s="1" t="s">
        <v>6549</v>
      </c>
      <c r="B87" s="1" t="s">
        <v>5367</v>
      </c>
      <c r="C87" s="41">
        <v>45858</v>
      </c>
      <c r="D87" s="1">
        <v>253200.23</v>
      </c>
      <c r="E87" s="1" t="s">
        <v>6460</v>
      </c>
      <c r="F87" s="1" t="s">
        <v>6481</v>
      </c>
      <c r="G87" s="1" t="s">
        <v>17</v>
      </c>
      <c r="H87" s="1">
        <v>19</v>
      </c>
      <c r="I87" t="str">
        <f>IF(ISNA(_xlfn.XLOOKUP(B87, policy_details!$A$2:$A$2829, policy_details!$A$2:$A$2829)), "Invalid", "Ok")</f>
        <v>Ok</v>
      </c>
    </row>
    <row r="88" spans="1:9" x14ac:dyDescent="0.3">
      <c r="A88" s="1" t="s">
        <v>6550</v>
      </c>
      <c r="B88" s="1" t="s">
        <v>5592</v>
      </c>
      <c r="C88" s="41">
        <v>45401</v>
      </c>
      <c r="D88" s="1">
        <v>87738.31</v>
      </c>
      <c r="E88" s="1" t="s">
        <v>6460</v>
      </c>
      <c r="F88" s="1" t="s">
        <v>6481</v>
      </c>
      <c r="G88" s="1" t="s">
        <v>17</v>
      </c>
      <c r="H88" s="1">
        <v>39</v>
      </c>
      <c r="I88" t="str">
        <f>IF(ISNA(_xlfn.XLOOKUP(B88, policy_details!$A$2:$A$2829, policy_details!$A$2:$A$2829)), "Invalid", "Ok")</f>
        <v>Ok</v>
      </c>
    </row>
    <row r="89" spans="1:9" x14ac:dyDescent="0.3">
      <c r="A89" s="1" t="s">
        <v>6551</v>
      </c>
      <c r="B89" s="1" t="s">
        <v>4595</v>
      </c>
      <c r="C89" s="41">
        <v>44678</v>
      </c>
      <c r="D89" s="1">
        <v>120448.12</v>
      </c>
      <c r="E89" s="1" t="s">
        <v>6460</v>
      </c>
      <c r="F89" s="1" t="s">
        <v>6466</v>
      </c>
      <c r="G89" s="1" t="s">
        <v>17</v>
      </c>
      <c r="H89" s="1">
        <v>8</v>
      </c>
      <c r="I89" t="str">
        <f>IF(ISNA(_xlfn.XLOOKUP(B89, policy_details!$A$2:$A$2829, policy_details!$A$2:$A$2829)), "Invalid", "Ok")</f>
        <v>Ok</v>
      </c>
    </row>
    <row r="90" spans="1:9" x14ac:dyDescent="0.3">
      <c r="A90" s="1" t="s">
        <v>6552</v>
      </c>
      <c r="B90" s="1" t="s">
        <v>6248</v>
      </c>
      <c r="C90" s="41">
        <v>45034</v>
      </c>
      <c r="D90" s="1">
        <v>273301.13</v>
      </c>
      <c r="E90" s="1" t="s">
        <v>6464</v>
      </c>
      <c r="F90" s="1" t="s">
        <v>6481</v>
      </c>
      <c r="G90" s="1" t="s">
        <v>17</v>
      </c>
      <c r="H90" s="1">
        <v>30</v>
      </c>
      <c r="I90" t="str">
        <f>IF(ISNA(_xlfn.XLOOKUP(B90, policy_details!$A$2:$A$2829, policy_details!$A$2:$A$2829)), "Invalid", "Ok")</f>
        <v>Ok</v>
      </c>
    </row>
    <row r="91" spans="1:9" x14ac:dyDescent="0.3">
      <c r="A91" s="1" t="s">
        <v>6553</v>
      </c>
      <c r="B91" s="1" t="s">
        <v>6036</v>
      </c>
      <c r="C91" s="41">
        <v>46187</v>
      </c>
      <c r="D91" s="1">
        <v>1099913.02</v>
      </c>
      <c r="E91" s="1" t="s">
        <v>6457</v>
      </c>
      <c r="F91" s="1" t="s">
        <v>6458</v>
      </c>
      <c r="G91" s="1" t="s">
        <v>30</v>
      </c>
      <c r="H91" s="1">
        <v>19</v>
      </c>
      <c r="I91" t="str">
        <f>IF(ISNA(_xlfn.XLOOKUP(B91, policy_details!$A$2:$A$2829, policy_details!$A$2:$A$2829)), "Invalid", "Ok")</f>
        <v>Ok</v>
      </c>
    </row>
    <row r="92" spans="1:9" x14ac:dyDescent="0.3">
      <c r="A92" s="1" t="s">
        <v>6554</v>
      </c>
      <c r="B92" s="1" t="s">
        <v>5264</v>
      </c>
      <c r="C92" s="41">
        <v>45077</v>
      </c>
      <c r="D92" s="1">
        <v>68053.19</v>
      </c>
      <c r="E92" s="1" t="s">
        <v>6464</v>
      </c>
      <c r="F92" s="1" t="s">
        <v>6461</v>
      </c>
      <c r="G92" s="1" t="s">
        <v>17</v>
      </c>
      <c r="H92" s="1">
        <v>8</v>
      </c>
      <c r="I92" t="str">
        <f>IF(ISNA(_xlfn.XLOOKUP(B92, policy_details!$A$2:$A$2829, policy_details!$A$2:$A$2829)), "Invalid", "Ok")</f>
        <v>Ok</v>
      </c>
    </row>
    <row r="93" spans="1:9" x14ac:dyDescent="0.3">
      <c r="A93" s="1" t="s">
        <v>6555</v>
      </c>
      <c r="B93" s="1" t="s">
        <v>3614</v>
      </c>
      <c r="C93" s="41">
        <v>45570</v>
      </c>
      <c r="D93" s="1">
        <v>914380.98</v>
      </c>
      <c r="E93" s="1" t="s">
        <v>6457</v>
      </c>
      <c r="F93" s="1" t="s">
        <v>6458</v>
      </c>
      <c r="G93" s="1" t="s">
        <v>30</v>
      </c>
      <c r="H93" s="1">
        <v>3</v>
      </c>
      <c r="I93" t="str">
        <f>IF(ISNA(_xlfn.XLOOKUP(B93, policy_details!$A$2:$A$2829, policy_details!$A$2:$A$2829)), "Invalid", "Ok")</f>
        <v>Ok</v>
      </c>
    </row>
    <row r="94" spans="1:9" x14ac:dyDescent="0.3">
      <c r="A94" s="1" t="s">
        <v>6556</v>
      </c>
      <c r="B94" s="1" t="s">
        <v>3409</v>
      </c>
      <c r="C94" s="41">
        <v>45179</v>
      </c>
      <c r="D94" s="1">
        <v>226424.89</v>
      </c>
      <c r="E94" s="1" t="s">
        <v>6457</v>
      </c>
      <c r="F94" s="1" t="s">
        <v>6461</v>
      </c>
      <c r="G94" s="1" t="s">
        <v>30</v>
      </c>
      <c r="H94" s="1">
        <v>13</v>
      </c>
      <c r="I94" t="str">
        <f>IF(ISNA(_xlfn.XLOOKUP(B94, policy_details!$A$2:$A$2829, policy_details!$A$2:$A$2829)), "Invalid", "Ok")</f>
        <v>Ok</v>
      </c>
    </row>
    <row r="95" spans="1:9" x14ac:dyDescent="0.3">
      <c r="A95" s="1" t="s">
        <v>6557</v>
      </c>
      <c r="B95" s="1" t="s">
        <v>5427</v>
      </c>
      <c r="C95" s="41">
        <v>44524</v>
      </c>
      <c r="D95" s="1">
        <v>362460.43</v>
      </c>
      <c r="E95" s="1" t="s">
        <v>6464</v>
      </c>
      <c r="F95" s="1" t="s">
        <v>6466</v>
      </c>
      <c r="G95" s="1" t="s">
        <v>17</v>
      </c>
      <c r="H95" s="1">
        <v>1</v>
      </c>
      <c r="I95" t="str">
        <f>IF(ISNA(_xlfn.XLOOKUP(B95, policy_details!$A$2:$A$2829, policy_details!$A$2:$A$2829)), "Invalid", "Ok")</f>
        <v>Ok</v>
      </c>
    </row>
    <row r="96" spans="1:9" x14ac:dyDescent="0.3">
      <c r="A96" s="1" t="s">
        <v>6558</v>
      </c>
      <c r="B96" s="1" t="s">
        <v>5920</v>
      </c>
      <c r="C96" s="41">
        <v>45998</v>
      </c>
      <c r="D96" s="1">
        <v>146428.74</v>
      </c>
      <c r="E96" s="1" t="s">
        <v>6457</v>
      </c>
      <c r="F96" s="1" t="s">
        <v>6470</v>
      </c>
      <c r="G96" s="1" t="s">
        <v>17</v>
      </c>
      <c r="H96" s="1">
        <v>9</v>
      </c>
      <c r="I96" t="str">
        <f>IF(ISNA(_xlfn.XLOOKUP(B96, policy_details!$A$2:$A$2829, policy_details!$A$2:$A$2829)), "Invalid", "Ok")</f>
        <v>Ok</v>
      </c>
    </row>
    <row r="97" spans="1:9" x14ac:dyDescent="0.3">
      <c r="A97" s="1" t="s">
        <v>6559</v>
      </c>
      <c r="B97" s="1" t="s">
        <v>5027</v>
      </c>
      <c r="C97" s="41">
        <v>44732</v>
      </c>
      <c r="D97" s="1">
        <v>273927.08</v>
      </c>
      <c r="E97" s="1" t="s">
        <v>6464</v>
      </c>
      <c r="F97" s="1" t="s">
        <v>6466</v>
      </c>
      <c r="G97" s="1" t="s">
        <v>17</v>
      </c>
      <c r="H97" s="1">
        <v>25</v>
      </c>
      <c r="I97" t="str">
        <f>IF(ISNA(_xlfn.XLOOKUP(B97, policy_details!$A$2:$A$2829, policy_details!$A$2:$A$2829)), "Invalid", "Ok")</f>
        <v>Ok</v>
      </c>
    </row>
    <row r="98" spans="1:9" x14ac:dyDescent="0.3">
      <c r="A98" s="1" t="s">
        <v>6560</v>
      </c>
      <c r="B98" s="1" t="s">
        <v>3442</v>
      </c>
      <c r="C98" s="41">
        <v>44618</v>
      </c>
      <c r="D98" s="1">
        <v>427382.16</v>
      </c>
      <c r="E98" s="1" t="s">
        <v>6460</v>
      </c>
      <c r="F98" s="1" t="s">
        <v>6481</v>
      </c>
      <c r="G98" s="1" t="s">
        <v>17</v>
      </c>
      <c r="H98" s="1">
        <v>35</v>
      </c>
      <c r="I98" t="str">
        <f>IF(ISNA(_xlfn.XLOOKUP(B98, policy_details!$A$2:$A$2829, policy_details!$A$2:$A$2829)), "Invalid", "Ok")</f>
        <v>Ok</v>
      </c>
    </row>
    <row r="99" spans="1:9" x14ac:dyDescent="0.3">
      <c r="A99" s="1" t="s">
        <v>6561</v>
      </c>
      <c r="B99" s="1" t="s">
        <v>3950</v>
      </c>
      <c r="C99" s="41">
        <v>44636</v>
      </c>
      <c r="D99" s="1">
        <v>336923.38</v>
      </c>
      <c r="E99" s="1" t="s">
        <v>6464</v>
      </c>
      <c r="F99" s="1" t="s">
        <v>6466</v>
      </c>
      <c r="G99" s="1" t="s">
        <v>17</v>
      </c>
      <c r="H99" s="1">
        <v>23</v>
      </c>
      <c r="I99" t="str">
        <f>IF(ISNA(_xlfn.XLOOKUP(B99, policy_details!$A$2:$A$2829, policy_details!$A$2:$A$2829)), "Invalid", "Ok")</f>
        <v>Ok</v>
      </c>
    </row>
    <row r="100" spans="1:9" x14ac:dyDescent="0.3">
      <c r="A100" s="1" t="s">
        <v>6562</v>
      </c>
      <c r="B100" s="1" t="s">
        <v>4174</v>
      </c>
      <c r="C100" s="41">
        <v>46148</v>
      </c>
      <c r="D100" s="1">
        <v>234241.8</v>
      </c>
      <c r="E100" s="1" t="s">
        <v>6457</v>
      </c>
      <c r="F100" s="1" t="s">
        <v>6461</v>
      </c>
      <c r="G100" s="1" t="s">
        <v>17</v>
      </c>
      <c r="H100" s="1">
        <v>32</v>
      </c>
      <c r="I100" t="str">
        <f>IF(ISNA(_xlfn.XLOOKUP(B100, policy_details!$A$2:$A$2829, policy_details!$A$2:$A$2829)), "Invalid", "Ok")</f>
        <v>Ok</v>
      </c>
    </row>
    <row r="101" spans="1:9" x14ac:dyDescent="0.3">
      <c r="A101" s="1" t="s">
        <v>6563</v>
      </c>
      <c r="B101" s="1" t="s">
        <v>5392</v>
      </c>
      <c r="C101" s="41">
        <v>45312</v>
      </c>
      <c r="D101" s="1">
        <v>232846.83</v>
      </c>
      <c r="E101" s="1" t="s">
        <v>6460</v>
      </c>
      <c r="F101" s="1" t="s">
        <v>6466</v>
      </c>
      <c r="G101" s="1" t="s">
        <v>17</v>
      </c>
      <c r="H101" s="1">
        <v>4</v>
      </c>
      <c r="I101" t="str">
        <f>IF(ISNA(_xlfn.XLOOKUP(B101, policy_details!$A$2:$A$2829, policy_details!$A$2:$A$2829)), "Invalid", "Ok")</f>
        <v>Ok</v>
      </c>
    </row>
    <row r="102" spans="1:9" x14ac:dyDescent="0.3">
      <c r="A102" s="1" t="s">
        <v>6564</v>
      </c>
      <c r="B102" s="1" t="s">
        <v>4986</v>
      </c>
      <c r="C102" s="41">
        <v>45830</v>
      </c>
      <c r="D102" s="1">
        <v>171691.28</v>
      </c>
      <c r="E102" s="1" t="s">
        <v>6457</v>
      </c>
      <c r="F102" s="1" t="s">
        <v>6470</v>
      </c>
      <c r="G102" s="1" t="s">
        <v>17</v>
      </c>
      <c r="H102" s="1">
        <v>14</v>
      </c>
      <c r="I102" t="str">
        <f>IF(ISNA(_xlfn.XLOOKUP(B102, policy_details!$A$2:$A$2829, policy_details!$A$2:$A$2829)), "Invalid", "Ok")</f>
        <v>Ok</v>
      </c>
    </row>
    <row r="103" spans="1:9" x14ac:dyDescent="0.3">
      <c r="A103" s="1" t="s">
        <v>6565</v>
      </c>
      <c r="B103" s="1" t="s">
        <v>3789</v>
      </c>
      <c r="C103" s="41">
        <v>46234</v>
      </c>
      <c r="D103" s="1">
        <v>1031172.26</v>
      </c>
      <c r="E103" s="1" t="s">
        <v>6457</v>
      </c>
      <c r="F103" s="1" t="s">
        <v>6458</v>
      </c>
      <c r="G103" s="1" t="s">
        <v>17</v>
      </c>
      <c r="H103" s="1">
        <v>29</v>
      </c>
      <c r="I103" t="str">
        <f>IF(ISNA(_xlfn.XLOOKUP(B103, policy_details!$A$2:$A$2829, policy_details!$A$2:$A$2829)), "Invalid", "Ok")</f>
        <v>Ok</v>
      </c>
    </row>
    <row r="104" spans="1:9" x14ac:dyDescent="0.3">
      <c r="A104" s="1" t="s">
        <v>6566</v>
      </c>
      <c r="B104" s="1" t="s">
        <v>5031</v>
      </c>
      <c r="C104" s="41">
        <v>45919</v>
      </c>
      <c r="D104" s="1">
        <v>150166.28</v>
      </c>
      <c r="E104" s="1" t="s">
        <v>6460</v>
      </c>
      <c r="F104" s="1" t="s">
        <v>6466</v>
      </c>
      <c r="G104" s="1" t="s">
        <v>17</v>
      </c>
      <c r="H104" s="1">
        <v>3</v>
      </c>
      <c r="I104" t="str">
        <f>IF(ISNA(_xlfn.XLOOKUP(B104, policy_details!$A$2:$A$2829, policy_details!$A$2:$A$2829)), "Invalid", "Ok")</f>
        <v>Ok</v>
      </c>
    </row>
    <row r="105" spans="1:9" x14ac:dyDescent="0.3">
      <c r="A105" s="1" t="s">
        <v>6567</v>
      </c>
      <c r="B105" s="1" t="s">
        <v>6080</v>
      </c>
      <c r="C105" s="41">
        <v>45780</v>
      </c>
      <c r="D105" s="1">
        <v>313877.99</v>
      </c>
      <c r="E105" s="1" t="s">
        <v>6464</v>
      </c>
      <c r="F105" s="1" t="s">
        <v>6470</v>
      </c>
      <c r="G105" s="1" t="s">
        <v>17</v>
      </c>
      <c r="H105" s="1">
        <v>26</v>
      </c>
      <c r="I105" t="str">
        <f>IF(ISNA(_xlfn.XLOOKUP(B105, policy_details!$A$2:$A$2829, policy_details!$A$2:$A$2829)), "Invalid", "Ok")</f>
        <v>Ok</v>
      </c>
    </row>
    <row r="106" spans="1:9" x14ac:dyDescent="0.3">
      <c r="A106" s="1" t="s">
        <v>6568</v>
      </c>
      <c r="B106" s="1" t="s">
        <v>4854</v>
      </c>
      <c r="C106" s="41">
        <v>44874</v>
      </c>
      <c r="D106" s="1">
        <v>116309.95</v>
      </c>
      <c r="E106" s="1" t="s">
        <v>6464</v>
      </c>
      <c r="F106" s="1" t="s">
        <v>6481</v>
      </c>
      <c r="G106" s="1" t="s">
        <v>17</v>
      </c>
      <c r="H106" s="1">
        <v>8</v>
      </c>
      <c r="I106" t="str">
        <f>IF(ISNA(_xlfn.XLOOKUP(B106, policy_details!$A$2:$A$2829, policy_details!$A$2:$A$2829)), "Invalid", "Ok")</f>
        <v>Ok</v>
      </c>
    </row>
    <row r="107" spans="1:9" x14ac:dyDescent="0.3">
      <c r="A107" s="1" t="s">
        <v>6569</v>
      </c>
      <c r="B107" s="1" t="s">
        <v>3965</v>
      </c>
      <c r="C107" s="41">
        <v>46085</v>
      </c>
      <c r="D107" s="1">
        <v>116568.62</v>
      </c>
      <c r="E107" s="1" t="s">
        <v>6464</v>
      </c>
      <c r="F107" s="1" t="s">
        <v>6461</v>
      </c>
      <c r="G107" s="1" t="s">
        <v>17</v>
      </c>
      <c r="H107" s="1">
        <v>19</v>
      </c>
      <c r="I107" t="str">
        <f>IF(ISNA(_xlfn.XLOOKUP(B107, policy_details!$A$2:$A$2829, policy_details!$A$2:$A$2829)), "Invalid", "Ok")</f>
        <v>Ok</v>
      </c>
    </row>
    <row r="108" spans="1:9" x14ac:dyDescent="0.3">
      <c r="A108" s="1" t="s">
        <v>6570</v>
      </c>
      <c r="B108" s="1" t="s">
        <v>5249</v>
      </c>
      <c r="C108" s="41">
        <v>44759</v>
      </c>
      <c r="D108" s="1">
        <v>147306.26999999999</v>
      </c>
      <c r="E108" s="1" t="s">
        <v>6464</v>
      </c>
      <c r="F108" s="1" t="s">
        <v>6461</v>
      </c>
      <c r="G108" s="1" t="s">
        <v>17</v>
      </c>
      <c r="H108" s="1">
        <v>28</v>
      </c>
      <c r="I108" t="str">
        <f>IF(ISNA(_xlfn.XLOOKUP(B108, policy_details!$A$2:$A$2829, policy_details!$A$2:$A$2829)), "Invalid", "Ok")</f>
        <v>Ok</v>
      </c>
    </row>
    <row r="109" spans="1:9" x14ac:dyDescent="0.3">
      <c r="A109" s="1" t="s">
        <v>6571</v>
      </c>
      <c r="B109" s="1" t="s">
        <v>6249</v>
      </c>
      <c r="C109" s="41">
        <v>46072</v>
      </c>
      <c r="D109" s="1">
        <v>316176.52</v>
      </c>
      <c r="E109" s="1" t="s">
        <v>6460</v>
      </c>
      <c r="F109" s="1" t="s">
        <v>6481</v>
      </c>
      <c r="G109" s="1" t="s">
        <v>30</v>
      </c>
      <c r="H109" s="1">
        <v>44</v>
      </c>
      <c r="I109" t="str">
        <f>IF(ISNA(_xlfn.XLOOKUP(B109, policy_details!$A$2:$A$2829, policy_details!$A$2:$A$2829)), "Invalid", "Ok")</f>
        <v>Ok</v>
      </c>
    </row>
    <row r="110" spans="1:9" x14ac:dyDescent="0.3">
      <c r="A110" s="1" t="s">
        <v>6572</v>
      </c>
      <c r="B110" s="1" t="s">
        <v>3851</v>
      </c>
      <c r="C110" s="41">
        <v>45822</v>
      </c>
      <c r="D110" s="1">
        <v>250065.06</v>
      </c>
      <c r="E110" s="1" t="s">
        <v>6460</v>
      </c>
      <c r="F110" s="1" t="s">
        <v>6470</v>
      </c>
      <c r="G110" s="1" t="s">
        <v>17</v>
      </c>
      <c r="H110" s="1">
        <v>4</v>
      </c>
      <c r="I110" t="str">
        <f>IF(ISNA(_xlfn.XLOOKUP(B110, policy_details!$A$2:$A$2829, policy_details!$A$2:$A$2829)), "Invalid", "Ok")</f>
        <v>Ok</v>
      </c>
    </row>
    <row r="111" spans="1:9" x14ac:dyDescent="0.3">
      <c r="A111" s="1" t="s">
        <v>6573</v>
      </c>
      <c r="B111" s="1" t="s">
        <v>3990</v>
      </c>
      <c r="C111" s="41">
        <v>45209</v>
      </c>
      <c r="D111" s="1">
        <v>526343.48</v>
      </c>
      <c r="E111" s="1" t="s">
        <v>6464</v>
      </c>
      <c r="F111" s="1" t="s">
        <v>6481</v>
      </c>
      <c r="G111" s="1" t="s">
        <v>17</v>
      </c>
      <c r="H111" s="1">
        <v>25</v>
      </c>
      <c r="I111" t="str">
        <f>IF(ISNA(_xlfn.XLOOKUP(B111, policy_details!$A$2:$A$2829, policy_details!$A$2:$A$2829)), "Invalid", "Ok")</f>
        <v>Ok</v>
      </c>
    </row>
    <row r="112" spans="1:9" x14ac:dyDescent="0.3">
      <c r="A112" s="1" t="s">
        <v>6574</v>
      </c>
      <c r="B112" s="1" t="s">
        <v>5218</v>
      </c>
      <c r="C112" s="41">
        <v>44559</v>
      </c>
      <c r="D112" s="1">
        <v>155946.23999999999</v>
      </c>
      <c r="E112" s="1" t="s">
        <v>6460</v>
      </c>
      <c r="F112" s="1" t="s">
        <v>6461</v>
      </c>
      <c r="G112" s="1" t="s">
        <v>17</v>
      </c>
      <c r="H112" s="1">
        <v>24</v>
      </c>
      <c r="I112" t="str">
        <f>IF(ISNA(_xlfn.XLOOKUP(B112, policy_details!$A$2:$A$2829, policy_details!$A$2:$A$2829)), "Invalid", "Ok")</f>
        <v>Ok</v>
      </c>
    </row>
    <row r="113" spans="1:9" x14ac:dyDescent="0.3">
      <c r="A113" s="1" t="s">
        <v>6575</v>
      </c>
      <c r="B113" s="1" t="s">
        <v>4567</v>
      </c>
      <c r="C113" s="41">
        <v>45559</v>
      </c>
      <c r="D113" s="1">
        <v>104756.89</v>
      </c>
      <c r="E113" s="1" t="s">
        <v>6457</v>
      </c>
      <c r="F113" s="1" t="s">
        <v>6461</v>
      </c>
      <c r="G113" s="1" t="s">
        <v>17</v>
      </c>
      <c r="H113" s="1">
        <v>3</v>
      </c>
      <c r="I113" t="str">
        <f>IF(ISNA(_xlfn.XLOOKUP(B113, policy_details!$A$2:$A$2829, policy_details!$A$2:$A$2829)), "Invalid", "Ok")</f>
        <v>Ok</v>
      </c>
    </row>
    <row r="114" spans="1:9" x14ac:dyDescent="0.3">
      <c r="A114" s="1" t="s">
        <v>6576</v>
      </c>
      <c r="B114" s="1" t="s">
        <v>6153</v>
      </c>
      <c r="C114" s="41">
        <v>44651</v>
      </c>
      <c r="D114" s="1">
        <v>232512.17</v>
      </c>
      <c r="E114" s="1" t="s">
        <v>6460</v>
      </c>
      <c r="F114" s="1" t="s">
        <v>6481</v>
      </c>
      <c r="G114" s="1" t="s">
        <v>17</v>
      </c>
      <c r="H114" s="1">
        <v>27</v>
      </c>
      <c r="I114" t="str">
        <f>IF(ISNA(_xlfn.XLOOKUP(B114, policy_details!$A$2:$A$2829, policy_details!$A$2:$A$2829)), "Invalid", "Ok")</f>
        <v>Ok</v>
      </c>
    </row>
    <row r="115" spans="1:9" x14ac:dyDescent="0.3">
      <c r="A115" s="1" t="s">
        <v>6577</v>
      </c>
      <c r="B115" s="1" t="s">
        <v>5631</v>
      </c>
      <c r="C115" s="41">
        <v>45989</v>
      </c>
      <c r="D115" s="1">
        <v>187528.11</v>
      </c>
      <c r="E115" s="1" t="s">
        <v>6457</v>
      </c>
      <c r="F115" s="1" t="s">
        <v>6466</v>
      </c>
      <c r="G115" s="1" t="s">
        <v>17</v>
      </c>
      <c r="H115" s="1">
        <v>4</v>
      </c>
      <c r="I115" t="str">
        <f>IF(ISNA(_xlfn.XLOOKUP(B115, policy_details!$A$2:$A$2829, policy_details!$A$2:$A$2829)), "Invalid", "Ok")</f>
        <v>Ok</v>
      </c>
    </row>
    <row r="116" spans="1:9" x14ac:dyDescent="0.3">
      <c r="A116" s="1" t="s">
        <v>6578</v>
      </c>
      <c r="B116" s="1" t="s">
        <v>3957</v>
      </c>
      <c r="C116" s="41">
        <v>44575</v>
      </c>
      <c r="D116" s="1">
        <v>194533.04</v>
      </c>
      <c r="E116" s="1" t="s">
        <v>6464</v>
      </c>
      <c r="F116" s="1" t="s">
        <v>6461</v>
      </c>
      <c r="G116" s="1" t="s">
        <v>17</v>
      </c>
      <c r="H116" s="1">
        <v>31</v>
      </c>
      <c r="I116" t="str">
        <f>IF(ISNA(_xlfn.XLOOKUP(B116, policy_details!$A$2:$A$2829, policy_details!$A$2:$A$2829)), "Invalid", "Ok")</f>
        <v>Ok</v>
      </c>
    </row>
    <row r="117" spans="1:9" x14ac:dyDescent="0.3">
      <c r="A117" s="1" t="s">
        <v>6579</v>
      </c>
      <c r="B117" s="1" t="s">
        <v>6084</v>
      </c>
      <c r="C117" s="41">
        <v>45836</v>
      </c>
      <c r="D117" s="1">
        <v>527893.87</v>
      </c>
      <c r="E117" s="1" t="s">
        <v>6457</v>
      </c>
      <c r="F117" s="1" t="s">
        <v>6458</v>
      </c>
      <c r="G117" s="1" t="s">
        <v>17</v>
      </c>
      <c r="H117" s="1">
        <v>10</v>
      </c>
      <c r="I117" t="str">
        <f>IF(ISNA(_xlfn.XLOOKUP(B117, policy_details!$A$2:$A$2829, policy_details!$A$2:$A$2829)), "Invalid", "Ok")</f>
        <v>Ok</v>
      </c>
    </row>
    <row r="118" spans="1:9" x14ac:dyDescent="0.3">
      <c r="A118" s="1" t="s">
        <v>6580</v>
      </c>
      <c r="B118" s="1" t="s">
        <v>5434</v>
      </c>
      <c r="C118" s="41">
        <v>45550</v>
      </c>
      <c r="D118" s="1">
        <v>824419.83</v>
      </c>
      <c r="E118" s="1" t="s">
        <v>6460</v>
      </c>
      <c r="F118" s="1" t="s">
        <v>6458</v>
      </c>
      <c r="G118" s="1" t="s">
        <v>17</v>
      </c>
      <c r="H118" s="1">
        <v>6</v>
      </c>
      <c r="I118" t="str">
        <f>IF(ISNA(_xlfn.XLOOKUP(B118, policy_details!$A$2:$A$2829, policy_details!$A$2:$A$2829)), "Invalid", "Ok")</f>
        <v>Ok</v>
      </c>
    </row>
    <row r="119" spans="1:9" x14ac:dyDescent="0.3">
      <c r="A119" s="1" t="s">
        <v>6581</v>
      </c>
      <c r="B119" s="1" t="s">
        <v>5008</v>
      </c>
      <c r="C119" s="41">
        <v>45977</v>
      </c>
      <c r="D119" s="1">
        <v>2025811.77</v>
      </c>
      <c r="E119" s="1" t="s">
        <v>6464</v>
      </c>
      <c r="F119" s="1" t="s">
        <v>6458</v>
      </c>
      <c r="G119" s="1" t="s">
        <v>30</v>
      </c>
      <c r="H119" s="1">
        <v>4</v>
      </c>
      <c r="I119" t="str">
        <f>IF(ISNA(_xlfn.XLOOKUP(B119, policy_details!$A$2:$A$2829, policy_details!$A$2:$A$2829)), "Invalid", "Ok")</f>
        <v>Ok</v>
      </c>
    </row>
    <row r="120" spans="1:9" x14ac:dyDescent="0.3">
      <c r="A120" s="1" t="s">
        <v>6582</v>
      </c>
      <c r="B120" s="1" t="s">
        <v>4317</v>
      </c>
      <c r="C120" s="41">
        <v>46129</v>
      </c>
      <c r="D120" s="1">
        <v>164114.01</v>
      </c>
      <c r="E120" s="1" t="s">
        <v>6464</v>
      </c>
      <c r="F120" s="1" t="s">
        <v>6461</v>
      </c>
      <c r="G120" s="1" t="s">
        <v>17</v>
      </c>
      <c r="H120" s="1">
        <v>21</v>
      </c>
      <c r="I120" t="str">
        <f>IF(ISNA(_xlfn.XLOOKUP(B120, policy_details!$A$2:$A$2829, policy_details!$A$2:$A$2829)), "Invalid", "Ok")</f>
        <v>Ok</v>
      </c>
    </row>
    <row r="121" spans="1:9" x14ac:dyDescent="0.3">
      <c r="A121" s="1" t="s">
        <v>6583</v>
      </c>
      <c r="B121" s="1" t="s">
        <v>5455</v>
      </c>
      <c r="C121" s="41">
        <v>45028</v>
      </c>
      <c r="D121" s="1">
        <v>106323.94</v>
      </c>
      <c r="E121" s="1" t="s">
        <v>6460</v>
      </c>
      <c r="F121" s="1" t="s">
        <v>6470</v>
      </c>
      <c r="G121" s="1" t="s">
        <v>17</v>
      </c>
      <c r="H121" s="1">
        <v>11</v>
      </c>
      <c r="I121" t="str">
        <f>IF(ISNA(_xlfn.XLOOKUP(B121, policy_details!$A$2:$A$2829, policy_details!$A$2:$A$2829)), "Invalid", "Ok")</f>
        <v>Ok</v>
      </c>
    </row>
    <row r="122" spans="1:9" x14ac:dyDescent="0.3">
      <c r="A122" s="1" t="s">
        <v>6584</v>
      </c>
      <c r="B122" s="1" t="s">
        <v>6162</v>
      </c>
      <c r="C122" s="41">
        <v>45718</v>
      </c>
      <c r="D122" s="1">
        <v>151876.01999999999</v>
      </c>
      <c r="E122" s="1" t="s">
        <v>6464</v>
      </c>
      <c r="F122" s="1" t="s">
        <v>6470</v>
      </c>
      <c r="G122" s="1" t="s">
        <v>17</v>
      </c>
      <c r="H122" s="1">
        <v>21</v>
      </c>
      <c r="I122" t="str">
        <f>IF(ISNA(_xlfn.XLOOKUP(B122, policy_details!$A$2:$A$2829, policy_details!$A$2:$A$2829)), "Invalid", "Ok")</f>
        <v>Ok</v>
      </c>
    </row>
    <row r="123" spans="1:9" x14ac:dyDescent="0.3">
      <c r="A123" s="1" t="s">
        <v>6585</v>
      </c>
      <c r="B123" s="1" t="s">
        <v>3516</v>
      </c>
      <c r="C123" s="41">
        <v>45131</v>
      </c>
      <c r="D123" s="1">
        <v>72033.83</v>
      </c>
      <c r="E123" s="1" t="s">
        <v>6460</v>
      </c>
      <c r="F123" s="1" t="s">
        <v>6466</v>
      </c>
      <c r="G123" s="1" t="s">
        <v>17</v>
      </c>
      <c r="H123" s="1">
        <v>40</v>
      </c>
      <c r="I123" t="str">
        <f>IF(ISNA(_xlfn.XLOOKUP(B123, policy_details!$A$2:$A$2829, policy_details!$A$2:$A$2829)), "Invalid", "Ok")</f>
        <v>Ok</v>
      </c>
    </row>
    <row r="124" spans="1:9" x14ac:dyDescent="0.3">
      <c r="A124" s="1" t="s">
        <v>6586</v>
      </c>
      <c r="B124" s="1" t="s">
        <v>4671</v>
      </c>
      <c r="C124" s="41">
        <v>46248</v>
      </c>
      <c r="D124" s="1">
        <v>174779.78</v>
      </c>
      <c r="E124" s="1" t="s">
        <v>6457</v>
      </c>
      <c r="F124" s="1" t="s">
        <v>6470</v>
      </c>
      <c r="G124" s="1" t="s">
        <v>17</v>
      </c>
      <c r="H124" s="1">
        <v>37</v>
      </c>
      <c r="I124" t="str">
        <f>IF(ISNA(_xlfn.XLOOKUP(B124, policy_details!$A$2:$A$2829, policy_details!$A$2:$A$2829)), "Invalid", "Ok")</f>
        <v>Ok</v>
      </c>
    </row>
    <row r="125" spans="1:9" x14ac:dyDescent="0.3">
      <c r="A125" s="1" t="s">
        <v>6587</v>
      </c>
      <c r="B125" s="1" t="s">
        <v>6267</v>
      </c>
      <c r="C125" s="41">
        <v>45490</v>
      </c>
      <c r="D125" s="1">
        <v>410262.64</v>
      </c>
      <c r="E125" s="1" t="s">
        <v>6457</v>
      </c>
      <c r="F125" s="1" t="s">
        <v>6470</v>
      </c>
      <c r="G125" s="1" t="s">
        <v>30</v>
      </c>
      <c r="H125" s="1">
        <v>34</v>
      </c>
      <c r="I125" t="str">
        <f>IF(ISNA(_xlfn.XLOOKUP(B125, policy_details!$A$2:$A$2829, policy_details!$A$2:$A$2829)), "Invalid", "Ok")</f>
        <v>Ok</v>
      </c>
    </row>
    <row r="126" spans="1:9" x14ac:dyDescent="0.3">
      <c r="A126" s="1" t="s">
        <v>6588</v>
      </c>
      <c r="B126" s="1" t="s">
        <v>4693</v>
      </c>
      <c r="C126" s="41">
        <v>44806</v>
      </c>
      <c r="D126" s="1">
        <v>121550.04</v>
      </c>
      <c r="E126" s="1" t="s">
        <v>6460</v>
      </c>
      <c r="F126" s="1" t="s">
        <v>6466</v>
      </c>
      <c r="G126" s="1" t="s">
        <v>30</v>
      </c>
      <c r="H126" s="1">
        <v>21</v>
      </c>
      <c r="I126" t="str">
        <f>IF(ISNA(_xlfn.XLOOKUP(B126, policy_details!$A$2:$A$2829, policy_details!$A$2:$A$2829)), "Invalid", "Ok")</f>
        <v>Ok</v>
      </c>
    </row>
    <row r="127" spans="1:9" x14ac:dyDescent="0.3">
      <c r="A127" s="1" t="s">
        <v>6589</v>
      </c>
      <c r="B127" s="1" t="s">
        <v>3503</v>
      </c>
      <c r="C127" s="41">
        <v>44903</v>
      </c>
      <c r="D127" s="1">
        <v>120715.61</v>
      </c>
      <c r="E127" s="1" t="s">
        <v>6457</v>
      </c>
      <c r="F127" s="1" t="s">
        <v>6481</v>
      </c>
      <c r="G127" s="1" t="s">
        <v>17</v>
      </c>
      <c r="H127" s="1">
        <v>5</v>
      </c>
      <c r="I127" t="str">
        <f>IF(ISNA(_xlfn.XLOOKUP(B127, policy_details!$A$2:$A$2829, policy_details!$A$2:$A$2829)), "Invalid", "Ok")</f>
        <v>Ok</v>
      </c>
    </row>
    <row r="128" spans="1:9" x14ac:dyDescent="0.3">
      <c r="A128" s="1" t="s">
        <v>6590</v>
      </c>
      <c r="B128" s="1" t="s">
        <v>3786</v>
      </c>
      <c r="C128" s="41">
        <v>45241</v>
      </c>
      <c r="D128" s="1">
        <v>129843.11</v>
      </c>
      <c r="E128" s="1" t="s">
        <v>6460</v>
      </c>
      <c r="F128" s="1" t="s">
        <v>6470</v>
      </c>
      <c r="G128" s="1" t="s">
        <v>17</v>
      </c>
      <c r="H128" s="1">
        <v>18</v>
      </c>
      <c r="I128" t="str">
        <f>IF(ISNA(_xlfn.XLOOKUP(B128, policy_details!$A$2:$A$2829, policy_details!$A$2:$A$2829)), "Invalid", "Ok")</f>
        <v>Ok</v>
      </c>
    </row>
    <row r="129" spans="1:9" x14ac:dyDescent="0.3">
      <c r="A129" s="1" t="s">
        <v>6591</v>
      </c>
      <c r="B129" s="1" t="s">
        <v>5570</v>
      </c>
      <c r="C129" s="41">
        <v>44964</v>
      </c>
      <c r="D129" s="1">
        <v>348725.72</v>
      </c>
      <c r="E129" s="1" t="s">
        <v>6457</v>
      </c>
      <c r="F129" s="1" t="s">
        <v>6466</v>
      </c>
      <c r="G129" s="1" t="s">
        <v>30</v>
      </c>
      <c r="H129" s="1">
        <v>1</v>
      </c>
      <c r="I129" t="str">
        <f>IF(ISNA(_xlfn.XLOOKUP(B129, policy_details!$A$2:$A$2829, policy_details!$A$2:$A$2829)), "Invalid", "Ok")</f>
        <v>Ok</v>
      </c>
    </row>
    <row r="130" spans="1:9" x14ac:dyDescent="0.3">
      <c r="A130" s="1" t="s">
        <v>6592</v>
      </c>
      <c r="B130" s="1" t="s">
        <v>5598</v>
      </c>
      <c r="C130" s="41">
        <v>44809</v>
      </c>
      <c r="D130" s="1">
        <v>422114.09</v>
      </c>
      <c r="E130" s="1" t="s">
        <v>6464</v>
      </c>
      <c r="F130" s="1" t="s">
        <v>6470</v>
      </c>
      <c r="G130" s="1" t="s">
        <v>17</v>
      </c>
      <c r="H130" s="1">
        <v>6</v>
      </c>
      <c r="I130" t="str">
        <f>IF(ISNA(_xlfn.XLOOKUP(B130, policy_details!$A$2:$A$2829, policy_details!$A$2:$A$2829)), "Invalid", "Ok")</f>
        <v>Ok</v>
      </c>
    </row>
    <row r="131" spans="1:9" x14ac:dyDescent="0.3">
      <c r="A131" s="1" t="s">
        <v>6593</v>
      </c>
      <c r="B131" s="1" t="s">
        <v>3849</v>
      </c>
      <c r="C131" s="41">
        <v>44738</v>
      </c>
      <c r="D131" s="1">
        <v>312800.93</v>
      </c>
      <c r="E131" s="1" t="s">
        <v>6460</v>
      </c>
      <c r="F131" s="1" t="s">
        <v>6481</v>
      </c>
      <c r="G131" s="1" t="s">
        <v>17</v>
      </c>
      <c r="H131" s="1">
        <v>14</v>
      </c>
      <c r="I131" t="str">
        <f>IF(ISNA(_xlfn.XLOOKUP(B131, policy_details!$A$2:$A$2829, policy_details!$A$2:$A$2829)), "Invalid", "Ok")</f>
        <v>Ok</v>
      </c>
    </row>
    <row r="132" spans="1:9" x14ac:dyDescent="0.3">
      <c r="A132" s="1" t="s">
        <v>6594</v>
      </c>
      <c r="B132" s="1" t="s">
        <v>4200</v>
      </c>
      <c r="C132" s="41">
        <v>45928</v>
      </c>
      <c r="D132" s="1">
        <v>94632.6</v>
      </c>
      <c r="E132" s="1" t="s">
        <v>6457</v>
      </c>
      <c r="F132" s="1" t="s">
        <v>6470</v>
      </c>
      <c r="G132" s="1" t="s">
        <v>17</v>
      </c>
      <c r="H132" s="1">
        <v>31</v>
      </c>
      <c r="I132" t="str">
        <f>IF(ISNA(_xlfn.XLOOKUP(B132, policy_details!$A$2:$A$2829, policy_details!$A$2:$A$2829)), "Invalid", "Ok")</f>
        <v>Ok</v>
      </c>
    </row>
    <row r="133" spans="1:9" x14ac:dyDescent="0.3">
      <c r="A133" s="1" t="s">
        <v>6595</v>
      </c>
      <c r="B133" s="1" t="s">
        <v>5209</v>
      </c>
      <c r="C133" s="41">
        <v>45919</v>
      </c>
      <c r="D133" s="1">
        <v>148342.35999999999</v>
      </c>
      <c r="E133" s="1" t="s">
        <v>6460</v>
      </c>
      <c r="F133" s="1" t="s">
        <v>6461</v>
      </c>
      <c r="G133" s="1" t="s">
        <v>17</v>
      </c>
      <c r="H133" s="1">
        <v>35</v>
      </c>
      <c r="I133" t="str">
        <f>IF(ISNA(_xlfn.XLOOKUP(B133, policy_details!$A$2:$A$2829, policy_details!$A$2:$A$2829)), "Invalid", "Ok")</f>
        <v>Ok</v>
      </c>
    </row>
    <row r="134" spans="1:9" x14ac:dyDescent="0.3">
      <c r="A134" s="1" t="s">
        <v>6596</v>
      </c>
      <c r="B134" s="1" t="s">
        <v>5558</v>
      </c>
      <c r="C134" s="41">
        <v>44793</v>
      </c>
      <c r="D134" s="1">
        <v>440393.92</v>
      </c>
      <c r="E134" s="1" t="s">
        <v>6464</v>
      </c>
      <c r="F134" s="1" t="s">
        <v>6470</v>
      </c>
      <c r="G134" s="1" t="s">
        <v>17</v>
      </c>
      <c r="H134" s="1">
        <v>28</v>
      </c>
      <c r="I134" t="str">
        <f>IF(ISNA(_xlfn.XLOOKUP(B134, policy_details!$A$2:$A$2829, policy_details!$A$2:$A$2829)), "Invalid", "Ok")</f>
        <v>Ok</v>
      </c>
    </row>
    <row r="135" spans="1:9" x14ac:dyDescent="0.3">
      <c r="A135" s="1" t="s">
        <v>6597</v>
      </c>
      <c r="B135" s="1" t="s">
        <v>3991</v>
      </c>
      <c r="C135" s="41">
        <v>45505</v>
      </c>
      <c r="D135" s="1">
        <v>214007.39</v>
      </c>
      <c r="E135" s="1" t="s">
        <v>6464</v>
      </c>
      <c r="F135" s="1" t="s">
        <v>6481</v>
      </c>
      <c r="G135" s="1" t="s">
        <v>17</v>
      </c>
      <c r="H135" s="1">
        <v>12</v>
      </c>
      <c r="I135" t="str">
        <f>IF(ISNA(_xlfn.XLOOKUP(B135, policy_details!$A$2:$A$2829, policy_details!$A$2:$A$2829)), "Invalid", "Ok")</f>
        <v>Ok</v>
      </c>
    </row>
    <row r="136" spans="1:9" x14ac:dyDescent="0.3">
      <c r="A136" s="1" t="s">
        <v>6598</v>
      </c>
      <c r="B136" s="1" t="s">
        <v>4904</v>
      </c>
      <c r="C136" s="41">
        <v>45591</v>
      </c>
      <c r="D136" s="1">
        <v>193097.09</v>
      </c>
      <c r="E136" s="1" t="s">
        <v>6464</v>
      </c>
      <c r="F136" s="1" t="s">
        <v>6470</v>
      </c>
      <c r="G136" s="1" t="s">
        <v>17</v>
      </c>
      <c r="H136" s="1">
        <v>32</v>
      </c>
      <c r="I136" t="str">
        <f>IF(ISNA(_xlfn.XLOOKUP(B136, policy_details!$A$2:$A$2829, policy_details!$A$2:$A$2829)), "Invalid", "Ok")</f>
        <v>Ok</v>
      </c>
    </row>
    <row r="137" spans="1:9" x14ac:dyDescent="0.3">
      <c r="A137" s="1" t="s">
        <v>6599</v>
      </c>
      <c r="B137" s="1" t="s">
        <v>5204</v>
      </c>
      <c r="C137" s="41">
        <v>45663</v>
      </c>
      <c r="D137" s="1">
        <v>248118.72</v>
      </c>
      <c r="E137" s="1" t="s">
        <v>6464</v>
      </c>
      <c r="F137" s="1" t="s">
        <v>6466</v>
      </c>
      <c r="G137" s="1" t="s">
        <v>17</v>
      </c>
      <c r="H137" s="1">
        <v>44</v>
      </c>
      <c r="I137" t="str">
        <f>IF(ISNA(_xlfn.XLOOKUP(B137, policy_details!$A$2:$A$2829, policy_details!$A$2:$A$2829)), "Invalid", "Ok")</f>
        <v>Ok</v>
      </c>
    </row>
    <row r="138" spans="1:9" x14ac:dyDescent="0.3">
      <c r="A138" s="1" t="s">
        <v>6600</v>
      </c>
      <c r="B138" s="1" t="s">
        <v>3567</v>
      </c>
      <c r="C138" s="41">
        <v>44813</v>
      </c>
      <c r="D138" s="1">
        <v>115414.44</v>
      </c>
      <c r="E138" s="1" t="s">
        <v>6460</v>
      </c>
      <c r="F138" s="1" t="s">
        <v>6481</v>
      </c>
      <c r="G138" s="1" t="s">
        <v>17</v>
      </c>
      <c r="H138" s="1">
        <v>29</v>
      </c>
      <c r="I138" t="str">
        <f>IF(ISNA(_xlfn.XLOOKUP(B138, policy_details!$A$2:$A$2829, policy_details!$A$2:$A$2829)), "Invalid", "Ok")</f>
        <v>Ok</v>
      </c>
    </row>
    <row r="139" spans="1:9" x14ac:dyDescent="0.3">
      <c r="A139" s="1" t="s">
        <v>6601</v>
      </c>
      <c r="B139" s="1" t="s">
        <v>4213</v>
      </c>
      <c r="C139" s="41">
        <v>45921</v>
      </c>
      <c r="D139" s="1">
        <v>1482326.54</v>
      </c>
      <c r="E139" s="1" t="s">
        <v>6460</v>
      </c>
      <c r="F139" s="1" t="s">
        <v>6458</v>
      </c>
      <c r="G139" s="1" t="s">
        <v>17</v>
      </c>
      <c r="H139" s="1">
        <v>34</v>
      </c>
      <c r="I139" t="str">
        <f>IF(ISNA(_xlfn.XLOOKUP(B139, policy_details!$A$2:$A$2829, policy_details!$A$2:$A$2829)), "Invalid", "Ok")</f>
        <v>Ok</v>
      </c>
    </row>
    <row r="140" spans="1:9" x14ac:dyDescent="0.3">
      <c r="A140" s="1" t="s">
        <v>6602</v>
      </c>
      <c r="B140" s="1" t="s">
        <v>6220</v>
      </c>
      <c r="C140" s="41">
        <v>46074</v>
      </c>
      <c r="D140" s="1">
        <v>1379223.09</v>
      </c>
      <c r="E140" s="1" t="s">
        <v>6460</v>
      </c>
      <c r="F140" s="1" t="s">
        <v>6458</v>
      </c>
      <c r="G140" s="1" t="s">
        <v>17</v>
      </c>
      <c r="H140" s="1">
        <v>39</v>
      </c>
      <c r="I140" t="str">
        <f>IF(ISNA(_xlfn.XLOOKUP(B140, policy_details!$A$2:$A$2829, policy_details!$A$2:$A$2829)), "Invalid", "Ok")</f>
        <v>Ok</v>
      </c>
    </row>
    <row r="141" spans="1:9" x14ac:dyDescent="0.3">
      <c r="A141" s="1" t="s">
        <v>6603</v>
      </c>
      <c r="B141" s="1" t="s">
        <v>6110</v>
      </c>
      <c r="C141" s="41">
        <v>45098</v>
      </c>
      <c r="D141" s="1">
        <v>92267.38</v>
      </c>
      <c r="E141" s="1" t="s">
        <v>6464</v>
      </c>
      <c r="F141" s="1" t="s">
        <v>6481</v>
      </c>
      <c r="G141" s="1" t="s">
        <v>17</v>
      </c>
      <c r="H141" s="1">
        <v>32</v>
      </c>
      <c r="I141" t="str">
        <f>IF(ISNA(_xlfn.XLOOKUP(B141, policy_details!$A$2:$A$2829, policy_details!$A$2:$A$2829)), "Invalid", "Ok")</f>
        <v>Ok</v>
      </c>
    </row>
    <row r="142" spans="1:9" x14ac:dyDescent="0.3">
      <c r="A142" s="1" t="s">
        <v>6604</v>
      </c>
      <c r="B142" s="1" t="s">
        <v>4515</v>
      </c>
      <c r="C142" s="41">
        <v>45187</v>
      </c>
      <c r="D142" s="1">
        <v>462695.4</v>
      </c>
      <c r="E142" s="1" t="s">
        <v>6457</v>
      </c>
      <c r="F142" s="1" t="s">
        <v>6458</v>
      </c>
      <c r="G142" s="1" t="s">
        <v>17</v>
      </c>
      <c r="H142" s="1">
        <v>39</v>
      </c>
      <c r="I142" t="str">
        <f>IF(ISNA(_xlfn.XLOOKUP(B142, policy_details!$A$2:$A$2829, policy_details!$A$2:$A$2829)), "Invalid", "Ok")</f>
        <v>Ok</v>
      </c>
    </row>
    <row r="143" spans="1:9" x14ac:dyDescent="0.3">
      <c r="A143" s="1" t="s">
        <v>6605</v>
      </c>
      <c r="B143" s="1" t="s">
        <v>6075</v>
      </c>
      <c r="C143" s="41">
        <v>45440</v>
      </c>
      <c r="D143" s="1">
        <v>92368.43</v>
      </c>
      <c r="E143" s="1" t="s">
        <v>6460</v>
      </c>
      <c r="F143" s="1" t="s">
        <v>6461</v>
      </c>
      <c r="G143" s="1" t="s">
        <v>17</v>
      </c>
      <c r="H143" s="1">
        <v>14</v>
      </c>
      <c r="I143" t="str">
        <f>IF(ISNA(_xlfn.XLOOKUP(B143, policy_details!$A$2:$A$2829, policy_details!$A$2:$A$2829)), "Invalid", "Ok")</f>
        <v>Ok</v>
      </c>
    </row>
    <row r="144" spans="1:9" x14ac:dyDescent="0.3">
      <c r="A144" s="1" t="s">
        <v>6606</v>
      </c>
      <c r="B144" s="1" t="s">
        <v>5406</v>
      </c>
      <c r="C144" s="41">
        <v>44573</v>
      </c>
      <c r="D144" s="1">
        <v>319834.02</v>
      </c>
      <c r="E144" s="1" t="s">
        <v>6457</v>
      </c>
      <c r="F144" s="1" t="s">
        <v>6466</v>
      </c>
      <c r="G144" s="1" t="s">
        <v>17</v>
      </c>
      <c r="H144" s="1">
        <v>14</v>
      </c>
      <c r="I144" t="str">
        <f>IF(ISNA(_xlfn.XLOOKUP(B144, policy_details!$A$2:$A$2829, policy_details!$A$2:$A$2829)), "Invalid", "Ok")</f>
        <v>Ok</v>
      </c>
    </row>
    <row r="145" spans="1:9" x14ac:dyDescent="0.3">
      <c r="A145" s="1" t="s">
        <v>6607</v>
      </c>
      <c r="B145" s="1" t="s">
        <v>6397</v>
      </c>
      <c r="C145" s="41">
        <v>44780</v>
      </c>
      <c r="D145" s="1">
        <v>151119.59</v>
      </c>
      <c r="E145" s="1" t="s">
        <v>6464</v>
      </c>
      <c r="F145" s="1" t="s">
        <v>6466</v>
      </c>
      <c r="G145" s="1" t="s">
        <v>17</v>
      </c>
      <c r="H145" s="1">
        <v>8</v>
      </c>
      <c r="I145" t="str">
        <f>IF(ISNA(_xlfn.XLOOKUP(B145, policy_details!$A$2:$A$2829, policy_details!$A$2:$A$2829)), "Invalid", "Ok")</f>
        <v>Ok</v>
      </c>
    </row>
    <row r="146" spans="1:9" x14ac:dyDescent="0.3">
      <c r="A146" s="1" t="s">
        <v>6608</v>
      </c>
      <c r="B146" s="1" t="s">
        <v>6354</v>
      </c>
      <c r="C146" s="41">
        <v>45775</v>
      </c>
      <c r="D146" s="1">
        <v>220001.07</v>
      </c>
      <c r="E146" s="1" t="s">
        <v>6460</v>
      </c>
      <c r="F146" s="1" t="s">
        <v>6470</v>
      </c>
      <c r="G146" s="1" t="s">
        <v>17</v>
      </c>
      <c r="H146" s="1">
        <v>9</v>
      </c>
      <c r="I146" t="str">
        <f>IF(ISNA(_xlfn.XLOOKUP(B146, policy_details!$A$2:$A$2829, policy_details!$A$2:$A$2829)), "Invalid", "Ok")</f>
        <v>Ok</v>
      </c>
    </row>
    <row r="147" spans="1:9" x14ac:dyDescent="0.3">
      <c r="A147" s="1" t="s">
        <v>6609</v>
      </c>
      <c r="B147" s="1" t="s">
        <v>5362</v>
      </c>
      <c r="C147" s="41">
        <v>46106</v>
      </c>
      <c r="D147" s="1">
        <v>164361.68</v>
      </c>
      <c r="E147" s="1" t="s">
        <v>6464</v>
      </c>
      <c r="F147" s="1" t="s">
        <v>6470</v>
      </c>
      <c r="G147" s="1" t="s">
        <v>17</v>
      </c>
      <c r="H147" s="1">
        <v>25</v>
      </c>
      <c r="I147" t="str">
        <f>IF(ISNA(_xlfn.XLOOKUP(B147, policy_details!$A$2:$A$2829, policy_details!$A$2:$A$2829)), "Invalid", "Ok")</f>
        <v>Ok</v>
      </c>
    </row>
    <row r="148" spans="1:9" x14ac:dyDescent="0.3">
      <c r="A148" s="1" t="s">
        <v>6610</v>
      </c>
      <c r="B148" s="1" t="s">
        <v>4936</v>
      </c>
      <c r="C148" s="41">
        <v>45615</v>
      </c>
      <c r="D148" s="1">
        <v>186520.79</v>
      </c>
      <c r="E148" s="1" t="s">
        <v>6464</v>
      </c>
      <c r="F148" s="1" t="s">
        <v>6470</v>
      </c>
      <c r="G148" s="1" t="s">
        <v>17</v>
      </c>
      <c r="H148" s="1">
        <v>41</v>
      </c>
      <c r="I148" t="str">
        <f>IF(ISNA(_xlfn.XLOOKUP(B148, policy_details!$A$2:$A$2829, policy_details!$A$2:$A$2829)), "Invalid", "Ok")</f>
        <v>Ok</v>
      </c>
    </row>
    <row r="149" spans="1:9" x14ac:dyDescent="0.3">
      <c r="A149" s="1" t="s">
        <v>6611</v>
      </c>
      <c r="B149" s="1" t="s">
        <v>3940</v>
      </c>
      <c r="C149" s="41">
        <v>45348</v>
      </c>
      <c r="D149" s="1">
        <v>281912.08</v>
      </c>
      <c r="E149" s="1" t="s">
        <v>6457</v>
      </c>
      <c r="F149" s="1" t="s">
        <v>6466</v>
      </c>
      <c r="G149" s="1" t="s">
        <v>17</v>
      </c>
      <c r="H149" s="1">
        <v>10</v>
      </c>
      <c r="I149" t="str">
        <f>IF(ISNA(_xlfn.XLOOKUP(B149, policy_details!$A$2:$A$2829, policy_details!$A$2:$A$2829)), "Invalid", "Ok")</f>
        <v>Ok</v>
      </c>
    </row>
    <row r="150" spans="1:9" x14ac:dyDescent="0.3">
      <c r="A150" s="1" t="s">
        <v>6612</v>
      </c>
      <c r="B150" s="1" t="s">
        <v>5115</v>
      </c>
      <c r="C150" s="41">
        <v>45962</v>
      </c>
      <c r="D150" s="1">
        <v>206257.2</v>
      </c>
      <c r="E150" s="1" t="s">
        <v>6464</v>
      </c>
      <c r="F150" s="1" t="s">
        <v>6470</v>
      </c>
      <c r="G150" s="1" t="s">
        <v>17</v>
      </c>
      <c r="H150" s="1">
        <v>32</v>
      </c>
      <c r="I150" t="str">
        <f>IF(ISNA(_xlfn.XLOOKUP(B150, policy_details!$A$2:$A$2829, policy_details!$A$2:$A$2829)), "Invalid", "Ok")</f>
        <v>Ok</v>
      </c>
    </row>
    <row r="151" spans="1:9" x14ac:dyDescent="0.3">
      <c r="A151" s="1" t="s">
        <v>6613</v>
      </c>
      <c r="B151" s="1" t="s">
        <v>4740</v>
      </c>
      <c r="C151" s="41">
        <v>45484</v>
      </c>
      <c r="D151" s="1">
        <v>217922.96</v>
      </c>
      <c r="E151" s="1" t="s">
        <v>6460</v>
      </c>
      <c r="F151" s="1" t="s">
        <v>6466</v>
      </c>
      <c r="G151" s="1" t="s">
        <v>30</v>
      </c>
      <c r="H151" s="1">
        <v>4</v>
      </c>
      <c r="I151" t="str">
        <f>IF(ISNA(_xlfn.XLOOKUP(B151, policy_details!$A$2:$A$2829, policy_details!$A$2:$A$2829)), "Invalid", "Ok")</f>
        <v>Ok</v>
      </c>
    </row>
    <row r="152" spans="1:9" x14ac:dyDescent="0.3">
      <c r="A152" s="1" t="s">
        <v>6614</v>
      </c>
      <c r="B152" s="1" t="s">
        <v>5443</v>
      </c>
      <c r="C152" s="41">
        <v>45307</v>
      </c>
      <c r="D152" s="1">
        <v>211981.09</v>
      </c>
      <c r="E152" s="1" t="s">
        <v>6460</v>
      </c>
      <c r="F152" s="1" t="s">
        <v>6470</v>
      </c>
      <c r="G152" s="1" t="s">
        <v>17</v>
      </c>
      <c r="H152" s="1">
        <v>43</v>
      </c>
      <c r="I152" t="str">
        <f>IF(ISNA(_xlfn.XLOOKUP(B152, policy_details!$A$2:$A$2829, policy_details!$A$2:$A$2829)), "Invalid", "Ok")</f>
        <v>Ok</v>
      </c>
    </row>
    <row r="153" spans="1:9" x14ac:dyDescent="0.3">
      <c r="A153" s="1" t="s">
        <v>6615</v>
      </c>
      <c r="B153" s="1" t="s">
        <v>3736</v>
      </c>
      <c r="C153" s="41">
        <v>45085</v>
      </c>
      <c r="D153" s="1">
        <v>167188.4</v>
      </c>
      <c r="E153" s="1" t="s">
        <v>6457</v>
      </c>
      <c r="F153" s="1" t="s">
        <v>6461</v>
      </c>
      <c r="G153" s="1" t="s">
        <v>17</v>
      </c>
      <c r="H153" s="1">
        <v>24</v>
      </c>
      <c r="I153" t="str">
        <f>IF(ISNA(_xlfn.XLOOKUP(B153, policy_details!$A$2:$A$2829, policy_details!$A$2:$A$2829)), "Invalid", "Ok")</f>
        <v>Ok</v>
      </c>
    </row>
    <row r="154" spans="1:9" x14ac:dyDescent="0.3">
      <c r="A154" s="1" t="s">
        <v>6616</v>
      </c>
      <c r="B154" s="1" t="s">
        <v>5980</v>
      </c>
      <c r="C154" s="41">
        <v>45571</v>
      </c>
      <c r="D154" s="1">
        <v>135071.17000000001</v>
      </c>
      <c r="E154" s="1" t="s">
        <v>6460</v>
      </c>
      <c r="F154" s="1" t="s">
        <v>6461</v>
      </c>
      <c r="G154" s="1" t="s">
        <v>30</v>
      </c>
      <c r="H154" s="1">
        <v>22</v>
      </c>
      <c r="I154" t="str">
        <f>IF(ISNA(_xlfn.XLOOKUP(B154, policy_details!$A$2:$A$2829, policy_details!$A$2:$A$2829)), "Invalid", "Ok")</f>
        <v>Ok</v>
      </c>
    </row>
    <row r="155" spans="1:9" x14ac:dyDescent="0.3">
      <c r="A155" s="1" t="s">
        <v>6617</v>
      </c>
      <c r="B155" s="1" t="s">
        <v>6356</v>
      </c>
      <c r="C155" s="41">
        <v>45462</v>
      </c>
      <c r="D155" s="1">
        <v>145087.81</v>
      </c>
      <c r="E155" s="1" t="s">
        <v>6460</v>
      </c>
      <c r="F155" s="1" t="s">
        <v>6470</v>
      </c>
      <c r="G155" s="1" t="s">
        <v>17</v>
      </c>
      <c r="H155" s="1">
        <v>16</v>
      </c>
      <c r="I155" t="str">
        <f>IF(ISNA(_xlfn.XLOOKUP(B155, policy_details!$A$2:$A$2829, policy_details!$A$2:$A$2829)), "Invalid", "Ok")</f>
        <v>Ok</v>
      </c>
    </row>
    <row r="156" spans="1:9" x14ac:dyDescent="0.3">
      <c r="A156" s="1" t="s">
        <v>6618</v>
      </c>
      <c r="B156" s="1" t="s">
        <v>4167</v>
      </c>
      <c r="C156" s="41">
        <v>44693</v>
      </c>
      <c r="D156" s="1">
        <v>384082.24</v>
      </c>
      <c r="E156" s="1" t="s">
        <v>6464</v>
      </c>
      <c r="F156" s="1" t="s">
        <v>6461</v>
      </c>
      <c r="G156" s="1" t="s">
        <v>17</v>
      </c>
      <c r="H156" s="1">
        <v>43</v>
      </c>
      <c r="I156" t="str">
        <f>IF(ISNA(_xlfn.XLOOKUP(B156, policy_details!$A$2:$A$2829, policy_details!$A$2:$A$2829)), "Invalid", "Ok")</f>
        <v>Ok</v>
      </c>
    </row>
    <row r="157" spans="1:9" x14ac:dyDescent="0.3">
      <c r="A157" s="1" t="s">
        <v>6619</v>
      </c>
      <c r="B157" s="1" t="s">
        <v>5407</v>
      </c>
      <c r="C157" s="41">
        <v>44564</v>
      </c>
      <c r="D157" s="1">
        <v>176315.51999999999</v>
      </c>
      <c r="E157" s="1" t="s">
        <v>6464</v>
      </c>
      <c r="F157" s="1" t="s">
        <v>6466</v>
      </c>
      <c r="G157" s="1" t="s">
        <v>17</v>
      </c>
      <c r="H157" s="1">
        <v>19</v>
      </c>
      <c r="I157" t="str">
        <f>IF(ISNA(_xlfn.XLOOKUP(B157, policy_details!$A$2:$A$2829, policy_details!$A$2:$A$2829)), "Invalid", "Ok")</f>
        <v>Ok</v>
      </c>
    </row>
    <row r="158" spans="1:9" x14ac:dyDescent="0.3">
      <c r="A158" s="1" t="s">
        <v>6620</v>
      </c>
      <c r="B158" s="1" t="s">
        <v>5886</v>
      </c>
      <c r="C158" s="41">
        <v>45223</v>
      </c>
      <c r="D158" s="1">
        <v>435774.56</v>
      </c>
      <c r="E158" s="1" t="s">
        <v>6460</v>
      </c>
      <c r="F158" s="1" t="s">
        <v>6466</v>
      </c>
      <c r="G158" s="1" t="s">
        <v>17</v>
      </c>
      <c r="H158" s="1">
        <v>6</v>
      </c>
      <c r="I158" t="str">
        <f>IF(ISNA(_xlfn.XLOOKUP(B158, policy_details!$A$2:$A$2829, policy_details!$A$2:$A$2829)), "Invalid", "Ok")</f>
        <v>Ok</v>
      </c>
    </row>
    <row r="159" spans="1:9" x14ac:dyDescent="0.3">
      <c r="A159" s="1" t="s">
        <v>6621</v>
      </c>
      <c r="B159" s="1" t="s">
        <v>5183</v>
      </c>
      <c r="C159" s="41">
        <v>45129</v>
      </c>
      <c r="D159" s="1">
        <v>638952.55000000005</v>
      </c>
      <c r="E159" s="1" t="s">
        <v>6457</v>
      </c>
      <c r="F159" s="1" t="s">
        <v>6458</v>
      </c>
      <c r="G159" s="1" t="s">
        <v>17</v>
      </c>
      <c r="H159" s="1">
        <v>25</v>
      </c>
      <c r="I159" t="str">
        <f>IF(ISNA(_xlfn.XLOOKUP(B159, policy_details!$A$2:$A$2829, policy_details!$A$2:$A$2829)), "Invalid", "Ok")</f>
        <v>Ok</v>
      </c>
    </row>
    <row r="160" spans="1:9" x14ac:dyDescent="0.3">
      <c r="A160" s="1" t="s">
        <v>6622</v>
      </c>
      <c r="B160" s="1" t="s">
        <v>6266</v>
      </c>
      <c r="C160" s="41">
        <v>44571</v>
      </c>
      <c r="D160" s="1">
        <v>1349490</v>
      </c>
      <c r="E160" s="1" t="s">
        <v>6457</v>
      </c>
      <c r="F160" s="1" t="s">
        <v>6458</v>
      </c>
      <c r="G160" s="1" t="s">
        <v>17</v>
      </c>
      <c r="H160" s="1">
        <v>26</v>
      </c>
      <c r="I160" t="str">
        <f>IF(ISNA(_xlfn.XLOOKUP(B160, policy_details!$A$2:$A$2829, policy_details!$A$2:$A$2829)), "Invalid", "Ok")</f>
        <v>Ok</v>
      </c>
    </row>
    <row r="161" spans="1:9" x14ac:dyDescent="0.3">
      <c r="A161" s="1" t="s">
        <v>6623</v>
      </c>
      <c r="B161" s="1" t="s">
        <v>5061</v>
      </c>
      <c r="C161" s="41">
        <v>44584</v>
      </c>
      <c r="D161" s="1">
        <v>536736.17000000004</v>
      </c>
      <c r="E161" s="1" t="s">
        <v>6457</v>
      </c>
      <c r="F161" s="1" t="s">
        <v>6466</v>
      </c>
      <c r="G161" s="1" t="s">
        <v>17</v>
      </c>
      <c r="H161" s="1">
        <v>33</v>
      </c>
      <c r="I161" t="str">
        <f>IF(ISNA(_xlfn.XLOOKUP(B161, policy_details!$A$2:$A$2829, policy_details!$A$2:$A$2829)), "Invalid", "Ok")</f>
        <v>Ok</v>
      </c>
    </row>
    <row r="162" spans="1:9" x14ac:dyDescent="0.3">
      <c r="A162" s="1" t="s">
        <v>6624</v>
      </c>
      <c r="B162" s="1" t="s">
        <v>4359</v>
      </c>
      <c r="C162" s="41">
        <v>45871</v>
      </c>
      <c r="D162" s="1">
        <v>185837.81</v>
      </c>
      <c r="E162" s="1" t="s">
        <v>6464</v>
      </c>
      <c r="F162" s="1" t="s">
        <v>6466</v>
      </c>
      <c r="G162" s="1" t="s">
        <v>17</v>
      </c>
      <c r="H162" s="1">
        <v>22</v>
      </c>
      <c r="I162" t="str">
        <f>IF(ISNA(_xlfn.XLOOKUP(B162, policy_details!$A$2:$A$2829, policy_details!$A$2:$A$2829)), "Invalid", "Ok")</f>
        <v>Ok</v>
      </c>
    </row>
    <row r="163" spans="1:9" x14ac:dyDescent="0.3">
      <c r="A163" s="1" t="s">
        <v>6625</v>
      </c>
      <c r="B163" s="1" t="s">
        <v>4946</v>
      </c>
      <c r="C163" s="41">
        <v>44986</v>
      </c>
      <c r="D163" s="1">
        <v>107440.72</v>
      </c>
      <c r="E163" s="1" t="s">
        <v>6460</v>
      </c>
      <c r="F163" s="1" t="s">
        <v>6461</v>
      </c>
      <c r="G163" s="1" t="s">
        <v>17</v>
      </c>
      <c r="H163" s="1">
        <v>13</v>
      </c>
      <c r="I163" t="str">
        <f>IF(ISNA(_xlfn.XLOOKUP(B163, policy_details!$A$2:$A$2829, policy_details!$A$2:$A$2829)), "Invalid", "Ok")</f>
        <v>Ok</v>
      </c>
    </row>
    <row r="164" spans="1:9" x14ac:dyDescent="0.3">
      <c r="A164" s="1" t="s">
        <v>6626</v>
      </c>
      <c r="B164" s="1" t="s">
        <v>4991</v>
      </c>
      <c r="C164" s="41">
        <v>44657</v>
      </c>
      <c r="D164" s="1">
        <v>177507.48</v>
      </c>
      <c r="E164" s="1" t="s">
        <v>6464</v>
      </c>
      <c r="F164" s="1" t="s">
        <v>6466</v>
      </c>
      <c r="G164" s="1" t="s">
        <v>30</v>
      </c>
      <c r="H164" s="1">
        <v>1</v>
      </c>
      <c r="I164" t="str">
        <f>IF(ISNA(_xlfn.XLOOKUP(B164, policy_details!$A$2:$A$2829, policy_details!$A$2:$A$2829)), "Invalid", "Ok")</f>
        <v>Ok</v>
      </c>
    </row>
    <row r="165" spans="1:9" x14ac:dyDescent="0.3">
      <c r="A165" s="1" t="s">
        <v>6627</v>
      </c>
      <c r="B165" s="1" t="s">
        <v>4307</v>
      </c>
      <c r="C165" s="41">
        <v>44863</v>
      </c>
      <c r="D165" s="1">
        <v>891326.63</v>
      </c>
      <c r="E165" s="1" t="s">
        <v>6464</v>
      </c>
      <c r="F165" s="1" t="s">
        <v>6458</v>
      </c>
      <c r="G165" s="1" t="s">
        <v>17</v>
      </c>
      <c r="H165" s="1">
        <v>44</v>
      </c>
      <c r="I165" t="str">
        <f>IF(ISNA(_xlfn.XLOOKUP(B165, policy_details!$A$2:$A$2829, policy_details!$A$2:$A$2829)), "Invalid", "Ok")</f>
        <v>Ok</v>
      </c>
    </row>
    <row r="166" spans="1:9" x14ac:dyDescent="0.3">
      <c r="A166" s="1" t="s">
        <v>6628</v>
      </c>
      <c r="B166" s="1" t="s">
        <v>5843</v>
      </c>
      <c r="C166" s="41">
        <v>45540</v>
      </c>
      <c r="D166" s="1">
        <v>1057148.46</v>
      </c>
      <c r="E166" s="1" t="s">
        <v>6460</v>
      </c>
      <c r="F166" s="1" t="s">
        <v>6458</v>
      </c>
      <c r="G166" s="1" t="s">
        <v>17</v>
      </c>
      <c r="H166" s="1">
        <v>9</v>
      </c>
      <c r="I166" t="str">
        <f>IF(ISNA(_xlfn.XLOOKUP(B166, policy_details!$A$2:$A$2829, policy_details!$A$2:$A$2829)), "Invalid", "Ok")</f>
        <v>Ok</v>
      </c>
    </row>
    <row r="167" spans="1:9" x14ac:dyDescent="0.3">
      <c r="A167" s="1" t="s">
        <v>6629</v>
      </c>
      <c r="B167" s="1" t="s">
        <v>5364</v>
      </c>
      <c r="C167" s="41">
        <v>45046</v>
      </c>
      <c r="D167" s="1">
        <v>215644.01</v>
      </c>
      <c r="E167" s="1" t="s">
        <v>6460</v>
      </c>
      <c r="F167" s="1" t="s">
        <v>6466</v>
      </c>
      <c r="G167" s="1" t="s">
        <v>17</v>
      </c>
      <c r="H167" s="1">
        <v>16</v>
      </c>
      <c r="I167" t="str">
        <f>IF(ISNA(_xlfn.XLOOKUP(B167, policy_details!$A$2:$A$2829, policy_details!$A$2:$A$2829)), "Invalid", "Ok")</f>
        <v>Ok</v>
      </c>
    </row>
    <row r="168" spans="1:9" x14ac:dyDescent="0.3">
      <c r="A168" s="1" t="s">
        <v>6630</v>
      </c>
      <c r="B168" s="1" t="s">
        <v>4657</v>
      </c>
      <c r="C168" s="41">
        <v>44851</v>
      </c>
      <c r="D168" s="1">
        <v>178329.91</v>
      </c>
      <c r="E168" s="1" t="s">
        <v>6464</v>
      </c>
      <c r="F168" s="1" t="s">
        <v>6466</v>
      </c>
      <c r="G168" s="1" t="s">
        <v>17</v>
      </c>
      <c r="H168" s="1">
        <v>7</v>
      </c>
      <c r="I168" t="str">
        <f>IF(ISNA(_xlfn.XLOOKUP(B168, policy_details!$A$2:$A$2829, policy_details!$A$2:$A$2829)), "Invalid", "Ok")</f>
        <v>Ok</v>
      </c>
    </row>
    <row r="169" spans="1:9" x14ac:dyDescent="0.3">
      <c r="A169" s="1" t="s">
        <v>6631</v>
      </c>
      <c r="B169" s="1" t="s">
        <v>4804</v>
      </c>
      <c r="C169" s="41">
        <v>46160</v>
      </c>
      <c r="D169" s="1">
        <v>2391475.2000000002</v>
      </c>
      <c r="E169" s="1" t="s">
        <v>6457</v>
      </c>
      <c r="F169" s="1" t="s">
        <v>6458</v>
      </c>
      <c r="G169" s="1" t="s">
        <v>30</v>
      </c>
      <c r="H169" s="1">
        <v>11</v>
      </c>
      <c r="I169" t="str">
        <f>IF(ISNA(_xlfn.XLOOKUP(B169, policy_details!$A$2:$A$2829, policy_details!$A$2:$A$2829)), "Invalid", "Ok")</f>
        <v>Ok</v>
      </c>
    </row>
    <row r="170" spans="1:9" x14ac:dyDescent="0.3">
      <c r="A170" s="1" t="s">
        <v>6632</v>
      </c>
      <c r="B170" s="1" t="s">
        <v>4661</v>
      </c>
      <c r="C170" s="41">
        <v>46126</v>
      </c>
      <c r="D170" s="1">
        <v>135695.84</v>
      </c>
      <c r="E170" s="1" t="s">
        <v>6457</v>
      </c>
      <c r="F170" s="1" t="s">
        <v>6461</v>
      </c>
      <c r="G170" s="1" t="s">
        <v>17</v>
      </c>
      <c r="H170" s="1">
        <v>3</v>
      </c>
      <c r="I170" t="str">
        <f>IF(ISNA(_xlfn.XLOOKUP(B170, policy_details!$A$2:$A$2829, policy_details!$A$2:$A$2829)), "Invalid", "Ok")</f>
        <v>Ok</v>
      </c>
    </row>
    <row r="171" spans="1:9" x14ac:dyDescent="0.3">
      <c r="A171" s="1" t="s">
        <v>6633</v>
      </c>
      <c r="B171" s="1" t="s">
        <v>4879</v>
      </c>
      <c r="C171" s="41">
        <v>44901</v>
      </c>
      <c r="D171" s="1">
        <v>660068.80000000005</v>
      </c>
      <c r="E171" s="1" t="s">
        <v>6464</v>
      </c>
      <c r="F171" s="1" t="s">
        <v>6458</v>
      </c>
      <c r="G171" s="1" t="s">
        <v>17</v>
      </c>
      <c r="H171" s="1">
        <v>15</v>
      </c>
      <c r="I171" t="str">
        <f>IF(ISNA(_xlfn.XLOOKUP(B171, policy_details!$A$2:$A$2829, policy_details!$A$2:$A$2829)), "Invalid", "Ok")</f>
        <v>Ok</v>
      </c>
    </row>
    <row r="172" spans="1:9" x14ac:dyDescent="0.3">
      <c r="A172" s="1" t="s">
        <v>6634</v>
      </c>
      <c r="B172" s="1" t="s">
        <v>5109</v>
      </c>
      <c r="C172" s="41">
        <v>45726</v>
      </c>
      <c r="D172" s="1">
        <v>333246.71999999997</v>
      </c>
      <c r="E172" s="1" t="s">
        <v>6464</v>
      </c>
      <c r="F172" s="1" t="s">
        <v>6466</v>
      </c>
      <c r="G172" s="1" t="s">
        <v>17</v>
      </c>
      <c r="H172" s="1">
        <v>42</v>
      </c>
      <c r="I172" t="str">
        <f>IF(ISNA(_xlfn.XLOOKUP(B172, policy_details!$A$2:$A$2829, policy_details!$A$2:$A$2829)), "Invalid", "Ok")</f>
        <v>Ok</v>
      </c>
    </row>
    <row r="173" spans="1:9" x14ac:dyDescent="0.3">
      <c r="A173" s="1" t="s">
        <v>6635</v>
      </c>
      <c r="B173" s="1" t="s">
        <v>4540</v>
      </c>
      <c r="C173" s="41">
        <v>44566</v>
      </c>
      <c r="D173" s="1">
        <v>1374180.27</v>
      </c>
      <c r="E173" s="1" t="s">
        <v>6464</v>
      </c>
      <c r="F173" s="1" t="s">
        <v>6458</v>
      </c>
      <c r="G173" s="1" t="s">
        <v>17</v>
      </c>
      <c r="H173" s="1">
        <v>10</v>
      </c>
      <c r="I173" t="str">
        <f>IF(ISNA(_xlfn.XLOOKUP(B173, policy_details!$A$2:$A$2829, policy_details!$A$2:$A$2829)), "Invalid", "Ok")</f>
        <v>Ok</v>
      </c>
    </row>
    <row r="174" spans="1:9" x14ac:dyDescent="0.3">
      <c r="A174" s="1" t="s">
        <v>6636</v>
      </c>
      <c r="B174" s="1" t="s">
        <v>5932</v>
      </c>
      <c r="C174" s="41">
        <v>46034</v>
      </c>
      <c r="D174" s="1">
        <v>364746.12</v>
      </c>
      <c r="E174" s="1" t="s">
        <v>6464</v>
      </c>
      <c r="F174" s="1" t="s">
        <v>6470</v>
      </c>
      <c r="G174" s="1" t="s">
        <v>17</v>
      </c>
      <c r="H174" s="1">
        <v>43</v>
      </c>
      <c r="I174" t="str">
        <f>IF(ISNA(_xlfn.XLOOKUP(B174, policy_details!$A$2:$A$2829, policy_details!$A$2:$A$2829)), "Invalid", "Ok")</f>
        <v>Ok</v>
      </c>
    </row>
    <row r="175" spans="1:9" x14ac:dyDescent="0.3">
      <c r="A175" s="1" t="s">
        <v>6637</v>
      </c>
      <c r="B175" s="1" t="s">
        <v>6246</v>
      </c>
      <c r="C175" s="41">
        <v>46210</v>
      </c>
      <c r="D175" s="1">
        <v>655496.39</v>
      </c>
      <c r="E175" s="1" t="s">
        <v>6464</v>
      </c>
      <c r="F175" s="1" t="s">
        <v>6481</v>
      </c>
      <c r="G175" s="1" t="s">
        <v>17</v>
      </c>
      <c r="H175" s="1">
        <v>28</v>
      </c>
      <c r="I175" t="str">
        <f>IF(ISNA(_xlfn.XLOOKUP(B175, policy_details!$A$2:$A$2829, policy_details!$A$2:$A$2829)), "Invalid", "Ok")</f>
        <v>Ok</v>
      </c>
    </row>
    <row r="176" spans="1:9" x14ac:dyDescent="0.3">
      <c r="A176" s="1" t="s">
        <v>6638</v>
      </c>
      <c r="B176" s="1" t="s">
        <v>5093</v>
      </c>
      <c r="C176" s="41">
        <v>44578</v>
      </c>
      <c r="D176" s="1">
        <v>297256.95</v>
      </c>
      <c r="E176" s="1" t="s">
        <v>6460</v>
      </c>
      <c r="F176" s="1" t="s">
        <v>6481</v>
      </c>
      <c r="G176" s="1" t="s">
        <v>17</v>
      </c>
      <c r="H176" s="1">
        <v>40</v>
      </c>
      <c r="I176" t="str">
        <f>IF(ISNA(_xlfn.XLOOKUP(B176, policy_details!$A$2:$A$2829, policy_details!$A$2:$A$2829)), "Invalid", "Ok")</f>
        <v>Ok</v>
      </c>
    </row>
    <row r="177" spans="1:9" x14ac:dyDescent="0.3">
      <c r="A177" s="1" t="s">
        <v>6639</v>
      </c>
      <c r="B177" s="1" t="s">
        <v>5628</v>
      </c>
      <c r="C177" s="41">
        <v>45493</v>
      </c>
      <c r="D177" s="1">
        <v>155839.98000000001</v>
      </c>
      <c r="E177" s="1" t="s">
        <v>6457</v>
      </c>
      <c r="F177" s="1" t="s">
        <v>6470</v>
      </c>
      <c r="G177" s="1" t="s">
        <v>17</v>
      </c>
      <c r="H177" s="1">
        <v>28</v>
      </c>
      <c r="I177" t="str">
        <f>IF(ISNA(_xlfn.XLOOKUP(B177, policy_details!$A$2:$A$2829, policy_details!$A$2:$A$2829)), "Invalid", "Ok")</f>
        <v>Ok</v>
      </c>
    </row>
    <row r="178" spans="1:9" x14ac:dyDescent="0.3">
      <c r="A178" s="1" t="s">
        <v>6640</v>
      </c>
      <c r="B178" s="1" t="s">
        <v>6252</v>
      </c>
      <c r="C178" s="41">
        <v>46000</v>
      </c>
      <c r="D178" s="1">
        <v>69535.56</v>
      </c>
      <c r="E178" s="1" t="s">
        <v>6464</v>
      </c>
      <c r="F178" s="1" t="s">
        <v>6470</v>
      </c>
      <c r="G178" s="1" t="s">
        <v>17</v>
      </c>
      <c r="H178" s="1">
        <v>44</v>
      </c>
      <c r="I178" t="str">
        <f>IF(ISNA(_xlfn.XLOOKUP(B178, policy_details!$A$2:$A$2829, policy_details!$A$2:$A$2829)), "Invalid", "Ok")</f>
        <v>Ok</v>
      </c>
    </row>
    <row r="179" spans="1:9" x14ac:dyDescent="0.3">
      <c r="A179" s="1" t="s">
        <v>6641</v>
      </c>
      <c r="B179" s="1" t="s">
        <v>4114</v>
      </c>
      <c r="C179" s="41">
        <v>46144</v>
      </c>
      <c r="D179" s="1">
        <v>156418.51999999999</v>
      </c>
      <c r="E179" s="1" t="s">
        <v>6457</v>
      </c>
      <c r="F179" s="1" t="s">
        <v>6481</v>
      </c>
      <c r="G179" s="1" t="s">
        <v>17</v>
      </c>
      <c r="H179" s="1">
        <v>25</v>
      </c>
      <c r="I179" t="str">
        <f>IF(ISNA(_xlfn.XLOOKUP(B179, policy_details!$A$2:$A$2829, policy_details!$A$2:$A$2829)), "Invalid", "Ok")</f>
        <v>Ok</v>
      </c>
    </row>
    <row r="180" spans="1:9" x14ac:dyDescent="0.3">
      <c r="A180" s="1" t="s">
        <v>6642</v>
      </c>
      <c r="B180" s="1" t="s">
        <v>4108</v>
      </c>
      <c r="C180" s="41">
        <v>45355</v>
      </c>
      <c r="D180" s="1">
        <v>998920.95</v>
      </c>
      <c r="E180" s="1" t="s">
        <v>6464</v>
      </c>
      <c r="F180" s="1" t="s">
        <v>6458</v>
      </c>
      <c r="G180" s="1" t="s">
        <v>17</v>
      </c>
      <c r="H180" s="1">
        <v>37</v>
      </c>
      <c r="I180" t="str">
        <f>IF(ISNA(_xlfn.XLOOKUP(B180, policy_details!$A$2:$A$2829, policy_details!$A$2:$A$2829)), "Invalid", "Ok")</f>
        <v>Ok</v>
      </c>
    </row>
    <row r="181" spans="1:9" x14ac:dyDescent="0.3">
      <c r="A181" s="1" t="s">
        <v>6643</v>
      </c>
      <c r="B181" s="1" t="s">
        <v>3668</v>
      </c>
      <c r="C181" s="41">
        <v>45171</v>
      </c>
      <c r="D181" s="1">
        <v>498659.67</v>
      </c>
      <c r="E181" s="1" t="s">
        <v>6460</v>
      </c>
      <c r="F181" s="1" t="s">
        <v>6458</v>
      </c>
      <c r="G181" s="1" t="s">
        <v>17</v>
      </c>
      <c r="H181" s="1">
        <v>2</v>
      </c>
      <c r="I181" t="str">
        <f>IF(ISNA(_xlfn.XLOOKUP(B181, policy_details!$A$2:$A$2829, policy_details!$A$2:$A$2829)), "Invalid", "Ok")</f>
        <v>Ok</v>
      </c>
    </row>
    <row r="182" spans="1:9" x14ac:dyDescent="0.3">
      <c r="A182" s="1" t="s">
        <v>6644</v>
      </c>
      <c r="B182" s="1" t="s">
        <v>4863</v>
      </c>
      <c r="C182" s="41">
        <v>44545</v>
      </c>
      <c r="D182" s="1">
        <v>113171.01</v>
      </c>
      <c r="E182" s="1" t="s">
        <v>6460</v>
      </c>
      <c r="F182" s="1" t="s">
        <v>6481</v>
      </c>
      <c r="G182" s="1" t="s">
        <v>17</v>
      </c>
      <c r="H182" s="1">
        <v>42</v>
      </c>
      <c r="I182" t="str">
        <f>IF(ISNA(_xlfn.XLOOKUP(B182, policy_details!$A$2:$A$2829, policy_details!$A$2:$A$2829)), "Invalid", "Ok")</f>
        <v>Ok</v>
      </c>
    </row>
    <row r="183" spans="1:9" x14ac:dyDescent="0.3">
      <c r="A183" s="1" t="s">
        <v>6645</v>
      </c>
      <c r="B183" s="1" t="s">
        <v>4541</v>
      </c>
      <c r="C183" s="41">
        <v>45716</v>
      </c>
      <c r="D183" s="1">
        <v>155019.24</v>
      </c>
      <c r="E183" s="1" t="s">
        <v>6464</v>
      </c>
      <c r="F183" s="1" t="s">
        <v>6461</v>
      </c>
      <c r="G183" s="1" t="s">
        <v>17</v>
      </c>
      <c r="H183" s="1">
        <v>1</v>
      </c>
      <c r="I183" t="str">
        <f>IF(ISNA(_xlfn.XLOOKUP(B183, policy_details!$A$2:$A$2829, policy_details!$A$2:$A$2829)), "Invalid", "Ok")</f>
        <v>Ok</v>
      </c>
    </row>
    <row r="184" spans="1:9" x14ac:dyDescent="0.3">
      <c r="A184" s="1" t="s">
        <v>6646</v>
      </c>
      <c r="B184" s="1" t="s">
        <v>5200</v>
      </c>
      <c r="C184" s="41">
        <v>44644</v>
      </c>
      <c r="D184" s="1">
        <v>221188.42</v>
      </c>
      <c r="E184" s="1" t="s">
        <v>6457</v>
      </c>
      <c r="F184" s="1" t="s">
        <v>6461</v>
      </c>
      <c r="G184" s="1" t="s">
        <v>30</v>
      </c>
      <c r="H184" s="1">
        <v>9</v>
      </c>
      <c r="I184" t="str">
        <f>IF(ISNA(_xlfn.XLOOKUP(B184, policy_details!$A$2:$A$2829, policy_details!$A$2:$A$2829)), "Invalid", "Ok")</f>
        <v>Ok</v>
      </c>
    </row>
    <row r="185" spans="1:9" x14ac:dyDescent="0.3">
      <c r="A185" s="1" t="s">
        <v>6647</v>
      </c>
      <c r="B185" s="1" t="s">
        <v>4888</v>
      </c>
      <c r="C185" s="41">
        <v>45302</v>
      </c>
      <c r="D185" s="1">
        <v>159129.42000000001</v>
      </c>
      <c r="E185" s="1" t="s">
        <v>6457</v>
      </c>
      <c r="F185" s="1" t="s">
        <v>6470</v>
      </c>
      <c r="G185" s="1" t="s">
        <v>17</v>
      </c>
      <c r="H185" s="1">
        <v>33</v>
      </c>
      <c r="I185" t="str">
        <f>IF(ISNA(_xlfn.XLOOKUP(B185, policy_details!$A$2:$A$2829, policy_details!$A$2:$A$2829)), "Invalid", "Ok")</f>
        <v>Ok</v>
      </c>
    </row>
    <row r="186" spans="1:9" x14ac:dyDescent="0.3">
      <c r="A186" s="1" t="s">
        <v>6648</v>
      </c>
      <c r="B186" s="1" t="s">
        <v>4110</v>
      </c>
      <c r="C186" s="41">
        <v>46118</v>
      </c>
      <c r="D186" s="1">
        <v>281843.13</v>
      </c>
      <c r="E186" s="1" t="s">
        <v>6460</v>
      </c>
      <c r="F186" s="1" t="s">
        <v>6470</v>
      </c>
      <c r="G186" s="1" t="s">
        <v>17</v>
      </c>
      <c r="H186" s="1">
        <v>12</v>
      </c>
      <c r="I186" t="str">
        <f>IF(ISNA(_xlfn.XLOOKUP(B186, policy_details!$A$2:$A$2829, policy_details!$A$2:$A$2829)), "Invalid", "Ok")</f>
        <v>Ok</v>
      </c>
    </row>
    <row r="187" spans="1:9" x14ac:dyDescent="0.3">
      <c r="A187" s="1" t="s">
        <v>6649</v>
      </c>
      <c r="B187" s="1" t="s">
        <v>4718</v>
      </c>
      <c r="C187" s="41">
        <v>44922</v>
      </c>
      <c r="D187" s="1">
        <v>340274.42</v>
      </c>
      <c r="E187" s="1" t="s">
        <v>6457</v>
      </c>
      <c r="F187" s="1" t="s">
        <v>6481</v>
      </c>
      <c r="G187" s="1" t="s">
        <v>30</v>
      </c>
      <c r="H187" s="1">
        <v>2</v>
      </c>
      <c r="I187" t="str">
        <f>IF(ISNA(_xlfn.XLOOKUP(B187, policy_details!$A$2:$A$2829, policy_details!$A$2:$A$2829)), "Invalid", "Ok")</f>
        <v>Ok</v>
      </c>
    </row>
    <row r="188" spans="1:9" x14ac:dyDescent="0.3">
      <c r="A188" s="1" t="s">
        <v>6650</v>
      </c>
      <c r="B188" s="1" t="s">
        <v>3468</v>
      </c>
      <c r="C188" s="41">
        <v>44496</v>
      </c>
      <c r="D188" s="1">
        <v>319760.89</v>
      </c>
      <c r="E188" s="1" t="s">
        <v>6457</v>
      </c>
      <c r="F188" s="1" t="s">
        <v>6470</v>
      </c>
      <c r="G188" s="1" t="s">
        <v>17</v>
      </c>
      <c r="H188" s="1">
        <v>38</v>
      </c>
      <c r="I188" t="str">
        <f>IF(ISNA(_xlfn.XLOOKUP(B188, policy_details!$A$2:$A$2829, policy_details!$A$2:$A$2829)), "Invalid", "Ok")</f>
        <v>Ok</v>
      </c>
    </row>
    <row r="189" spans="1:9" x14ac:dyDescent="0.3">
      <c r="A189" s="1" t="s">
        <v>6651</v>
      </c>
      <c r="B189" s="1" t="s">
        <v>5135</v>
      </c>
      <c r="C189" s="41">
        <v>45059</v>
      </c>
      <c r="D189" s="1">
        <v>444679.82</v>
      </c>
      <c r="E189" s="1" t="s">
        <v>6460</v>
      </c>
      <c r="F189" s="1" t="s">
        <v>6461</v>
      </c>
      <c r="G189" s="1" t="s">
        <v>17</v>
      </c>
      <c r="H189" s="1">
        <v>23</v>
      </c>
      <c r="I189" t="str">
        <f>IF(ISNA(_xlfn.XLOOKUP(B189, policy_details!$A$2:$A$2829, policy_details!$A$2:$A$2829)), "Invalid", "Ok")</f>
        <v>Ok</v>
      </c>
    </row>
    <row r="190" spans="1:9" x14ac:dyDescent="0.3">
      <c r="A190" s="1" t="s">
        <v>6652</v>
      </c>
      <c r="B190" s="1" t="s">
        <v>4361</v>
      </c>
      <c r="C190" s="41">
        <v>44918</v>
      </c>
      <c r="D190" s="1">
        <v>3325608.96</v>
      </c>
      <c r="E190" s="1" t="s">
        <v>6464</v>
      </c>
      <c r="F190" s="1" t="s">
        <v>6458</v>
      </c>
      <c r="G190" s="1" t="s">
        <v>30</v>
      </c>
      <c r="H190" s="1">
        <v>22</v>
      </c>
      <c r="I190" t="str">
        <f>IF(ISNA(_xlfn.XLOOKUP(B190, policy_details!$A$2:$A$2829, policy_details!$A$2:$A$2829)), "Invalid", "Ok")</f>
        <v>Ok</v>
      </c>
    </row>
    <row r="191" spans="1:9" x14ac:dyDescent="0.3">
      <c r="A191" s="1" t="s">
        <v>6653</v>
      </c>
      <c r="B191" s="1" t="s">
        <v>3837</v>
      </c>
      <c r="C191" s="41">
        <v>45053</v>
      </c>
      <c r="D191" s="1">
        <v>259509.27</v>
      </c>
      <c r="E191" s="1" t="s">
        <v>6464</v>
      </c>
      <c r="F191" s="1" t="s">
        <v>6470</v>
      </c>
      <c r="G191" s="1" t="s">
        <v>17</v>
      </c>
      <c r="H191" s="1">
        <v>14</v>
      </c>
      <c r="I191" t="str">
        <f>IF(ISNA(_xlfn.XLOOKUP(B191, policy_details!$A$2:$A$2829, policy_details!$A$2:$A$2829)), "Invalid", "Ok")</f>
        <v>Ok</v>
      </c>
    </row>
    <row r="192" spans="1:9" x14ac:dyDescent="0.3">
      <c r="A192" s="1" t="s">
        <v>6654</v>
      </c>
      <c r="B192" s="1" t="s">
        <v>3638</v>
      </c>
      <c r="C192" s="41">
        <v>45839</v>
      </c>
      <c r="D192" s="1">
        <v>174810.49</v>
      </c>
      <c r="E192" s="1" t="s">
        <v>6457</v>
      </c>
      <c r="F192" s="1" t="s">
        <v>6466</v>
      </c>
      <c r="G192" s="1" t="s">
        <v>30</v>
      </c>
      <c r="H192" s="1">
        <v>32</v>
      </c>
      <c r="I192" t="str">
        <f>IF(ISNA(_xlfn.XLOOKUP(B192, policy_details!$A$2:$A$2829, policy_details!$A$2:$A$2829)), "Invalid", "Ok")</f>
        <v>Ok</v>
      </c>
    </row>
    <row r="193" spans="1:9" x14ac:dyDescent="0.3">
      <c r="A193" s="1" t="s">
        <v>6655</v>
      </c>
      <c r="B193" s="1" t="s">
        <v>5636</v>
      </c>
      <c r="C193" s="41">
        <v>44696</v>
      </c>
      <c r="D193" s="1">
        <v>257850.22</v>
      </c>
      <c r="E193" s="1" t="s">
        <v>6464</v>
      </c>
      <c r="F193" s="1" t="s">
        <v>6481</v>
      </c>
      <c r="G193" s="1" t="s">
        <v>17</v>
      </c>
      <c r="H193" s="1">
        <v>14</v>
      </c>
      <c r="I193" t="str">
        <f>IF(ISNA(_xlfn.XLOOKUP(B193, policy_details!$A$2:$A$2829, policy_details!$A$2:$A$2829)), "Invalid", "Ok")</f>
        <v>Ok</v>
      </c>
    </row>
    <row r="194" spans="1:9" x14ac:dyDescent="0.3">
      <c r="A194" s="1" t="s">
        <v>6656</v>
      </c>
      <c r="B194" s="1" t="s">
        <v>4286</v>
      </c>
      <c r="C194" s="41">
        <v>45441</v>
      </c>
      <c r="D194" s="1">
        <v>395275.96</v>
      </c>
      <c r="E194" s="1" t="s">
        <v>6457</v>
      </c>
      <c r="F194" s="1" t="s">
        <v>6470</v>
      </c>
      <c r="G194" s="1" t="s">
        <v>30</v>
      </c>
      <c r="H194" s="1">
        <v>25</v>
      </c>
      <c r="I194" t="str">
        <f>IF(ISNA(_xlfn.XLOOKUP(B194, policy_details!$A$2:$A$2829, policy_details!$A$2:$A$2829)), "Invalid", "Ok")</f>
        <v>Ok</v>
      </c>
    </row>
    <row r="195" spans="1:9" x14ac:dyDescent="0.3">
      <c r="A195" s="1" t="s">
        <v>6657</v>
      </c>
      <c r="B195" s="1" t="s">
        <v>5481</v>
      </c>
      <c r="C195" s="41">
        <v>45782</v>
      </c>
      <c r="D195" s="1">
        <v>115162.52</v>
      </c>
      <c r="E195" s="1" t="s">
        <v>6457</v>
      </c>
      <c r="F195" s="1" t="s">
        <v>6470</v>
      </c>
      <c r="G195" s="1" t="s">
        <v>17</v>
      </c>
      <c r="H195" s="1">
        <v>6</v>
      </c>
      <c r="I195" t="str">
        <f>IF(ISNA(_xlfn.XLOOKUP(B195, policy_details!$A$2:$A$2829, policy_details!$A$2:$A$2829)), "Invalid", "Ok")</f>
        <v>Ok</v>
      </c>
    </row>
    <row r="196" spans="1:9" x14ac:dyDescent="0.3">
      <c r="A196" s="1" t="s">
        <v>6658</v>
      </c>
      <c r="B196" s="1" t="s">
        <v>5925</v>
      </c>
      <c r="C196" s="41">
        <v>46130</v>
      </c>
      <c r="D196" s="1">
        <v>371217.22</v>
      </c>
      <c r="E196" s="1" t="s">
        <v>6460</v>
      </c>
      <c r="F196" s="1" t="s">
        <v>6470</v>
      </c>
      <c r="G196" s="1" t="s">
        <v>17</v>
      </c>
      <c r="H196" s="1">
        <v>14</v>
      </c>
      <c r="I196" t="str">
        <f>IF(ISNA(_xlfn.XLOOKUP(B196, policy_details!$A$2:$A$2829, policy_details!$A$2:$A$2829)), "Invalid", "Ok")</f>
        <v>Ok</v>
      </c>
    </row>
    <row r="197" spans="1:9" x14ac:dyDescent="0.3">
      <c r="A197" s="1" t="s">
        <v>6659</v>
      </c>
      <c r="B197" s="1" t="s">
        <v>5026</v>
      </c>
      <c r="C197" s="41">
        <v>45653</v>
      </c>
      <c r="D197" s="1">
        <v>165338.49</v>
      </c>
      <c r="E197" s="1" t="s">
        <v>6464</v>
      </c>
      <c r="F197" s="1" t="s">
        <v>6470</v>
      </c>
      <c r="G197" s="1" t="s">
        <v>17</v>
      </c>
      <c r="H197" s="1">
        <v>2</v>
      </c>
      <c r="I197" t="str">
        <f>IF(ISNA(_xlfn.XLOOKUP(B197, policy_details!$A$2:$A$2829, policy_details!$A$2:$A$2829)), "Invalid", "Ok")</f>
        <v>Ok</v>
      </c>
    </row>
    <row r="198" spans="1:9" x14ac:dyDescent="0.3">
      <c r="A198" s="1" t="s">
        <v>6660</v>
      </c>
      <c r="B198" s="1" t="s">
        <v>3909</v>
      </c>
      <c r="C198" s="41">
        <v>46046</v>
      </c>
      <c r="D198" s="1">
        <v>280065.61</v>
      </c>
      <c r="E198" s="1" t="s">
        <v>6464</v>
      </c>
      <c r="F198" s="1" t="s">
        <v>6481</v>
      </c>
      <c r="G198" s="1" t="s">
        <v>17</v>
      </c>
      <c r="H198" s="1">
        <v>13</v>
      </c>
      <c r="I198" t="str">
        <f>IF(ISNA(_xlfn.XLOOKUP(B198, policy_details!$A$2:$A$2829, policy_details!$A$2:$A$2829)), "Invalid", "Ok")</f>
        <v>Ok</v>
      </c>
    </row>
    <row r="199" spans="1:9" x14ac:dyDescent="0.3">
      <c r="A199" s="1" t="s">
        <v>6661</v>
      </c>
      <c r="B199" s="1" t="s">
        <v>5355</v>
      </c>
      <c r="C199" s="41">
        <v>44872</v>
      </c>
      <c r="D199" s="1">
        <v>100162.26</v>
      </c>
      <c r="E199" s="1" t="s">
        <v>6457</v>
      </c>
      <c r="F199" s="1" t="s">
        <v>6461</v>
      </c>
      <c r="G199" s="1" t="s">
        <v>17</v>
      </c>
      <c r="H199" s="1">
        <v>17</v>
      </c>
      <c r="I199" t="str">
        <f>IF(ISNA(_xlfn.XLOOKUP(B199, policy_details!$A$2:$A$2829, policy_details!$A$2:$A$2829)), "Invalid", "Ok")</f>
        <v>Ok</v>
      </c>
    </row>
    <row r="200" spans="1:9" x14ac:dyDescent="0.3">
      <c r="A200" s="1" t="s">
        <v>6662</v>
      </c>
      <c r="B200" s="1" t="s">
        <v>3664</v>
      </c>
      <c r="C200" s="41">
        <v>44575</v>
      </c>
      <c r="D200" s="1">
        <v>464300.59</v>
      </c>
      <c r="E200" s="1" t="s">
        <v>6457</v>
      </c>
      <c r="F200" s="1" t="s">
        <v>6458</v>
      </c>
      <c r="G200" s="1" t="s">
        <v>30</v>
      </c>
      <c r="H200" s="1">
        <v>33</v>
      </c>
      <c r="I200" t="str">
        <f>IF(ISNA(_xlfn.XLOOKUP(B200, policy_details!$A$2:$A$2829, policy_details!$A$2:$A$2829)), "Invalid", "Ok")</f>
        <v>Ok</v>
      </c>
    </row>
    <row r="201" spans="1:9" x14ac:dyDescent="0.3">
      <c r="A201" s="1" t="s">
        <v>6663</v>
      </c>
      <c r="B201" s="1" t="s">
        <v>5929</v>
      </c>
      <c r="C201" s="41">
        <v>46173</v>
      </c>
      <c r="D201" s="1">
        <v>191370.16</v>
      </c>
      <c r="E201" s="1" t="s">
        <v>6457</v>
      </c>
      <c r="F201" s="1" t="s">
        <v>6466</v>
      </c>
      <c r="G201" s="1" t="s">
        <v>17</v>
      </c>
      <c r="H201" s="1">
        <v>37</v>
      </c>
      <c r="I201" t="str">
        <f>IF(ISNA(_xlfn.XLOOKUP(B201, policy_details!$A$2:$A$2829, policy_details!$A$2:$A$2829)), "Invalid", "Ok")</f>
        <v>Ok</v>
      </c>
    </row>
    <row r="202" spans="1:9" x14ac:dyDescent="0.3">
      <c r="A202" s="1" t="s">
        <v>6664</v>
      </c>
      <c r="B202" s="1" t="s">
        <v>5769</v>
      </c>
      <c r="C202" s="41">
        <v>46094</v>
      </c>
      <c r="D202" s="1">
        <v>287764.13</v>
      </c>
      <c r="E202" s="1" t="s">
        <v>6464</v>
      </c>
      <c r="F202" s="1" t="s">
        <v>6461</v>
      </c>
      <c r="G202" s="1" t="s">
        <v>17</v>
      </c>
      <c r="H202" s="1">
        <v>24</v>
      </c>
      <c r="I202" t="str">
        <f>IF(ISNA(_xlfn.XLOOKUP(B202, policy_details!$A$2:$A$2829, policy_details!$A$2:$A$2829)), "Invalid", "Ok")</f>
        <v>Ok</v>
      </c>
    </row>
    <row r="203" spans="1:9" x14ac:dyDescent="0.3">
      <c r="A203" s="1" t="s">
        <v>6665</v>
      </c>
      <c r="B203" s="1" t="s">
        <v>4750</v>
      </c>
      <c r="C203" s="41">
        <v>45726</v>
      </c>
      <c r="D203" s="1">
        <v>126719.57</v>
      </c>
      <c r="E203" s="1" t="s">
        <v>6457</v>
      </c>
      <c r="F203" s="1" t="s">
        <v>6470</v>
      </c>
      <c r="G203" s="1" t="s">
        <v>17</v>
      </c>
      <c r="H203" s="1">
        <v>41</v>
      </c>
      <c r="I203" t="str">
        <f>IF(ISNA(_xlfn.XLOOKUP(B203, policy_details!$A$2:$A$2829, policy_details!$A$2:$A$2829)), "Invalid", "Ok")</f>
        <v>Ok</v>
      </c>
    </row>
    <row r="204" spans="1:9" x14ac:dyDescent="0.3">
      <c r="A204" s="1" t="s">
        <v>6666</v>
      </c>
      <c r="B204" s="1" t="s">
        <v>4355</v>
      </c>
      <c r="C204" s="41">
        <v>45840</v>
      </c>
      <c r="D204" s="1">
        <v>403113.21</v>
      </c>
      <c r="E204" s="1" t="s">
        <v>6460</v>
      </c>
      <c r="F204" s="1" t="s">
        <v>6470</v>
      </c>
      <c r="G204" s="1" t="s">
        <v>30</v>
      </c>
      <c r="H204" s="1">
        <v>16</v>
      </c>
      <c r="I204" t="str">
        <f>IF(ISNA(_xlfn.XLOOKUP(B204, policy_details!$A$2:$A$2829, policy_details!$A$2:$A$2829)), "Invalid", "Ok")</f>
        <v>Ok</v>
      </c>
    </row>
    <row r="205" spans="1:9" x14ac:dyDescent="0.3">
      <c r="A205" s="1" t="s">
        <v>6667</v>
      </c>
      <c r="B205" s="1" t="s">
        <v>5623</v>
      </c>
      <c r="C205" s="41">
        <v>44506</v>
      </c>
      <c r="D205" s="1">
        <v>187733.65</v>
      </c>
      <c r="E205" s="1" t="s">
        <v>6460</v>
      </c>
      <c r="F205" s="1" t="s">
        <v>6481</v>
      </c>
      <c r="G205" s="1" t="s">
        <v>17</v>
      </c>
      <c r="H205" s="1">
        <v>22</v>
      </c>
      <c r="I205" t="str">
        <f>IF(ISNA(_xlfn.XLOOKUP(B205, policy_details!$A$2:$A$2829, policy_details!$A$2:$A$2829)), "Invalid", "Ok")</f>
        <v>Ok</v>
      </c>
    </row>
    <row r="206" spans="1:9" x14ac:dyDescent="0.3">
      <c r="A206" s="1" t="s">
        <v>6668</v>
      </c>
      <c r="B206" s="1" t="s">
        <v>5219</v>
      </c>
      <c r="C206" s="41">
        <v>46234</v>
      </c>
      <c r="D206" s="1">
        <v>146547.17000000001</v>
      </c>
      <c r="E206" s="1" t="s">
        <v>6457</v>
      </c>
      <c r="F206" s="1" t="s">
        <v>6481</v>
      </c>
      <c r="G206" s="1" t="s">
        <v>17</v>
      </c>
      <c r="H206" s="1">
        <v>28</v>
      </c>
      <c r="I206" t="str">
        <f>IF(ISNA(_xlfn.XLOOKUP(B206, policy_details!$A$2:$A$2829, policy_details!$A$2:$A$2829)), "Invalid", "Ok")</f>
        <v>Ok</v>
      </c>
    </row>
    <row r="207" spans="1:9" x14ac:dyDescent="0.3">
      <c r="A207" s="1" t="s">
        <v>6669</v>
      </c>
      <c r="B207" s="1" t="s">
        <v>3951</v>
      </c>
      <c r="C207" s="41">
        <v>46177</v>
      </c>
      <c r="D207" s="1">
        <v>1021689.89</v>
      </c>
      <c r="E207" s="1" t="s">
        <v>6460</v>
      </c>
      <c r="F207" s="1" t="s">
        <v>6458</v>
      </c>
      <c r="G207" s="1" t="s">
        <v>17</v>
      </c>
      <c r="H207" s="1">
        <v>8</v>
      </c>
      <c r="I207" t="str">
        <f>IF(ISNA(_xlfn.XLOOKUP(B207, policy_details!$A$2:$A$2829, policy_details!$A$2:$A$2829)), "Invalid", "Ok")</f>
        <v>Ok</v>
      </c>
    </row>
    <row r="208" spans="1:9" x14ac:dyDescent="0.3">
      <c r="A208" s="1" t="s">
        <v>6670</v>
      </c>
      <c r="B208" s="1" t="s">
        <v>5762</v>
      </c>
      <c r="C208" s="41">
        <v>45534</v>
      </c>
      <c r="D208" s="1">
        <v>210644.38</v>
      </c>
      <c r="E208" s="1" t="s">
        <v>6464</v>
      </c>
      <c r="F208" s="1" t="s">
        <v>6461</v>
      </c>
      <c r="G208" s="1" t="s">
        <v>17</v>
      </c>
      <c r="H208" s="1">
        <v>19</v>
      </c>
      <c r="I208" t="str">
        <f>IF(ISNA(_xlfn.XLOOKUP(B208, policy_details!$A$2:$A$2829, policy_details!$A$2:$A$2829)), "Invalid", "Ok")</f>
        <v>Ok</v>
      </c>
    </row>
    <row r="209" spans="1:9" x14ac:dyDescent="0.3">
      <c r="A209" s="1" t="s">
        <v>6671</v>
      </c>
      <c r="B209" s="1" t="s">
        <v>4551</v>
      </c>
      <c r="C209" s="41">
        <v>45560</v>
      </c>
      <c r="D209" s="1">
        <v>274652.01</v>
      </c>
      <c r="E209" s="1" t="s">
        <v>6457</v>
      </c>
      <c r="F209" s="1" t="s">
        <v>6481</v>
      </c>
      <c r="G209" s="1" t="s">
        <v>17</v>
      </c>
      <c r="H209" s="1">
        <v>40</v>
      </c>
      <c r="I209" t="str">
        <f>IF(ISNA(_xlfn.XLOOKUP(B209, policy_details!$A$2:$A$2829, policy_details!$A$2:$A$2829)), "Invalid", "Ok")</f>
        <v>Ok</v>
      </c>
    </row>
    <row r="210" spans="1:9" x14ac:dyDescent="0.3">
      <c r="A210" s="1" t="s">
        <v>6672</v>
      </c>
      <c r="B210" s="1" t="s">
        <v>6149</v>
      </c>
      <c r="C210" s="41">
        <v>44589</v>
      </c>
      <c r="D210" s="1">
        <v>194111.66</v>
      </c>
      <c r="E210" s="1" t="s">
        <v>6460</v>
      </c>
      <c r="F210" s="1" t="s">
        <v>6470</v>
      </c>
      <c r="G210" s="1" t="s">
        <v>17</v>
      </c>
      <c r="H210" s="1">
        <v>21</v>
      </c>
      <c r="I210" t="str">
        <f>IF(ISNA(_xlfn.XLOOKUP(B210, policy_details!$A$2:$A$2829, policy_details!$A$2:$A$2829)), "Invalid", "Ok")</f>
        <v>Ok</v>
      </c>
    </row>
    <row r="211" spans="1:9" x14ac:dyDescent="0.3">
      <c r="A211" s="1" t="s">
        <v>6673</v>
      </c>
      <c r="B211" s="1" t="s">
        <v>5965</v>
      </c>
      <c r="C211" s="41">
        <v>45449</v>
      </c>
      <c r="D211" s="1">
        <v>401190.73</v>
      </c>
      <c r="E211" s="1" t="s">
        <v>6464</v>
      </c>
      <c r="F211" s="1" t="s">
        <v>6470</v>
      </c>
      <c r="G211" s="1" t="s">
        <v>17</v>
      </c>
      <c r="H211" s="1">
        <v>41</v>
      </c>
      <c r="I211" t="str">
        <f>IF(ISNA(_xlfn.XLOOKUP(B211, policy_details!$A$2:$A$2829, policy_details!$A$2:$A$2829)), "Invalid", "Ok")</f>
        <v>Ok</v>
      </c>
    </row>
    <row r="212" spans="1:9" x14ac:dyDescent="0.3">
      <c r="A212" s="1" t="s">
        <v>6674</v>
      </c>
      <c r="B212" s="1" t="s">
        <v>4375</v>
      </c>
      <c r="C212" s="41">
        <v>46171</v>
      </c>
      <c r="D212" s="1">
        <v>157290.21</v>
      </c>
      <c r="E212" s="1" t="s">
        <v>6457</v>
      </c>
      <c r="F212" s="1" t="s">
        <v>6461</v>
      </c>
      <c r="G212" s="1" t="s">
        <v>17</v>
      </c>
      <c r="H212" s="1">
        <v>30</v>
      </c>
      <c r="I212" t="str">
        <f>IF(ISNA(_xlfn.XLOOKUP(B212, policy_details!$A$2:$A$2829, policy_details!$A$2:$A$2829)), "Invalid", "Ok")</f>
        <v>Ok</v>
      </c>
    </row>
    <row r="213" spans="1:9" x14ac:dyDescent="0.3">
      <c r="A213" s="1" t="s">
        <v>6675</v>
      </c>
      <c r="B213" s="1" t="s">
        <v>4312</v>
      </c>
      <c r="C213" s="41">
        <v>44936</v>
      </c>
      <c r="D213" s="1">
        <v>118561.51</v>
      </c>
      <c r="E213" s="1" t="s">
        <v>6457</v>
      </c>
      <c r="F213" s="1" t="s">
        <v>6461</v>
      </c>
      <c r="G213" s="1" t="s">
        <v>17</v>
      </c>
      <c r="H213" s="1">
        <v>8</v>
      </c>
      <c r="I213" t="str">
        <f>IF(ISNA(_xlfn.XLOOKUP(B213, policy_details!$A$2:$A$2829, policy_details!$A$2:$A$2829)), "Invalid", "Ok")</f>
        <v>Ok</v>
      </c>
    </row>
    <row r="214" spans="1:9" x14ac:dyDescent="0.3">
      <c r="A214" s="1" t="s">
        <v>6676</v>
      </c>
      <c r="B214" s="1" t="s">
        <v>4739</v>
      </c>
      <c r="C214" s="41">
        <v>44518</v>
      </c>
      <c r="D214" s="1">
        <v>124853.72</v>
      </c>
      <c r="E214" s="1" t="s">
        <v>6460</v>
      </c>
      <c r="F214" s="1" t="s">
        <v>6466</v>
      </c>
      <c r="G214" s="1" t="s">
        <v>17</v>
      </c>
      <c r="H214" s="1">
        <v>21</v>
      </c>
      <c r="I214" t="str">
        <f>IF(ISNA(_xlfn.XLOOKUP(B214, policy_details!$A$2:$A$2829, policy_details!$A$2:$A$2829)), "Invalid", "Ok")</f>
        <v>Ok</v>
      </c>
    </row>
    <row r="215" spans="1:9" x14ac:dyDescent="0.3">
      <c r="A215" s="1" t="s">
        <v>6677</v>
      </c>
      <c r="B215" s="1" t="s">
        <v>5893</v>
      </c>
      <c r="C215" s="41">
        <v>44507</v>
      </c>
      <c r="D215" s="1">
        <v>340282</v>
      </c>
      <c r="E215" s="1" t="s">
        <v>6460</v>
      </c>
      <c r="F215" s="1" t="s">
        <v>6470</v>
      </c>
      <c r="G215" s="1" t="s">
        <v>17</v>
      </c>
      <c r="H215" s="1">
        <v>17</v>
      </c>
      <c r="I215" t="str">
        <f>IF(ISNA(_xlfn.XLOOKUP(B215, policy_details!$A$2:$A$2829, policy_details!$A$2:$A$2829)), "Invalid", "Ok")</f>
        <v>Ok</v>
      </c>
    </row>
    <row r="216" spans="1:9" x14ac:dyDescent="0.3">
      <c r="A216" s="1" t="s">
        <v>6678</v>
      </c>
      <c r="B216" s="1" t="s">
        <v>3901</v>
      </c>
      <c r="C216" s="41">
        <v>45369</v>
      </c>
      <c r="D216" s="1">
        <v>145491.53</v>
      </c>
      <c r="E216" s="1" t="s">
        <v>6464</v>
      </c>
      <c r="F216" s="1" t="s">
        <v>6470</v>
      </c>
      <c r="G216" s="1" t="s">
        <v>17</v>
      </c>
      <c r="H216" s="1">
        <v>42</v>
      </c>
      <c r="I216" t="str">
        <f>IF(ISNA(_xlfn.XLOOKUP(B216, policy_details!$A$2:$A$2829, policy_details!$A$2:$A$2829)), "Invalid", "Ok")</f>
        <v>Ok</v>
      </c>
    </row>
    <row r="217" spans="1:9" x14ac:dyDescent="0.3">
      <c r="A217" s="1" t="s">
        <v>6679</v>
      </c>
      <c r="B217" s="1" t="s">
        <v>4495</v>
      </c>
      <c r="C217" s="41">
        <v>45630</v>
      </c>
      <c r="D217" s="1">
        <v>127304.75</v>
      </c>
      <c r="E217" s="1" t="s">
        <v>6457</v>
      </c>
      <c r="F217" s="1" t="s">
        <v>6461</v>
      </c>
      <c r="G217" s="1" t="s">
        <v>17</v>
      </c>
      <c r="H217" s="1">
        <v>15</v>
      </c>
      <c r="I217" t="str">
        <f>IF(ISNA(_xlfn.XLOOKUP(B217, policy_details!$A$2:$A$2829, policy_details!$A$2:$A$2829)), "Invalid", "Ok")</f>
        <v>Ok</v>
      </c>
    </row>
    <row r="218" spans="1:9" x14ac:dyDescent="0.3">
      <c r="A218" s="1" t="s">
        <v>6680</v>
      </c>
      <c r="B218" s="1" t="s">
        <v>5482</v>
      </c>
      <c r="C218" s="41">
        <v>45230</v>
      </c>
      <c r="D218" s="1">
        <v>423012.03</v>
      </c>
      <c r="E218" s="1" t="s">
        <v>6464</v>
      </c>
      <c r="F218" s="1" t="s">
        <v>6481</v>
      </c>
      <c r="G218" s="1" t="s">
        <v>17</v>
      </c>
      <c r="H218" s="1">
        <v>22</v>
      </c>
      <c r="I218" t="str">
        <f>IF(ISNA(_xlfn.XLOOKUP(B218, policy_details!$A$2:$A$2829, policy_details!$A$2:$A$2829)), "Invalid", "Ok")</f>
        <v>Ok</v>
      </c>
    </row>
    <row r="219" spans="1:9" x14ac:dyDescent="0.3">
      <c r="A219" s="1" t="s">
        <v>6681</v>
      </c>
      <c r="B219" s="1" t="s">
        <v>3489</v>
      </c>
      <c r="C219" s="41">
        <v>44996</v>
      </c>
      <c r="D219" s="1">
        <v>614433.94999999995</v>
      </c>
      <c r="E219" s="1" t="s">
        <v>6460</v>
      </c>
      <c r="F219" s="1" t="s">
        <v>6466</v>
      </c>
      <c r="G219" s="1" t="s">
        <v>17</v>
      </c>
      <c r="H219" s="1">
        <v>31</v>
      </c>
      <c r="I219" t="str">
        <f>IF(ISNA(_xlfn.XLOOKUP(B219, policy_details!$A$2:$A$2829, policy_details!$A$2:$A$2829)), "Invalid", "Ok")</f>
        <v>Ok</v>
      </c>
    </row>
    <row r="220" spans="1:9" x14ac:dyDescent="0.3">
      <c r="A220" s="1" t="s">
        <v>6682</v>
      </c>
      <c r="B220" s="1" t="s">
        <v>3597</v>
      </c>
      <c r="C220" s="41">
        <v>45994</v>
      </c>
      <c r="D220" s="1">
        <v>283475.83</v>
      </c>
      <c r="E220" s="1" t="s">
        <v>6457</v>
      </c>
      <c r="F220" s="1" t="s">
        <v>6481</v>
      </c>
      <c r="G220" s="1" t="s">
        <v>17</v>
      </c>
      <c r="H220" s="1">
        <v>43</v>
      </c>
      <c r="I220" t="str">
        <f>IF(ISNA(_xlfn.XLOOKUP(B220, policy_details!$A$2:$A$2829, policy_details!$A$2:$A$2829)), "Invalid", "Ok")</f>
        <v>Ok</v>
      </c>
    </row>
    <row r="221" spans="1:9" x14ac:dyDescent="0.3">
      <c r="A221" s="1" t="s">
        <v>6683</v>
      </c>
      <c r="B221" s="1" t="s">
        <v>5771</v>
      </c>
      <c r="C221" s="41">
        <v>46216</v>
      </c>
      <c r="D221" s="1">
        <v>840414.84</v>
      </c>
      <c r="E221" s="1" t="s">
        <v>6460</v>
      </c>
      <c r="F221" s="1" t="s">
        <v>6458</v>
      </c>
      <c r="G221" s="1" t="s">
        <v>17</v>
      </c>
      <c r="H221" s="1">
        <v>25</v>
      </c>
      <c r="I221" t="str">
        <f>IF(ISNA(_xlfn.XLOOKUP(B221, policy_details!$A$2:$A$2829, policy_details!$A$2:$A$2829)), "Invalid", "Ok")</f>
        <v>Ok</v>
      </c>
    </row>
    <row r="222" spans="1:9" x14ac:dyDescent="0.3">
      <c r="A222" s="1" t="s">
        <v>6684</v>
      </c>
      <c r="B222" s="1" t="s">
        <v>5092</v>
      </c>
      <c r="C222" s="41">
        <v>44481</v>
      </c>
      <c r="D222" s="1">
        <v>249294.44</v>
      </c>
      <c r="E222" s="1" t="s">
        <v>6464</v>
      </c>
      <c r="F222" s="1" t="s">
        <v>6481</v>
      </c>
      <c r="G222" s="1" t="s">
        <v>30</v>
      </c>
      <c r="H222" s="1">
        <v>38</v>
      </c>
      <c r="I222" t="str">
        <f>IF(ISNA(_xlfn.XLOOKUP(B222, policy_details!$A$2:$A$2829, policy_details!$A$2:$A$2829)), "Invalid", "Ok")</f>
        <v>Ok</v>
      </c>
    </row>
    <row r="223" spans="1:9" x14ac:dyDescent="0.3">
      <c r="A223" s="1" t="s">
        <v>6685</v>
      </c>
      <c r="B223" s="1" t="s">
        <v>5192</v>
      </c>
      <c r="C223" s="41">
        <v>44543</v>
      </c>
      <c r="D223" s="1">
        <v>199077.02</v>
      </c>
      <c r="E223" s="1" t="s">
        <v>6457</v>
      </c>
      <c r="F223" s="1" t="s">
        <v>6481</v>
      </c>
      <c r="G223" s="1" t="s">
        <v>17</v>
      </c>
      <c r="H223" s="1">
        <v>6</v>
      </c>
      <c r="I223" t="str">
        <f>IF(ISNA(_xlfn.XLOOKUP(B223, policy_details!$A$2:$A$2829, policy_details!$A$2:$A$2829)), "Invalid", "Ok")</f>
        <v>Ok</v>
      </c>
    </row>
    <row r="224" spans="1:9" x14ac:dyDescent="0.3">
      <c r="A224" s="1" t="s">
        <v>6686</v>
      </c>
      <c r="B224" s="1" t="s">
        <v>4290</v>
      </c>
      <c r="C224" s="41">
        <v>45855</v>
      </c>
      <c r="D224" s="1">
        <v>184141.39</v>
      </c>
      <c r="E224" s="1" t="s">
        <v>6457</v>
      </c>
      <c r="F224" s="1" t="s">
        <v>6466</v>
      </c>
      <c r="G224" s="1" t="s">
        <v>17</v>
      </c>
      <c r="H224" s="1">
        <v>40</v>
      </c>
      <c r="I224" t="str">
        <f>IF(ISNA(_xlfn.XLOOKUP(B224, policy_details!$A$2:$A$2829, policy_details!$A$2:$A$2829)), "Invalid", "Ok")</f>
        <v>Ok</v>
      </c>
    </row>
    <row r="225" spans="1:9" x14ac:dyDescent="0.3">
      <c r="A225" s="1" t="s">
        <v>6687</v>
      </c>
      <c r="B225" s="1" t="s">
        <v>5119</v>
      </c>
      <c r="C225" s="41">
        <v>45924</v>
      </c>
      <c r="D225" s="1">
        <v>184635.37</v>
      </c>
      <c r="E225" s="1" t="s">
        <v>6457</v>
      </c>
      <c r="F225" s="1" t="s">
        <v>6466</v>
      </c>
      <c r="G225" s="1" t="s">
        <v>17</v>
      </c>
      <c r="H225" s="1">
        <v>10</v>
      </c>
      <c r="I225" t="str">
        <f>IF(ISNA(_xlfn.XLOOKUP(B225, policy_details!$A$2:$A$2829, policy_details!$A$2:$A$2829)), "Invalid", "Ok")</f>
        <v>Ok</v>
      </c>
    </row>
    <row r="226" spans="1:9" x14ac:dyDescent="0.3">
      <c r="A226" s="1" t="s">
        <v>6688</v>
      </c>
      <c r="B226" s="1" t="s">
        <v>5157</v>
      </c>
      <c r="C226" s="41">
        <v>45417</v>
      </c>
      <c r="D226" s="1">
        <v>1419072.55</v>
      </c>
      <c r="E226" s="1" t="s">
        <v>6460</v>
      </c>
      <c r="F226" s="1" t="s">
        <v>6458</v>
      </c>
      <c r="G226" s="1" t="s">
        <v>17</v>
      </c>
      <c r="H226" s="1">
        <v>34</v>
      </c>
      <c r="I226" t="str">
        <f>IF(ISNA(_xlfn.XLOOKUP(B226, policy_details!$A$2:$A$2829, policy_details!$A$2:$A$2829)), "Invalid", "Ok")</f>
        <v>Ok</v>
      </c>
    </row>
    <row r="227" spans="1:9" x14ac:dyDescent="0.3">
      <c r="A227" s="1" t="s">
        <v>6689</v>
      </c>
      <c r="B227" s="1" t="s">
        <v>4783</v>
      </c>
      <c r="C227" s="41">
        <v>46013</v>
      </c>
      <c r="D227" s="1">
        <v>861185.1</v>
      </c>
      <c r="E227" s="1" t="s">
        <v>6457</v>
      </c>
      <c r="F227" s="1" t="s">
        <v>6458</v>
      </c>
      <c r="G227" s="1" t="s">
        <v>17</v>
      </c>
      <c r="H227" s="1">
        <v>24</v>
      </c>
      <c r="I227" t="str">
        <f>IF(ISNA(_xlfn.XLOOKUP(B227, policy_details!$A$2:$A$2829, policy_details!$A$2:$A$2829)), "Invalid", "Ok")</f>
        <v>Ok</v>
      </c>
    </row>
    <row r="228" spans="1:9" x14ac:dyDescent="0.3">
      <c r="A228" s="1" t="s">
        <v>6690</v>
      </c>
      <c r="B228" s="1" t="s">
        <v>6348</v>
      </c>
      <c r="C228" s="41">
        <v>45687</v>
      </c>
      <c r="D228" s="1">
        <v>1775879.32</v>
      </c>
      <c r="E228" s="1" t="s">
        <v>6457</v>
      </c>
      <c r="F228" s="1" t="s">
        <v>6458</v>
      </c>
      <c r="G228" s="1" t="s">
        <v>17</v>
      </c>
      <c r="H228" s="1">
        <v>27</v>
      </c>
      <c r="I228" t="str">
        <f>IF(ISNA(_xlfn.XLOOKUP(B228, policy_details!$A$2:$A$2829, policy_details!$A$2:$A$2829)), "Invalid", "Ok")</f>
        <v>Ok</v>
      </c>
    </row>
    <row r="229" spans="1:9" x14ac:dyDescent="0.3">
      <c r="A229" s="1" t="s">
        <v>6691</v>
      </c>
      <c r="B229" s="1" t="s">
        <v>3566</v>
      </c>
      <c r="C229" s="41">
        <v>45790</v>
      </c>
      <c r="D229" s="1">
        <v>169833.45</v>
      </c>
      <c r="E229" s="1" t="s">
        <v>6460</v>
      </c>
      <c r="F229" s="1" t="s">
        <v>6470</v>
      </c>
      <c r="G229" s="1" t="s">
        <v>17</v>
      </c>
      <c r="H229" s="1">
        <v>5</v>
      </c>
      <c r="I229" t="str">
        <f>IF(ISNA(_xlfn.XLOOKUP(B229, policy_details!$A$2:$A$2829, policy_details!$A$2:$A$2829)), "Invalid", "Ok")</f>
        <v>Ok</v>
      </c>
    </row>
    <row r="230" spans="1:9" x14ac:dyDescent="0.3">
      <c r="A230" s="1" t="s">
        <v>6692</v>
      </c>
      <c r="B230" s="1" t="s">
        <v>4786</v>
      </c>
      <c r="C230" s="41">
        <v>45451</v>
      </c>
      <c r="D230" s="1">
        <v>208084.94</v>
      </c>
      <c r="E230" s="1" t="s">
        <v>6460</v>
      </c>
      <c r="F230" s="1" t="s">
        <v>6481</v>
      </c>
      <c r="G230" s="1" t="s">
        <v>17</v>
      </c>
      <c r="H230" s="1">
        <v>24</v>
      </c>
      <c r="I230" t="str">
        <f>IF(ISNA(_xlfn.XLOOKUP(B230, policy_details!$A$2:$A$2829, policy_details!$A$2:$A$2829)), "Invalid", "Ok")</f>
        <v>Ok</v>
      </c>
    </row>
    <row r="231" spans="1:9" x14ac:dyDescent="0.3">
      <c r="A231" s="1" t="s">
        <v>6693</v>
      </c>
      <c r="B231" s="1" t="s">
        <v>6045</v>
      </c>
      <c r="C231" s="41">
        <v>44537</v>
      </c>
      <c r="D231" s="1">
        <v>284170.03999999998</v>
      </c>
      <c r="E231" s="1" t="s">
        <v>6464</v>
      </c>
      <c r="F231" s="1" t="s">
        <v>6461</v>
      </c>
      <c r="G231" s="1" t="s">
        <v>17</v>
      </c>
      <c r="H231" s="1">
        <v>4</v>
      </c>
      <c r="I231" t="str">
        <f>IF(ISNA(_xlfn.XLOOKUP(B231, policy_details!$A$2:$A$2829, policy_details!$A$2:$A$2829)), "Invalid", "Ok")</f>
        <v>Ok</v>
      </c>
    </row>
    <row r="232" spans="1:9" x14ac:dyDescent="0.3">
      <c r="A232" s="1" t="s">
        <v>6694</v>
      </c>
      <c r="B232" s="1" t="s">
        <v>4159</v>
      </c>
      <c r="C232" s="41">
        <v>45840</v>
      </c>
      <c r="D232" s="1">
        <v>151624.99</v>
      </c>
      <c r="E232" s="1" t="s">
        <v>6457</v>
      </c>
      <c r="F232" s="1" t="s">
        <v>6461</v>
      </c>
      <c r="G232" s="1" t="s">
        <v>17</v>
      </c>
      <c r="H232" s="1">
        <v>25</v>
      </c>
      <c r="I232" t="str">
        <f>IF(ISNA(_xlfn.XLOOKUP(B232, policy_details!$A$2:$A$2829, policy_details!$A$2:$A$2829)), "Invalid", "Ok")</f>
        <v>Ok</v>
      </c>
    </row>
    <row r="233" spans="1:9" x14ac:dyDescent="0.3">
      <c r="A233" s="1" t="s">
        <v>6695</v>
      </c>
      <c r="B233" s="1" t="s">
        <v>6265</v>
      </c>
      <c r="C233" s="41">
        <v>45712</v>
      </c>
      <c r="D233" s="1">
        <v>234684.9</v>
      </c>
      <c r="E233" s="1" t="s">
        <v>6464</v>
      </c>
      <c r="F233" s="1" t="s">
        <v>6481</v>
      </c>
      <c r="G233" s="1" t="s">
        <v>17</v>
      </c>
      <c r="H233" s="1">
        <v>18</v>
      </c>
      <c r="I233" t="str">
        <f>IF(ISNA(_xlfn.XLOOKUP(B233, policy_details!$A$2:$A$2829, policy_details!$A$2:$A$2829)), "Invalid", "Ok")</f>
        <v>Ok</v>
      </c>
    </row>
    <row r="234" spans="1:9" x14ac:dyDescent="0.3">
      <c r="A234" s="1" t="s">
        <v>6696</v>
      </c>
      <c r="B234" s="1" t="s">
        <v>4815</v>
      </c>
      <c r="C234" s="41">
        <v>45227</v>
      </c>
      <c r="D234" s="1">
        <v>183045.94</v>
      </c>
      <c r="E234" s="1" t="s">
        <v>6460</v>
      </c>
      <c r="F234" s="1" t="s">
        <v>6470</v>
      </c>
      <c r="G234" s="1" t="s">
        <v>17</v>
      </c>
      <c r="H234" s="1">
        <v>9</v>
      </c>
      <c r="I234" t="str">
        <f>IF(ISNA(_xlfn.XLOOKUP(B234, policy_details!$A$2:$A$2829, policy_details!$A$2:$A$2829)), "Invalid", "Ok")</f>
        <v>Ok</v>
      </c>
    </row>
    <row r="235" spans="1:9" x14ac:dyDescent="0.3">
      <c r="A235" s="1" t="s">
        <v>6697</v>
      </c>
      <c r="B235" s="1" t="s">
        <v>3990</v>
      </c>
      <c r="C235" s="41">
        <v>45221</v>
      </c>
      <c r="D235" s="1">
        <v>1873792.1</v>
      </c>
      <c r="E235" s="1" t="s">
        <v>6464</v>
      </c>
      <c r="F235" s="1" t="s">
        <v>6458</v>
      </c>
      <c r="G235" s="1" t="s">
        <v>17</v>
      </c>
      <c r="H235" s="1">
        <v>22</v>
      </c>
      <c r="I235" t="str">
        <f>IF(ISNA(_xlfn.XLOOKUP(B235, policy_details!$A$2:$A$2829, policy_details!$A$2:$A$2829)), "Invalid", "Ok")</f>
        <v>Ok</v>
      </c>
    </row>
    <row r="236" spans="1:9" x14ac:dyDescent="0.3">
      <c r="A236" s="1" t="s">
        <v>6698</v>
      </c>
      <c r="B236" s="1" t="s">
        <v>3752</v>
      </c>
      <c r="C236" s="41">
        <v>44693</v>
      </c>
      <c r="D236" s="1">
        <v>174805.54</v>
      </c>
      <c r="E236" s="1" t="s">
        <v>6460</v>
      </c>
      <c r="F236" s="1" t="s">
        <v>6461</v>
      </c>
      <c r="G236" s="1" t="s">
        <v>17</v>
      </c>
      <c r="H236" s="1">
        <v>10</v>
      </c>
      <c r="I236" t="str">
        <f>IF(ISNA(_xlfn.XLOOKUP(B236, policy_details!$A$2:$A$2829, policy_details!$A$2:$A$2829)), "Invalid", "Ok")</f>
        <v>Ok</v>
      </c>
    </row>
    <row r="237" spans="1:9" x14ac:dyDescent="0.3">
      <c r="A237" s="1" t="s">
        <v>6699</v>
      </c>
      <c r="B237" s="1" t="s">
        <v>4530</v>
      </c>
      <c r="C237" s="41">
        <v>45242</v>
      </c>
      <c r="D237" s="1">
        <v>280164.59999999998</v>
      </c>
      <c r="E237" s="1" t="s">
        <v>6460</v>
      </c>
      <c r="F237" s="1" t="s">
        <v>6461</v>
      </c>
      <c r="G237" s="1" t="s">
        <v>17</v>
      </c>
      <c r="H237" s="1">
        <v>4</v>
      </c>
      <c r="I237" t="str">
        <f>IF(ISNA(_xlfn.XLOOKUP(B237, policy_details!$A$2:$A$2829, policy_details!$A$2:$A$2829)), "Invalid", "Ok")</f>
        <v>Ok</v>
      </c>
    </row>
    <row r="238" spans="1:9" x14ac:dyDescent="0.3">
      <c r="A238" s="1" t="s">
        <v>6700</v>
      </c>
      <c r="B238" s="1" t="s">
        <v>6222</v>
      </c>
      <c r="C238" s="41">
        <v>46081</v>
      </c>
      <c r="D238" s="1">
        <v>195647.65</v>
      </c>
      <c r="E238" s="1" t="s">
        <v>6464</v>
      </c>
      <c r="F238" s="1" t="s">
        <v>6466</v>
      </c>
      <c r="G238" s="1" t="s">
        <v>17</v>
      </c>
      <c r="H238" s="1">
        <v>2</v>
      </c>
      <c r="I238" t="str">
        <f>IF(ISNA(_xlfn.XLOOKUP(B238, policy_details!$A$2:$A$2829, policy_details!$A$2:$A$2829)), "Invalid", "Ok")</f>
        <v>Ok</v>
      </c>
    </row>
    <row r="239" spans="1:9" x14ac:dyDescent="0.3">
      <c r="A239" s="1" t="s">
        <v>6701</v>
      </c>
      <c r="B239" s="1" t="s">
        <v>6277</v>
      </c>
      <c r="C239" s="41">
        <v>46237</v>
      </c>
      <c r="D239" s="1">
        <v>1551685</v>
      </c>
      <c r="E239" s="1" t="s">
        <v>6460</v>
      </c>
      <c r="F239" s="1" t="s">
        <v>6458</v>
      </c>
      <c r="G239" s="1" t="s">
        <v>17</v>
      </c>
      <c r="H239" s="1">
        <v>16</v>
      </c>
      <c r="I239" t="str">
        <f>IF(ISNA(_xlfn.XLOOKUP(B239, policy_details!$A$2:$A$2829, policy_details!$A$2:$A$2829)), "Invalid", "Ok")</f>
        <v>Ok</v>
      </c>
    </row>
    <row r="240" spans="1:9" x14ac:dyDescent="0.3">
      <c r="A240" s="1" t="s">
        <v>6702</v>
      </c>
      <c r="B240" s="1" t="s">
        <v>5208</v>
      </c>
      <c r="C240" s="41">
        <v>45113</v>
      </c>
      <c r="D240" s="1">
        <v>202714.64</v>
      </c>
      <c r="E240" s="1" t="s">
        <v>6464</v>
      </c>
      <c r="F240" s="1" t="s">
        <v>6470</v>
      </c>
      <c r="G240" s="1" t="s">
        <v>17</v>
      </c>
      <c r="H240" s="1">
        <v>33</v>
      </c>
      <c r="I240" t="str">
        <f>IF(ISNA(_xlfn.XLOOKUP(B240, policy_details!$A$2:$A$2829, policy_details!$A$2:$A$2829)), "Invalid", "Ok")</f>
        <v>Ok</v>
      </c>
    </row>
    <row r="241" spans="1:9" x14ac:dyDescent="0.3">
      <c r="A241" s="1" t="s">
        <v>6703</v>
      </c>
      <c r="B241" s="1" t="s">
        <v>3860</v>
      </c>
      <c r="C241" s="41">
        <v>44795</v>
      </c>
      <c r="D241" s="1">
        <v>342035.79</v>
      </c>
      <c r="E241" s="1" t="s">
        <v>6464</v>
      </c>
      <c r="F241" s="1" t="s">
        <v>6466</v>
      </c>
      <c r="G241" s="1" t="s">
        <v>17</v>
      </c>
      <c r="H241" s="1">
        <v>26</v>
      </c>
      <c r="I241" t="str">
        <f>IF(ISNA(_xlfn.XLOOKUP(B241, policy_details!$A$2:$A$2829, policy_details!$A$2:$A$2829)), "Invalid", "Ok")</f>
        <v>Ok</v>
      </c>
    </row>
    <row r="242" spans="1:9" x14ac:dyDescent="0.3">
      <c r="A242" s="1" t="s">
        <v>6704</v>
      </c>
      <c r="B242" s="1" t="s">
        <v>4904</v>
      </c>
      <c r="C242" s="41">
        <v>45239</v>
      </c>
      <c r="D242" s="1">
        <v>356719.82</v>
      </c>
      <c r="E242" s="1" t="s">
        <v>6460</v>
      </c>
      <c r="F242" s="1" t="s">
        <v>6466</v>
      </c>
      <c r="G242" s="1" t="s">
        <v>17</v>
      </c>
      <c r="H242" s="1">
        <v>6</v>
      </c>
      <c r="I242" t="str">
        <f>IF(ISNA(_xlfn.XLOOKUP(B242, policy_details!$A$2:$A$2829, policy_details!$A$2:$A$2829)), "Invalid", "Ok")</f>
        <v>Ok</v>
      </c>
    </row>
    <row r="243" spans="1:9" x14ac:dyDescent="0.3">
      <c r="A243" s="1" t="s">
        <v>6705</v>
      </c>
      <c r="B243" s="1" t="s">
        <v>4793</v>
      </c>
      <c r="C243" s="41">
        <v>44547</v>
      </c>
      <c r="D243" s="1">
        <v>93674.46</v>
      </c>
      <c r="E243" s="1" t="s">
        <v>6460</v>
      </c>
      <c r="F243" s="1" t="s">
        <v>6461</v>
      </c>
      <c r="G243" s="1" t="s">
        <v>17</v>
      </c>
      <c r="H243" s="1">
        <v>20</v>
      </c>
      <c r="I243" t="str">
        <f>IF(ISNA(_xlfn.XLOOKUP(B243, policy_details!$A$2:$A$2829, policy_details!$A$2:$A$2829)), "Invalid", "Ok")</f>
        <v>Ok</v>
      </c>
    </row>
    <row r="244" spans="1:9" x14ac:dyDescent="0.3">
      <c r="A244" s="1" t="s">
        <v>6706</v>
      </c>
      <c r="B244" s="1" t="s">
        <v>4236</v>
      </c>
      <c r="C244" s="41">
        <v>44865</v>
      </c>
      <c r="D244" s="1">
        <v>228059.45</v>
      </c>
      <c r="E244" s="1" t="s">
        <v>6460</v>
      </c>
      <c r="F244" s="1" t="s">
        <v>6466</v>
      </c>
      <c r="G244" s="1" t="s">
        <v>17</v>
      </c>
      <c r="H244" s="1">
        <v>26</v>
      </c>
      <c r="I244" t="str">
        <f>IF(ISNA(_xlfn.XLOOKUP(B244, policy_details!$A$2:$A$2829, policy_details!$A$2:$A$2829)), "Invalid", "Ok")</f>
        <v>Ok</v>
      </c>
    </row>
    <row r="245" spans="1:9" x14ac:dyDescent="0.3">
      <c r="A245" s="1" t="s">
        <v>6707</v>
      </c>
      <c r="B245" s="1" t="s">
        <v>3683</v>
      </c>
      <c r="C245" s="41">
        <v>45517</v>
      </c>
      <c r="D245" s="1">
        <v>403452.96</v>
      </c>
      <c r="E245" s="1" t="s">
        <v>6460</v>
      </c>
      <c r="F245" s="1" t="s">
        <v>6481</v>
      </c>
      <c r="G245" s="1" t="s">
        <v>17</v>
      </c>
      <c r="H245" s="1">
        <v>11</v>
      </c>
      <c r="I245" t="str">
        <f>IF(ISNA(_xlfn.XLOOKUP(B245, policy_details!$A$2:$A$2829, policy_details!$A$2:$A$2829)), "Invalid", "Ok")</f>
        <v>Ok</v>
      </c>
    </row>
    <row r="246" spans="1:9" x14ac:dyDescent="0.3">
      <c r="A246" s="1" t="s">
        <v>6708</v>
      </c>
      <c r="B246" s="1" t="s">
        <v>4690</v>
      </c>
      <c r="C246" s="41">
        <v>44856</v>
      </c>
      <c r="D246" s="1">
        <v>1572838.85</v>
      </c>
      <c r="E246" s="1" t="s">
        <v>6460</v>
      </c>
      <c r="F246" s="1" t="s">
        <v>6458</v>
      </c>
      <c r="G246" s="1" t="s">
        <v>17</v>
      </c>
      <c r="H246" s="1">
        <v>7</v>
      </c>
      <c r="I246" t="str">
        <f>IF(ISNA(_xlfn.XLOOKUP(B246, policy_details!$A$2:$A$2829, policy_details!$A$2:$A$2829)), "Invalid", "Ok")</f>
        <v>Ok</v>
      </c>
    </row>
    <row r="247" spans="1:9" x14ac:dyDescent="0.3">
      <c r="A247" s="1" t="s">
        <v>6709</v>
      </c>
      <c r="B247" s="1" t="s">
        <v>4661</v>
      </c>
      <c r="C247" s="41">
        <v>45807</v>
      </c>
      <c r="D247" s="1">
        <v>411720.53</v>
      </c>
      <c r="E247" s="1" t="s">
        <v>6460</v>
      </c>
      <c r="F247" s="1" t="s">
        <v>6466</v>
      </c>
      <c r="G247" s="1" t="s">
        <v>17</v>
      </c>
      <c r="H247" s="1">
        <v>11</v>
      </c>
      <c r="I247" t="str">
        <f>IF(ISNA(_xlfn.XLOOKUP(B247, policy_details!$A$2:$A$2829, policy_details!$A$2:$A$2829)), "Invalid", "Ok")</f>
        <v>Ok</v>
      </c>
    </row>
    <row r="248" spans="1:9" x14ac:dyDescent="0.3">
      <c r="A248" s="1" t="s">
        <v>6710</v>
      </c>
      <c r="B248" s="1" t="s">
        <v>5609</v>
      </c>
      <c r="C248" s="41">
        <v>46064</v>
      </c>
      <c r="D248" s="1">
        <v>158063.85999999999</v>
      </c>
      <c r="E248" s="1" t="s">
        <v>6457</v>
      </c>
      <c r="F248" s="1" t="s">
        <v>6461</v>
      </c>
      <c r="G248" s="1" t="s">
        <v>17</v>
      </c>
      <c r="H248" s="1">
        <v>3</v>
      </c>
      <c r="I248" t="str">
        <f>IF(ISNA(_xlfn.XLOOKUP(B248, policy_details!$A$2:$A$2829, policy_details!$A$2:$A$2829)), "Invalid", "Ok")</f>
        <v>Ok</v>
      </c>
    </row>
    <row r="249" spans="1:9" x14ac:dyDescent="0.3">
      <c r="A249" s="1" t="s">
        <v>6711</v>
      </c>
      <c r="B249" s="1" t="s">
        <v>4727</v>
      </c>
      <c r="C249" s="41">
        <v>45891</v>
      </c>
      <c r="D249" s="1">
        <v>539998.14</v>
      </c>
      <c r="E249" s="1" t="s">
        <v>6457</v>
      </c>
      <c r="F249" s="1" t="s">
        <v>6481</v>
      </c>
      <c r="G249" s="1" t="s">
        <v>30</v>
      </c>
      <c r="H249" s="1">
        <v>11</v>
      </c>
      <c r="I249" t="str">
        <f>IF(ISNA(_xlfn.XLOOKUP(B249, policy_details!$A$2:$A$2829, policy_details!$A$2:$A$2829)), "Invalid", "Ok")</f>
        <v>Ok</v>
      </c>
    </row>
    <row r="250" spans="1:9" x14ac:dyDescent="0.3">
      <c r="A250" s="1" t="s">
        <v>6712</v>
      </c>
      <c r="B250" s="1" t="s">
        <v>3388</v>
      </c>
      <c r="C250" s="41">
        <v>45479</v>
      </c>
      <c r="D250" s="1">
        <v>179982.14</v>
      </c>
      <c r="E250" s="1" t="s">
        <v>6460</v>
      </c>
      <c r="F250" s="1" t="s">
        <v>6481</v>
      </c>
      <c r="G250" s="1" t="s">
        <v>17</v>
      </c>
      <c r="H250" s="1">
        <v>24</v>
      </c>
      <c r="I250" t="str">
        <f>IF(ISNA(_xlfn.XLOOKUP(B250, policy_details!$A$2:$A$2829, policy_details!$A$2:$A$2829)), "Invalid", "Ok")</f>
        <v>Ok</v>
      </c>
    </row>
    <row r="251" spans="1:9" x14ac:dyDescent="0.3">
      <c r="A251" s="1" t="s">
        <v>6713</v>
      </c>
      <c r="B251" s="1" t="s">
        <v>3421</v>
      </c>
      <c r="C251" s="41">
        <v>46252</v>
      </c>
      <c r="D251" s="1">
        <v>104193</v>
      </c>
      <c r="E251" s="1" t="s">
        <v>6457</v>
      </c>
      <c r="F251" s="1" t="s">
        <v>6466</v>
      </c>
      <c r="G251" s="1" t="s">
        <v>17</v>
      </c>
      <c r="H251" s="1">
        <v>36</v>
      </c>
      <c r="I251" t="str">
        <f>IF(ISNA(_xlfn.XLOOKUP(B251, policy_details!$A$2:$A$2829, policy_details!$A$2:$A$2829)), "Invalid", "Ok")</f>
        <v>Ok</v>
      </c>
    </row>
    <row r="252" spans="1:9" x14ac:dyDescent="0.3">
      <c r="A252" s="1" t="s">
        <v>6714</v>
      </c>
      <c r="B252" s="1" t="s">
        <v>5561</v>
      </c>
      <c r="C252" s="41">
        <v>44469</v>
      </c>
      <c r="D252" s="1">
        <v>130559.6</v>
      </c>
      <c r="E252" s="1" t="s">
        <v>6457</v>
      </c>
      <c r="F252" s="1" t="s">
        <v>6461</v>
      </c>
      <c r="G252" s="1" t="s">
        <v>17</v>
      </c>
      <c r="H252" s="1">
        <v>39</v>
      </c>
      <c r="I252" t="str">
        <f>IF(ISNA(_xlfn.XLOOKUP(B252, policy_details!$A$2:$A$2829, policy_details!$A$2:$A$2829)), "Invalid", "Ok")</f>
        <v>Ok</v>
      </c>
    </row>
    <row r="253" spans="1:9" x14ac:dyDescent="0.3">
      <c r="A253" s="1" t="s">
        <v>6715</v>
      </c>
      <c r="B253" s="1" t="s">
        <v>5486</v>
      </c>
      <c r="C253" s="41">
        <v>45757</v>
      </c>
      <c r="D253" s="1">
        <v>400033.66</v>
      </c>
      <c r="E253" s="1" t="s">
        <v>6457</v>
      </c>
      <c r="F253" s="1" t="s">
        <v>6466</v>
      </c>
      <c r="G253" s="1" t="s">
        <v>17</v>
      </c>
      <c r="H253" s="1">
        <v>30</v>
      </c>
      <c r="I253" t="str">
        <f>IF(ISNA(_xlfn.XLOOKUP(B253, policy_details!$A$2:$A$2829, policy_details!$A$2:$A$2829)), "Invalid", "Ok")</f>
        <v>Ok</v>
      </c>
    </row>
    <row r="254" spans="1:9" x14ac:dyDescent="0.3">
      <c r="A254" s="1" t="s">
        <v>6716</v>
      </c>
      <c r="B254" s="1" t="s">
        <v>4003</v>
      </c>
      <c r="C254" s="41">
        <v>45926</v>
      </c>
      <c r="D254" s="1">
        <v>104569.64</v>
      </c>
      <c r="E254" s="1" t="s">
        <v>6460</v>
      </c>
      <c r="F254" s="1" t="s">
        <v>6470</v>
      </c>
      <c r="G254" s="1" t="s">
        <v>17</v>
      </c>
      <c r="H254" s="1">
        <v>16</v>
      </c>
      <c r="I254" t="str">
        <f>IF(ISNA(_xlfn.XLOOKUP(B254, policy_details!$A$2:$A$2829, policy_details!$A$2:$A$2829)), "Invalid", "Ok")</f>
        <v>Ok</v>
      </c>
    </row>
    <row r="255" spans="1:9" x14ac:dyDescent="0.3">
      <c r="A255" s="1" t="s">
        <v>6717</v>
      </c>
      <c r="B255" s="1" t="s">
        <v>6070</v>
      </c>
      <c r="C255" s="41">
        <v>44581</v>
      </c>
      <c r="D255" s="1">
        <v>86317.11</v>
      </c>
      <c r="E255" s="1" t="s">
        <v>6457</v>
      </c>
      <c r="F255" s="1" t="s">
        <v>6470</v>
      </c>
      <c r="G255" s="1" t="s">
        <v>17</v>
      </c>
      <c r="H255" s="1">
        <v>42</v>
      </c>
      <c r="I255" t="str">
        <f>IF(ISNA(_xlfn.XLOOKUP(B255, policy_details!$A$2:$A$2829, policy_details!$A$2:$A$2829)), "Invalid", "Ok")</f>
        <v>Ok</v>
      </c>
    </row>
    <row r="256" spans="1:9" x14ac:dyDescent="0.3">
      <c r="A256" s="1" t="s">
        <v>6718</v>
      </c>
      <c r="B256" s="1" t="s">
        <v>5491</v>
      </c>
      <c r="C256" s="41">
        <v>44673</v>
      </c>
      <c r="D256" s="1">
        <v>105763.6</v>
      </c>
      <c r="E256" s="1" t="s">
        <v>6457</v>
      </c>
      <c r="F256" s="1" t="s">
        <v>6481</v>
      </c>
      <c r="G256" s="1" t="s">
        <v>17</v>
      </c>
      <c r="H256" s="1">
        <v>41</v>
      </c>
      <c r="I256" t="str">
        <f>IF(ISNA(_xlfn.XLOOKUP(B256, policy_details!$A$2:$A$2829, policy_details!$A$2:$A$2829)), "Invalid", "Ok")</f>
        <v>Ok</v>
      </c>
    </row>
    <row r="257" spans="1:9" x14ac:dyDescent="0.3">
      <c r="A257" s="1" t="s">
        <v>6719</v>
      </c>
      <c r="B257" s="1" t="s">
        <v>3979</v>
      </c>
      <c r="C257" s="41">
        <v>44771</v>
      </c>
      <c r="D257" s="1">
        <v>361200.45</v>
      </c>
      <c r="E257" s="1" t="s">
        <v>6457</v>
      </c>
      <c r="F257" s="1" t="s">
        <v>6481</v>
      </c>
      <c r="G257" s="1" t="s">
        <v>17</v>
      </c>
      <c r="H257" s="1">
        <v>16</v>
      </c>
      <c r="I257" t="str">
        <f>IF(ISNA(_xlfn.XLOOKUP(B257, policy_details!$A$2:$A$2829, policy_details!$A$2:$A$2829)), "Invalid", "Ok")</f>
        <v>Ok</v>
      </c>
    </row>
    <row r="258" spans="1:9" x14ac:dyDescent="0.3">
      <c r="A258" s="1" t="s">
        <v>6720</v>
      </c>
      <c r="B258" s="1" t="s">
        <v>4411</v>
      </c>
      <c r="C258" s="41">
        <v>44521</v>
      </c>
      <c r="D258" s="1">
        <v>436414.47</v>
      </c>
      <c r="E258" s="1" t="s">
        <v>6457</v>
      </c>
      <c r="F258" s="1" t="s">
        <v>6458</v>
      </c>
      <c r="G258" s="1" t="s">
        <v>17</v>
      </c>
      <c r="H258" s="1">
        <v>1</v>
      </c>
      <c r="I258" t="str">
        <f>IF(ISNA(_xlfn.XLOOKUP(B258, policy_details!$A$2:$A$2829, policy_details!$A$2:$A$2829)), "Invalid", "Ok")</f>
        <v>Ok</v>
      </c>
    </row>
    <row r="259" spans="1:9" x14ac:dyDescent="0.3">
      <c r="A259" s="1" t="s">
        <v>6721</v>
      </c>
      <c r="B259" s="1" t="s">
        <v>6374</v>
      </c>
      <c r="C259" s="41">
        <v>45080</v>
      </c>
      <c r="D259" s="1">
        <v>197383.88</v>
      </c>
      <c r="E259" s="1" t="s">
        <v>6464</v>
      </c>
      <c r="F259" s="1" t="s">
        <v>6461</v>
      </c>
      <c r="G259" s="1" t="s">
        <v>17</v>
      </c>
      <c r="H259" s="1">
        <v>20</v>
      </c>
      <c r="I259" t="str">
        <f>IF(ISNA(_xlfn.XLOOKUP(B259, policy_details!$A$2:$A$2829, policy_details!$A$2:$A$2829)), "Invalid", "Ok")</f>
        <v>Ok</v>
      </c>
    </row>
    <row r="260" spans="1:9" x14ac:dyDescent="0.3">
      <c r="A260" s="1" t="s">
        <v>6722</v>
      </c>
      <c r="B260" s="1" t="s">
        <v>4765</v>
      </c>
      <c r="C260" s="41">
        <v>45639</v>
      </c>
      <c r="D260" s="1">
        <v>152766.95000000001</v>
      </c>
      <c r="E260" s="1" t="s">
        <v>6460</v>
      </c>
      <c r="F260" s="1" t="s">
        <v>6470</v>
      </c>
      <c r="G260" s="1" t="s">
        <v>17</v>
      </c>
      <c r="H260" s="1">
        <v>21</v>
      </c>
      <c r="I260" t="str">
        <f>IF(ISNA(_xlfn.XLOOKUP(B260, policy_details!$A$2:$A$2829, policy_details!$A$2:$A$2829)), "Invalid", "Ok")</f>
        <v>Ok</v>
      </c>
    </row>
    <row r="261" spans="1:9" x14ac:dyDescent="0.3">
      <c r="A261" s="1" t="s">
        <v>6723</v>
      </c>
      <c r="B261" s="1" t="s">
        <v>4253</v>
      </c>
      <c r="C261" s="41">
        <v>44888</v>
      </c>
      <c r="D261" s="1">
        <v>170061.79</v>
      </c>
      <c r="E261" s="1" t="s">
        <v>6457</v>
      </c>
      <c r="F261" s="1" t="s">
        <v>6481</v>
      </c>
      <c r="G261" s="1" t="s">
        <v>17</v>
      </c>
      <c r="H261" s="1">
        <v>30</v>
      </c>
      <c r="I261" t="str">
        <f>IF(ISNA(_xlfn.XLOOKUP(B261, policy_details!$A$2:$A$2829, policy_details!$A$2:$A$2829)), "Invalid", "Ok")</f>
        <v>Ok</v>
      </c>
    </row>
    <row r="262" spans="1:9" x14ac:dyDescent="0.3">
      <c r="A262" s="1" t="s">
        <v>6724</v>
      </c>
      <c r="B262" s="1" t="s">
        <v>5097</v>
      </c>
      <c r="C262" s="41">
        <v>44976</v>
      </c>
      <c r="D262" s="1">
        <v>109245.29</v>
      </c>
      <c r="E262" s="1" t="s">
        <v>6460</v>
      </c>
      <c r="F262" s="1" t="s">
        <v>6470</v>
      </c>
      <c r="G262" s="1" t="s">
        <v>17</v>
      </c>
      <c r="H262" s="1">
        <v>7</v>
      </c>
      <c r="I262" t="str">
        <f>IF(ISNA(_xlfn.XLOOKUP(B262, policy_details!$A$2:$A$2829, policy_details!$A$2:$A$2829)), "Invalid", "Ok")</f>
        <v>Ok</v>
      </c>
    </row>
    <row r="263" spans="1:9" x14ac:dyDescent="0.3">
      <c r="A263" s="1" t="s">
        <v>6725</v>
      </c>
      <c r="B263" s="1" t="s">
        <v>4157</v>
      </c>
      <c r="C263" s="41">
        <v>45549</v>
      </c>
      <c r="D263" s="1">
        <v>166297.89000000001</v>
      </c>
      <c r="E263" s="1" t="s">
        <v>6460</v>
      </c>
      <c r="F263" s="1" t="s">
        <v>6461</v>
      </c>
      <c r="G263" s="1" t="s">
        <v>17</v>
      </c>
      <c r="H263" s="1">
        <v>24</v>
      </c>
      <c r="I263" t="str">
        <f>IF(ISNA(_xlfn.XLOOKUP(B263, policy_details!$A$2:$A$2829, policy_details!$A$2:$A$2829)), "Invalid", "Ok")</f>
        <v>Ok</v>
      </c>
    </row>
    <row r="264" spans="1:9" x14ac:dyDescent="0.3">
      <c r="A264" s="1" t="s">
        <v>6726</v>
      </c>
      <c r="B264" s="1" t="s">
        <v>5856</v>
      </c>
      <c r="C264" s="41">
        <v>45316</v>
      </c>
      <c r="D264" s="1">
        <v>150889.63</v>
      </c>
      <c r="E264" s="1" t="s">
        <v>6460</v>
      </c>
      <c r="F264" s="1" t="s">
        <v>6466</v>
      </c>
      <c r="G264" s="1" t="s">
        <v>17</v>
      </c>
      <c r="H264" s="1">
        <v>14</v>
      </c>
      <c r="I264" t="str">
        <f>IF(ISNA(_xlfn.XLOOKUP(B264, policy_details!$A$2:$A$2829, policy_details!$A$2:$A$2829)), "Invalid", "Ok")</f>
        <v>Ok</v>
      </c>
    </row>
    <row r="265" spans="1:9" x14ac:dyDescent="0.3">
      <c r="A265" s="1" t="s">
        <v>6727</v>
      </c>
      <c r="B265" s="1" t="s">
        <v>5864</v>
      </c>
      <c r="C265" s="41">
        <v>44665</v>
      </c>
      <c r="D265" s="1">
        <v>249379.17</v>
      </c>
      <c r="E265" s="1" t="s">
        <v>6460</v>
      </c>
      <c r="F265" s="1" t="s">
        <v>6481</v>
      </c>
      <c r="G265" s="1" t="s">
        <v>17</v>
      </c>
      <c r="H265" s="1">
        <v>22</v>
      </c>
      <c r="I265" t="str">
        <f>IF(ISNA(_xlfn.XLOOKUP(B265, policy_details!$A$2:$A$2829, policy_details!$A$2:$A$2829)), "Invalid", "Ok")</f>
        <v>Ok</v>
      </c>
    </row>
    <row r="266" spans="1:9" x14ac:dyDescent="0.3">
      <c r="A266" s="1" t="s">
        <v>6728</v>
      </c>
      <c r="B266" s="1" t="s">
        <v>5883</v>
      </c>
      <c r="C266" s="41">
        <v>44582</v>
      </c>
      <c r="D266" s="1">
        <v>1100035.75</v>
      </c>
      <c r="E266" s="1" t="s">
        <v>6460</v>
      </c>
      <c r="F266" s="1" t="s">
        <v>6458</v>
      </c>
      <c r="G266" s="1" t="s">
        <v>17</v>
      </c>
      <c r="H266" s="1">
        <v>2</v>
      </c>
      <c r="I266" t="str">
        <f>IF(ISNA(_xlfn.XLOOKUP(B266, policy_details!$A$2:$A$2829, policy_details!$A$2:$A$2829)), "Invalid", "Ok")</f>
        <v>Ok</v>
      </c>
    </row>
    <row r="267" spans="1:9" x14ac:dyDescent="0.3">
      <c r="A267" s="1" t="s">
        <v>6729</v>
      </c>
      <c r="B267" s="1" t="s">
        <v>5363</v>
      </c>
      <c r="C267" s="41">
        <v>44899</v>
      </c>
      <c r="D267" s="1">
        <v>203764.7</v>
      </c>
      <c r="E267" s="1" t="s">
        <v>6457</v>
      </c>
      <c r="F267" s="1" t="s">
        <v>6461</v>
      </c>
      <c r="G267" s="1" t="s">
        <v>17</v>
      </c>
      <c r="H267" s="1">
        <v>24</v>
      </c>
      <c r="I267" t="str">
        <f>IF(ISNA(_xlfn.XLOOKUP(B267, policy_details!$A$2:$A$2829, policy_details!$A$2:$A$2829)), "Invalid", "Ok")</f>
        <v>Ok</v>
      </c>
    </row>
    <row r="268" spans="1:9" x14ac:dyDescent="0.3">
      <c r="A268" s="1" t="s">
        <v>6730</v>
      </c>
      <c r="B268" s="1" t="s">
        <v>5580</v>
      </c>
      <c r="C268" s="41">
        <v>45435</v>
      </c>
      <c r="D268" s="1">
        <v>239318.55</v>
      </c>
      <c r="E268" s="1" t="s">
        <v>6457</v>
      </c>
      <c r="F268" s="1" t="s">
        <v>6461</v>
      </c>
      <c r="G268" s="1" t="s">
        <v>17</v>
      </c>
      <c r="H268" s="1">
        <v>2</v>
      </c>
      <c r="I268" t="str">
        <f>IF(ISNA(_xlfn.XLOOKUP(B268, policy_details!$A$2:$A$2829, policy_details!$A$2:$A$2829)), "Invalid", "Ok")</f>
        <v>Ok</v>
      </c>
    </row>
    <row r="269" spans="1:9" x14ac:dyDescent="0.3">
      <c r="A269" s="1" t="s">
        <v>6731</v>
      </c>
      <c r="B269" s="1" t="s">
        <v>4513</v>
      </c>
      <c r="C269" s="41">
        <v>45346</v>
      </c>
      <c r="D269" s="1">
        <v>162877.68</v>
      </c>
      <c r="E269" s="1" t="s">
        <v>6464</v>
      </c>
      <c r="F269" s="1" t="s">
        <v>6461</v>
      </c>
      <c r="G269" s="1" t="s">
        <v>17</v>
      </c>
      <c r="H269" s="1">
        <v>38</v>
      </c>
      <c r="I269" t="str">
        <f>IF(ISNA(_xlfn.XLOOKUP(B269, policy_details!$A$2:$A$2829, policy_details!$A$2:$A$2829)), "Invalid", "Ok")</f>
        <v>Ok</v>
      </c>
    </row>
    <row r="270" spans="1:9" x14ac:dyDescent="0.3">
      <c r="A270" s="1" t="s">
        <v>6732</v>
      </c>
      <c r="B270" s="1" t="s">
        <v>6107</v>
      </c>
      <c r="C270" s="41">
        <v>45785</v>
      </c>
      <c r="D270" s="1">
        <v>88729.31</v>
      </c>
      <c r="E270" s="1" t="s">
        <v>6460</v>
      </c>
      <c r="F270" s="1" t="s">
        <v>6461</v>
      </c>
      <c r="G270" s="1" t="s">
        <v>17</v>
      </c>
      <c r="H270" s="1">
        <v>32</v>
      </c>
      <c r="I270" t="str">
        <f>IF(ISNA(_xlfn.XLOOKUP(B270, policy_details!$A$2:$A$2829, policy_details!$A$2:$A$2829)), "Invalid", "Ok")</f>
        <v>Ok</v>
      </c>
    </row>
    <row r="271" spans="1:9" x14ac:dyDescent="0.3">
      <c r="A271" s="1" t="s">
        <v>6733</v>
      </c>
      <c r="B271" s="1" t="s">
        <v>3946</v>
      </c>
      <c r="C271" s="41">
        <v>45094</v>
      </c>
      <c r="D271" s="1">
        <v>277686.07</v>
      </c>
      <c r="E271" s="1" t="s">
        <v>6464</v>
      </c>
      <c r="F271" s="1" t="s">
        <v>6466</v>
      </c>
      <c r="G271" s="1" t="s">
        <v>30</v>
      </c>
      <c r="H271" s="1">
        <v>41</v>
      </c>
      <c r="I271" t="str">
        <f>IF(ISNA(_xlfn.XLOOKUP(B271, policy_details!$A$2:$A$2829, policy_details!$A$2:$A$2829)), "Invalid", "Ok")</f>
        <v>Ok</v>
      </c>
    </row>
    <row r="272" spans="1:9" x14ac:dyDescent="0.3">
      <c r="A272" s="1" t="s">
        <v>6734</v>
      </c>
      <c r="B272" s="1" t="s">
        <v>4308</v>
      </c>
      <c r="C272" s="41">
        <v>46113</v>
      </c>
      <c r="D272" s="1">
        <v>305432.67</v>
      </c>
      <c r="E272" s="1" t="s">
        <v>6457</v>
      </c>
      <c r="F272" s="1" t="s">
        <v>6466</v>
      </c>
      <c r="G272" s="1" t="s">
        <v>17</v>
      </c>
      <c r="H272" s="1">
        <v>29</v>
      </c>
      <c r="I272" t="str">
        <f>IF(ISNA(_xlfn.XLOOKUP(B272, policy_details!$A$2:$A$2829, policy_details!$A$2:$A$2829)), "Invalid", "Ok")</f>
        <v>Ok</v>
      </c>
    </row>
    <row r="273" spans="1:9" x14ac:dyDescent="0.3">
      <c r="A273" s="1" t="s">
        <v>6735</v>
      </c>
      <c r="B273" s="1" t="s">
        <v>6428</v>
      </c>
      <c r="C273" s="41">
        <v>44844</v>
      </c>
      <c r="D273" s="1">
        <v>821897.05</v>
      </c>
      <c r="E273" s="1" t="s">
        <v>6464</v>
      </c>
      <c r="F273" s="1" t="s">
        <v>6458</v>
      </c>
      <c r="G273" s="1" t="s">
        <v>17</v>
      </c>
      <c r="H273" s="1">
        <v>44</v>
      </c>
      <c r="I273" t="str">
        <f>IF(ISNA(_xlfn.XLOOKUP(B273, policy_details!$A$2:$A$2829, policy_details!$A$2:$A$2829)), "Invalid", "Ok")</f>
        <v>Ok</v>
      </c>
    </row>
    <row r="274" spans="1:9" x14ac:dyDescent="0.3">
      <c r="A274" s="1" t="s">
        <v>6736</v>
      </c>
      <c r="B274" s="1" t="s">
        <v>6337</v>
      </c>
      <c r="C274" s="41">
        <v>45744</v>
      </c>
      <c r="D274" s="1">
        <v>190504.53</v>
      </c>
      <c r="E274" s="1" t="s">
        <v>6457</v>
      </c>
      <c r="F274" s="1" t="s">
        <v>6466</v>
      </c>
      <c r="G274" s="1" t="s">
        <v>17</v>
      </c>
      <c r="H274" s="1">
        <v>10</v>
      </c>
      <c r="I274" t="str">
        <f>IF(ISNA(_xlfn.XLOOKUP(B274, policy_details!$A$2:$A$2829, policy_details!$A$2:$A$2829)), "Invalid", "Ok")</f>
        <v>Ok</v>
      </c>
    </row>
    <row r="275" spans="1:9" x14ac:dyDescent="0.3">
      <c r="A275" s="1" t="s">
        <v>6737</v>
      </c>
      <c r="B275" s="1" t="s">
        <v>5049</v>
      </c>
      <c r="C275" s="41">
        <v>46161</v>
      </c>
      <c r="D275" s="1">
        <v>861822.74</v>
      </c>
      <c r="E275" s="1" t="s">
        <v>6460</v>
      </c>
      <c r="F275" s="1" t="s">
        <v>6481</v>
      </c>
      <c r="G275" s="1" t="s">
        <v>17</v>
      </c>
      <c r="H275" s="1">
        <v>1</v>
      </c>
      <c r="I275" t="str">
        <f>IF(ISNA(_xlfn.XLOOKUP(B275, policy_details!$A$2:$A$2829, policy_details!$A$2:$A$2829)), "Invalid", "Ok")</f>
        <v>Ok</v>
      </c>
    </row>
    <row r="276" spans="1:9" x14ac:dyDescent="0.3">
      <c r="A276" s="1" t="s">
        <v>6738</v>
      </c>
      <c r="B276" s="1" t="s">
        <v>5024</v>
      </c>
      <c r="C276" s="41">
        <v>45867</v>
      </c>
      <c r="D276" s="1">
        <v>94295.29</v>
      </c>
      <c r="E276" s="1" t="s">
        <v>6460</v>
      </c>
      <c r="F276" s="1" t="s">
        <v>6470</v>
      </c>
      <c r="G276" s="1" t="s">
        <v>17</v>
      </c>
      <c r="H276" s="1">
        <v>40</v>
      </c>
      <c r="I276" t="str">
        <f>IF(ISNA(_xlfn.XLOOKUP(B276, policy_details!$A$2:$A$2829, policy_details!$A$2:$A$2829)), "Invalid", "Ok")</f>
        <v>Ok</v>
      </c>
    </row>
    <row r="277" spans="1:9" x14ac:dyDescent="0.3">
      <c r="A277" s="1" t="s">
        <v>6739</v>
      </c>
      <c r="B277" s="1" t="s">
        <v>3855</v>
      </c>
      <c r="C277" s="41">
        <v>44976</v>
      </c>
      <c r="D277" s="1">
        <v>191995.6</v>
      </c>
      <c r="E277" s="1" t="s">
        <v>6457</v>
      </c>
      <c r="F277" s="1" t="s">
        <v>6461</v>
      </c>
      <c r="G277" s="1" t="s">
        <v>30</v>
      </c>
      <c r="H277" s="1">
        <v>30</v>
      </c>
      <c r="I277" t="str">
        <f>IF(ISNA(_xlfn.XLOOKUP(B277, policy_details!$A$2:$A$2829, policy_details!$A$2:$A$2829)), "Invalid", "Ok")</f>
        <v>Ok</v>
      </c>
    </row>
    <row r="278" spans="1:9" x14ac:dyDescent="0.3">
      <c r="A278" s="1" t="s">
        <v>6740</v>
      </c>
      <c r="B278" s="1" t="s">
        <v>5483</v>
      </c>
      <c r="C278" s="41">
        <v>45636</v>
      </c>
      <c r="D278" s="1">
        <v>421776.96</v>
      </c>
      <c r="E278" s="1" t="s">
        <v>6460</v>
      </c>
      <c r="F278" s="1" t="s">
        <v>6481</v>
      </c>
      <c r="G278" s="1" t="s">
        <v>17</v>
      </c>
      <c r="H278" s="1">
        <v>31</v>
      </c>
      <c r="I278" t="str">
        <f>IF(ISNA(_xlfn.XLOOKUP(B278, policy_details!$A$2:$A$2829, policy_details!$A$2:$A$2829)), "Invalid", "Ok")</f>
        <v>Ok</v>
      </c>
    </row>
    <row r="279" spans="1:9" x14ac:dyDescent="0.3">
      <c r="A279" s="1" t="s">
        <v>6741</v>
      </c>
      <c r="B279" s="1" t="s">
        <v>3478</v>
      </c>
      <c r="C279" s="41">
        <v>45404</v>
      </c>
      <c r="D279" s="1">
        <v>758818.14</v>
      </c>
      <c r="E279" s="1" t="s">
        <v>6457</v>
      </c>
      <c r="F279" s="1" t="s">
        <v>6458</v>
      </c>
      <c r="G279" s="1" t="s">
        <v>17</v>
      </c>
      <c r="H279" s="1">
        <v>13</v>
      </c>
      <c r="I279" t="str">
        <f>IF(ISNA(_xlfn.XLOOKUP(B279, policy_details!$A$2:$A$2829, policy_details!$A$2:$A$2829)), "Invalid", "Ok")</f>
        <v>Ok</v>
      </c>
    </row>
    <row r="280" spans="1:9" x14ac:dyDescent="0.3">
      <c r="A280" s="1" t="s">
        <v>6742</v>
      </c>
      <c r="B280" s="1" t="s">
        <v>4491</v>
      </c>
      <c r="C280" s="41">
        <v>44930</v>
      </c>
      <c r="D280" s="1">
        <v>165454.87</v>
      </c>
      <c r="E280" s="1" t="s">
        <v>6460</v>
      </c>
      <c r="F280" s="1" t="s">
        <v>6470</v>
      </c>
      <c r="G280" s="1" t="s">
        <v>17</v>
      </c>
      <c r="H280" s="1">
        <v>15</v>
      </c>
      <c r="I280" t="str">
        <f>IF(ISNA(_xlfn.XLOOKUP(B280, policy_details!$A$2:$A$2829, policy_details!$A$2:$A$2829)), "Invalid", "Ok")</f>
        <v>Ok</v>
      </c>
    </row>
    <row r="281" spans="1:9" x14ac:dyDescent="0.3">
      <c r="A281" s="1" t="s">
        <v>6743</v>
      </c>
      <c r="B281" s="1" t="s">
        <v>4795</v>
      </c>
      <c r="C281" s="41">
        <v>45716</v>
      </c>
      <c r="D281" s="1">
        <v>179988.73</v>
      </c>
      <c r="E281" s="1" t="s">
        <v>6457</v>
      </c>
      <c r="F281" s="1" t="s">
        <v>6466</v>
      </c>
      <c r="G281" s="1" t="s">
        <v>17</v>
      </c>
      <c r="H281" s="1">
        <v>30</v>
      </c>
      <c r="I281" t="str">
        <f>IF(ISNA(_xlfn.XLOOKUP(B281, policy_details!$A$2:$A$2829, policy_details!$A$2:$A$2829)), "Invalid", "Ok")</f>
        <v>Ok</v>
      </c>
    </row>
    <row r="282" spans="1:9" x14ac:dyDescent="0.3">
      <c r="A282" s="1" t="s">
        <v>6744</v>
      </c>
      <c r="B282" s="1" t="s">
        <v>6149</v>
      </c>
      <c r="C282" s="41">
        <v>45361</v>
      </c>
      <c r="D282" s="1">
        <v>250027.79</v>
      </c>
      <c r="E282" s="1" t="s">
        <v>6464</v>
      </c>
      <c r="F282" s="1" t="s">
        <v>6481</v>
      </c>
      <c r="G282" s="1" t="s">
        <v>17</v>
      </c>
      <c r="H282" s="1">
        <v>18</v>
      </c>
      <c r="I282" t="str">
        <f>IF(ISNA(_xlfn.XLOOKUP(B282, policy_details!$A$2:$A$2829, policy_details!$A$2:$A$2829)), "Invalid", "Ok")</f>
        <v>Ok</v>
      </c>
    </row>
    <row r="283" spans="1:9" x14ac:dyDescent="0.3">
      <c r="A283" s="1" t="s">
        <v>6745</v>
      </c>
      <c r="B283" s="1" t="s">
        <v>6360</v>
      </c>
      <c r="C283" s="41">
        <v>44540</v>
      </c>
      <c r="D283" s="1">
        <v>235187.15</v>
      </c>
      <c r="E283" s="1" t="s">
        <v>6460</v>
      </c>
      <c r="F283" s="1" t="s">
        <v>6461</v>
      </c>
      <c r="G283" s="1" t="s">
        <v>17</v>
      </c>
      <c r="H283" s="1">
        <v>4</v>
      </c>
      <c r="I283" t="str">
        <f>IF(ISNA(_xlfn.XLOOKUP(B283, policy_details!$A$2:$A$2829, policy_details!$A$2:$A$2829)), "Invalid", "Ok")</f>
        <v>Ok</v>
      </c>
    </row>
    <row r="284" spans="1:9" x14ac:dyDescent="0.3">
      <c r="A284" s="1" t="s">
        <v>6746</v>
      </c>
      <c r="B284" s="1" t="s">
        <v>6375</v>
      </c>
      <c r="C284" s="41">
        <v>46087</v>
      </c>
      <c r="D284" s="1">
        <v>815083.68</v>
      </c>
      <c r="E284" s="1" t="s">
        <v>6457</v>
      </c>
      <c r="F284" s="1" t="s">
        <v>6458</v>
      </c>
      <c r="G284" s="1" t="s">
        <v>17</v>
      </c>
      <c r="H284" s="1">
        <v>13</v>
      </c>
      <c r="I284" t="str">
        <f>IF(ISNA(_xlfn.XLOOKUP(B284, policy_details!$A$2:$A$2829, policy_details!$A$2:$A$2829)), "Invalid", "Ok")</f>
        <v>Ok</v>
      </c>
    </row>
    <row r="285" spans="1:9" x14ac:dyDescent="0.3">
      <c r="A285" s="1" t="s">
        <v>6747</v>
      </c>
      <c r="B285" s="1" t="s">
        <v>5877</v>
      </c>
      <c r="C285" s="41">
        <v>45730</v>
      </c>
      <c r="D285" s="1">
        <v>852567.96</v>
      </c>
      <c r="E285" s="1" t="s">
        <v>6457</v>
      </c>
      <c r="F285" s="1" t="s">
        <v>6470</v>
      </c>
      <c r="G285" s="1" t="s">
        <v>17</v>
      </c>
      <c r="H285" s="1">
        <v>17</v>
      </c>
      <c r="I285" t="str">
        <f>IF(ISNA(_xlfn.XLOOKUP(B285, policy_details!$A$2:$A$2829, policy_details!$A$2:$A$2829)), "Invalid", "Ok")</f>
        <v>Ok</v>
      </c>
    </row>
    <row r="286" spans="1:9" x14ac:dyDescent="0.3">
      <c r="A286" s="1" t="s">
        <v>6748</v>
      </c>
      <c r="B286" s="1" t="s">
        <v>4418</v>
      </c>
      <c r="C286" s="41">
        <v>45578</v>
      </c>
      <c r="D286" s="1">
        <v>143536.31</v>
      </c>
      <c r="E286" s="1" t="s">
        <v>6464</v>
      </c>
      <c r="F286" s="1" t="s">
        <v>6470</v>
      </c>
      <c r="G286" s="1" t="s">
        <v>17</v>
      </c>
      <c r="H286" s="1">
        <v>37</v>
      </c>
      <c r="I286" t="str">
        <f>IF(ISNA(_xlfn.XLOOKUP(B286, policy_details!$A$2:$A$2829, policy_details!$A$2:$A$2829)), "Invalid", "Ok")</f>
        <v>Ok</v>
      </c>
    </row>
    <row r="287" spans="1:9" x14ac:dyDescent="0.3">
      <c r="A287" s="1" t="s">
        <v>6749</v>
      </c>
      <c r="B287" s="1" t="s">
        <v>3546</v>
      </c>
      <c r="C287" s="41">
        <v>44953</v>
      </c>
      <c r="D287" s="1">
        <v>358423.21</v>
      </c>
      <c r="E287" s="1" t="s">
        <v>6464</v>
      </c>
      <c r="F287" s="1" t="s">
        <v>6470</v>
      </c>
      <c r="G287" s="1" t="s">
        <v>17</v>
      </c>
      <c r="H287" s="1">
        <v>16</v>
      </c>
      <c r="I287" t="str">
        <f>IF(ISNA(_xlfn.XLOOKUP(B287, policy_details!$A$2:$A$2829, policy_details!$A$2:$A$2829)), "Invalid", "Ok")</f>
        <v>Ok</v>
      </c>
    </row>
    <row r="288" spans="1:9" x14ac:dyDescent="0.3">
      <c r="A288" s="1" t="s">
        <v>6750</v>
      </c>
      <c r="B288" s="1" t="s">
        <v>4815</v>
      </c>
      <c r="C288" s="41">
        <v>44813</v>
      </c>
      <c r="D288" s="1">
        <v>196880.65</v>
      </c>
      <c r="E288" s="1" t="s">
        <v>6460</v>
      </c>
      <c r="F288" s="1" t="s">
        <v>6461</v>
      </c>
      <c r="G288" s="1" t="s">
        <v>17</v>
      </c>
      <c r="H288" s="1">
        <v>22</v>
      </c>
      <c r="I288" t="str">
        <f>IF(ISNA(_xlfn.XLOOKUP(B288, policy_details!$A$2:$A$2829, policy_details!$A$2:$A$2829)), "Invalid", "Ok")</f>
        <v>Ok</v>
      </c>
    </row>
    <row r="289" spans="1:9" x14ac:dyDescent="0.3">
      <c r="A289" s="1" t="s">
        <v>6751</v>
      </c>
      <c r="B289" s="1" t="s">
        <v>4440</v>
      </c>
      <c r="C289" s="41">
        <v>44692</v>
      </c>
      <c r="D289" s="1">
        <v>950160.89</v>
      </c>
      <c r="E289" s="1" t="s">
        <v>6457</v>
      </c>
      <c r="F289" s="1" t="s">
        <v>6458</v>
      </c>
      <c r="G289" s="1" t="s">
        <v>17</v>
      </c>
      <c r="H289" s="1">
        <v>27</v>
      </c>
      <c r="I289" t="str">
        <f>IF(ISNA(_xlfn.XLOOKUP(B289, policy_details!$A$2:$A$2829, policy_details!$A$2:$A$2829)), "Invalid", "Ok")</f>
        <v>Ok</v>
      </c>
    </row>
    <row r="290" spans="1:9" x14ac:dyDescent="0.3">
      <c r="A290" s="1" t="s">
        <v>6752</v>
      </c>
      <c r="B290" s="1" t="s">
        <v>5470</v>
      </c>
      <c r="C290" s="41">
        <v>46225</v>
      </c>
      <c r="D290" s="1">
        <v>312941.37</v>
      </c>
      <c r="E290" s="1" t="s">
        <v>6460</v>
      </c>
      <c r="F290" s="1" t="s">
        <v>6461</v>
      </c>
      <c r="G290" s="1" t="s">
        <v>17</v>
      </c>
      <c r="H290" s="1">
        <v>6</v>
      </c>
      <c r="I290" t="str">
        <f>IF(ISNA(_xlfn.XLOOKUP(B290, policy_details!$A$2:$A$2829, policy_details!$A$2:$A$2829)), "Invalid", "Ok")</f>
        <v>Ok</v>
      </c>
    </row>
    <row r="291" spans="1:9" x14ac:dyDescent="0.3">
      <c r="A291" s="1" t="s">
        <v>6753</v>
      </c>
      <c r="B291" s="1" t="s">
        <v>4659</v>
      </c>
      <c r="C291" s="41">
        <v>44863</v>
      </c>
      <c r="D291" s="1">
        <v>67396.78</v>
      </c>
      <c r="E291" s="1" t="s">
        <v>6457</v>
      </c>
      <c r="F291" s="1" t="s">
        <v>6461</v>
      </c>
      <c r="G291" s="1" t="s">
        <v>17</v>
      </c>
      <c r="H291" s="1">
        <v>26</v>
      </c>
      <c r="I291" t="str">
        <f>IF(ISNA(_xlfn.XLOOKUP(B291, policy_details!$A$2:$A$2829, policy_details!$A$2:$A$2829)), "Invalid", "Ok")</f>
        <v>Ok</v>
      </c>
    </row>
    <row r="292" spans="1:9" x14ac:dyDescent="0.3">
      <c r="A292" s="1" t="s">
        <v>6754</v>
      </c>
      <c r="B292" s="1" t="s">
        <v>6140</v>
      </c>
      <c r="C292" s="41">
        <v>45797</v>
      </c>
      <c r="D292" s="1">
        <v>309219.12</v>
      </c>
      <c r="E292" s="1" t="s">
        <v>6457</v>
      </c>
      <c r="F292" s="1" t="s">
        <v>6481</v>
      </c>
      <c r="G292" s="1" t="s">
        <v>17</v>
      </c>
      <c r="H292" s="1">
        <v>9</v>
      </c>
      <c r="I292" t="str">
        <f>IF(ISNA(_xlfn.XLOOKUP(B292, policy_details!$A$2:$A$2829, policy_details!$A$2:$A$2829)), "Invalid", "Ok")</f>
        <v>Ok</v>
      </c>
    </row>
    <row r="293" spans="1:9" x14ac:dyDescent="0.3">
      <c r="A293" s="1" t="s">
        <v>6755</v>
      </c>
      <c r="B293" s="1" t="s">
        <v>4668</v>
      </c>
      <c r="C293" s="41">
        <v>44827</v>
      </c>
      <c r="D293" s="1">
        <v>174735.07</v>
      </c>
      <c r="E293" s="1" t="s">
        <v>6460</v>
      </c>
      <c r="F293" s="1" t="s">
        <v>6481</v>
      </c>
      <c r="G293" s="1" t="s">
        <v>17</v>
      </c>
      <c r="H293" s="1">
        <v>39</v>
      </c>
      <c r="I293" t="str">
        <f>IF(ISNA(_xlfn.XLOOKUP(B293, policy_details!$A$2:$A$2829, policy_details!$A$2:$A$2829)), "Invalid", "Ok")</f>
        <v>Ok</v>
      </c>
    </row>
    <row r="294" spans="1:9" x14ac:dyDescent="0.3">
      <c r="A294" s="1" t="s">
        <v>6756</v>
      </c>
      <c r="B294" s="1" t="s">
        <v>4679</v>
      </c>
      <c r="C294" s="41">
        <v>45122</v>
      </c>
      <c r="D294" s="1">
        <v>723717.26</v>
      </c>
      <c r="E294" s="1" t="s">
        <v>6464</v>
      </c>
      <c r="F294" s="1" t="s">
        <v>6458</v>
      </c>
      <c r="G294" s="1" t="s">
        <v>17</v>
      </c>
      <c r="H294" s="1">
        <v>14</v>
      </c>
      <c r="I294" t="str">
        <f>IF(ISNA(_xlfn.XLOOKUP(B294, policy_details!$A$2:$A$2829, policy_details!$A$2:$A$2829)), "Invalid", "Ok")</f>
        <v>Ok</v>
      </c>
    </row>
    <row r="295" spans="1:9" x14ac:dyDescent="0.3">
      <c r="A295" s="1" t="s">
        <v>6757</v>
      </c>
      <c r="B295" s="1" t="s">
        <v>5762</v>
      </c>
      <c r="C295" s="41">
        <v>45933</v>
      </c>
      <c r="D295" s="1">
        <v>117817.19</v>
      </c>
      <c r="E295" s="1" t="s">
        <v>6460</v>
      </c>
      <c r="F295" s="1" t="s">
        <v>6461</v>
      </c>
      <c r="G295" s="1" t="s">
        <v>17</v>
      </c>
      <c r="H295" s="1">
        <v>14</v>
      </c>
      <c r="I295" t="str">
        <f>IF(ISNA(_xlfn.XLOOKUP(B295, policy_details!$A$2:$A$2829, policy_details!$A$2:$A$2829)), "Invalid", "Ok")</f>
        <v>Ok</v>
      </c>
    </row>
    <row r="296" spans="1:9" x14ac:dyDescent="0.3">
      <c r="A296" s="1" t="s">
        <v>6758</v>
      </c>
      <c r="B296" s="1" t="s">
        <v>5284</v>
      </c>
      <c r="C296" s="41">
        <v>44701</v>
      </c>
      <c r="D296" s="1">
        <v>555841.18999999994</v>
      </c>
      <c r="E296" s="1" t="s">
        <v>6457</v>
      </c>
      <c r="F296" s="1" t="s">
        <v>6458</v>
      </c>
      <c r="G296" s="1" t="s">
        <v>17</v>
      </c>
      <c r="H296" s="1">
        <v>18</v>
      </c>
      <c r="I296" t="str">
        <f>IF(ISNA(_xlfn.XLOOKUP(B296, policy_details!$A$2:$A$2829, policy_details!$A$2:$A$2829)), "Invalid", "Ok")</f>
        <v>Ok</v>
      </c>
    </row>
    <row r="297" spans="1:9" x14ac:dyDescent="0.3">
      <c r="A297" s="1" t="s">
        <v>6759</v>
      </c>
      <c r="B297" s="1" t="s">
        <v>4314</v>
      </c>
      <c r="C297" s="41">
        <v>46228</v>
      </c>
      <c r="D297" s="1">
        <v>78780.600000000006</v>
      </c>
      <c r="E297" s="1" t="s">
        <v>6457</v>
      </c>
      <c r="F297" s="1" t="s">
        <v>6470</v>
      </c>
      <c r="G297" s="1" t="s">
        <v>17</v>
      </c>
      <c r="H297" s="1">
        <v>16</v>
      </c>
      <c r="I297" t="str">
        <f>IF(ISNA(_xlfn.XLOOKUP(B297, policy_details!$A$2:$A$2829, policy_details!$A$2:$A$2829)), "Invalid", "Ok")</f>
        <v>Ok</v>
      </c>
    </row>
    <row r="298" spans="1:9" x14ac:dyDescent="0.3">
      <c r="A298" s="1" t="s">
        <v>6760</v>
      </c>
      <c r="B298" s="1" t="s">
        <v>5530</v>
      </c>
      <c r="C298" s="41">
        <v>45717</v>
      </c>
      <c r="D298" s="1">
        <v>267205.94</v>
      </c>
      <c r="E298" s="1" t="s">
        <v>6460</v>
      </c>
      <c r="F298" s="1" t="s">
        <v>6466</v>
      </c>
      <c r="G298" s="1" t="s">
        <v>17</v>
      </c>
      <c r="H298" s="1">
        <v>27</v>
      </c>
      <c r="I298" t="str">
        <f>IF(ISNA(_xlfn.XLOOKUP(B298, policy_details!$A$2:$A$2829, policy_details!$A$2:$A$2829)), "Invalid", "Ok")</f>
        <v>Ok</v>
      </c>
    </row>
    <row r="299" spans="1:9" x14ac:dyDescent="0.3">
      <c r="A299" s="1" t="s">
        <v>6761</v>
      </c>
      <c r="B299" s="1" t="s">
        <v>5207</v>
      </c>
      <c r="C299" s="41">
        <v>45629</v>
      </c>
      <c r="D299" s="1">
        <v>212872.33</v>
      </c>
      <c r="E299" s="1" t="s">
        <v>6460</v>
      </c>
      <c r="F299" s="1" t="s">
        <v>6466</v>
      </c>
      <c r="G299" s="1" t="s">
        <v>17</v>
      </c>
      <c r="H299" s="1">
        <v>32</v>
      </c>
      <c r="I299" t="str">
        <f>IF(ISNA(_xlfn.XLOOKUP(B299, policy_details!$A$2:$A$2829, policy_details!$A$2:$A$2829)), "Invalid", "Ok")</f>
        <v>Ok</v>
      </c>
    </row>
    <row r="300" spans="1:9" x14ac:dyDescent="0.3">
      <c r="A300" s="1" t="s">
        <v>6762</v>
      </c>
      <c r="B300" s="1" t="s">
        <v>3797</v>
      </c>
      <c r="C300" s="41">
        <v>45271</v>
      </c>
      <c r="D300" s="1">
        <v>215113.38</v>
      </c>
      <c r="E300" s="1" t="s">
        <v>6460</v>
      </c>
      <c r="F300" s="1" t="s">
        <v>6481</v>
      </c>
      <c r="G300" s="1" t="s">
        <v>17</v>
      </c>
      <c r="H300" s="1">
        <v>43</v>
      </c>
      <c r="I300" t="str">
        <f>IF(ISNA(_xlfn.XLOOKUP(B300, policy_details!$A$2:$A$2829, policy_details!$A$2:$A$2829)), "Invalid", "Ok")</f>
        <v>Ok</v>
      </c>
    </row>
    <row r="301" spans="1:9" x14ac:dyDescent="0.3">
      <c r="A301" s="1" t="s">
        <v>6763</v>
      </c>
      <c r="B301" s="1" t="s">
        <v>4934</v>
      </c>
      <c r="C301" s="41">
        <v>44650</v>
      </c>
      <c r="D301" s="1">
        <v>321569.88</v>
      </c>
      <c r="E301" s="1" t="s">
        <v>6460</v>
      </c>
      <c r="F301" s="1" t="s">
        <v>6466</v>
      </c>
      <c r="G301" s="1" t="s">
        <v>17</v>
      </c>
      <c r="H301" s="1">
        <v>40</v>
      </c>
      <c r="I301" t="str">
        <f>IF(ISNA(_xlfn.XLOOKUP(B301, policy_details!$A$2:$A$2829, policy_details!$A$2:$A$2829)), "Invalid", "Ok")</f>
        <v>Ok</v>
      </c>
    </row>
    <row r="302" spans="1:9" x14ac:dyDescent="0.3">
      <c r="A302" s="1" t="s">
        <v>6764</v>
      </c>
      <c r="B302" s="1" t="s">
        <v>6219</v>
      </c>
      <c r="C302" s="41">
        <v>45353</v>
      </c>
      <c r="D302" s="1">
        <v>225636.27</v>
      </c>
      <c r="E302" s="1" t="s">
        <v>6464</v>
      </c>
      <c r="F302" s="1" t="s">
        <v>6470</v>
      </c>
      <c r="G302" s="1" t="s">
        <v>30</v>
      </c>
      <c r="H302" s="1">
        <v>12</v>
      </c>
      <c r="I302" t="str">
        <f>IF(ISNA(_xlfn.XLOOKUP(B302, policy_details!$A$2:$A$2829, policy_details!$A$2:$A$2829)), "Invalid", "Ok")</f>
        <v>Ok</v>
      </c>
    </row>
    <row r="303" spans="1:9" x14ac:dyDescent="0.3">
      <c r="A303" s="1" t="s">
        <v>6765</v>
      </c>
      <c r="B303" s="1" t="s">
        <v>4177</v>
      </c>
      <c r="C303" s="41">
        <v>44503</v>
      </c>
      <c r="D303" s="1">
        <v>192521.79</v>
      </c>
      <c r="E303" s="1" t="s">
        <v>6460</v>
      </c>
      <c r="F303" s="1" t="s">
        <v>6466</v>
      </c>
      <c r="G303" s="1" t="s">
        <v>17</v>
      </c>
      <c r="H303" s="1">
        <v>27</v>
      </c>
      <c r="I303" t="str">
        <f>IF(ISNA(_xlfn.XLOOKUP(B303, policy_details!$A$2:$A$2829, policy_details!$A$2:$A$2829)), "Invalid", "Ok")</f>
        <v>Ok</v>
      </c>
    </row>
    <row r="304" spans="1:9" x14ac:dyDescent="0.3">
      <c r="A304" s="1" t="s">
        <v>6766</v>
      </c>
      <c r="B304" s="1" t="s">
        <v>4785</v>
      </c>
      <c r="C304" s="41">
        <v>44949</v>
      </c>
      <c r="D304" s="1">
        <v>1011398.58</v>
      </c>
      <c r="E304" s="1" t="s">
        <v>6464</v>
      </c>
      <c r="F304" s="1" t="s">
        <v>6466</v>
      </c>
      <c r="G304" s="1" t="s">
        <v>30</v>
      </c>
      <c r="H304" s="1">
        <v>15</v>
      </c>
      <c r="I304" t="str">
        <f>IF(ISNA(_xlfn.XLOOKUP(B304, policy_details!$A$2:$A$2829, policy_details!$A$2:$A$2829)), "Invalid", "Ok")</f>
        <v>Ok</v>
      </c>
    </row>
    <row r="305" spans="1:9" x14ac:dyDescent="0.3">
      <c r="A305" s="1" t="s">
        <v>6767</v>
      </c>
      <c r="B305" s="1" t="s">
        <v>4375</v>
      </c>
      <c r="C305" s="41">
        <v>45143</v>
      </c>
      <c r="D305" s="1">
        <v>299451.12</v>
      </c>
      <c r="E305" s="1" t="s">
        <v>6464</v>
      </c>
      <c r="F305" s="1" t="s">
        <v>6470</v>
      </c>
      <c r="G305" s="1" t="s">
        <v>30</v>
      </c>
      <c r="H305" s="1">
        <v>36</v>
      </c>
      <c r="I305" t="str">
        <f>IF(ISNA(_xlfn.XLOOKUP(B305, policy_details!$A$2:$A$2829, policy_details!$A$2:$A$2829)), "Invalid", "Ok")</f>
        <v>Ok</v>
      </c>
    </row>
    <row r="306" spans="1:9" x14ac:dyDescent="0.3">
      <c r="A306" s="1" t="s">
        <v>6768</v>
      </c>
      <c r="B306" s="1" t="s">
        <v>5134</v>
      </c>
      <c r="C306" s="41">
        <v>45953</v>
      </c>
      <c r="D306" s="1">
        <v>611159.03</v>
      </c>
      <c r="E306" s="1" t="s">
        <v>6457</v>
      </c>
      <c r="F306" s="1" t="s">
        <v>6470</v>
      </c>
      <c r="G306" s="1" t="s">
        <v>30</v>
      </c>
      <c r="H306" s="1">
        <v>2</v>
      </c>
      <c r="I306" t="str">
        <f>IF(ISNA(_xlfn.XLOOKUP(B306, policy_details!$A$2:$A$2829, policy_details!$A$2:$A$2829)), "Invalid", "Ok")</f>
        <v>Ok</v>
      </c>
    </row>
    <row r="307" spans="1:9" x14ac:dyDescent="0.3">
      <c r="A307" s="1" t="s">
        <v>6769</v>
      </c>
      <c r="B307" s="1" t="s">
        <v>6378</v>
      </c>
      <c r="C307" s="41">
        <v>44596</v>
      </c>
      <c r="D307" s="1">
        <v>731368.4</v>
      </c>
      <c r="E307" s="1" t="s">
        <v>6460</v>
      </c>
      <c r="F307" s="1" t="s">
        <v>6458</v>
      </c>
      <c r="G307" s="1" t="s">
        <v>17</v>
      </c>
      <c r="H307" s="1">
        <v>44</v>
      </c>
      <c r="I307" t="str">
        <f>IF(ISNA(_xlfn.XLOOKUP(B307, policy_details!$A$2:$A$2829, policy_details!$A$2:$A$2829)), "Invalid", "Ok")</f>
        <v>Ok</v>
      </c>
    </row>
    <row r="308" spans="1:9" x14ac:dyDescent="0.3">
      <c r="A308" s="1" t="s">
        <v>6770</v>
      </c>
      <c r="B308" s="1" t="s">
        <v>4478</v>
      </c>
      <c r="C308" s="41">
        <v>44951</v>
      </c>
      <c r="D308" s="1">
        <v>203936.04</v>
      </c>
      <c r="E308" s="1" t="s">
        <v>6457</v>
      </c>
      <c r="F308" s="1" t="s">
        <v>6470</v>
      </c>
      <c r="G308" s="1" t="s">
        <v>17</v>
      </c>
      <c r="H308" s="1">
        <v>17</v>
      </c>
      <c r="I308" t="str">
        <f>IF(ISNA(_xlfn.XLOOKUP(B308, policy_details!$A$2:$A$2829, policy_details!$A$2:$A$2829)), "Invalid", "Ok")</f>
        <v>Ok</v>
      </c>
    </row>
    <row r="309" spans="1:9" x14ac:dyDescent="0.3">
      <c r="A309" s="1" t="s">
        <v>6771</v>
      </c>
      <c r="B309" s="1" t="s">
        <v>5975</v>
      </c>
      <c r="C309" s="41">
        <v>45556</v>
      </c>
      <c r="D309" s="1">
        <v>118450.24000000001</v>
      </c>
      <c r="E309" s="1" t="s">
        <v>6457</v>
      </c>
      <c r="F309" s="1" t="s">
        <v>6466</v>
      </c>
      <c r="G309" s="1" t="s">
        <v>17</v>
      </c>
      <c r="H309" s="1">
        <v>33</v>
      </c>
      <c r="I309" t="str">
        <f>IF(ISNA(_xlfn.XLOOKUP(B309, policy_details!$A$2:$A$2829, policy_details!$A$2:$A$2829)), "Invalid", "Ok")</f>
        <v>Ok</v>
      </c>
    </row>
    <row r="310" spans="1:9" x14ac:dyDescent="0.3">
      <c r="A310" s="1" t="s">
        <v>6772</v>
      </c>
      <c r="B310" s="1" t="s">
        <v>5990</v>
      </c>
      <c r="C310" s="41">
        <v>45347</v>
      </c>
      <c r="D310" s="1">
        <v>186492.01</v>
      </c>
      <c r="E310" s="1" t="s">
        <v>6457</v>
      </c>
      <c r="F310" s="1" t="s">
        <v>6466</v>
      </c>
      <c r="G310" s="1" t="s">
        <v>17</v>
      </c>
      <c r="H310" s="1">
        <v>30</v>
      </c>
      <c r="I310" t="str">
        <f>IF(ISNA(_xlfn.XLOOKUP(B310, policy_details!$A$2:$A$2829, policy_details!$A$2:$A$2829)), "Invalid", "Ok")</f>
        <v>Ok</v>
      </c>
    </row>
    <row r="311" spans="1:9" x14ac:dyDescent="0.3">
      <c r="A311" s="1" t="s">
        <v>6773</v>
      </c>
      <c r="B311" s="1" t="s">
        <v>4326</v>
      </c>
      <c r="C311" s="41">
        <v>46018</v>
      </c>
      <c r="D311" s="1">
        <v>186695.94</v>
      </c>
      <c r="E311" s="1" t="s">
        <v>6464</v>
      </c>
      <c r="F311" s="1" t="s">
        <v>6481</v>
      </c>
      <c r="G311" s="1" t="s">
        <v>17</v>
      </c>
      <c r="H311" s="1">
        <v>17</v>
      </c>
      <c r="I311" t="str">
        <f>IF(ISNA(_xlfn.XLOOKUP(B311, policy_details!$A$2:$A$2829, policy_details!$A$2:$A$2829)), "Invalid", "Ok")</f>
        <v>Ok</v>
      </c>
    </row>
    <row r="312" spans="1:9" x14ac:dyDescent="0.3">
      <c r="A312" s="1" t="s">
        <v>6774</v>
      </c>
      <c r="B312" s="1" t="s">
        <v>5800</v>
      </c>
      <c r="C312" s="41">
        <v>45144</v>
      </c>
      <c r="D312" s="1">
        <v>670744.25</v>
      </c>
      <c r="E312" s="1" t="s">
        <v>6464</v>
      </c>
      <c r="F312" s="1" t="s">
        <v>6461</v>
      </c>
      <c r="G312" s="1" t="s">
        <v>17</v>
      </c>
      <c r="H312" s="1">
        <v>43</v>
      </c>
      <c r="I312" t="str">
        <f>IF(ISNA(_xlfn.XLOOKUP(B312, policy_details!$A$2:$A$2829, policy_details!$A$2:$A$2829)), "Invalid", "Ok")</f>
        <v>Ok</v>
      </c>
    </row>
    <row r="313" spans="1:9" x14ac:dyDescent="0.3">
      <c r="A313" s="1" t="s">
        <v>6775</v>
      </c>
      <c r="B313" s="1" t="s">
        <v>6415</v>
      </c>
      <c r="C313" s="41">
        <v>44523</v>
      </c>
      <c r="D313" s="1">
        <v>127321.86</v>
      </c>
      <c r="E313" s="1" t="s">
        <v>6460</v>
      </c>
      <c r="F313" s="1" t="s">
        <v>6470</v>
      </c>
      <c r="G313" s="1" t="s">
        <v>17</v>
      </c>
      <c r="H313" s="1">
        <v>12</v>
      </c>
      <c r="I313" t="str">
        <f>IF(ISNA(_xlfn.XLOOKUP(B313, policy_details!$A$2:$A$2829, policy_details!$A$2:$A$2829)), "Invalid", "Ok")</f>
        <v>Ok</v>
      </c>
    </row>
    <row r="314" spans="1:9" x14ac:dyDescent="0.3">
      <c r="A314" s="1" t="s">
        <v>6776</v>
      </c>
      <c r="B314" s="1" t="s">
        <v>6320</v>
      </c>
      <c r="C314" s="41">
        <v>44817</v>
      </c>
      <c r="D314" s="1">
        <v>160122.63</v>
      </c>
      <c r="E314" s="1" t="s">
        <v>6460</v>
      </c>
      <c r="F314" s="1" t="s">
        <v>6470</v>
      </c>
      <c r="G314" s="1" t="s">
        <v>17</v>
      </c>
      <c r="H314" s="1">
        <v>33</v>
      </c>
      <c r="I314" t="str">
        <f>IF(ISNA(_xlfn.XLOOKUP(B314, policy_details!$A$2:$A$2829, policy_details!$A$2:$A$2829)), "Invalid", "Ok")</f>
        <v>Ok</v>
      </c>
    </row>
    <row r="315" spans="1:9" x14ac:dyDescent="0.3">
      <c r="A315" s="1" t="s">
        <v>6777</v>
      </c>
      <c r="B315" s="1" t="s">
        <v>5330</v>
      </c>
      <c r="C315" s="41">
        <v>44778</v>
      </c>
      <c r="D315" s="1">
        <v>435092.92</v>
      </c>
      <c r="E315" s="1" t="s">
        <v>6457</v>
      </c>
      <c r="F315" s="1" t="s">
        <v>6458</v>
      </c>
      <c r="G315" s="1" t="s">
        <v>17</v>
      </c>
      <c r="H315" s="1">
        <v>41</v>
      </c>
      <c r="I315" t="str">
        <f>IF(ISNA(_xlfn.XLOOKUP(B315, policy_details!$A$2:$A$2829, policy_details!$A$2:$A$2829)), "Invalid", "Ok")</f>
        <v>Ok</v>
      </c>
    </row>
    <row r="316" spans="1:9" x14ac:dyDescent="0.3">
      <c r="A316" s="1" t="s">
        <v>6778</v>
      </c>
      <c r="B316" s="1" t="s">
        <v>3971</v>
      </c>
      <c r="C316" s="41">
        <v>45229</v>
      </c>
      <c r="D316" s="1">
        <v>195878.97</v>
      </c>
      <c r="E316" s="1" t="s">
        <v>6464</v>
      </c>
      <c r="F316" s="1" t="s">
        <v>6461</v>
      </c>
      <c r="G316" s="1" t="s">
        <v>17</v>
      </c>
      <c r="H316" s="1">
        <v>6</v>
      </c>
      <c r="I316" t="str">
        <f>IF(ISNA(_xlfn.XLOOKUP(B316, policy_details!$A$2:$A$2829, policy_details!$A$2:$A$2829)), "Invalid", "Ok")</f>
        <v>Ok</v>
      </c>
    </row>
    <row r="317" spans="1:9" x14ac:dyDescent="0.3">
      <c r="A317" s="1" t="s">
        <v>6779</v>
      </c>
      <c r="B317" s="1" t="s">
        <v>3864</v>
      </c>
      <c r="C317" s="41">
        <v>44537</v>
      </c>
      <c r="D317" s="1">
        <v>140262.38</v>
      </c>
      <c r="E317" s="1" t="s">
        <v>6457</v>
      </c>
      <c r="F317" s="1" t="s">
        <v>6466</v>
      </c>
      <c r="G317" s="1" t="s">
        <v>17</v>
      </c>
      <c r="H317" s="1">
        <v>41</v>
      </c>
      <c r="I317" t="str">
        <f>IF(ISNA(_xlfn.XLOOKUP(B317, policy_details!$A$2:$A$2829, policy_details!$A$2:$A$2829)), "Invalid", "Ok")</f>
        <v>Ok</v>
      </c>
    </row>
    <row r="318" spans="1:9" x14ac:dyDescent="0.3">
      <c r="A318" s="1" t="s">
        <v>6780</v>
      </c>
      <c r="B318" s="1" t="s">
        <v>4349</v>
      </c>
      <c r="C318" s="41">
        <v>44999</v>
      </c>
      <c r="D318" s="1">
        <v>1424630.31</v>
      </c>
      <c r="E318" s="1" t="s">
        <v>6464</v>
      </c>
      <c r="F318" s="1" t="s">
        <v>6458</v>
      </c>
      <c r="G318" s="1" t="s">
        <v>17</v>
      </c>
      <c r="H318" s="1">
        <v>40</v>
      </c>
      <c r="I318" t="str">
        <f>IF(ISNA(_xlfn.XLOOKUP(B318, policy_details!$A$2:$A$2829, policy_details!$A$2:$A$2829)), "Invalid", "Ok")</f>
        <v>Ok</v>
      </c>
    </row>
    <row r="319" spans="1:9" x14ac:dyDescent="0.3">
      <c r="A319" s="1" t="s">
        <v>6781</v>
      </c>
      <c r="B319" s="1" t="s">
        <v>5316</v>
      </c>
      <c r="C319" s="41">
        <v>45431</v>
      </c>
      <c r="D319" s="1">
        <v>102237.51</v>
      </c>
      <c r="E319" s="1" t="s">
        <v>6457</v>
      </c>
      <c r="F319" s="1" t="s">
        <v>6481</v>
      </c>
      <c r="G319" s="1" t="s">
        <v>30</v>
      </c>
      <c r="H319" s="1">
        <v>17</v>
      </c>
      <c r="I319" t="str">
        <f>IF(ISNA(_xlfn.XLOOKUP(B319, policy_details!$A$2:$A$2829, policy_details!$A$2:$A$2829)), "Invalid", "Ok")</f>
        <v>Ok</v>
      </c>
    </row>
    <row r="320" spans="1:9" x14ac:dyDescent="0.3">
      <c r="A320" s="1" t="s">
        <v>6782</v>
      </c>
      <c r="B320" s="1" t="s">
        <v>4704</v>
      </c>
      <c r="C320" s="41">
        <v>45077</v>
      </c>
      <c r="D320" s="1">
        <v>141150.07</v>
      </c>
      <c r="E320" s="1" t="s">
        <v>6457</v>
      </c>
      <c r="F320" s="1" t="s">
        <v>6461</v>
      </c>
      <c r="G320" s="1" t="s">
        <v>17</v>
      </c>
      <c r="H320" s="1">
        <v>37</v>
      </c>
      <c r="I320" t="str">
        <f>IF(ISNA(_xlfn.XLOOKUP(B320, policy_details!$A$2:$A$2829, policy_details!$A$2:$A$2829)), "Invalid", "Ok")</f>
        <v>Ok</v>
      </c>
    </row>
    <row r="321" spans="1:9" x14ac:dyDescent="0.3">
      <c r="A321" s="1" t="s">
        <v>6783</v>
      </c>
      <c r="B321" s="1" t="s">
        <v>5595</v>
      </c>
      <c r="C321" s="41">
        <v>44489</v>
      </c>
      <c r="D321" s="1">
        <v>87420.31</v>
      </c>
      <c r="E321" s="1" t="s">
        <v>6460</v>
      </c>
      <c r="F321" s="1" t="s">
        <v>6466</v>
      </c>
      <c r="G321" s="1" t="s">
        <v>17</v>
      </c>
      <c r="H321" s="1">
        <v>1</v>
      </c>
      <c r="I321" t="str">
        <f>IF(ISNA(_xlfn.XLOOKUP(B321, policy_details!$A$2:$A$2829, policy_details!$A$2:$A$2829)), "Invalid", "Ok")</f>
        <v>Ok</v>
      </c>
    </row>
    <row r="322" spans="1:9" x14ac:dyDescent="0.3">
      <c r="A322" s="1" t="s">
        <v>6784</v>
      </c>
      <c r="B322" s="1" t="s">
        <v>5845</v>
      </c>
      <c r="C322" s="41">
        <v>45554</v>
      </c>
      <c r="D322" s="1">
        <v>704253.43999999994</v>
      </c>
      <c r="E322" s="1" t="s">
        <v>6457</v>
      </c>
      <c r="F322" s="1" t="s">
        <v>6458</v>
      </c>
      <c r="G322" s="1" t="s">
        <v>17</v>
      </c>
      <c r="H322" s="1">
        <v>9</v>
      </c>
      <c r="I322" t="str">
        <f>IF(ISNA(_xlfn.XLOOKUP(B322, policy_details!$A$2:$A$2829, policy_details!$A$2:$A$2829)), "Invalid", "Ok")</f>
        <v>Ok</v>
      </c>
    </row>
    <row r="323" spans="1:9" x14ac:dyDescent="0.3">
      <c r="A323" s="1" t="s">
        <v>6785</v>
      </c>
      <c r="B323" s="1" t="s">
        <v>4077</v>
      </c>
      <c r="C323" s="41">
        <v>46073</v>
      </c>
      <c r="D323" s="1">
        <v>129934.29</v>
      </c>
      <c r="E323" s="1" t="s">
        <v>6457</v>
      </c>
      <c r="F323" s="1" t="s">
        <v>6461</v>
      </c>
      <c r="G323" s="1" t="s">
        <v>17</v>
      </c>
      <c r="H323" s="1">
        <v>34</v>
      </c>
      <c r="I323" t="str">
        <f>IF(ISNA(_xlfn.XLOOKUP(B323, policy_details!$A$2:$A$2829, policy_details!$A$2:$A$2829)), "Invalid", "Ok")</f>
        <v>Ok</v>
      </c>
    </row>
    <row r="324" spans="1:9" x14ac:dyDescent="0.3">
      <c r="A324" s="1" t="s">
        <v>6786</v>
      </c>
      <c r="B324" s="1" t="s">
        <v>6181</v>
      </c>
      <c r="C324" s="41">
        <v>46127</v>
      </c>
      <c r="D324" s="1">
        <v>163058.95000000001</v>
      </c>
      <c r="E324" s="1" t="s">
        <v>6460</v>
      </c>
      <c r="F324" s="1" t="s">
        <v>6466</v>
      </c>
      <c r="G324" s="1" t="s">
        <v>17</v>
      </c>
      <c r="H324" s="1">
        <v>42</v>
      </c>
      <c r="I324" t="str">
        <f>IF(ISNA(_xlfn.XLOOKUP(B324, policy_details!$A$2:$A$2829, policy_details!$A$2:$A$2829)), "Invalid", "Ok")</f>
        <v>Ok</v>
      </c>
    </row>
    <row r="325" spans="1:9" x14ac:dyDescent="0.3">
      <c r="A325" s="1" t="s">
        <v>6787</v>
      </c>
      <c r="B325" s="1" t="s">
        <v>3615</v>
      </c>
      <c r="C325" s="41">
        <v>46099</v>
      </c>
      <c r="D325" s="1">
        <v>140168.98000000001</v>
      </c>
      <c r="E325" s="1" t="s">
        <v>6464</v>
      </c>
      <c r="F325" s="1" t="s">
        <v>6470</v>
      </c>
      <c r="G325" s="1" t="s">
        <v>17</v>
      </c>
      <c r="H325" s="1">
        <v>6</v>
      </c>
      <c r="I325" t="str">
        <f>IF(ISNA(_xlfn.XLOOKUP(B325, policy_details!$A$2:$A$2829, policy_details!$A$2:$A$2829)), "Invalid", "Ok")</f>
        <v>Ok</v>
      </c>
    </row>
    <row r="326" spans="1:9" x14ac:dyDescent="0.3">
      <c r="A326" s="1" t="s">
        <v>6788</v>
      </c>
      <c r="B326" s="1" t="s">
        <v>4342</v>
      </c>
      <c r="C326" s="41">
        <v>45922</v>
      </c>
      <c r="D326" s="1">
        <v>292522.32</v>
      </c>
      <c r="E326" s="1" t="s">
        <v>6457</v>
      </c>
      <c r="F326" s="1" t="s">
        <v>6470</v>
      </c>
      <c r="G326" s="1" t="s">
        <v>17</v>
      </c>
      <c r="H326" s="1">
        <v>32</v>
      </c>
      <c r="I326" t="str">
        <f>IF(ISNA(_xlfn.XLOOKUP(B326, policy_details!$A$2:$A$2829, policy_details!$A$2:$A$2829)), "Invalid", "Ok")</f>
        <v>Ok</v>
      </c>
    </row>
    <row r="327" spans="1:9" x14ac:dyDescent="0.3">
      <c r="A327" s="1" t="s">
        <v>6789</v>
      </c>
      <c r="B327" s="1" t="s">
        <v>5922</v>
      </c>
      <c r="C327" s="41">
        <v>45521</v>
      </c>
      <c r="D327" s="1">
        <v>741509.58</v>
      </c>
      <c r="E327" s="1" t="s">
        <v>6460</v>
      </c>
      <c r="F327" s="1" t="s">
        <v>6481</v>
      </c>
      <c r="G327" s="1" t="s">
        <v>17</v>
      </c>
      <c r="H327" s="1">
        <v>5</v>
      </c>
      <c r="I327" t="str">
        <f>IF(ISNA(_xlfn.XLOOKUP(B327, policy_details!$A$2:$A$2829, policy_details!$A$2:$A$2829)), "Invalid", "Ok")</f>
        <v>Ok</v>
      </c>
    </row>
    <row r="328" spans="1:9" x14ac:dyDescent="0.3">
      <c r="A328" s="1" t="s">
        <v>6790</v>
      </c>
      <c r="B328" s="1" t="s">
        <v>4088</v>
      </c>
      <c r="C328" s="41">
        <v>45825</v>
      </c>
      <c r="D328" s="1">
        <v>260676.75</v>
      </c>
      <c r="E328" s="1" t="s">
        <v>6460</v>
      </c>
      <c r="F328" s="1" t="s">
        <v>6466</v>
      </c>
      <c r="G328" s="1" t="s">
        <v>17</v>
      </c>
      <c r="H328" s="1">
        <v>35</v>
      </c>
      <c r="I328" t="str">
        <f>IF(ISNA(_xlfn.XLOOKUP(B328, policy_details!$A$2:$A$2829, policy_details!$A$2:$A$2829)), "Invalid", "Ok")</f>
        <v>Ok</v>
      </c>
    </row>
    <row r="329" spans="1:9" x14ac:dyDescent="0.3">
      <c r="A329" s="1" t="s">
        <v>6791</v>
      </c>
      <c r="B329" s="1" t="s">
        <v>4203</v>
      </c>
      <c r="C329" s="41">
        <v>45064</v>
      </c>
      <c r="D329" s="1">
        <v>97574.24</v>
      </c>
      <c r="E329" s="1" t="s">
        <v>6457</v>
      </c>
      <c r="F329" s="1" t="s">
        <v>6461</v>
      </c>
      <c r="G329" s="1" t="s">
        <v>17</v>
      </c>
      <c r="H329" s="1">
        <v>40</v>
      </c>
      <c r="I329" t="str">
        <f>IF(ISNA(_xlfn.XLOOKUP(B329, policy_details!$A$2:$A$2829, policy_details!$A$2:$A$2829)), "Invalid", "Ok")</f>
        <v>Ok</v>
      </c>
    </row>
    <row r="330" spans="1:9" x14ac:dyDescent="0.3">
      <c r="A330" s="1" t="s">
        <v>6792</v>
      </c>
      <c r="B330" s="1" t="s">
        <v>6380</v>
      </c>
      <c r="C330" s="41">
        <v>45957</v>
      </c>
      <c r="D330" s="1">
        <v>258139.37</v>
      </c>
      <c r="E330" s="1" t="s">
        <v>6460</v>
      </c>
      <c r="F330" s="1" t="s">
        <v>6481</v>
      </c>
      <c r="G330" s="1" t="s">
        <v>17</v>
      </c>
      <c r="H330" s="1">
        <v>21</v>
      </c>
      <c r="I330" t="str">
        <f>IF(ISNA(_xlfn.XLOOKUP(B330, policy_details!$A$2:$A$2829, policy_details!$A$2:$A$2829)), "Invalid", "Ok")</f>
        <v>Ok</v>
      </c>
    </row>
    <row r="331" spans="1:9" x14ac:dyDescent="0.3">
      <c r="A331" s="1" t="s">
        <v>6793</v>
      </c>
      <c r="B331" s="1" t="s">
        <v>6202</v>
      </c>
      <c r="C331" s="41">
        <v>45235</v>
      </c>
      <c r="D331" s="1">
        <v>125650.06</v>
      </c>
      <c r="E331" s="1" t="s">
        <v>6460</v>
      </c>
      <c r="F331" s="1" t="s">
        <v>6461</v>
      </c>
      <c r="G331" s="1" t="s">
        <v>17</v>
      </c>
      <c r="H331" s="1">
        <v>5</v>
      </c>
      <c r="I331" t="str">
        <f>IF(ISNA(_xlfn.XLOOKUP(B331, policy_details!$A$2:$A$2829, policy_details!$A$2:$A$2829)), "Invalid", "Ok")</f>
        <v>Ok</v>
      </c>
    </row>
    <row r="332" spans="1:9" x14ac:dyDescent="0.3">
      <c r="A332" s="1" t="s">
        <v>6794</v>
      </c>
      <c r="B332" s="1" t="s">
        <v>5917</v>
      </c>
      <c r="C332" s="41">
        <v>45223</v>
      </c>
      <c r="D332" s="1">
        <v>1404014.9</v>
      </c>
      <c r="E332" s="1" t="s">
        <v>6464</v>
      </c>
      <c r="F332" s="1" t="s">
        <v>6458</v>
      </c>
      <c r="G332" s="1" t="s">
        <v>17</v>
      </c>
      <c r="H332" s="1">
        <v>9</v>
      </c>
      <c r="I332" t="str">
        <f>IF(ISNA(_xlfn.XLOOKUP(B332, policy_details!$A$2:$A$2829, policy_details!$A$2:$A$2829)), "Invalid", "Ok")</f>
        <v>Ok</v>
      </c>
    </row>
    <row r="333" spans="1:9" x14ac:dyDescent="0.3">
      <c r="A333" s="1" t="s">
        <v>6795</v>
      </c>
      <c r="B333" s="1" t="s">
        <v>4053</v>
      </c>
      <c r="C333" s="41">
        <v>45774</v>
      </c>
      <c r="D333" s="1">
        <v>1039323.58</v>
      </c>
      <c r="E333" s="1" t="s">
        <v>6460</v>
      </c>
      <c r="F333" s="1" t="s">
        <v>6458</v>
      </c>
      <c r="G333" s="1" t="s">
        <v>17</v>
      </c>
      <c r="H333" s="1">
        <v>23</v>
      </c>
      <c r="I333" t="str">
        <f>IF(ISNA(_xlfn.XLOOKUP(B333, policy_details!$A$2:$A$2829, policy_details!$A$2:$A$2829)), "Invalid", "Ok")</f>
        <v>Ok</v>
      </c>
    </row>
    <row r="334" spans="1:9" x14ac:dyDescent="0.3">
      <c r="A334" s="1" t="s">
        <v>6796</v>
      </c>
      <c r="B334" s="1" t="s">
        <v>4312</v>
      </c>
      <c r="C334" s="41">
        <v>45785</v>
      </c>
      <c r="D334" s="1">
        <v>113586.36</v>
      </c>
      <c r="E334" s="1" t="s">
        <v>6460</v>
      </c>
      <c r="F334" s="1" t="s">
        <v>6481</v>
      </c>
      <c r="G334" s="1" t="s">
        <v>17</v>
      </c>
      <c r="H334" s="1">
        <v>36</v>
      </c>
      <c r="I334" t="str">
        <f>IF(ISNA(_xlfn.XLOOKUP(B334, policy_details!$A$2:$A$2829, policy_details!$A$2:$A$2829)), "Invalid", "Ok")</f>
        <v>Ok</v>
      </c>
    </row>
    <row r="335" spans="1:9" x14ac:dyDescent="0.3">
      <c r="A335" s="1" t="s">
        <v>6797</v>
      </c>
      <c r="B335" s="1" t="s">
        <v>4249</v>
      </c>
      <c r="C335" s="41">
        <v>44546</v>
      </c>
      <c r="D335" s="1">
        <v>432866.19</v>
      </c>
      <c r="E335" s="1" t="s">
        <v>6460</v>
      </c>
      <c r="F335" s="1" t="s">
        <v>6481</v>
      </c>
      <c r="G335" s="1" t="s">
        <v>17</v>
      </c>
      <c r="H335" s="1">
        <v>23</v>
      </c>
      <c r="I335" t="str">
        <f>IF(ISNA(_xlfn.XLOOKUP(B335, policy_details!$A$2:$A$2829, policy_details!$A$2:$A$2829)), "Invalid", "Ok")</f>
        <v>Ok</v>
      </c>
    </row>
    <row r="336" spans="1:9" x14ac:dyDescent="0.3">
      <c r="A336" s="1" t="s">
        <v>6798</v>
      </c>
      <c r="B336" s="1" t="s">
        <v>4105</v>
      </c>
      <c r="C336" s="41">
        <v>44641</v>
      </c>
      <c r="D336" s="1">
        <v>1459450.15</v>
      </c>
      <c r="E336" s="1" t="s">
        <v>6460</v>
      </c>
      <c r="F336" s="1" t="s">
        <v>6458</v>
      </c>
      <c r="G336" s="1" t="s">
        <v>17</v>
      </c>
      <c r="H336" s="1">
        <v>22</v>
      </c>
      <c r="I336" t="str">
        <f>IF(ISNA(_xlfn.XLOOKUP(B336, policy_details!$A$2:$A$2829, policy_details!$A$2:$A$2829)), "Invalid", "Ok")</f>
        <v>Ok</v>
      </c>
    </row>
    <row r="337" spans="1:9" x14ac:dyDescent="0.3">
      <c r="A337" s="1" t="s">
        <v>6799</v>
      </c>
      <c r="B337" s="1" t="s">
        <v>6365</v>
      </c>
      <c r="C337" s="41">
        <v>45151</v>
      </c>
      <c r="D337" s="1">
        <v>1900569.99</v>
      </c>
      <c r="E337" s="1" t="s">
        <v>6464</v>
      </c>
      <c r="F337" s="1" t="s">
        <v>6458</v>
      </c>
      <c r="G337" s="1" t="s">
        <v>17</v>
      </c>
      <c r="H337" s="1">
        <v>27</v>
      </c>
      <c r="I337" t="str">
        <f>IF(ISNA(_xlfn.XLOOKUP(B337, policy_details!$A$2:$A$2829, policy_details!$A$2:$A$2829)), "Invalid", "Ok")</f>
        <v>Ok</v>
      </c>
    </row>
    <row r="338" spans="1:9" x14ac:dyDescent="0.3">
      <c r="A338" s="1" t="s">
        <v>6800</v>
      </c>
      <c r="B338" s="1" t="s">
        <v>4023</v>
      </c>
      <c r="C338" s="41">
        <v>45759</v>
      </c>
      <c r="D338" s="1">
        <v>115863.74</v>
      </c>
      <c r="E338" s="1" t="s">
        <v>6460</v>
      </c>
      <c r="F338" s="1" t="s">
        <v>6461</v>
      </c>
      <c r="G338" s="1" t="s">
        <v>17</v>
      </c>
      <c r="H338" s="1">
        <v>43</v>
      </c>
      <c r="I338" t="str">
        <f>IF(ISNA(_xlfn.XLOOKUP(B338, policy_details!$A$2:$A$2829, policy_details!$A$2:$A$2829)), "Invalid", "Ok")</f>
        <v>Ok</v>
      </c>
    </row>
    <row r="339" spans="1:9" x14ac:dyDescent="0.3">
      <c r="A339" s="1" t="s">
        <v>6801</v>
      </c>
      <c r="B339" s="1" t="s">
        <v>5728</v>
      </c>
      <c r="C339" s="41">
        <v>45680</v>
      </c>
      <c r="D339" s="1">
        <v>1046160.06</v>
      </c>
      <c r="E339" s="1" t="s">
        <v>6457</v>
      </c>
      <c r="F339" s="1" t="s">
        <v>6458</v>
      </c>
      <c r="G339" s="1" t="s">
        <v>17</v>
      </c>
      <c r="H339" s="1">
        <v>35</v>
      </c>
      <c r="I339" t="str">
        <f>IF(ISNA(_xlfn.XLOOKUP(B339, policy_details!$A$2:$A$2829, policy_details!$A$2:$A$2829)), "Invalid", "Ok")</f>
        <v>Ok</v>
      </c>
    </row>
    <row r="340" spans="1:9" x14ac:dyDescent="0.3">
      <c r="A340" s="1" t="s">
        <v>6802</v>
      </c>
      <c r="B340" s="1" t="s">
        <v>3572</v>
      </c>
      <c r="C340" s="41">
        <v>46010</v>
      </c>
      <c r="D340" s="1">
        <v>121661.09</v>
      </c>
      <c r="E340" s="1" t="s">
        <v>6464</v>
      </c>
      <c r="F340" s="1" t="s">
        <v>6466</v>
      </c>
      <c r="G340" s="1" t="s">
        <v>17</v>
      </c>
      <c r="H340" s="1">
        <v>7</v>
      </c>
      <c r="I340" t="str">
        <f>IF(ISNA(_xlfn.XLOOKUP(B340, policy_details!$A$2:$A$2829, policy_details!$A$2:$A$2829)), "Invalid", "Ok")</f>
        <v>Ok</v>
      </c>
    </row>
    <row r="341" spans="1:9" x14ac:dyDescent="0.3">
      <c r="A341" s="1" t="s">
        <v>6803</v>
      </c>
      <c r="B341" s="1" t="s">
        <v>5153</v>
      </c>
      <c r="C341" s="41">
        <v>46155</v>
      </c>
      <c r="D341" s="1">
        <v>877232.76</v>
      </c>
      <c r="E341" s="1" t="s">
        <v>6460</v>
      </c>
      <c r="F341" s="1" t="s">
        <v>6458</v>
      </c>
      <c r="G341" s="1" t="s">
        <v>17</v>
      </c>
      <c r="H341" s="1">
        <v>9</v>
      </c>
      <c r="I341" t="str">
        <f>IF(ISNA(_xlfn.XLOOKUP(B341, policy_details!$A$2:$A$2829, policy_details!$A$2:$A$2829)), "Invalid", "Ok")</f>
        <v>Ok</v>
      </c>
    </row>
    <row r="342" spans="1:9" x14ac:dyDescent="0.3">
      <c r="A342" s="1" t="s">
        <v>6804</v>
      </c>
      <c r="B342" s="1" t="s">
        <v>3661</v>
      </c>
      <c r="C342" s="41">
        <v>45288</v>
      </c>
      <c r="D342" s="1">
        <v>268303.88</v>
      </c>
      <c r="E342" s="1" t="s">
        <v>6460</v>
      </c>
      <c r="F342" s="1" t="s">
        <v>6466</v>
      </c>
      <c r="G342" s="1" t="s">
        <v>17</v>
      </c>
      <c r="H342" s="1">
        <v>16</v>
      </c>
      <c r="I342" t="str">
        <f>IF(ISNA(_xlfn.XLOOKUP(B342, policy_details!$A$2:$A$2829, policy_details!$A$2:$A$2829)), "Invalid", "Ok")</f>
        <v>Ok</v>
      </c>
    </row>
    <row r="343" spans="1:9" x14ac:dyDescent="0.3">
      <c r="A343" s="1" t="s">
        <v>6805</v>
      </c>
      <c r="B343" s="1" t="s">
        <v>3619</v>
      </c>
      <c r="C343" s="41">
        <v>45488</v>
      </c>
      <c r="D343" s="1">
        <v>654824.25</v>
      </c>
      <c r="E343" s="1" t="s">
        <v>6460</v>
      </c>
      <c r="F343" s="1" t="s">
        <v>6458</v>
      </c>
      <c r="G343" s="1" t="s">
        <v>17</v>
      </c>
      <c r="H343" s="1">
        <v>12</v>
      </c>
      <c r="I343" t="str">
        <f>IF(ISNA(_xlfn.XLOOKUP(B343, policy_details!$A$2:$A$2829, policy_details!$A$2:$A$2829)), "Invalid", "Ok")</f>
        <v>Ok</v>
      </c>
    </row>
    <row r="344" spans="1:9" x14ac:dyDescent="0.3">
      <c r="A344" s="1" t="s">
        <v>6806</v>
      </c>
      <c r="B344" s="1" t="s">
        <v>4234</v>
      </c>
      <c r="C344" s="41">
        <v>45480</v>
      </c>
      <c r="D344" s="1">
        <v>261072.34</v>
      </c>
      <c r="E344" s="1" t="s">
        <v>6457</v>
      </c>
      <c r="F344" s="1" t="s">
        <v>6466</v>
      </c>
      <c r="G344" s="1" t="s">
        <v>17</v>
      </c>
      <c r="H344" s="1">
        <v>33</v>
      </c>
      <c r="I344" t="str">
        <f>IF(ISNA(_xlfn.XLOOKUP(B344, policy_details!$A$2:$A$2829, policy_details!$A$2:$A$2829)), "Invalid", "Ok")</f>
        <v>Ok</v>
      </c>
    </row>
    <row r="345" spans="1:9" x14ac:dyDescent="0.3">
      <c r="A345" s="1" t="s">
        <v>6807</v>
      </c>
      <c r="B345" s="1" t="s">
        <v>6238</v>
      </c>
      <c r="C345" s="41">
        <v>45390</v>
      </c>
      <c r="D345" s="1">
        <v>978866.05</v>
      </c>
      <c r="E345" s="1" t="s">
        <v>6460</v>
      </c>
      <c r="F345" s="1" t="s">
        <v>6458</v>
      </c>
      <c r="G345" s="1" t="s">
        <v>17</v>
      </c>
      <c r="H345" s="1">
        <v>44</v>
      </c>
      <c r="I345" t="str">
        <f>IF(ISNA(_xlfn.XLOOKUP(B345, policy_details!$A$2:$A$2829, policy_details!$A$2:$A$2829)), "Invalid", "Ok")</f>
        <v>Ok</v>
      </c>
    </row>
    <row r="346" spans="1:9" x14ac:dyDescent="0.3">
      <c r="A346" s="1" t="s">
        <v>6808</v>
      </c>
      <c r="B346" s="1" t="s">
        <v>5424</v>
      </c>
      <c r="C346" s="41">
        <v>44738</v>
      </c>
      <c r="D346" s="1">
        <v>119787.23</v>
      </c>
      <c r="E346" s="1" t="s">
        <v>6460</v>
      </c>
      <c r="F346" s="1" t="s">
        <v>6461</v>
      </c>
      <c r="G346" s="1" t="s">
        <v>17</v>
      </c>
      <c r="H346" s="1">
        <v>26</v>
      </c>
      <c r="I346" t="str">
        <f>IF(ISNA(_xlfn.XLOOKUP(B346, policy_details!$A$2:$A$2829, policy_details!$A$2:$A$2829)), "Invalid", "Ok")</f>
        <v>Ok</v>
      </c>
    </row>
    <row r="347" spans="1:9" x14ac:dyDescent="0.3">
      <c r="A347" s="1" t="s">
        <v>6809</v>
      </c>
      <c r="B347" s="1" t="s">
        <v>5460</v>
      </c>
      <c r="C347" s="41">
        <v>45138</v>
      </c>
      <c r="D347" s="1">
        <v>442465.83</v>
      </c>
      <c r="E347" s="1" t="s">
        <v>6460</v>
      </c>
      <c r="F347" s="1" t="s">
        <v>6466</v>
      </c>
      <c r="G347" s="1" t="s">
        <v>17</v>
      </c>
      <c r="H347" s="1">
        <v>40</v>
      </c>
      <c r="I347" t="str">
        <f>IF(ISNA(_xlfn.XLOOKUP(B347, policy_details!$A$2:$A$2829, policy_details!$A$2:$A$2829)), "Invalid", "Ok")</f>
        <v>Ok</v>
      </c>
    </row>
    <row r="348" spans="1:9" x14ac:dyDescent="0.3">
      <c r="A348" s="1" t="s">
        <v>6810</v>
      </c>
      <c r="B348" s="1" t="s">
        <v>4441</v>
      </c>
      <c r="C348" s="41">
        <v>45804</v>
      </c>
      <c r="D348" s="1">
        <v>800449.45</v>
      </c>
      <c r="E348" s="1" t="s">
        <v>6457</v>
      </c>
      <c r="F348" s="1" t="s">
        <v>6458</v>
      </c>
      <c r="G348" s="1" t="s">
        <v>17</v>
      </c>
      <c r="H348" s="1">
        <v>20</v>
      </c>
      <c r="I348" t="str">
        <f>IF(ISNA(_xlfn.XLOOKUP(B348, policy_details!$A$2:$A$2829, policy_details!$A$2:$A$2829)), "Invalid", "Ok")</f>
        <v>Ok</v>
      </c>
    </row>
    <row r="349" spans="1:9" x14ac:dyDescent="0.3">
      <c r="A349" s="1" t="s">
        <v>6811</v>
      </c>
      <c r="B349" s="1" t="s">
        <v>5663</v>
      </c>
      <c r="C349" s="41">
        <v>46131</v>
      </c>
      <c r="D349" s="1">
        <v>961812.12</v>
      </c>
      <c r="E349" s="1" t="s">
        <v>6464</v>
      </c>
      <c r="F349" s="1" t="s">
        <v>6458</v>
      </c>
      <c r="G349" s="1" t="s">
        <v>30</v>
      </c>
      <c r="H349" s="1">
        <v>31</v>
      </c>
      <c r="I349" t="str">
        <f>IF(ISNA(_xlfn.XLOOKUP(B349, policy_details!$A$2:$A$2829, policy_details!$A$2:$A$2829)), "Invalid", "Ok")</f>
        <v>Ok</v>
      </c>
    </row>
    <row r="350" spans="1:9" x14ac:dyDescent="0.3">
      <c r="A350" s="1" t="s">
        <v>6812</v>
      </c>
      <c r="B350" s="1" t="s">
        <v>5544</v>
      </c>
      <c r="C350" s="41">
        <v>44682</v>
      </c>
      <c r="D350" s="1">
        <v>105654.67</v>
      </c>
      <c r="E350" s="1" t="s">
        <v>6460</v>
      </c>
      <c r="F350" s="1" t="s">
        <v>6466</v>
      </c>
      <c r="G350" s="1" t="s">
        <v>17</v>
      </c>
      <c r="H350" s="1">
        <v>31</v>
      </c>
      <c r="I350" t="str">
        <f>IF(ISNA(_xlfn.XLOOKUP(B350, policy_details!$A$2:$A$2829, policy_details!$A$2:$A$2829)), "Invalid", "Ok")</f>
        <v>Ok</v>
      </c>
    </row>
    <row r="351" spans="1:9" x14ac:dyDescent="0.3">
      <c r="A351" s="1" t="s">
        <v>6813</v>
      </c>
      <c r="B351" s="1" t="s">
        <v>4918</v>
      </c>
      <c r="C351" s="41">
        <v>44469</v>
      </c>
      <c r="D351" s="1">
        <v>285209.24</v>
      </c>
      <c r="E351" s="1" t="s">
        <v>6460</v>
      </c>
      <c r="F351" s="1" t="s">
        <v>6466</v>
      </c>
      <c r="G351" s="1" t="s">
        <v>17</v>
      </c>
      <c r="H351" s="1">
        <v>13</v>
      </c>
      <c r="I351" t="str">
        <f>IF(ISNA(_xlfn.XLOOKUP(B351, policy_details!$A$2:$A$2829, policy_details!$A$2:$A$2829)), "Invalid", "Ok")</f>
        <v>Ok</v>
      </c>
    </row>
    <row r="352" spans="1:9" x14ac:dyDescent="0.3">
      <c r="A352" s="1" t="s">
        <v>6814</v>
      </c>
      <c r="B352" s="1" t="s">
        <v>5547</v>
      </c>
      <c r="C352" s="41">
        <v>45902</v>
      </c>
      <c r="D352" s="1">
        <v>118177.58</v>
      </c>
      <c r="E352" s="1" t="s">
        <v>6457</v>
      </c>
      <c r="F352" s="1" t="s">
        <v>6461</v>
      </c>
      <c r="G352" s="1" t="s">
        <v>17</v>
      </c>
      <c r="H352" s="1">
        <v>33</v>
      </c>
      <c r="I352" t="str">
        <f>IF(ISNA(_xlfn.XLOOKUP(B352, policy_details!$A$2:$A$2829, policy_details!$A$2:$A$2829)), "Invalid", "Ok")</f>
        <v>Ok</v>
      </c>
    </row>
    <row r="353" spans="1:9" x14ac:dyDescent="0.3">
      <c r="A353" s="1" t="s">
        <v>6815</v>
      </c>
      <c r="B353" s="1" t="s">
        <v>6073</v>
      </c>
      <c r="C353" s="41">
        <v>46179</v>
      </c>
      <c r="D353" s="1">
        <v>1452440.1</v>
      </c>
      <c r="E353" s="1" t="s">
        <v>6460</v>
      </c>
      <c r="F353" s="1" t="s">
        <v>6458</v>
      </c>
      <c r="G353" s="1" t="s">
        <v>17</v>
      </c>
      <c r="H353" s="1">
        <v>24</v>
      </c>
      <c r="I353" t="str">
        <f>IF(ISNA(_xlfn.XLOOKUP(B353, policy_details!$A$2:$A$2829, policy_details!$A$2:$A$2829)), "Invalid", "Ok")</f>
        <v>Ok</v>
      </c>
    </row>
    <row r="354" spans="1:9" x14ac:dyDescent="0.3">
      <c r="A354" s="1" t="s">
        <v>6816</v>
      </c>
      <c r="B354" s="1" t="s">
        <v>6337</v>
      </c>
      <c r="C354" s="41">
        <v>44598</v>
      </c>
      <c r="D354" s="1">
        <v>129786.11</v>
      </c>
      <c r="E354" s="1" t="s">
        <v>6457</v>
      </c>
      <c r="F354" s="1" t="s">
        <v>6481</v>
      </c>
      <c r="G354" s="1" t="s">
        <v>17</v>
      </c>
      <c r="H354" s="1">
        <v>26</v>
      </c>
      <c r="I354" t="str">
        <f>IF(ISNA(_xlfn.XLOOKUP(B354, policy_details!$A$2:$A$2829, policy_details!$A$2:$A$2829)), "Invalid", "Ok")</f>
        <v>Ok</v>
      </c>
    </row>
    <row r="355" spans="1:9" x14ac:dyDescent="0.3">
      <c r="A355" s="1" t="s">
        <v>6817</v>
      </c>
      <c r="B355" s="1" t="s">
        <v>6439</v>
      </c>
      <c r="C355" s="41">
        <v>44898</v>
      </c>
      <c r="D355" s="1">
        <v>310073.51</v>
      </c>
      <c r="E355" s="1" t="s">
        <v>6464</v>
      </c>
      <c r="F355" s="1" t="s">
        <v>6481</v>
      </c>
      <c r="G355" s="1" t="s">
        <v>17</v>
      </c>
      <c r="H355" s="1">
        <v>12</v>
      </c>
      <c r="I355" t="str">
        <f>IF(ISNA(_xlfn.XLOOKUP(B355, policy_details!$A$2:$A$2829, policy_details!$A$2:$A$2829)), "Invalid", "Ok")</f>
        <v>Ok</v>
      </c>
    </row>
    <row r="356" spans="1:9" x14ac:dyDescent="0.3">
      <c r="A356" s="1" t="s">
        <v>6818</v>
      </c>
      <c r="B356" s="1" t="s">
        <v>4992</v>
      </c>
      <c r="C356" s="41">
        <v>45433</v>
      </c>
      <c r="D356" s="1">
        <v>73891.62</v>
      </c>
      <c r="E356" s="1" t="s">
        <v>6460</v>
      </c>
      <c r="F356" s="1" t="s">
        <v>6466</v>
      </c>
      <c r="G356" s="1" t="s">
        <v>30</v>
      </c>
      <c r="H356" s="1">
        <v>15</v>
      </c>
      <c r="I356" t="str">
        <f>IF(ISNA(_xlfn.XLOOKUP(B356, policy_details!$A$2:$A$2829, policy_details!$A$2:$A$2829)), "Invalid", "Ok")</f>
        <v>Ok</v>
      </c>
    </row>
    <row r="357" spans="1:9" x14ac:dyDescent="0.3">
      <c r="A357" s="1" t="s">
        <v>6819</v>
      </c>
      <c r="B357" s="1" t="s">
        <v>3486</v>
      </c>
      <c r="C357" s="41">
        <v>45058</v>
      </c>
      <c r="D357" s="1">
        <v>340152.81</v>
      </c>
      <c r="E357" s="1" t="s">
        <v>6460</v>
      </c>
      <c r="F357" s="1" t="s">
        <v>6481</v>
      </c>
      <c r="G357" s="1" t="s">
        <v>17</v>
      </c>
      <c r="H357" s="1">
        <v>38</v>
      </c>
      <c r="I357" t="str">
        <f>IF(ISNA(_xlfn.XLOOKUP(B357, policy_details!$A$2:$A$2829, policy_details!$A$2:$A$2829)), "Invalid", "Ok")</f>
        <v>Ok</v>
      </c>
    </row>
    <row r="358" spans="1:9" x14ac:dyDescent="0.3">
      <c r="A358" s="1" t="s">
        <v>6820</v>
      </c>
      <c r="B358" s="1" t="s">
        <v>4231</v>
      </c>
      <c r="C358" s="41">
        <v>45162</v>
      </c>
      <c r="D358" s="1">
        <v>229077.32</v>
      </c>
      <c r="E358" s="1" t="s">
        <v>6464</v>
      </c>
      <c r="F358" s="1" t="s">
        <v>6481</v>
      </c>
      <c r="G358" s="1" t="s">
        <v>17</v>
      </c>
      <c r="H358" s="1">
        <v>28</v>
      </c>
      <c r="I358" t="str">
        <f>IF(ISNA(_xlfn.XLOOKUP(B358, policy_details!$A$2:$A$2829, policy_details!$A$2:$A$2829)), "Invalid", "Ok")</f>
        <v>Ok</v>
      </c>
    </row>
    <row r="359" spans="1:9" x14ac:dyDescent="0.3">
      <c r="A359" s="1" t="s">
        <v>6821</v>
      </c>
      <c r="B359" s="1" t="s">
        <v>4129</v>
      </c>
      <c r="C359" s="41">
        <v>45566</v>
      </c>
      <c r="D359" s="1">
        <v>305252</v>
      </c>
      <c r="E359" s="1" t="s">
        <v>6460</v>
      </c>
      <c r="F359" s="1" t="s">
        <v>6481</v>
      </c>
      <c r="G359" s="1" t="s">
        <v>17</v>
      </c>
      <c r="H359" s="1">
        <v>6</v>
      </c>
      <c r="I359" t="str">
        <f>IF(ISNA(_xlfn.XLOOKUP(B359, policy_details!$A$2:$A$2829, policy_details!$A$2:$A$2829)), "Invalid", "Ok")</f>
        <v>Ok</v>
      </c>
    </row>
    <row r="360" spans="1:9" x14ac:dyDescent="0.3">
      <c r="A360" s="1" t="s">
        <v>6822</v>
      </c>
      <c r="B360" s="1" t="s">
        <v>4449</v>
      </c>
      <c r="C360" s="41">
        <v>45102</v>
      </c>
      <c r="D360" s="1">
        <v>666682.22</v>
      </c>
      <c r="E360" s="1" t="s">
        <v>6460</v>
      </c>
      <c r="F360" s="1" t="s">
        <v>6458</v>
      </c>
      <c r="G360" s="1" t="s">
        <v>17</v>
      </c>
      <c r="H360" s="1">
        <v>24</v>
      </c>
      <c r="I360" t="str">
        <f>IF(ISNA(_xlfn.XLOOKUP(B360, policy_details!$A$2:$A$2829, policy_details!$A$2:$A$2829)), "Invalid", "Ok")</f>
        <v>Ok</v>
      </c>
    </row>
    <row r="361" spans="1:9" x14ac:dyDescent="0.3">
      <c r="A361" s="1" t="s">
        <v>6823</v>
      </c>
      <c r="B361" s="1" t="s">
        <v>4628</v>
      </c>
      <c r="C361" s="41">
        <v>45646</v>
      </c>
      <c r="D361" s="1">
        <v>111978.55</v>
      </c>
      <c r="E361" s="1" t="s">
        <v>6464</v>
      </c>
      <c r="F361" s="1" t="s">
        <v>6470</v>
      </c>
      <c r="G361" s="1" t="s">
        <v>17</v>
      </c>
      <c r="H361" s="1">
        <v>28</v>
      </c>
      <c r="I361" t="str">
        <f>IF(ISNA(_xlfn.XLOOKUP(B361, policy_details!$A$2:$A$2829, policy_details!$A$2:$A$2829)), "Invalid", "Ok")</f>
        <v>Ok</v>
      </c>
    </row>
    <row r="362" spans="1:9" x14ac:dyDescent="0.3">
      <c r="A362" s="1" t="s">
        <v>6824</v>
      </c>
      <c r="B362" s="1" t="s">
        <v>5508</v>
      </c>
      <c r="C362" s="41">
        <v>45871</v>
      </c>
      <c r="D362" s="1">
        <v>120709.13</v>
      </c>
      <c r="E362" s="1" t="s">
        <v>6460</v>
      </c>
      <c r="F362" s="1" t="s">
        <v>6461</v>
      </c>
      <c r="G362" s="1" t="s">
        <v>17</v>
      </c>
      <c r="H362" s="1">
        <v>36</v>
      </c>
      <c r="I362" t="str">
        <f>IF(ISNA(_xlfn.XLOOKUP(B362, policy_details!$A$2:$A$2829, policy_details!$A$2:$A$2829)), "Invalid", "Ok")</f>
        <v>Ok</v>
      </c>
    </row>
    <row r="363" spans="1:9" x14ac:dyDescent="0.3">
      <c r="A363" s="1" t="s">
        <v>6825</v>
      </c>
      <c r="B363" s="1" t="s">
        <v>5102</v>
      </c>
      <c r="C363" s="41">
        <v>45922</v>
      </c>
      <c r="D363" s="1">
        <v>165114.85</v>
      </c>
      <c r="E363" s="1" t="s">
        <v>6460</v>
      </c>
      <c r="F363" s="1" t="s">
        <v>6461</v>
      </c>
      <c r="G363" s="1" t="s">
        <v>17</v>
      </c>
      <c r="H363" s="1">
        <v>38</v>
      </c>
      <c r="I363" t="str">
        <f>IF(ISNA(_xlfn.XLOOKUP(B363, policy_details!$A$2:$A$2829, policy_details!$A$2:$A$2829)), "Invalid", "Ok")</f>
        <v>Ok</v>
      </c>
    </row>
    <row r="364" spans="1:9" x14ac:dyDescent="0.3">
      <c r="A364" s="1" t="s">
        <v>6826</v>
      </c>
      <c r="B364" s="1" t="s">
        <v>5455</v>
      </c>
      <c r="C364" s="41">
        <v>45552</v>
      </c>
      <c r="D364" s="1">
        <v>333534.48</v>
      </c>
      <c r="E364" s="1" t="s">
        <v>6464</v>
      </c>
      <c r="F364" s="1" t="s">
        <v>6481</v>
      </c>
      <c r="G364" s="1" t="s">
        <v>17</v>
      </c>
      <c r="H364" s="1">
        <v>29</v>
      </c>
      <c r="I364" t="str">
        <f>IF(ISNA(_xlfn.XLOOKUP(B364, policy_details!$A$2:$A$2829, policy_details!$A$2:$A$2829)), "Invalid", "Ok")</f>
        <v>Ok</v>
      </c>
    </row>
    <row r="365" spans="1:9" x14ac:dyDescent="0.3">
      <c r="A365" s="1" t="s">
        <v>6827</v>
      </c>
      <c r="B365" s="1" t="s">
        <v>6369</v>
      </c>
      <c r="C365" s="41">
        <v>44669</v>
      </c>
      <c r="D365" s="1">
        <v>1047662.3</v>
      </c>
      <c r="E365" s="1" t="s">
        <v>6460</v>
      </c>
      <c r="F365" s="1" t="s">
        <v>6458</v>
      </c>
      <c r="G365" s="1" t="s">
        <v>17</v>
      </c>
      <c r="H365" s="1">
        <v>1</v>
      </c>
      <c r="I365" t="str">
        <f>IF(ISNA(_xlfn.XLOOKUP(B365, policy_details!$A$2:$A$2829, policy_details!$A$2:$A$2829)), "Invalid", "Ok")</f>
        <v>Ok</v>
      </c>
    </row>
    <row r="366" spans="1:9" x14ac:dyDescent="0.3">
      <c r="A366" s="1" t="s">
        <v>6828</v>
      </c>
      <c r="B366" s="1" t="s">
        <v>3564</v>
      </c>
      <c r="C366" s="41">
        <v>45480</v>
      </c>
      <c r="D366" s="1">
        <v>137723.38</v>
      </c>
      <c r="E366" s="1" t="s">
        <v>6457</v>
      </c>
      <c r="F366" s="1" t="s">
        <v>6466</v>
      </c>
      <c r="G366" s="1" t="s">
        <v>17</v>
      </c>
      <c r="H366" s="1">
        <v>22</v>
      </c>
      <c r="I366" t="str">
        <f>IF(ISNA(_xlfn.XLOOKUP(B366, policy_details!$A$2:$A$2829, policy_details!$A$2:$A$2829)), "Invalid", "Ok")</f>
        <v>Ok</v>
      </c>
    </row>
    <row r="367" spans="1:9" x14ac:dyDescent="0.3">
      <c r="A367" s="1" t="s">
        <v>6829</v>
      </c>
      <c r="B367" s="1" t="s">
        <v>3394</v>
      </c>
      <c r="C367" s="41">
        <v>45028</v>
      </c>
      <c r="D367" s="1">
        <v>551403.73</v>
      </c>
      <c r="E367" s="1" t="s">
        <v>6457</v>
      </c>
      <c r="F367" s="1" t="s">
        <v>6466</v>
      </c>
      <c r="G367" s="1" t="s">
        <v>17</v>
      </c>
      <c r="H367" s="1">
        <v>10</v>
      </c>
      <c r="I367" t="str">
        <f>IF(ISNA(_xlfn.XLOOKUP(B367, policy_details!$A$2:$A$2829, policy_details!$A$2:$A$2829)), "Invalid", "Ok")</f>
        <v>Ok</v>
      </c>
    </row>
    <row r="368" spans="1:9" x14ac:dyDescent="0.3">
      <c r="A368" s="1" t="s">
        <v>6830</v>
      </c>
      <c r="B368" s="1" t="s">
        <v>5500</v>
      </c>
      <c r="C368" s="41">
        <v>44925</v>
      </c>
      <c r="D368" s="1">
        <v>1062948.3600000001</v>
      </c>
      <c r="E368" s="1" t="s">
        <v>6464</v>
      </c>
      <c r="F368" s="1" t="s">
        <v>6458</v>
      </c>
      <c r="G368" s="1" t="s">
        <v>17</v>
      </c>
      <c r="H368" s="1">
        <v>1</v>
      </c>
      <c r="I368" t="str">
        <f>IF(ISNA(_xlfn.XLOOKUP(B368, policy_details!$A$2:$A$2829, policy_details!$A$2:$A$2829)), "Invalid", "Ok")</f>
        <v>Ok</v>
      </c>
    </row>
    <row r="369" spans="1:9" x14ac:dyDescent="0.3">
      <c r="A369" s="1" t="s">
        <v>6831</v>
      </c>
      <c r="B369" s="1" t="s">
        <v>5160</v>
      </c>
      <c r="C369" s="41">
        <v>44768</v>
      </c>
      <c r="D369" s="1">
        <v>131864.46</v>
      </c>
      <c r="E369" s="1" t="s">
        <v>6457</v>
      </c>
      <c r="F369" s="1" t="s">
        <v>6470</v>
      </c>
      <c r="G369" s="1" t="s">
        <v>17</v>
      </c>
      <c r="H369" s="1">
        <v>41</v>
      </c>
      <c r="I369" t="str">
        <f>IF(ISNA(_xlfn.XLOOKUP(B369, policy_details!$A$2:$A$2829, policy_details!$A$2:$A$2829)), "Invalid", "Ok")</f>
        <v>Ok</v>
      </c>
    </row>
    <row r="370" spans="1:9" x14ac:dyDescent="0.3">
      <c r="A370" s="1" t="s">
        <v>6832</v>
      </c>
      <c r="B370" s="1" t="s">
        <v>4977</v>
      </c>
      <c r="C370" s="41">
        <v>45287</v>
      </c>
      <c r="D370" s="1">
        <v>222531.12</v>
      </c>
      <c r="E370" s="1" t="s">
        <v>6460</v>
      </c>
      <c r="F370" s="1" t="s">
        <v>6470</v>
      </c>
      <c r="G370" s="1" t="s">
        <v>17</v>
      </c>
      <c r="H370" s="1">
        <v>8</v>
      </c>
      <c r="I370" t="str">
        <f>IF(ISNA(_xlfn.XLOOKUP(B370, policy_details!$A$2:$A$2829, policy_details!$A$2:$A$2829)), "Invalid", "Ok")</f>
        <v>Ok</v>
      </c>
    </row>
    <row r="371" spans="1:9" x14ac:dyDescent="0.3">
      <c r="A371" s="1" t="s">
        <v>6833</v>
      </c>
      <c r="B371" s="1" t="s">
        <v>6033</v>
      </c>
      <c r="C371" s="41">
        <v>45245</v>
      </c>
      <c r="D371" s="1">
        <v>204578.24</v>
      </c>
      <c r="E371" s="1" t="s">
        <v>6464</v>
      </c>
      <c r="F371" s="1" t="s">
        <v>6470</v>
      </c>
      <c r="G371" s="1" t="s">
        <v>17</v>
      </c>
      <c r="H371" s="1">
        <v>11</v>
      </c>
      <c r="I371" t="str">
        <f>IF(ISNA(_xlfn.XLOOKUP(B371, policy_details!$A$2:$A$2829, policy_details!$A$2:$A$2829)), "Invalid", "Ok")</f>
        <v>Ok</v>
      </c>
    </row>
    <row r="372" spans="1:9" x14ac:dyDescent="0.3">
      <c r="A372" s="1" t="s">
        <v>6834</v>
      </c>
      <c r="B372" s="1" t="s">
        <v>3997</v>
      </c>
      <c r="C372" s="41">
        <v>45294</v>
      </c>
      <c r="D372" s="1">
        <v>137409.93</v>
      </c>
      <c r="E372" s="1" t="s">
        <v>6464</v>
      </c>
      <c r="F372" s="1" t="s">
        <v>6461</v>
      </c>
      <c r="G372" s="1" t="s">
        <v>17</v>
      </c>
      <c r="H372" s="1">
        <v>15</v>
      </c>
      <c r="I372" t="str">
        <f>IF(ISNA(_xlfn.XLOOKUP(B372, policy_details!$A$2:$A$2829, policy_details!$A$2:$A$2829)), "Invalid", "Ok")</f>
        <v>Ok</v>
      </c>
    </row>
    <row r="373" spans="1:9" x14ac:dyDescent="0.3">
      <c r="A373" s="1" t="s">
        <v>6835</v>
      </c>
      <c r="B373" s="1" t="s">
        <v>5237</v>
      </c>
      <c r="C373" s="41">
        <v>46206</v>
      </c>
      <c r="D373" s="1">
        <v>190039.74</v>
      </c>
      <c r="E373" s="1" t="s">
        <v>6457</v>
      </c>
      <c r="F373" s="1" t="s">
        <v>6466</v>
      </c>
      <c r="G373" s="1" t="s">
        <v>17</v>
      </c>
      <c r="H373" s="1">
        <v>21</v>
      </c>
      <c r="I373" t="str">
        <f>IF(ISNA(_xlfn.XLOOKUP(B373, policy_details!$A$2:$A$2829, policy_details!$A$2:$A$2829)), "Invalid", "Ok")</f>
        <v>Ok</v>
      </c>
    </row>
    <row r="374" spans="1:9" x14ac:dyDescent="0.3">
      <c r="A374" s="1" t="s">
        <v>6836</v>
      </c>
      <c r="B374" s="1" t="s">
        <v>6256</v>
      </c>
      <c r="C374" s="41">
        <v>45319</v>
      </c>
      <c r="D374" s="1">
        <v>1472667.08</v>
      </c>
      <c r="E374" s="1" t="s">
        <v>6464</v>
      </c>
      <c r="F374" s="1" t="s">
        <v>6458</v>
      </c>
      <c r="G374" s="1" t="s">
        <v>17</v>
      </c>
      <c r="H374" s="1">
        <v>27</v>
      </c>
      <c r="I374" t="str">
        <f>IF(ISNA(_xlfn.XLOOKUP(B374, policy_details!$A$2:$A$2829, policy_details!$A$2:$A$2829)), "Invalid", "Ok")</f>
        <v>Ok</v>
      </c>
    </row>
    <row r="375" spans="1:9" x14ac:dyDescent="0.3">
      <c r="A375" s="1" t="s">
        <v>6837</v>
      </c>
      <c r="B375" s="1" t="s">
        <v>4873</v>
      </c>
      <c r="C375" s="41">
        <v>45984</v>
      </c>
      <c r="D375" s="1">
        <v>355867.73</v>
      </c>
      <c r="E375" s="1" t="s">
        <v>6460</v>
      </c>
      <c r="F375" s="1" t="s">
        <v>6461</v>
      </c>
      <c r="G375" s="1" t="s">
        <v>17</v>
      </c>
      <c r="H375" s="1">
        <v>14</v>
      </c>
      <c r="I375" t="str">
        <f>IF(ISNA(_xlfn.XLOOKUP(B375, policy_details!$A$2:$A$2829, policy_details!$A$2:$A$2829)), "Invalid", "Ok")</f>
        <v>Ok</v>
      </c>
    </row>
    <row r="376" spans="1:9" x14ac:dyDescent="0.3">
      <c r="A376" s="1" t="s">
        <v>6838</v>
      </c>
      <c r="B376" s="1" t="s">
        <v>5255</v>
      </c>
      <c r="C376" s="41">
        <v>44839</v>
      </c>
      <c r="D376" s="1">
        <v>325184.55</v>
      </c>
      <c r="E376" s="1" t="s">
        <v>6464</v>
      </c>
      <c r="F376" s="1" t="s">
        <v>6458</v>
      </c>
      <c r="G376" s="1" t="s">
        <v>17</v>
      </c>
      <c r="H376" s="1">
        <v>35</v>
      </c>
      <c r="I376" t="str">
        <f>IF(ISNA(_xlfn.XLOOKUP(B376, policy_details!$A$2:$A$2829, policy_details!$A$2:$A$2829)), "Invalid", "Ok")</f>
        <v>Ok</v>
      </c>
    </row>
    <row r="377" spans="1:9" x14ac:dyDescent="0.3">
      <c r="A377" s="1" t="s">
        <v>6839</v>
      </c>
      <c r="B377" s="1" t="s">
        <v>3656</v>
      </c>
      <c r="C377" s="41">
        <v>44549</v>
      </c>
      <c r="D377" s="1">
        <v>333027.36</v>
      </c>
      <c r="E377" s="1" t="s">
        <v>6460</v>
      </c>
      <c r="F377" s="1" t="s">
        <v>6470</v>
      </c>
      <c r="G377" s="1" t="s">
        <v>17</v>
      </c>
      <c r="H377" s="1">
        <v>7</v>
      </c>
      <c r="I377" t="str">
        <f>IF(ISNA(_xlfn.XLOOKUP(B377, policy_details!$A$2:$A$2829, policy_details!$A$2:$A$2829)), "Invalid", "Ok")</f>
        <v>Ok</v>
      </c>
    </row>
    <row r="378" spans="1:9" x14ac:dyDescent="0.3">
      <c r="A378" s="1" t="s">
        <v>6840</v>
      </c>
      <c r="B378" s="1" t="s">
        <v>4595</v>
      </c>
      <c r="C378" s="41">
        <v>46157</v>
      </c>
      <c r="D378" s="1">
        <v>181802.62</v>
      </c>
      <c r="E378" s="1" t="s">
        <v>6460</v>
      </c>
      <c r="F378" s="1" t="s">
        <v>6470</v>
      </c>
      <c r="G378" s="1" t="s">
        <v>17</v>
      </c>
      <c r="H378" s="1">
        <v>43</v>
      </c>
      <c r="I378" t="str">
        <f>IF(ISNA(_xlfn.XLOOKUP(B378, policy_details!$A$2:$A$2829, policy_details!$A$2:$A$2829)), "Invalid", "Ok")</f>
        <v>Ok</v>
      </c>
    </row>
    <row r="379" spans="1:9" x14ac:dyDescent="0.3">
      <c r="A379" s="1" t="s">
        <v>6841</v>
      </c>
      <c r="B379" s="1" t="s">
        <v>3528</v>
      </c>
      <c r="C379" s="41">
        <v>44947</v>
      </c>
      <c r="D379" s="1">
        <v>1013069.42</v>
      </c>
      <c r="E379" s="1" t="s">
        <v>6457</v>
      </c>
      <c r="F379" s="1" t="s">
        <v>6458</v>
      </c>
      <c r="G379" s="1" t="s">
        <v>17</v>
      </c>
      <c r="H379" s="1">
        <v>38</v>
      </c>
      <c r="I379" t="str">
        <f>IF(ISNA(_xlfn.XLOOKUP(B379, policy_details!$A$2:$A$2829, policy_details!$A$2:$A$2829)), "Invalid", "Ok")</f>
        <v>Ok</v>
      </c>
    </row>
    <row r="380" spans="1:9" x14ac:dyDescent="0.3">
      <c r="A380" s="1" t="s">
        <v>6842</v>
      </c>
      <c r="B380" s="1" t="s">
        <v>5233</v>
      </c>
      <c r="C380" s="41">
        <v>45557</v>
      </c>
      <c r="D380" s="1">
        <v>294846.96999999997</v>
      </c>
      <c r="E380" s="1" t="s">
        <v>6457</v>
      </c>
      <c r="F380" s="1" t="s">
        <v>6461</v>
      </c>
      <c r="G380" s="1" t="s">
        <v>17</v>
      </c>
      <c r="H380" s="1">
        <v>27</v>
      </c>
      <c r="I380" t="str">
        <f>IF(ISNA(_xlfn.XLOOKUP(B380, policy_details!$A$2:$A$2829, policy_details!$A$2:$A$2829)), "Invalid", "Ok")</f>
        <v>Ok</v>
      </c>
    </row>
    <row r="381" spans="1:9" x14ac:dyDescent="0.3">
      <c r="A381" s="1" t="s">
        <v>6843</v>
      </c>
      <c r="B381" s="1" t="s">
        <v>5285</v>
      </c>
      <c r="C381" s="41">
        <v>45015</v>
      </c>
      <c r="D381" s="1">
        <v>39774.69</v>
      </c>
      <c r="E381" s="1" t="s">
        <v>6460</v>
      </c>
      <c r="F381" s="1" t="s">
        <v>6461</v>
      </c>
      <c r="G381" s="1" t="s">
        <v>17</v>
      </c>
      <c r="H381" s="1">
        <v>3</v>
      </c>
      <c r="I381" t="str">
        <f>IF(ISNA(_xlfn.XLOOKUP(B381, policy_details!$A$2:$A$2829, policy_details!$A$2:$A$2829)), "Invalid", "Ok")</f>
        <v>Ok</v>
      </c>
    </row>
    <row r="382" spans="1:9" x14ac:dyDescent="0.3">
      <c r="A382" s="1" t="s">
        <v>6844</v>
      </c>
      <c r="B382" s="1" t="s">
        <v>6311</v>
      </c>
      <c r="C382" s="41">
        <v>44559</v>
      </c>
      <c r="D382" s="1">
        <v>330637.38</v>
      </c>
      <c r="E382" s="1" t="s">
        <v>6464</v>
      </c>
      <c r="F382" s="1" t="s">
        <v>6466</v>
      </c>
      <c r="G382" s="1" t="s">
        <v>17</v>
      </c>
      <c r="H382" s="1">
        <v>33</v>
      </c>
      <c r="I382" t="str">
        <f>IF(ISNA(_xlfn.XLOOKUP(B382, policy_details!$A$2:$A$2829, policy_details!$A$2:$A$2829)), "Invalid", "Ok")</f>
        <v>Ok</v>
      </c>
    </row>
    <row r="383" spans="1:9" x14ac:dyDescent="0.3">
      <c r="A383" s="1" t="s">
        <v>6845</v>
      </c>
      <c r="B383" s="1" t="s">
        <v>5422</v>
      </c>
      <c r="C383" s="41">
        <v>44770</v>
      </c>
      <c r="D383" s="1">
        <v>284827.53000000003</v>
      </c>
      <c r="E383" s="1" t="s">
        <v>6457</v>
      </c>
      <c r="F383" s="1" t="s">
        <v>6461</v>
      </c>
      <c r="G383" s="1" t="s">
        <v>30</v>
      </c>
      <c r="H383" s="1">
        <v>31</v>
      </c>
      <c r="I383" t="str">
        <f>IF(ISNA(_xlfn.XLOOKUP(B383, policy_details!$A$2:$A$2829, policy_details!$A$2:$A$2829)), "Invalid", "Ok")</f>
        <v>Ok</v>
      </c>
    </row>
    <row r="384" spans="1:9" x14ac:dyDescent="0.3">
      <c r="A384" s="1" t="s">
        <v>6846</v>
      </c>
      <c r="B384" s="1" t="s">
        <v>3333</v>
      </c>
      <c r="C384" s="41">
        <v>45841</v>
      </c>
      <c r="D384" s="1">
        <v>127567.86</v>
      </c>
      <c r="E384" s="1" t="s">
        <v>6464</v>
      </c>
      <c r="F384" s="1" t="s">
        <v>6470</v>
      </c>
      <c r="G384" s="1" t="s">
        <v>17</v>
      </c>
      <c r="H384" s="1">
        <v>28</v>
      </c>
      <c r="I384" t="str">
        <f>IF(ISNA(_xlfn.XLOOKUP(B384, policy_details!$A$2:$A$2829, policy_details!$A$2:$A$2829)), "Invalid", "Ok")</f>
        <v>Ok</v>
      </c>
    </row>
    <row r="385" spans="1:9" x14ac:dyDescent="0.3">
      <c r="A385" s="1" t="s">
        <v>6847</v>
      </c>
      <c r="B385" s="1" t="s">
        <v>5976</v>
      </c>
      <c r="C385" s="41">
        <v>44946</v>
      </c>
      <c r="D385" s="1">
        <v>124522.25</v>
      </c>
      <c r="E385" s="1" t="s">
        <v>6457</v>
      </c>
      <c r="F385" s="1" t="s">
        <v>6481</v>
      </c>
      <c r="G385" s="1" t="s">
        <v>17</v>
      </c>
      <c r="H385" s="1">
        <v>13</v>
      </c>
      <c r="I385" t="str">
        <f>IF(ISNA(_xlfn.XLOOKUP(B385, policy_details!$A$2:$A$2829, policy_details!$A$2:$A$2829)), "Invalid", "Ok")</f>
        <v>Ok</v>
      </c>
    </row>
    <row r="386" spans="1:9" x14ac:dyDescent="0.3">
      <c r="A386" s="1" t="s">
        <v>6848</v>
      </c>
      <c r="B386" s="1" t="s">
        <v>4536</v>
      </c>
      <c r="C386" s="41">
        <v>46029</v>
      </c>
      <c r="D386" s="1">
        <v>567604.76</v>
      </c>
      <c r="E386" s="1" t="s">
        <v>6460</v>
      </c>
      <c r="F386" s="1" t="s">
        <v>6481</v>
      </c>
      <c r="G386" s="1" t="s">
        <v>30</v>
      </c>
      <c r="H386" s="1">
        <v>19</v>
      </c>
      <c r="I386" t="str">
        <f>IF(ISNA(_xlfn.XLOOKUP(B386, policy_details!$A$2:$A$2829, policy_details!$A$2:$A$2829)), "Invalid", "Ok")</f>
        <v>Ok</v>
      </c>
    </row>
    <row r="387" spans="1:9" x14ac:dyDescent="0.3">
      <c r="A387" s="1" t="s">
        <v>6849</v>
      </c>
      <c r="B387" s="1" t="s">
        <v>5636</v>
      </c>
      <c r="C387" s="41">
        <v>44674</v>
      </c>
      <c r="D387" s="1">
        <v>91417.02</v>
      </c>
      <c r="E387" s="1" t="s">
        <v>6460</v>
      </c>
      <c r="F387" s="1" t="s">
        <v>6466</v>
      </c>
      <c r="G387" s="1" t="s">
        <v>17</v>
      </c>
      <c r="H387" s="1">
        <v>19</v>
      </c>
      <c r="I387" t="str">
        <f>IF(ISNA(_xlfn.XLOOKUP(B387, policy_details!$A$2:$A$2829, policy_details!$A$2:$A$2829)), "Invalid", "Ok")</f>
        <v>Ok</v>
      </c>
    </row>
    <row r="388" spans="1:9" x14ac:dyDescent="0.3">
      <c r="A388" s="1" t="s">
        <v>6850</v>
      </c>
      <c r="B388" s="1" t="s">
        <v>4340</v>
      </c>
      <c r="C388" s="41">
        <v>45593</v>
      </c>
      <c r="D388" s="1">
        <v>184926.82</v>
      </c>
      <c r="E388" s="1" t="s">
        <v>6460</v>
      </c>
      <c r="F388" s="1" t="s">
        <v>6461</v>
      </c>
      <c r="G388" s="1" t="s">
        <v>17</v>
      </c>
      <c r="H388" s="1">
        <v>27</v>
      </c>
      <c r="I388" t="str">
        <f>IF(ISNA(_xlfn.XLOOKUP(B388, policy_details!$A$2:$A$2829, policy_details!$A$2:$A$2829)), "Invalid", "Ok")</f>
        <v>Ok</v>
      </c>
    </row>
    <row r="389" spans="1:9" x14ac:dyDescent="0.3">
      <c r="A389" s="1" t="s">
        <v>6851</v>
      </c>
      <c r="B389" s="1" t="s">
        <v>5765</v>
      </c>
      <c r="C389" s="41">
        <v>44710</v>
      </c>
      <c r="D389" s="1">
        <v>1501093.22</v>
      </c>
      <c r="E389" s="1" t="s">
        <v>6460</v>
      </c>
      <c r="F389" s="1" t="s">
        <v>6458</v>
      </c>
      <c r="G389" s="1" t="s">
        <v>17</v>
      </c>
      <c r="H389" s="1">
        <v>15</v>
      </c>
      <c r="I389" t="str">
        <f>IF(ISNA(_xlfn.XLOOKUP(B389, policy_details!$A$2:$A$2829, policy_details!$A$2:$A$2829)), "Invalid", "Ok")</f>
        <v>Ok</v>
      </c>
    </row>
    <row r="390" spans="1:9" x14ac:dyDescent="0.3">
      <c r="A390" s="1" t="s">
        <v>6852</v>
      </c>
      <c r="B390" s="1" t="s">
        <v>6243</v>
      </c>
      <c r="C390" s="41">
        <v>45570</v>
      </c>
      <c r="D390" s="1">
        <v>268252.06</v>
      </c>
      <c r="E390" s="1" t="s">
        <v>6460</v>
      </c>
      <c r="F390" s="1" t="s">
        <v>6466</v>
      </c>
      <c r="G390" s="1" t="s">
        <v>17</v>
      </c>
      <c r="H390" s="1">
        <v>18</v>
      </c>
      <c r="I390" t="str">
        <f>IF(ISNA(_xlfn.XLOOKUP(B390, policy_details!$A$2:$A$2829, policy_details!$A$2:$A$2829)), "Invalid", "Ok")</f>
        <v>Ok</v>
      </c>
    </row>
    <row r="391" spans="1:9" x14ac:dyDescent="0.3">
      <c r="A391" s="1" t="s">
        <v>6853</v>
      </c>
      <c r="B391" s="1" t="s">
        <v>3695</v>
      </c>
      <c r="C391" s="41">
        <v>44532</v>
      </c>
      <c r="D391" s="1">
        <v>331549.53000000003</v>
      </c>
      <c r="E391" s="1" t="s">
        <v>6457</v>
      </c>
      <c r="F391" s="1" t="s">
        <v>6481</v>
      </c>
      <c r="G391" s="1" t="s">
        <v>17</v>
      </c>
      <c r="H391" s="1">
        <v>40</v>
      </c>
      <c r="I391" t="str">
        <f>IF(ISNA(_xlfn.XLOOKUP(B391, policy_details!$A$2:$A$2829, policy_details!$A$2:$A$2829)), "Invalid", "Ok")</f>
        <v>Ok</v>
      </c>
    </row>
    <row r="392" spans="1:9" x14ac:dyDescent="0.3">
      <c r="A392" s="1" t="s">
        <v>6854</v>
      </c>
      <c r="B392" s="1" t="s">
        <v>5155</v>
      </c>
      <c r="C392" s="41">
        <v>44651</v>
      </c>
      <c r="D392" s="1">
        <v>157660.98000000001</v>
      </c>
      <c r="E392" s="1" t="s">
        <v>6460</v>
      </c>
      <c r="F392" s="1" t="s">
        <v>6470</v>
      </c>
      <c r="G392" s="1" t="s">
        <v>17</v>
      </c>
      <c r="H392" s="1">
        <v>20</v>
      </c>
      <c r="I392" t="str">
        <f>IF(ISNA(_xlfn.XLOOKUP(B392, policy_details!$A$2:$A$2829, policy_details!$A$2:$A$2829)), "Invalid", "Ok")</f>
        <v>Ok</v>
      </c>
    </row>
    <row r="393" spans="1:9" x14ac:dyDescent="0.3">
      <c r="A393" s="1" t="s">
        <v>6855</v>
      </c>
      <c r="B393" s="1" t="s">
        <v>5143</v>
      </c>
      <c r="C393" s="41">
        <v>44512</v>
      </c>
      <c r="D393" s="1">
        <v>226856.4</v>
      </c>
      <c r="E393" s="1" t="s">
        <v>6464</v>
      </c>
      <c r="F393" s="1" t="s">
        <v>6470</v>
      </c>
      <c r="G393" s="1" t="s">
        <v>17</v>
      </c>
      <c r="H393" s="1">
        <v>27</v>
      </c>
      <c r="I393" t="str">
        <f>IF(ISNA(_xlfn.XLOOKUP(B393, policy_details!$A$2:$A$2829, policy_details!$A$2:$A$2829)), "Invalid", "Ok")</f>
        <v>Ok</v>
      </c>
    </row>
    <row r="394" spans="1:9" x14ac:dyDescent="0.3">
      <c r="A394" s="1" t="s">
        <v>6856</v>
      </c>
      <c r="B394" s="1" t="s">
        <v>4408</v>
      </c>
      <c r="C394" s="41">
        <v>45692</v>
      </c>
      <c r="D394" s="1">
        <v>105256.58</v>
      </c>
      <c r="E394" s="1" t="s">
        <v>6464</v>
      </c>
      <c r="F394" s="1" t="s">
        <v>6461</v>
      </c>
      <c r="G394" s="1" t="s">
        <v>17</v>
      </c>
      <c r="H394" s="1">
        <v>41</v>
      </c>
      <c r="I394" t="str">
        <f>IF(ISNA(_xlfn.XLOOKUP(B394, policy_details!$A$2:$A$2829, policy_details!$A$2:$A$2829)), "Invalid", "Ok")</f>
        <v>Ok</v>
      </c>
    </row>
    <row r="395" spans="1:9" x14ac:dyDescent="0.3">
      <c r="A395" s="1" t="s">
        <v>6857</v>
      </c>
      <c r="B395" s="1" t="s">
        <v>4572</v>
      </c>
      <c r="C395" s="41">
        <v>46014</v>
      </c>
      <c r="D395" s="1">
        <v>134758.54999999999</v>
      </c>
      <c r="E395" s="1" t="s">
        <v>6460</v>
      </c>
      <c r="F395" s="1" t="s">
        <v>6470</v>
      </c>
      <c r="G395" s="1" t="s">
        <v>17</v>
      </c>
      <c r="H395" s="1">
        <v>42</v>
      </c>
      <c r="I395" t="str">
        <f>IF(ISNA(_xlfn.XLOOKUP(B395, policy_details!$A$2:$A$2829, policy_details!$A$2:$A$2829)), "Invalid", "Ok")</f>
        <v>Ok</v>
      </c>
    </row>
    <row r="396" spans="1:9" x14ac:dyDescent="0.3">
      <c r="A396" s="1" t="s">
        <v>6858</v>
      </c>
      <c r="B396" s="1" t="s">
        <v>5529</v>
      </c>
      <c r="C396" s="41">
        <v>45501</v>
      </c>
      <c r="D396" s="1">
        <v>183227.72</v>
      </c>
      <c r="E396" s="1" t="s">
        <v>6460</v>
      </c>
      <c r="F396" s="1" t="s">
        <v>6470</v>
      </c>
      <c r="G396" s="1" t="s">
        <v>17</v>
      </c>
      <c r="H396" s="1">
        <v>25</v>
      </c>
      <c r="I396" t="str">
        <f>IF(ISNA(_xlfn.XLOOKUP(B396, policy_details!$A$2:$A$2829, policy_details!$A$2:$A$2829)), "Invalid", "Ok")</f>
        <v>Ok</v>
      </c>
    </row>
    <row r="397" spans="1:9" x14ac:dyDescent="0.3">
      <c r="A397" s="1" t="s">
        <v>6859</v>
      </c>
      <c r="B397" s="1" t="s">
        <v>4425</v>
      </c>
      <c r="C397" s="41">
        <v>44518</v>
      </c>
      <c r="D397" s="1">
        <v>101870.83</v>
      </c>
      <c r="E397" s="1" t="s">
        <v>6464</v>
      </c>
      <c r="F397" s="1" t="s">
        <v>6466</v>
      </c>
      <c r="G397" s="1" t="s">
        <v>17</v>
      </c>
      <c r="H397" s="1">
        <v>12</v>
      </c>
      <c r="I397" t="str">
        <f>IF(ISNA(_xlfn.XLOOKUP(B397, policy_details!$A$2:$A$2829, policy_details!$A$2:$A$2829)), "Invalid", "Ok")</f>
        <v>Ok</v>
      </c>
    </row>
    <row r="398" spans="1:9" x14ac:dyDescent="0.3">
      <c r="A398" s="1" t="s">
        <v>6860</v>
      </c>
      <c r="B398" s="1" t="s">
        <v>3476</v>
      </c>
      <c r="C398" s="41">
        <v>45752</v>
      </c>
      <c r="D398" s="1">
        <v>293579.25</v>
      </c>
      <c r="E398" s="1" t="s">
        <v>6464</v>
      </c>
      <c r="F398" s="1" t="s">
        <v>6466</v>
      </c>
      <c r="G398" s="1" t="s">
        <v>17</v>
      </c>
      <c r="H398" s="1">
        <v>5</v>
      </c>
      <c r="I398" t="str">
        <f>IF(ISNA(_xlfn.XLOOKUP(B398, policy_details!$A$2:$A$2829, policy_details!$A$2:$A$2829)), "Invalid", "Ok")</f>
        <v>Ok</v>
      </c>
    </row>
    <row r="399" spans="1:9" x14ac:dyDescent="0.3">
      <c r="A399" s="1" t="s">
        <v>6861</v>
      </c>
      <c r="B399" s="1" t="s">
        <v>5791</v>
      </c>
      <c r="C399" s="41">
        <v>44553</v>
      </c>
      <c r="D399" s="1">
        <v>52069.93</v>
      </c>
      <c r="E399" s="1" t="s">
        <v>6457</v>
      </c>
      <c r="F399" s="1" t="s">
        <v>6470</v>
      </c>
      <c r="G399" s="1" t="s">
        <v>17</v>
      </c>
      <c r="H399" s="1">
        <v>38</v>
      </c>
      <c r="I399" t="str">
        <f>IF(ISNA(_xlfn.XLOOKUP(B399, policy_details!$A$2:$A$2829, policy_details!$A$2:$A$2829)), "Invalid", "Ok")</f>
        <v>Ok</v>
      </c>
    </row>
    <row r="400" spans="1:9" x14ac:dyDescent="0.3">
      <c r="A400" s="1" t="s">
        <v>6862</v>
      </c>
      <c r="B400" s="1" t="s">
        <v>5384</v>
      </c>
      <c r="C400" s="41">
        <v>45747</v>
      </c>
      <c r="D400" s="1">
        <v>215802.7</v>
      </c>
      <c r="E400" s="1" t="s">
        <v>6460</v>
      </c>
      <c r="F400" s="1" t="s">
        <v>6470</v>
      </c>
      <c r="G400" s="1" t="s">
        <v>17</v>
      </c>
      <c r="H400" s="1">
        <v>24</v>
      </c>
      <c r="I400" t="str">
        <f>IF(ISNA(_xlfn.XLOOKUP(B400, policy_details!$A$2:$A$2829, policy_details!$A$2:$A$2829)), "Invalid", "Ok")</f>
        <v>Ok</v>
      </c>
    </row>
    <row r="401" spans="1:9" x14ac:dyDescent="0.3">
      <c r="A401" s="1" t="s">
        <v>6863</v>
      </c>
      <c r="B401" s="1" t="s">
        <v>4294</v>
      </c>
      <c r="C401" s="41">
        <v>44915</v>
      </c>
      <c r="D401" s="1">
        <v>188494.96</v>
      </c>
      <c r="E401" s="1" t="s">
        <v>6464</v>
      </c>
      <c r="F401" s="1" t="s">
        <v>6461</v>
      </c>
      <c r="G401" s="1" t="s">
        <v>17</v>
      </c>
      <c r="H401" s="1">
        <v>25</v>
      </c>
      <c r="I401" t="str">
        <f>IF(ISNA(_xlfn.XLOOKUP(B401, policy_details!$A$2:$A$2829, policy_details!$A$2:$A$2829)), "Invalid", "Ok")</f>
        <v>Ok</v>
      </c>
    </row>
    <row r="402" spans="1:9" x14ac:dyDescent="0.3">
      <c r="A402" s="1" t="s">
        <v>6864</v>
      </c>
      <c r="B402" s="1" t="s">
        <v>6341</v>
      </c>
      <c r="C402" s="41">
        <v>44912</v>
      </c>
      <c r="D402" s="1">
        <v>604943.19999999995</v>
      </c>
      <c r="E402" s="1" t="s">
        <v>6464</v>
      </c>
      <c r="F402" s="1" t="s">
        <v>6458</v>
      </c>
      <c r="G402" s="1" t="s">
        <v>30</v>
      </c>
      <c r="H402" s="1">
        <v>42</v>
      </c>
      <c r="I402" t="str">
        <f>IF(ISNA(_xlfn.XLOOKUP(B402, policy_details!$A$2:$A$2829, policy_details!$A$2:$A$2829)), "Invalid", "Ok")</f>
        <v>Ok</v>
      </c>
    </row>
    <row r="403" spans="1:9" x14ac:dyDescent="0.3">
      <c r="A403" s="1" t="s">
        <v>6865</v>
      </c>
      <c r="B403" s="1" t="s">
        <v>6162</v>
      </c>
      <c r="C403" s="41">
        <v>45681</v>
      </c>
      <c r="D403" s="1">
        <v>118705.36</v>
      </c>
      <c r="E403" s="1" t="s">
        <v>6460</v>
      </c>
      <c r="F403" s="1" t="s">
        <v>6466</v>
      </c>
      <c r="G403" s="1" t="s">
        <v>17</v>
      </c>
      <c r="H403" s="1">
        <v>17</v>
      </c>
      <c r="I403" t="str">
        <f>IF(ISNA(_xlfn.XLOOKUP(B403, policy_details!$A$2:$A$2829, policy_details!$A$2:$A$2829)), "Invalid", "Ok")</f>
        <v>Ok</v>
      </c>
    </row>
    <row r="404" spans="1:9" x14ac:dyDescent="0.3">
      <c r="A404" s="1" t="s">
        <v>6866</v>
      </c>
      <c r="B404" s="1" t="s">
        <v>6348</v>
      </c>
      <c r="C404" s="41">
        <v>46008</v>
      </c>
      <c r="D404" s="1">
        <v>122308.98</v>
      </c>
      <c r="E404" s="1" t="s">
        <v>6457</v>
      </c>
      <c r="F404" s="1" t="s">
        <v>6461</v>
      </c>
      <c r="G404" s="1" t="s">
        <v>17</v>
      </c>
      <c r="H404" s="1">
        <v>5</v>
      </c>
      <c r="I404" t="str">
        <f>IF(ISNA(_xlfn.XLOOKUP(B404, policy_details!$A$2:$A$2829, policy_details!$A$2:$A$2829)), "Invalid", "Ok")</f>
        <v>Ok</v>
      </c>
    </row>
    <row r="405" spans="1:9" x14ac:dyDescent="0.3">
      <c r="A405" s="1" t="s">
        <v>6867</v>
      </c>
      <c r="B405" s="1" t="s">
        <v>5062</v>
      </c>
      <c r="C405" s="41">
        <v>45087</v>
      </c>
      <c r="D405" s="1">
        <v>344226.39</v>
      </c>
      <c r="E405" s="1" t="s">
        <v>6464</v>
      </c>
      <c r="F405" s="1" t="s">
        <v>6481</v>
      </c>
      <c r="G405" s="1" t="s">
        <v>17</v>
      </c>
      <c r="H405" s="1">
        <v>30</v>
      </c>
      <c r="I405" t="str">
        <f>IF(ISNA(_xlfn.XLOOKUP(B405, policy_details!$A$2:$A$2829, policy_details!$A$2:$A$2829)), "Invalid", "Ok")</f>
        <v>Ok</v>
      </c>
    </row>
    <row r="406" spans="1:9" x14ac:dyDescent="0.3">
      <c r="A406" s="1" t="s">
        <v>6868</v>
      </c>
      <c r="B406" s="1" t="s">
        <v>4249</v>
      </c>
      <c r="C406" s="41">
        <v>45754</v>
      </c>
      <c r="D406" s="1">
        <v>1069818.54</v>
      </c>
      <c r="E406" s="1" t="s">
        <v>6457</v>
      </c>
      <c r="F406" s="1" t="s">
        <v>6458</v>
      </c>
      <c r="G406" s="1" t="s">
        <v>17</v>
      </c>
      <c r="H406" s="1">
        <v>43</v>
      </c>
      <c r="I406" t="str">
        <f>IF(ISNA(_xlfn.XLOOKUP(B406, policy_details!$A$2:$A$2829, policy_details!$A$2:$A$2829)), "Invalid", "Ok")</f>
        <v>Ok</v>
      </c>
    </row>
    <row r="407" spans="1:9" x14ac:dyDescent="0.3">
      <c r="A407" s="1" t="s">
        <v>6869</v>
      </c>
      <c r="B407" s="1" t="s">
        <v>4053</v>
      </c>
      <c r="C407" s="41">
        <v>45539</v>
      </c>
      <c r="D407" s="1">
        <v>126199.12</v>
      </c>
      <c r="E407" s="1" t="s">
        <v>6457</v>
      </c>
      <c r="F407" s="1" t="s">
        <v>6466</v>
      </c>
      <c r="G407" s="1" t="s">
        <v>17</v>
      </c>
      <c r="H407" s="1">
        <v>8</v>
      </c>
      <c r="I407" t="str">
        <f>IF(ISNA(_xlfn.XLOOKUP(B407, policy_details!$A$2:$A$2829, policy_details!$A$2:$A$2829)), "Invalid", "Ok")</f>
        <v>Ok</v>
      </c>
    </row>
    <row r="408" spans="1:9" x14ac:dyDescent="0.3">
      <c r="A408" s="1" t="s">
        <v>6870</v>
      </c>
      <c r="B408" s="1" t="s">
        <v>6305</v>
      </c>
      <c r="C408" s="41">
        <v>45080</v>
      </c>
      <c r="D408" s="1">
        <v>189767.07</v>
      </c>
      <c r="E408" s="1" t="s">
        <v>6460</v>
      </c>
      <c r="F408" s="1" t="s">
        <v>6470</v>
      </c>
      <c r="G408" s="1" t="s">
        <v>17</v>
      </c>
      <c r="H408" s="1">
        <v>44</v>
      </c>
      <c r="I408" t="str">
        <f>IF(ISNA(_xlfn.XLOOKUP(B408, policy_details!$A$2:$A$2829, policy_details!$A$2:$A$2829)), "Invalid", "Ok")</f>
        <v>Ok</v>
      </c>
    </row>
    <row r="409" spans="1:9" x14ac:dyDescent="0.3">
      <c r="A409" s="1" t="s">
        <v>6871</v>
      </c>
      <c r="B409" s="1" t="s">
        <v>6141</v>
      </c>
      <c r="C409" s="41">
        <v>44583</v>
      </c>
      <c r="D409" s="1">
        <v>170991.47</v>
      </c>
      <c r="E409" s="1" t="s">
        <v>6460</v>
      </c>
      <c r="F409" s="1" t="s">
        <v>6461</v>
      </c>
      <c r="G409" s="1" t="s">
        <v>17</v>
      </c>
      <c r="H409" s="1">
        <v>24</v>
      </c>
      <c r="I409" t="str">
        <f>IF(ISNA(_xlfn.XLOOKUP(B409, policy_details!$A$2:$A$2829, policy_details!$A$2:$A$2829)), "Invalid", "Ok")</f>
        <v>Ok</v>
      </c>
    </row>
    <row r="410" spans="1:9" x14ac:dyDescent="0.3">
      <c r="A410" s="1" t="s">
        <v>6872</v>
      </c>
      <c r="B410" s="1" t="s">
        <v>5712</v>
      </c>
      <c r="C410" s="41">
        <v>45252</v>
      </c>
      <c r="D410" s="1">
        <v>279009.53999999998</v>
      </c>
      <c r="E410" s="1" t="s">
        <v>6460</v>
      </c>
      <c r="F410" s="1" t="s">
        <v>6481</v>
      </c>
      <c r="G410" s="1" t="s">
        <v>17</v>
      </c>
      <c r="H410" s="1">
        <v>25</v>
      </c>
      <c r="I410" t="str">
        <f>IF(ISNA(_xlfn.XLOOKUP(B410, policy_details!$A$2:$A$2829, policy_details!$A$2:$A$2829)), "Invalid", "Ok")</f>
        <v>Ok</v>
      </c>
    </row>
    <row r="411" spans="1:9" x14ac:dyDescent="0.3">
      <c r="A411" s="1" t="s">
        <v>6873</v>
      </c>
      <c r="B411" s="1" t="s">
        <v>5057</v>
      </c>
      <c r="C411" s="41">
        <v>45375</v>
      </c>
      <c r="D411" s="1">
        <v>549549.64</v>
      </c>
      <c r="E411" s="1" t="s">
        <v>6460</v>
      </c>
      <c r="F411" s="1" t="s">
        <v>6458</v>
      </c>
      <c r="G411" s="1" t="s">
        <v>17</v>
      </c>
      <c r="H411" s="1">
        <v>43</v>
      </c>
      <c r="I411" t="str">
        <f>IF(ISNA(_xlfn.XLOOKUP(B411, policy_details!$A$2:$A$2829, policy_details!$A$2:$A$2829)), "Invalid", "Ok")</f>
        <v>Ok</v>
      </c>
    </row>
    <row r="412" spans="1:9" x14ac:dyDescent="0.3">
      <c r="A412" s="1" t="s">
        <v>6874</v>
      </c>
      <c r="B412" s="1" t="s">
        <v>4697</v>
      </c>
      <c r="C412" s="41">
        <v>44874</v>
      </c>
      <c r="D412" s="1">
        <v>237811.64</v>
      </c>
      <c r="E412" s="1" t="s">
        <v>6464</v>
      </c>
      <c r="F412" s="1" t="s">
        <v>6466</v>
      </c>
      <c r="G412" s="1" t="s">
        <v>30</v>
      </c>
      <c r="H412" s="1">
        <v>15</v>
      </c>
      <c r="I412" t="str">
        <f>IF(ISNA(_xlfn.XLOOKUP(B412, policy_details!$A$2:$A$2829, policy_details!$A$2:$A$2829)), "Invalid", "Ok")</f>
        <v>Ok</v>
      </c>
    </row>
    <row r="413" spans="1:9" x14ac:dyDescent="0.3">
      <c r="A413" s="1" t="s">
        <v>6875</v>
      </c>
      <c r="B413" s="1" t="s">
        <v>5607</v>
      </c>
      <c r="C413" s="41">
        <v>45037</v>
      </c>
      <c r="D413" s="1">
        <v>1424060.06</v>
      </c>
      <c r="E413" s="1" t="s">
        <v>6457</v>
      </c>
      <c r="F413" s="1" t="s">
        <v>6458</v>
      </c>
      <c r="G413" s="1" t="s">
        <v>30</v>
      </c>
      <c r="H413" s="1">
        <v>33</v>
      </c>
      <c r="I413" t="str">
        <f>IF(ISNA(_xlfn.XLOOKUP(B413, policy_details!$A$2:$A$2829, policy_details!$A$2:$A$2829)), "Invalid", "Ok")</f>
        <v>Ok</v>
      </c>
    </row>
    <row r="414" spans="1:9" x14ac:dyDescent="0.3">
      <c r="A414" s="1" t="s">
        <v>6876</v>
      </c>
      <c r="B414" s="1" t="s">
        <v>3368</v>
      </c>
      <c r="C414" s="41">
        <v>45120</v>
      </c>
      <c r="D414" s="1">
        <v>1177178.3500000001</v>
      </c>
      <c r="E414" s="1" t="s">
        <v>6464</v>
      </c>
      <c r="F414" s="1" t="s">
        <v>6458</v>
      </c>
      <c r="G414" s="1" t="s">
        <v>30</v>
      </c>
      <c r="H414" s="1">
        <v>1</v>
      </c>
      <c r="I414" t="str">
        <f>IF(ISNA(_xlfn.XLOOKUP(B414, policy_details!$A$2:$A$2829, policy_details!$A$2:$A$2829)), "Invalid", "Ok")</f>
        <v>Ok</v>
      </c>
    </row>
    <row r="415" spans="1:9" x14ac:dyDescent="0.3">
      <c r="A415" s="1" t="s">
        <v>6877</v>
      </c>
      <c r="B415" s="1" t="s">
        <v>5098</v>
      </c>
      <c r="C415" s="41">
        <v>45945</v>
      </c>
      <c r="D415" s="1">
        <v>1105590.3500000001</v>
      </c>
      <c r="E415" s="1" t="s">
        <v>6460</v>
      </c>
      <c r="F415" s="1" t="s">
        <v>6458</v>
      </c>
      <c r="G415" s="1" t="s">
        <v>17</v>
      </c>
      <c r="H415" s="1">
        <v>30</v>
      </c>
      <c r="I415" t="str">
        <f>IF(ISNA(_xlfn.XLOOKUP(B415, policy_details!$A$2:$A$2829, policy_details!$A$2:$A$2829)), "Invalid", "Ok")</f>
        <v>Ok</v>
      </c>
    </row>
    <row r="416" spans="1:9" x14ac:dyDescent="0.3">
      <c r="A416" s="1" t="s">
        <v>6878</v>
      </c>
      <c r="B416" s="1" t="s">
        <v>5536</v>
      </c>
      <c r="C416" s="41">
        <v>45201</v>
      </c>
      <c r="D416" s="1">
        <v>568386.81999999995</v>
      </c>
      <c r="E416" s="1" t="s">
        <v>6464</v>
      </c>
      <c r="F416" s="1" t="s">
        <v>6481</v>
      </c>
      <c r="G416" s="1" t="s">
        <v>17</v>
      </c>
      <c r="H416" s="1">
        <v>1</v>
      </c>
      <c r="I416" t="str">
        <f>IF(ISNA(_xlfn.XLOOKUP(B416, policy_details!$A$2:$A$2829, policy_details!$A$2:$A$2829)), "Invalid", "Ok")</f>
        <v>Ok</v>
      </c>
    </row>
    <row r="417" spans="1:9" x14ac:dyDescent="0.3">
      <c r="A417" s="1" t="s">
        <v>6879</v>
      </c>
      <c r="B417" s="1" t="s">
        <v>5748</v>
      </c>
      <c r="C417" s="41">
        <v>45614</v>
      </c>
      <c r="D417" s="1">
        <v>271878.83</v>
      </c>
      <c r="E417" s="1" t="s">
        <v>6464</v>
      </c>
      <c r="F417" s="1" t="s">
        <v>6481</v>
      </c>
      <c r="G417" s="1" t="s">
        <v>17</v>
      </c>
      <c r="H417" s="1">
        <v>1</v>
      </c>
      <c r="I417" t="str">
        <f>IF(ISNA(_xlfn.XLOOKUP(B417, policy_details!$A$2:$A$2829, policy_details!$A$2:$A$2829)), "Invalid", "Ok")</f>
        <v>Ok</v>
      </c>
    </row>
    <row r="418" spans="1:9" x14ac:dyDescent="0.3">
      <c r="A418" s="1" t="s">
        <v>6880</v>
      </c>
      <c r="B418" s="1" t="s">
        <v>4888</v>
      </c>
      <c r="C418" s="41">
        <v>46042</v>
      </c>
      <c r="D418" s="1">
        <v>164104.99</v>
      </c>
      <c r="E418" s="1" t="s">
        <v>6457</v>
      </c>
      <c r="F418" s="1" t="s">
        <v>6481</v>
      </c>
      <c r="G418" s="1" t="s">
        <v>17</v>
      </c>
      <c r="H418" s="1">
        <v>18</v>
      </c>
      <c r="I418" t="str">
        <f>IF(ISNA(_xlfn.XLOOKUP(B418, policy_details!$A$2:$A$2829, policy_details!$A$2:$A$2829)), "Invalid", "Ok")</f>
        <v>Ok</v>
      </c>
    </row>
    <row r="419" spans="1:9" x14ac:dyDescent="0.3">
      <c r="A419" s="1" t="s">
        <v>6881</v>
      </c>
      <c r="B419" s="1" t="s">
        <v>5724</v>
      </c>
      <c r="C419" s="41">
        <v>44703</v>
      </c>
      <c r="D419" s="1">
        <v>591714.25</v>
      </c>
      <c r="E419" s="1" t="s">
        <v>6460</v>
      </c>
      <c r="F419" s="1" t="s">
        <v>6458</v>
      </c>
      <c r="G419" s="1" t="s">
        <v>17</v>
      </c>
      <c r="H419" s="1">
        <v>17</v>
      </c>
      <c r="I419" t="str">
        <f>IF(ISNA(_xlfn.XLOOKUP(B419, policy_details!$A$2:$A$2829, policy_details!$A$2:$A$2829)), "Invalid", "Ok")</f>
        <v>Ok</v>
      </c>
    </row>
    <row r="420" spans="1:9" x14ac:dyDescent="0.3">
      <c r="A420" s="1" t="s">
        <v>6882</v>
      </c>
      <c r="B420" s="1" t="s">
        <v>3765</v>
      </c>
      <c r="C420" s="41">
        <v>45038</v>
      </c>
      <c r="D420" s="1">
        <v>240240.65</v>
      </c>
      <c r="E420" s="1" t="s">
        <v>6464</v>
      </c>
      <c r="F420" s="1" t="s">
        <v>6466</v>
      </c>
      <c r="G420" s="1" t="s">
        <v>17</v>
      </c>
      <c r="H420" s="1">
        <v>35</v>
      </c>
      <c r="I420" t="str">
        <f>IF(ISNA(_xlfn.XLOOKUP(B420, policy_details!$A$2:$A$2829, policy_details!$A$2:$A$2829)), "Invalid", "Ok")</f>
        <v>Ok</v>
      </c>
    </row>
    <row r="421" spans="1:9" x14ac:dyDescent="0.3">
      <c r="A421" s="1" t="s">
        <v>6883</v>
      </c>
      <c r="B421" s="1" t="s">
        <v>4244</v>
      </c>
      <c r="C421" s="41">
        <v>45881</v>
      </c>
      <c r="D421" s="1">
        <v>87723.09</v>
      </c>
      <c r="E421" s="1" t="s">
        <v>6457</v>
      </c>
      <c r="F421" s="1" t="s">
        <v>6470</v>
      </c>
      <c r="G421" s="1" t="s">
        <v>17</v>
      </c>
      <c r="H421" s="1">
        <v>40</v>
      </c>
      <c r="I421" t="str">
        <f>IF(ISNA(_xlfn.XLOOKUP(B421, policy_details!$A$2:$A$2829, policy_details!$A$2:$A$2829)), "Invalid", "Ok")</f>
        <v>Ok</v>
      </c>
    </row>
    <row r="422" spans="1:9" x14ac:dyDescent="0.3">
      <c r="A422" s="1" t="s">
        <v>6884</v>
      </c>
      <c r="B422" s="1" t="s">
        <v>3950</v>
      </c>
      <c r="C422" s="41">
        <v>45054</v>
      </c>
      <c r="D422" s="1">
        <v>213998.6</v>
      </c>
      <c r="E422" s="1" t="s">
        <v>6460</v>
      </c>
      <c r="F422" s="1" t="s">
        <v>6481</v>
      </c>
      <c r="G422" s="1" t="s">
        <v>17</v>
      </c>
      <c r="H422" s="1">
        <v>42</v>
      </c>
      <c r="I422" t="str">
        <f>IF(ISNA(_xlfn.XLOOKUP(B422, policy_details!$A$2:$A$2829, policy_details!$A$2:$A$2829)), "Invalid", "Ok")</f>
        <v>Ok</v>
      </c>
    </row>
    <row r="423" spans="1:9" x14ac:dyDescent="0.3">
      <c r="A423" s="1" t="s">
        <v>6885</v>
      </c>
      <c r="B423" s="1" t="s">
        <v>4567</v>
      </c>
      <c r="C423" s="41">
        <v>45187</v>
      </c>
      <c r="D423" s="1">
        <v>315307.31</v>
      </c>
      <c r="E423" s="1" t="s">
        <v>6460</v>
      </c>
      <c r="F423" s="1" t="s">
        <v>6481</v>
      </c>
      <c r="G423" s="1" t="s">
        <v>17</v>
      </c>
      <c r="H423" s="1">
        <v>28</v>
      </c>
      <c r="I423" t="str">
        <f>IF(ISNA(_xlfn.XLOOKUP(B423, policy_details!$A$2:$A$2829, policy_details!$A$2:$A$2829)), "Invalid", "Ok")</f>
        <v>Ok</v>
      </c>
    </row>
    <row r="424" spans="1:9" x14ac:dyDescent="0.3">
      <c r="A424" s="1" t="s">
        <v>6886</v>
      </c>
      <c r="B424" s="1" t="s">
        <v>4579</v>
      </c>
      <c r="C424" s="41">
        <v>45633</v>
      </c>
      <c r="D424" s="1">
        <v>323283.40000000002</v>
      </c>
      <c r="E424" s="1" t="s">
        <v>6460</v>
      </c>
      <c r="F424" s="1" t="s">
        <v>6470</v>
      </c>
      <c r="G424" s="1" t="s">
        <v>17</v>
      </c>
      <c r="H424" s="1">
        <v>7</v>
      </c>
      <c r="I424" t="str">
        <f>IF(ISNA(_xlfn.XLOOKUP(B424, policy_details!$A$2:$A$2829, policy_details!$A$2:$A$2829)), "Invalid", "Ok")</f>
        <v>Ok</v>
      </c>
    </row>
    <row r="425" spans="1:9" x14ac:dyDescent="0.3">
      <c r="A425" s="1" t="s">
        <v>6887</v>
      </c>
      <c r="B425" s="1" t="s">
        <v>4668</v>
      </c>
      <c r="C425" s="41">
        <v>45301</v>
      </c>
      <c r="D425" s="1">
        <v>83175.259999999995</v>
      </c>
      <c r="E425" s="1" t="s">
        <v>6457</v>
      </c>
      <c r="F425" s="1" t="s">
        <v>6470</v>
      </c>
      <c r="G425" s="1" t="s">
        <v>17</v>
      </c>
      <c r="H425" s="1">
        <v>30</v>
      </c>
      <c r="I425" t="str">
        <f>IF(ISNA(_xlfn.XLOOKUP(B425, policy_details!$A$2:$A$2829, policy_details!$A$2:$A$2829)), "Invalid", "Ok")</f>
        <v>Ok</v>
      </c>
    </row>
    <row r="426" spans="1:9" x14ac:dyDescent="0.3">
      <c r="A426" s="1" t="s">
        <v>6888</v>
      </c>
      <c r="B426" s="1" t="s">
        <v>4930</v>
      </c>
      <c r="C426" s="41">
        <v>46220</v>
      </c>
      <c r="D426" s="1">
        <v>231173</v>
      </c>
      <c r="E426" s="1" t="s">
        <v>6457</v>
      </c>
      <c r="F426" s="1" t="s">
        <v>6466</v>
      </c>
      <c r="G426" s="1" t="s">
        <v>17</v>
      </c>
      <c r="H426" s="1">
        <v>22</v>
      </c>
      <c r="I426" t="str">
        <f>IF(ISNA(_xlfn.XLOOKUP(B426, policy_details!$A$2:$A$2829, policy_details!$A$2:$A$2829)), "Invalid", "Ok")</f>
        <v>Ok</v>
      </c>
    </row>
    <row r="427" spans="1:9" x14ac:dyDescent="0.3">
      <c r="A427" s="1" t="s">
        <v>6889</v>
      </c>
      <c r="B427" s="1" t="s">
        <v>4847</v>
      </c>
      <c r="C427" s="41">
        <v>45578</v>
      </c>
      <c r="D427" s="1">
        <v>144968.60999999999</v>
      </c>
      <c r="E427" s="1" t="s">
        <v>6457</v>
      </c>
      <c r="F427" s="1" t="s">
        <v>6461</v>
      </c>
      <c r="G427" s="1" t="s">
        <v>17</v>
      </c>
      <c r="H427" s="1">
        <v>24</v>
      </c>
      <c r="I427" t="str">
        <f>IF(ISNA(_xlfn.XLOOKUP(B427, policy_details!$A$2:$A$2829, policy_details!$A$2:$A$2829)), "Invalid", "Ok")</f>
        <v>Ok</v>
      </c>
    </row>
    <row r="428" spans="1:9" x14ac:dyDescent="0.3">
      <c r="A428" s="1" t="s">
        <v>6890</v>
      </c>
      <c r="B428" s="1" t="s">
        <v>4998</v>
      </c>
      <c r="C428" s="41">
        <v>44734</v>
      </c>
      <c r="D428" s="1">
        <v>183407.35999999999</v>
      </c>
      <c r="E428" s="1" t="s">
        <v>6464</v>
      </c>
      <c r="F428" s="1" t="s">
        <v>6470</v>
      </c>
      <c r="G428" s="1" t="s">
        <v>30</v>
      </c>
      <c r="H428" s="1">
        <v>23</v>
      </c>
      <c r="I428" t="str">
        <f>IF(ISNA(_xlfn.XLOOKUP(B428, policy_details!$A$2:$A$2829, policy_details!$A$2:$A$2829)), "Invalid", "Ok")</f>
        <v>Ok</v>
      </c>
    </row>
    <row r="429" spans="1:9" x14ac:dyDescent="0.3">
      <c r="A429" s="1" t="s">
        <v>6891</v>
      </c>
      <c r="B429" s="1" t="s">
        <v>5744</v>
      </c>
      <c r="C429" s="41">
        <v>44523</v>
      </c>
      <c r="D429" s="1">
        <v>236136.56</v>
      </c>
      <c r="E429" s="1" t="s">
        <v>6457</v>
      </c>
      <c r="F429" s="1" t="s">
        <v>6466</v>
      </c>
      <c r="G429" s="1" t="s">
        <v>17</v>
      </c>
      <c r="H429" s="1">
        <v>39</v>
      </c>
      <c r="I429" t="str">
        <f>IF(ISNA(_xlfn.XLOOKUP(B429, policy_details!$A$2:$A$2829, policy_details!$A$2:$A$2829)), "Invalid", "Ok")</f>
        <v>Ok</v>
      </c>
    </row>
    <row r="430" spans="1:9" x14ac:dyDescent="0.3">
      <c r="A430" s="1" t="s">
        <v>6892</v>
      </c>
      <c r="B430" s="1" t="s">
        <v>3938</v>
      </c>
      <c r="C430" s="41">
        <v>46141</v>
      </c>
      <c r="D430" s="1">
        <v>216544.06</v>
      </c>
      <c r="E430" s="1" t="s">
        <v>6460</v>
      </c>
      <c r="F430" s="1" t="s">
        <v>6466</v>
      </c>
      <c r="G430" s="1" t="s">
        <v>17</v>
      </c>
      <c r="H430" s="1">
        <v>17</v>
      </c>
      <c r="I430" t="str">
        <f>IF(ISNA(_xlfn.XLOOKUP(B430, policy_details!$A$2:$A$2829, policy_details!$A$2:$A$2829)), "Invalid", "Ok")</f>
        <v>Ok</v>
      </c>
    </row>
    <row r="431" spans="1:9" x14ac:dyDescent="0.3">
      <c r="A431" s="1" t="s">
        <v>6893</v>
      </c>
      <c r="B431" s="1" t="s">
        <v>4599</v>
      </c>
      <c r="C431" s="41">
        <v>46107</v>
      </c>
      <c r="D431" s="1">
        <v>1805331.01</v>
      </c>
      <c r="E431" s="1" t="s">
        <v>6460</v>
      </c>
      <c r="F431" s="1" t="s">
        <v>6458</v>
      </c>
      <c r="G431" s="1" t="s">
        <v>30</v>
      </c>
      <c r="H431" s="1">
        <v>43</v>
      </c>
      <c r="I431" t="str">
        <f>IF(ISNA(_xlfn.XLOOKUP(B431, policy_details!$A$2:$A$2829, policy_details!$A$2:$A$2829)), "Invalid", "Ok")</f>
        <v>Ok</v>
      </c>
    </row>
    <row r="432" spans="1:9" x14ac:dyDescent="0.3">
      <c r="A432" s="1" t="s">
        <v>6894</v>
      </c>
      <c r="B432" s="1" t="s">
        <v>3313</v>
      </c>
      <c r="C432" s="41">
        <v>44488</v>
      </c>
      <c r="D432" s="1">
        <v>409782.24</v>
      </c>
      <c r="E432" s="1" t="s">
        <v>6457</v>
      </c>
      <c r="F432" s="1" t="s">
        <v>6466</v>
      </c>
      <c r="G432" s="1" t="s">
        <v>17</v>
      </c>
      <c r="H432" s="1">
        <v>24</v>
      </c>
      <c r="I432" t="str">
        <f>IF(ISNA(_xlfn.XLOOKUP(B432, policy_details!$A$2:$A$2829, policy_details!$A$2:$A$2829)), "Invalid", "Ok")</f>
        <v>Ok</v>
      </c>
    </row>
    <row r="433" spans="1:9" x14ac:dyDescent="0.3">
      <c r="A433" s="1" t="s">
        <v>6895</v>
      </c>
      <c r="B433" s="1" t="s">
        <v>3467</v>
      </c>
      <c r="C433" s="41">
        <v>45554</v>
      </c>
      <c r="D433" s="1">
        <v>730044.52</v>
      </c>
      <c r="E433" s="1" t="s">
        <v>6457</v>
      </c>
      <c r="F433" s="1" t="s">
        <v>6481</v>
      </c>
      <c r="G433" s="1" t="s">
        <v>30</v>
      </c>
      <c r="H433" s="1">
        <v>31</v>
      </c>
      <c r="I433" t="str">
        <f>IF(ISNA(_xlfn.XLOOKUP(B433, policy_details!$A$2:$A$2829, policy_details!$A$2:$A$2829)), "Invalid", "Ok")</f>
        <v>Ok</v>
      </c>
    </row>
    <row r="434" spans="1:9" x14ac:dyDescent="0.3">
      <c r="A434" s="1" t="s">
        <v>6896</v>
      </c>
      <c r="B434" s="1" t="s">
        <v>5332</v>
      </c>
      <c r="C434" s="41">
        <v>45918</v>
      </c>
      <c r="D434" s="1">
        <v>218840.13</v>
      </c>
      <c r="E434" s="1" t="s">
        <v>6457</v>
      </c>
      <c r="F434" s="1" t="s">
        <v>6466</v>
      </c>
      <c r="G434" s="1" t="s">
        <v>17</v>
      </c>
      <c r="H434" s="1">
        <v>41</v>
      </c>
      <c r="I434" t="str">
        <f>IF(ISNA(_xlfn.XLOOKUP(B434, policy_details!$A$2:$A$2829, policy_details!$A$2:$A$2829)), "Invalid", "Ok")</f>
        <v>Ok</v>
      </c>
    </row>
    <row r="435" spans="1:9" x14ac:dyDescent="0.3">
      <c r="A435" s="1" t="s">
        <v>6897</v>
      </c>
      <c r="B435" s="1" t="s">
        <v>6099</v>
      </c>
      <c r="C435" s="41">
        <v>45375</v>
      </c>
      <c r="D435" s="1">
        <v>122154.98</v>
      </c>
      <c r="E435" s="1" t="s">
        <v>6464</v>
      </c>
      <c r="F435" s="1" t="s">
        <v>6461</v>
      </c>
      <c r="G435" s="1" t="s">
        <v>17</v>
      </c>
      <c r="H435" s="1">
        <v>36</v>
      </c>
      <c r="I435" t="str">
        <f>IF(ISNA(_xlfn.XLOOKUP(B435, policy_details!$A$2:$A$2829, policy_details!$A$2:$A$2829)), "Invalid", "Ok")</f>
        <v>Ok</v>
      </c>
    </row>
    <row r="436" spans="1:9" x14ac:dyDescent="0.3">
      <c r="A436" s="1" t="s">
        <v>6898</v>
      </c>
      <c r="B436" s="1" t="s">
        <v>4465</v>
      </c>
      <c r="C436" s="41">
        <v>45868</v>
      </c>
      <c r="D436" s="1">
        <v>554747.89</v>
      </c>
      <c r="E436" s="1" t="s">
        <v>6457</v>
      </c>
      <c r="F436" s="1" t="s">
        <v>6458</v>
      </c>
      <c r="G436" s="1" t="s">
        <v>17</v>
      </c>
      <c r="H436" s="1">
        <v>20</v>
      </c>
      <c r="I436" t="str">
        <f>IF(ISNA(_xlfn.XLOOKUP(B436, policy_details!$A$2:$A$2829, policy_details!$A$2:$A$2829)), "Invalid", "Ok")</f>
        <v>Ok</v>
      </c>
    </row>
    <row r="437" spans="1:9" x14ac:dyDescent="0.3">
      <c r="A437" s="1" t="s">
        <v>6899</v>
      </c>
      <c r="B437" s="1" t="s">
        <v>4750</v>
      </c>
      <c r="C437" s="41">
        <v>45370</v>
      </c>
      <c r="D437" s="1">
        <v>115690.23</v>
      </c>
      <c r="E437" s="1" t="s">
        <v>6460</v>
      </c>
      <c r="F437" s="1" t="s">
        <v>6461</v>
      </c>
      <c r="G437" s="1" t="s">
        <v>17</v>
      </c>
      <c r="H437" s="1">
        <v>9</v>
      </c>
      <c r="I437" t="str">
        <f>IF(ISNA(_xlfn.XLOOKUP(B437, policy_details!$A$2:$A$2829, policy_details!$A$2:$A$2829)), "Invalid", "Ok")</f>
        <v>Ok</v>
      </c>
    </row>
    <row r="438" spans="1:9" x14ac:dyDescent="0.3">
      <c r="A438" s="1" t="s">
        <v>6900</v>
      </c>
      <c r="B438" s="1" t="s">
        <v>4170</v>
      </c>
      <c r="C438" s="41">
        <v>45504</v>
      </c>
      <c r="D438" s="1">
        <v>214416.6</v>
      </c>
      <c r="E438" s="1" t="s">
        <v>6460</v>
      </c>
      <c r="F438" s="1" t="s">
        <v>6461</v>
      </c>
      <c r="G438" s="1" t="s">
        <v>17</v>
      </c>
      <c r="H438" s="1">
        <v>7</v>
      </c>
      <c r="I438" t="str">
        <f>IF(ISNA(_xlfn.XLOOKUP(B438, policy_details!$A$2:$A$2829, policy_details!$A$2:$A$2829)), "Invalid", "Ok")</f>
        <v>Ok</v>
      </c>
    </row>
    <row r="439" spans="1:9" x14ac:dyDescent="0.3">
      <c r="A439" s="1" t="s">
        <v>6901</v>
      </c>
      <c r="B439" s="1" t="s">
        <v>3941</v>
      </c>
      <c r="C439" s="41">
        <v>45070</v>
      </c>
      <c r="D439" s="1">
        <v>1389441.72</v>
      </c>
      <c r="E439" s="1" t="s">
        <v>6457</v>
      </c>
      <c r="F439" s="1" t="s">
        <v>6458</v>
      </c>
      <c r="G439" s="1" t="s">
        <v>17</v>
      </c>
      <c r="H439" s="1">
        <v>17</v>
      </c>
      <c r="I439" t="str">
        <f>IF(ISNA(_xlfn.XLOOKUP(B439, policy_details!$A$2:$A$2829, policy_details!$A$2:$A$2829)), "Invalid", "Ok")</f>
        <v>Ok</v>
      </c>
    </row>
    <row r="440" spans="1:9" x14ac:dyDescent="0.3">
      <c r="A440" s="1" t="s">
        <v>6902</v>
      </c>
      <c r="B440" s="1" t="s">
        <v>6121</v>
      </c>
      <c r="C440" s="41">
        <v>44834</v>
      </c>
      <c r="D440" s="1">
        <v>252324.06</v>
      </c>
      <c r="E440" s="1" t="s">
        <v>6464</v>
      </c>
      <c r="F440" s="1" t="s">
        <v>6470</v>
      </c>
      <c r="G440" s="1" t="s">
        <v>17</v>
      </c>
      <c r="H440" s="1">
        <v>30</v>
      </c>
      <c r="I440" t="str">
        <f>IF(ISNA(_xlfn.XLOOKUP(B440, policy_details!$A$2:$A$2829, policy_details!$A$2:$A$2829)), "Invalid", "Ok")</f>
        <v>Ok</v>
      </c>
    </row>
    <row r="441" spans="1:9" x14ac:dyDescent="0.3">
      <c r="A441" s="1" t="s">
        <v>6903</v>
      </c>
      <c r="B441" s="1" t="s">
        <v>5233</v>
      </c>
      <c r="C441" s="41">
        <v>45959</v>
      </c>
      <c r="D441" s="1">
        <v>129117.52</v>
      </c>
      <c r="E441" s="1" t="s">
        <v>6460</v>
      </c>
      <c r="F441" s="1" t="s">
        <v>6470</v>
      </c>
      <c r="G441" s="1" t="s">
        <v>17</v>
      </c>
      <c r="H441" s="1">
        <v>36</v>
      </c>
      <c r="I441" t="str">
        <f>IF(ISNA(_xlfn.XLOOKUP(B441, policy_details!$A$2:$A$2829, policy_details!$A$2:$A$2829)), "Invalid", "Ok")</f>
        <v>Ok</v>
      </c>
    </row>
    <row r="442" spans="1:9" x14ac:dyDescent="0.3">
      <c r="A442" s="1" t="s">
        <v>6904</v>
      </c>
      <c r="B442" s="1" t="s">
        <v>5611</v>
      </c>
      <c r="C442" s="41">
        <v>44501</v>
      </c>
      <c r="D442" s="1">
        <v>647330.71</v>
      </c>
      <c r="E442" s="1" t="s">
        <v>6460</v>
      </c>
      <c r="F442" s="1" t="s">
        <v>6458</v>
      </c>
      <c r="G442" s="1" t="s">
        <v>30</v>
      </c>
      <c r="H442" s="1">
        <v>2</v>
      </c>
      <c r="I442" t="str">
        <f>IF(ISNA(_xlfn.XLOOKUP(B442, policy_details!$A$2:$A$2829, policy_details!$A$2:$A$2829)), "Invalid", "Ok")</f>
        <v>Ok</v>
      </c>
    </row>
    <row r="443" spans="1:9" x14ac:dyDescent="0.3">
      <c r="A443" s="1" t="s">
        <v>6905</v>
      </c>
      <c r="B443" s="1" t="s">
        <v>6115</v>
      </c>
      <c r="C443" s="41">
        <v>45768</v>
      </c>
      <c r="D443" s="1">
        <v>2393774.73</v>
      </c>
      <c r="E443" s="1" t="s">
        <v>6457</v>
      </c>
      <c r="F443" s="1" t="s">
        <v>6458</v>
      </c>
      <c r="G443" s="1" t="s">
        <v>17</v>
      </c>
      <c r="H443" s="1">
        <v>21</v>
      </c>
      <c r="I443" t="str">
        <f>IF(ISNA(_xlfn.XLOOKUP(B443, policy_details!$A$2:$A$2829, policy_details!$A$2:$A$2829)), "Invalid", "Ok")</f>
        <v>Ok</v>
      </c>
    </row>
    <row r="444" spans="1:9" x14ac:dyDescent="0.3">
      <c r="A444" s="1" t="s">
        <v>6906</v>
      </c>
      <c r="B444" s="1" t="s">
        <v>5279</v>
      </c>
      <c r="C444" s="41">
        <v>45138</v>
      </c>
      <c r="D444" s="1">
        <v>593714.32999999996</v>
      </c>
      <c r="E444" s="1" t="s">
        <v>6457</v>
      </c>
      <c r="F444" s="1" t="s">
        <v>6458</v>
      </c>
      <c r="G444" s="1" t="s">
        <v>17</v>
      </c>
      <c r="H444" s="1">
        <v>42</v>
      </c>
      <c r="I444" t="str">
        <f>IF(ISNA(_xlfn.XLOOKUP(B444, policy_details!$A$2:$A$2829, policy_details!$A$2:$A$2829)), "Invalid", "Ok")</f>
        <v>Ok</v>
      </c>
    </row>
    <row r="445" spans="1:9" x14ac:dyDescent="0.3">
      <c r="A445" s="1" t="s">
        <v>6907</v>
      </c>
      <c r="B445" s="1" t="s">
        <v>4077</v>
      </c>
      <c r="C445" s="41">
        <v>46265</v>
      </c>
      <c r="D445" s="1">
        <v>304568.99</v>
      </c>
      <c r="E445" s="1" t="s">
        <v>6457</v>
      </c>
      <c r="F445" s="1" t="s">
        <v>6461</v>
      </c>
      <c r="G445" s="1" t="s">
        <v>17</v>
      </c>
      <c r="H445" s="1">
        <v>37</v>
      </c>
      <c r="I445" t="str">
        <f>IF(ISNA(_xlfn.XLOOKUP(B445, policy_details!$A$2:$A$2829, policy_details!$A$2:$A$2829)), "Invalid", "Ok")</f>
        <v>Ok</v>
      </c>
    </row>
    <row r="446" spans="1:9" x14ac:dyDescent="0.3">
      <c r="A446" s="1" t="s">
        <v>6908</v>
      </c>
      <c r="B446" s="1" t="s">
        <v>5633</v>
      </c>
      <c r="C446" s="41">
        <v>44585</v>
      </c>
      <c r="D446" s="1">
        <v>269324.12</v>
      </c>
      <c r="E446" s="1" t="s">
        <v>6460</v>
      </c>
      <c r="F446" s="1" t="s">
        <v>6466</v>
      </c>
      <c r="G446" s="1" t="s">
        <v>17</v>
      </c>
      <c r="H446" s="1">
        <v>42</v>
      </c>
      <c r="I446" t="str">
        <f>IF(ISNA(_xlfn.XLOOKUP(B446, policy_details!$A$2:$A$2829, policy_details!$A$2:$A$2829)), "Invalid", "Ok")</f>
        <v>Ok</v>
      </c>
    </row>
    <row r="447" spans="1:9" x14ac:dyDescent="0.3">
      <c r="A447" s="1" t="s">
        <v>6909</v>
      </c>
      <c r="B447" s="1" t="s">
        <v>5731</v>
      </c>
      <c r="C447" s="41">
        <v>44583</v>
      </c>
      <c r="D447" s="1">
        <v>173323.79</v>
      </c>
      <c r="E447" s="1" t="s">
        <v>6464</v>
      </c>
      <c r="F447" s="1" t="s">
        <v>6481</v>
      </c>
      <c r="G447" s="1" t="s">
        <v>17</v>
      </c>
      <c r="H447" s="1">
        <v>43</v>
      </c>
      <c r="I447" t="str">
        <f>IF(ISNA(_xlfn.XLOOKUP(B447, policy_details!$A$2:$A$2829, policy_details!$A$2:$A$2829)), "Invalid", "Ok")</f>
        <v>Ok</v>
      </c>
    </row>
    <row r="448" spans="1:9" x14ac:dyDescent="0.3">
      <c r="A448" s="1" t="s">
        <v>6910</v>
      </c>
      <c r="B448" s="1" t="s">
        <v>4783</v>
      </c>
      <c r="C448" s="41">
        <v>46151</v>
      </c>
      <c r="D448" s="1">
        <v>99555.38</v>
      </c>
      <c r="E448" s="1" t="s">
        <v>6460</v>
      </c>
      <c r="F448" s="1" t="s">
        <v>6470</v>
      </c>
      <c r="G448" s="1" t="s">
        <v>17</v>
      </c>
      <c r="H448" s="1">
        <v>5</v>
      </c>
      <c r="I448" t="str">
        <f>IF(ISNA(_xlfn.XLOOKUP(B448, policy_details!$A$2:$A$2829, policy_details!$A$2:$A$2829)), "Invalid", "Ok")</f>
        <v>Ok</v>
      </c>
    </row>
    <row r="449" spans="1:9" x14ac:dyDescent="0.3">
      <c r="A449" s="1" t="s">
        <v>6911</v>
      </c>
      <c r="B449" s="1" t="s">
        <v>5361</v>
      </c>
      <c r="C449" s="41">
        <v>44852</v>
      </c>
      <c r="D449" s="1">
        <v>177150.78</v>
      </c>
      <c r="E449" s="1" t="s">
        <v>6460</v>
      </c>
      <c r="F449" s="1" t="s">
        <v>6481</v>
      </c>
      <c r="G449" s="1" t="s">
        <v>17</v>
      </c>
      <c r="H449" s="1">
        <v>30</v>
      </c>
      <c r="I449" t="str">
        <f>IF(ISNA(_xlfn.XLOOKUP(B449, policy_details!$A$2:$A$2829, policy_details!$A$2:$A$2829)), "Invalid", "Ok")</f>
        <v>Ok</v>
      </c>
    </row>
    <row r="450" spans="1:9" x14ac:dyDescent="0.3">
      <c r="A450" s="1" t="s">
        <v>6912</v>
      </c>
      <c r="B450" s="1" t="s">
        <v>4982</v>
      </c>
      <c r="C450" s="41">
        <v>45361</v>
      </c>
      <c r="D450" s="1">
        <v>308054.5</v>
      </c>
      <c r="E450" s="1" t="s">
        <v>6457</v>
      </c>
      <c r="F450" s="1" t="s">
        <v>6481</v>
      </c>
      <c r="G450" s="1" t="s">
        <v>17</v>
      </c>
      <c r="H450" s="1">
        <v>25</v>
      </c>
      <c r="I450" t="str">
        <f>IF(ISNA(_xlfn.XLOOKUP(B450, policy_details!$A$2:$A$2829, policy_details!$A$2:$A$2829)), "Invalid", "Ok")</f>
        <v>Ok</v>
      </c>
    </row>
    <row r="451" spans="1:9" x14ac:dyDescent="0.3">
      <c r="A451" s="1" t="s">
        <v>6913</v>
      </c>
      <c r="B451" s="1" t="s">
        <v>4547</v>
      </c>
      <c r="C451" s="41">
        <v>45491</v>
      </c>
      <c r="D451" s="1">
        <v>95184.9</v>
      </c>
      <c r="E451" s="1" t="s">
        <v>6460</v>
      </c>
      <c r="F451" s="1" t="s">
        <v>6461</v>
      </c>
      <c r="G451" s="1" t="s">
        <v>17</v>
      </c>
      <c r="H451" s="1">
        <v>22</v>
      </c>
      <c r="I451" t="str">
        <f>IF(ISNA(_xlfn.XLOOKUP(B451, policy_details!$A$2:$A$2829, policy_details!$A$2:$A$2829)), "Invalid", "Ok")</f>
        <v>Ok</v>
      </c>
    </row>
    <row r="452" spans="1:9" x14ac:dyDescent="0.3">
      <c r="A452" s="1" t="s">
        <v>6914</v>
      </c>
      <c r="B452" s="1" t="s">
        <v>5518</v>
      </c>
      <c r="C452" s="41">
        <v>45443</v>
      </c>
      <c r="D452" s="1">
        <v>391569.11</v>
      </c>
      <c r="E452" s="1" t="s">
        <v>6457</v>
      </c>
      <c r="F452" s="1" t="s">
        <v>6470</v>
      </c>
      <c r="G452" s="1" t="s">
        <v>17</v>
      </c>
      <c r="H452" s="1">
        <v>36</v>
      </c>
      <c r="I452" t="str">
        <f>IF(ISNA(_xlfn.XLOOKUP(B452, policy_details!$A$2:$A$2829, policy_details!$A$2:$A$2829)), "Invalid", "Ok")</f>
        <v>Ok</v>
      </c>
    </row>
    <row r="453" spans="1:9" x14ac:dyDescent="0.3">
      <c r="A453" s="1" t="s">
        <v>6915</v>
      </c>
      <c r="B453" s="1" t="s">
        <v>4286</v>
      </c>
      <c r="C453" s="41">
        <v>45205</v>
      </c>
      <c r="D453" s="1">
        <v>225322.04</v>
      </c>
      <c r="E453" s="1" t="s">
        <v>6460</v>
      </c>
      <c r="F453" s="1" t="s">
        <v>6481</v>
      </c>
      <c r="G453" s="1" t="s">
        <v>17</v>
      </c>
      <c r="H453" s="1">
        <v>42</v>
      </c>
      <c r="I453" t="str">
        <f>IF(ISNA(_xlfn.XLOOKUP(B453, policy_details!$A$2:$A$2829, policy_details!$A$2:$A$2829)), "Invalid", "Ok")</f>
        <v>Ok</v>
      </c>
    </row>
    <row r="454" spans="1:9" x14ac:dyDescent="0.3">
      <c r="A454" s="1" t="s">
        <v>6916</v>
      </c>
      <c r="B454" s="1" t="s">
        <v>4531</v>
      </c>
      <c r="C454" s="41">
        <v>45781</v>
      </c>
      <c r="D454" s="1">
        <v>354846.09</v>
      </c>
      <c r="E454" s="1" t="s">
        <v>6464</v>
      </c>
      <c r="F454" s="1" t="s">
        <v>6481</v>
      </c>
      <c r="G454" s="1" t="s">
        <v>17</v>
      </c>
      <c r="H454" s="1">
        <v>21</v>
      </c>
      <c r="I454" t="str">
        <f>IF(ISNA(_xlfn.XLOOKUP(B454, policy_details!$A$2:$A$2829, policy_details!$A$2:$A$2829)), "Invalid", "Ok")</f>
        <v>Ok</v>
      </c>
    </row>
    <row r="455" spans="1:9" x14ac:dyDescent="0.3">
      <c r="A455" s="1" t="s">
        <v>6917</v>
      </c>
      <c r="B455" s="1" t="s">
        <v>4760</v>
      </c>
      <c r="C455" s="41">
        <v>45990</v>
      </c>
      <c r="D455" s="1">
        <v>340807.04</v>
      </c>
      <c r="E455" s="1" t="s">
        <v>6460</v>
      </c>
      <c r="F455" s="1" t="s">
        <v>6481</v>
      </c>
      <c r="G455" s="1" t="s">
        <v>17</v>
      </c>
      <c r="H455" s="1">
        <v>29</v>
      </c>
      <c r="I455" t="str">
        <f>IF(ISNA(_xlfn.XLOOKUP(B455, policy_details!$A$2:$A$2829, policy_details!$A$2:$A$2829)), "Invalid", "Ok")</f>
        <v>Ok</v>
      </c>
    </row>
    <row r="456" spans="1:9" x14ac:dyDescent="0.3">
      <c r="A456" s="1" t="s">
        <v>6918</v>
      </c>
      <c r="B456" s="1" t="s">
        <v>5355</v>
      </c>
      <c r="C456" s="41">
        <v>45406</v>
      </c>
      <c r="D456" s="1">
        <v>337506.81</v>
      </c>
      <c r="E456" s="1" t="s">
        <v>6457</v>
      </c>
      <c r="F456" s="1" t="s">
        <v>6461</v>
      </c>
      <c r="G456" s="1" t="s">
        <v>17</v>
      </c>
      <c r="H456" s="1">
        <v>22</v>
      </c>
      <c r="I456" t="str">
        <f>IF(ISNA(_xlfn.XLOOKUP(B456, policy_details!$A$2:$A$2829, policy_details!$A$2:$A$2829)), "Invalid", "Ok")</f>
        <v>Ok</v>
      </c>
    </row>
    <row r="457" spans="1:9" x14ac:dyDescent="0.3">
      <c r="A457" s="1" t="s">
        <v>6919</v>
      </c>
      <c r="B457" s="1" t="s">
        <v>6030</v>
      </c>
      <c r="C457" s="41">
        <v>44535</v>
      </c>
      <c r="D457" s="1">
        <v>120500.04</v>
      </c>
      <c r="E457" s="1" t="s">
        <v>6457</v>
      </c>
      <c r="F457" s="1" t="s">
        <v>6461</v>
      </c>
      <c r="G457" s="1" t="s">
        <v>17</v>
      </c>
      <c r="H457" s="1">
        <v>28</v>
      </c>
      <c r="I457" t="str">
        <f>IF(ISNA(_xlfn.XLOOKUP(B457, policy_details!$A$2:$A$2829, policy_details!$A$2:$A$2829)), "Invalid", "Ok")</f>
        <v>Ok</v>
      </c>
    </row>
    <row r="458" spans="1:9" x14ac:dyDescent="0.3">
      <c r="A458" s="1" t="s">
        <v>6920</v>
      </c>
      <c r="B458" s="1" t="s">
        <v>5356</v>
      </c>
      <c r="C458" s="41">
        <v>45304</v>
      </c>
      <c r="D458" s="1">
        <v>189805.14</v>
      </c>
      <c r="E458" s="1" t="s">
        <v>6460</v>
      </c>
      <c r="F458" s="1" t="s">
        <v>6470</v>
      </c>
      <c r="G458" s="1" t="s">
        <v>17</v>
      </c>
      <c r="H458" s="1">
        <v>43</v>
      </c>
      <c r="I458" t="str">
        <f>IF(ISNA(_xlfn.XLOOKUP(B458, policy_details!$A$2:$A$2829, policy_details!$A$2:$A$2829)), "Invalid", "Ok")</f>
        <v>Ok</v>
      </c>
    </row>
    <row r="459" spans="1:9" x14ac:dyDescent="0.3">
      <c r="A459" s="1" t="s">
        <v>6921</v>
      </c>
      <c r="B459" s="1" t="s">
        <v>5670</v>
      </c>
      <c r="C459" s="41">
        <v>45400</v>
      </c>
      <c r="D459" s="1">
        <v>446615.26</v>
      </c>
      <c r="E459" s="1" t="s">
        <v>6464</v>
      </c>
      <c r="F459" s="1" t="s">
        <v>6458</v>
      </c>
      <c r="G459" s="1" t="s">
        <v>30</v>
      </c>
      <c r="H459" s="1">
        <v>36</v>
      </c>
      <c r="I459" t="str">
        <f>IF(ISNA(_xlfn.XLOOKUP(B459, policy_details!$A$2:$A$2829, policy_details!$A$2:$A$2829)), "Invalid", "Ok")</f>
        <v>Ok</v>
      </c>
    </row>
    <row r="460" spans="1:9" x14ac:dyDescent="0.3">
      <c r="A460" s="1" t="s">
        <v>6922</v>
      </c>
      <c r="B460" s="1" t="s">
        <v>4425</v>
      </c>
      <c r="C460" s="41">
        <v>45247</v>
      </c>
      <c r="D460" s="1">
        <v>157939.07999999999</v>
      </c>
      <c r="E460" s="1" t="s">
        <v>6464</v>
      </c>
      <c r="F460" s="1" t="s">
        <v>6461</v>
      </c>
      <c r="G460" s="1" t="s">
        <v>17</v>
      </c>
      <c r="H460" s="1">
        <v>11</v>
      </c>
      <c r="I460" t="str">
        <f>IF(ISNA(_xlfn.XLOOKUP(B460, policy_details!$A$2:$A$2829, policy_details!$A$2:$A$2829)), "Invalid", "Ok")</f>
        <v>Ok</v>
      </c>
    </row>
    <row r="461" spans="1:9" x14ac:dyDescent="0.3">
      <c r="A461" s="1" t="s">
        <v>6923</v>
      </c>
      <c r="B461" s="1" t="s">
        <v>5277</v>
      </c>
      <c r="C461" s="41">
        <v>44933</v>
      </c>
      <c r="D461" s="1">
        <v>442069.32</v>
      </c>
      <c r="E461" s="1" t="s">
        <v>6460</v>
      </c>
      <c r="F461" s="1" t="s">
        <v>6481</v>
      </c>
      <c r="G461" s="1" t="s">
        <v>17</v>
      </c>
      <c r="H461" s="1">
        <v>39</v>
      </c>
      <c r="I461" t="str">
        <f>IF(ISNA(_xlfn.XLOOKUP(B461, policy_details!$A$2:$A$2829, policy_details!$A$2:$A$2829)), "Invalid", "Ok")</f>
        <v>Ok</v>
      </c>
    </row>
    <row r="462" spans="1:9" x14ac:dyDescent="0.3">
      <c r="A462" s="1" t="s">
        <v>6924</v>
      </c>
      <c r="B462" s="1" t="s">
        <v>3797</v>
      </c>
      <c r="C462" s="41">
        <v>45969</v>
      </c>
      <c r="D462" s="1">
        <v>167397.49</v>
      </c>
      <c r="E462" s="1" t="s">
        <v>6460</v>
      </c>
      <c r="F462" s="1" t="s">
        <v>6461</v>
      </c>
      <c r="G462" s="1" t="s">
        <v>17</v>
      </c>
      <c r="H462" s="1">
        <v>24</v>
      </c>
      <c r="I462" t="str">
        <f>IF(ISNA(_xlfn.XLOOKUP(B462, policy_details!$A$2:$A$2829, policy_details!$A$2:$A$2829)), "Invalid", "Ok")</f>
        <v>Ok</v>
      </c>
    </row>
    <row r="463" spans="1:9" x14ac:dyDescent="0.3">
      <c r="A463" s="1" t="s">
        <v>6925</v>
      </c>
      <c r="B463" s="1" t="s">
        <v>4923</v>
      </c>
      <c r="C463" s="41">
        <v>44977</v>
      </c>
      <c r="D463" s="1">
        <v>699217.82</v>
      </c>
      <c r="E463" s="1" t="s">
        <v>6460</v>
      </c>
      <c r="F463" s="1" t="s">
        <v>6466</v>
      </c>
      <c r="G463" s="1" t="s">
        <v>17</v>
      </c>
      <c r="H463" s="1">
        <v>26</v>
      </c>
      <c r="I463" t="str">
        <f>IF(ISNA(_xlfn.XLOOKUP(B463, policy_details!$A$2:$A$2829, policy_details!$A$2:$A$2829)), "Invalid", "Ok")</f>
        <v>Ok</v>
      </c>
    </row>
    <row r="464" spans="1:9" x14ac:dyDescent="0.3">
      <c r="A464" s="1" t="s">
        <v>6926</v>
      </c>
      <c r="B464" s="1" t="s">
        <v>5567</v>
      </c>
      <c r="C464" s="41">
        <v>44887</v>
      </c>
      <c r="D464" s="1">
        <v>233413.56</v>
      </c>
      <c r="E464" s="1" t="s">
        <v>6457</v>
      </c>
      <c r="F464" s="1" t="s">
        <v>6470</v>
      </c>
      <c r="G464" s="1" t="s">
        <v>17</v>
      </c>
      <c r="H464" s="1">
        <v>6</v>
      </c>
      <c r="I464" t="str">
        <f>IF(ISNA(_xlfn.XLOOKUP(B464, policy_details!$A$2:$A$2829, policy_details!$A$2:$A$2829)), "Invalid", "Ok")</f>
        <v>Ok</v>
      </c>
    </row>
    <row r="465" spans="1:9" x14ac:dyDescent="0.3">
      <c r="A465" s="1" t="s">
        <v>6927</v>
      </c>
      <c r="B465" s="1" t="s">
        <v>4075</v>
      </c>
      <c r="C465" s="41">
        <v>44886</v>
      </c>
      <c r="D465" s="1">
        <v>114483.32</v>
      </c>
      <c r="E465" s="1" t="s">
        <v>6457</v>
      </c>
      <c r="F465" s="1" t="s">
        <v>6461</v>
      </c>
      <c r="G465" s="1" t="s">
        <v>30</v>
      </c>
      <c r="H465" s="1">
        <v>20</v>
      </c>
      <c r="I465" t="str">
        <f>IF(ISNA(_xlfn.XLOOKUP(B465, policy_details!$A$2:$A$2829, policy_details!$A$2:$A$2829)), "Invalid", "Ok")</f>
        <v>Ok</v>
      </c>
    </row>
    <row r="466" spans="1:9" x14ac:dyDescent="0.3">
      <c r="A466" s="1" t="s">
        <v>6928</v>
      </c>
      <c r="B466" s="1" t="s">
        <v>6171</v>
      </c>
      <c r="C466" s="41">
        <v>45844</v>
      </c>
      <c r="D466" s="1">
        <v>313984.40000000002</v>
      </c>
      <c r="E466" s="1" t="s">
        <v>6460</v>
      </c>
      <c r="F466" s="1" t="s">
        <v>6481</v>
      </c>
      <c r="G466" s="1" t="s">
        <v>17</v>
      </c>
      <c r="H466" s="1">
        <v>14</v>
      </c>
      <c r="I466" t="str">
        <f>IF(ISNA(_xlfn.XLOOKUP(B466, policy_details!$A$2:$A$2829, policy_details!$A$2:$A$2829)), "Invalid", "Ok")</f>
        <v>Ok</v>
      </c>
    </row>
    <row r="467" spans="1:9" x14ac:dyDescent="0.3">
      <c r="A467" s="1" t="s">
        <v>6929</v>
      </c>
      <c r="B467" s="1" t="s">
        <v>4792</v>
      </c>
      <c r="C467" s="41">
        <v>45103</v>
      </c>
      <c r="D467" s="1">
        <v>86596.5</v>
      </c>
      <c r="E467" s="1" t="s">
        <v>6457</v>
      </c>
      <c r="F467" s="1" t="s">
        <v>6470</v>
      </c>
      <c r="G467" s="1" t="s">
        <v>17</v>
      </c>
      <c r="H467" s="1">
        <v>4</v>
      </c>
      <c r="I467" t="str">
        <f>IF(ISNA(_xlfn.XLOOKUP(B467, policy_details!$A$2:$A$2829, policy_details!$A$2:$A$2829)), "Invalid", "Ok")</f>
        <v>Ok</v>
      </c>
    </row>
    <row r="468" spans="1:9" x14ac:dyDescent="0.3">
      <c r="A468" s="1" t="s">
        <v>6930</v>
      </c>
      <c r="B468" s="1" t="s">
        <v>5514</v>
      </c>
      <c r="C468" s="41">
        <v>45274</v>
      </c>
      <c r="D468" s="1">
        <v>603595.51</v>
      </c>
      <c r="E468" s="1" t="s">
        <v>6457</v>
      </c>
      <c r="F468" s="1" t="s">
        <v>6458</v>
      </c>
      <c r="G468" s="1" t="s">
        <v>17</v>
      </c>
      <c r="H468" s="1">
        <v>38</v>
      </c>
      <c r="I468" t="str">
        <f>IF(ISNA(_xlfn.XLOOKUP(B468, policy_details!$A$2:$A$2829, policy_details!$A$2:$A$2829)), "Invalid", "Ok")</f>
        <v>Ok</v>
      </c>
    </row>
    <row r="469" spans="1:9" x14ac:dyDescent="0.3">
      <c r="A469" s="1" t="s">
        <v>6931</v>
      </c>
      <c r="B469" s="1" t="s">
        <v>4942</v>
      </c>
      <c r="C469" s="41">
        <v>45808</v>
      </c>
      <c r="D469" s="1">
        <v>489747.6</v>
      </c>
      <c r="E469" s="1" t="s">
        <v>6464</v>
      </c>
      <c r="F469" s="1" t="s">
        <v>6458</v>
      </c>
      <c r="G469" s="1" t="s">
        <v>17</v>
      </c>
      <c r="H469" s="1">
        <v>6</v>
      </c>
      <c r="I469" t="str">
        <f>IF(ISNA(_xlfn.XLOOKUP(B469, policy_details!$A$2:$A$2829, policy_details!$A$2:$A$2829)), "Invalid", "Ok")</f>
        <v>Ok</v>
      </c>
    </row>
    <row r="470" spans="1:9" x14ac:dyDescent="0.3">
      <c r="A470" s="1" t="s">
        <v>6932</v>
      </c>
      <c r="B470" s="1" t="s">
        <v>5688</v>
      </c>
      <c r="C470" s="41">
        <v>44652</v>
      </c>
      <c r="D470" s="1">
        <v>181455.84</v>
      </c>
      <c r="E470" s="1" t="s">
        <v>6460</v>
      </c>
      <c r="F470" s="1" t="s">
        <v>6470</v>
      </c>
      <c r="G470" s="1" t="s">
        <v>17</v>
      </c>
      <c r="H470" s="1">
        <v>32</v>
      </c>
      <c r="I470" t="str">
        <f>IF(ISNA(_xlfn.XLOOKUP(B470, policy_details!$A$2:$A$2829, policy_details!$A$2:$A$2829)), "Invalid", "Ok")</f>
        <v>Ok</v>
      </c>
    </row>
    <row r="471" spans="1:9" x14ac:dyDescent="0.3">
      <c r="A471" s="1" t="s">
        <v>6933</v>
      </c>
      <c r="B471" s="1" t="s">
        <v>5268</v>
      </c>
      <c r="C471" s="41">
        <v>44882</v>
      </c>
      <c r="D471" s="1">
        <v>174634.51</v>
      </c>
      <c r="E471" s="1" t="s">
        <v>6457</v>
      </c>
      <c r="F471" s="1" t="s">
        <v>6470</v>
      </c>
      <c r="G471" s="1" t="s">
        <v>17</v>
      </c>
      <c r="H471" s="1">
        <v>33</v>
      </c>
      <c r="I471" t="str">
        <f>IF(ISNA(_xlfn.XLOOKUP(B471, policy_details!$A$2:$A$2829, policy_details!$A$2:$A$2829)), "Invalid", "Ok")</f>
        <v>Ok</v>
      </c>
    </row>
    <row r="472" spans="1:9" x14ac:dyDescent="0.3">
      <c r="A472" s="1" t="s">
        <v>6934</v>
      </c>
      <c r="B472" s="1" t="s">
        <v>3875</v>
      </c>
      <c r="C472" s="41">
        <v>45780</v>
      </c>
      <c r="D472" s="1">
        <v>274016.99</v>
      </c>
      <c r="E472" s="1" t="s">
        <v>6464</v>
      </c>
      <c r="F472" s="1" t="s">
        <v>6461</v>
      </c>
      <c r="G472" s="1" t="s">
        <v>17</v>
      </c>
      <c r="H472" s="1">
        <v>27</v>
      </c>
      <c r="I472" t="str">
        <f>IF(ISNA(_xlfn.XLOOKUP(B472, policy_details!$A$2:$A$2829, policy_details!$A$2:$A$2829)), "Invalid", "Ok")</f>
        <v>Ok</v>
      </c>
    </row>
    <row r="473" spans="1:9" x14ac:dyDescent="0.3">
      <c r="A473" s="1" t="s">
        <v>6935</v>
      </c>
      <c r="B473" s="1" t="s">
        <v>6236</v>
      </c>
      <c r="C473" s="41">
        <v>46050</v>
      </c>
      <c r="D473" s="1">
        <v>237918.14</v>
      </c>
      <c r="E473" s="1" t="s">
        <v>6457</v>
      </c>
      <c r="F473" s="1" t="s">
        <v>6481</v>
      </c>
      <c r="G473" s="1" t="s">
        <v>17</v>
      </c>
      <c r="H473" s="1">
        <v>37</v>
      </c>
      <c r="I473" t="str">
        <f>IF(ISNA(_xlfn.XLOOKUP(B473, policy_details!$A$2:$A$2829, policy_details!$A$2:$A$2829)), "Invalid", "Ok")</f>
        <v>Ok</v>
      </c>
    </row>
    <row r="474" spans="1:9" x14ac:dyDescent="0.3">
      <c r="A474" s="1" t="s">
        <v>6936</v>
      </c>
      <c r="B474" s="1" t="s">
        <v>5484</v>
      </c>
      <c r="C474" s="41">
        <v>45103</v>
      </c>
      <c r="D474" s="1">
        <v>109038.06</v>
      </c>
      <c r="E474" s="1" t="s">
        <v>6464</v>
      </c>
      <c r="F474" s="1" t="s">
        <v>6470</v>
      </c>
      <c r="G474" s="1" t="s">
        <v>17</v>
      </c>
      <c r="H474" s="1">
        <v>6</v>
      </c>
      <c r="I474" t="str">
        <f>IF(ISNA(_xlfn.XLOOKUP(B474, policy_details!$A$2:$A$2829, policy_details!$A$2:$A$2829)), "Invalid", "Ok")</f>
        <v>Ok</v>
      </c>
    </row>
    <row r="475" spans="1:9" x14ac:dyDescent="0.3">
      <c r="A475" s="1" t="s">
        <v>6937</v>
      </c>
      <c r="B475" s="1" t="s">
        <v>4947</v>
      </c>
      <c r="C475" s="41">
        <v>45085</v>
      </c>
      <c r="D475" s="1">
        <v>392531.08</v>
      </c>
      <c r="E475" s="1" t="s">
        <v>6460</v>
      </c>
      <c r="F475" s="1" t="s">
        <v>6470</v>
      </c>
      <c r="G475" s="1" t="s">
        <v>17</v>
      </c>
      <c r="H475" s="1">
        <v>1</v>
      </c>
      <c r="I475" t="str">
        <f>IF(ISNA(_xlfn.XLOOKUP(B475, policy_details!$A$2:$A$2829, policy_details!$A$2:$A$2829)), "Invalid", "Ok")</f>
        <v>Ok</v>
      </c>
    </row>
    <row r="476" spans="1:9" x14ac:dyDescent="0.3">
      <c r="A476" s="1" t="s">
        <v>6938</v>
      </c>
      <c r="B476" s="1" t="s">
        <v>5530</v>
      </c>
      <c r="C476" s="41">
        <v>45365</v>
      </c>
      <c r="D476" s="1">
        <v>41290.67</v>
      </c>
      <c r="E476" s="1" t="s">
        <v>6460</v>
      </c>
      <c r="F476" s="1" t="s">
        <v>6470</v>
      </c>
      <c r="G476" s="1" t="s">
        <v>17</v>
      </c>
      <c r="H476" s="1">
        <v>38</v>
      </c>
      <c r="I476" t="str">
        <f>IF(ISNA(_xlfn.XLOOKUP(B476, policy_details!$A$2:$A$2829, policy_details!$A$2:$A$2829)), "Invalid", "Ok")</f>
        <v>Ok</v>
      </c>
    </row>
    <row r="477" spans="1:9" x14ac:dyDescent="0.3">
      <c r="A477" s="1" t="s">
        <v>6939</v>
      </c>
      <c r="B477" s="1" t="s">
        <v>4330</v>
      </c>
      <c r="C477" s="41">
        <v>46113</v>
      </c>
      <c r="D477" s="1">
        <v>224272.16</v>
      </c>
      <c r="E477" s="1" t="s">
        <v>6460</v>
      </c>
      <c r="F477" s="1" t="s">
        <v>6466</v>
      </c>
      <c r="G477" s="1" t="s">
        <v>17</v>
      </c>
      <c r="H477" s="1">
        <v>9</v>
      </c>
      <c r="I477" t="str">
        <f>IF(ISNA(_xlfn.XLOOKUP(B477, policy_details!$A$2:$A$2829, policy_details!$A$2:$A$2829)), "Invalid", "Ok")</f>
        <v>Ok</v>
      </c>
    </row>
    <row r="478" spans="1:9" x14ac:dyDescent="0.3">
      <c r="A478" s="1" t="s">
        <v>6940</v>
      </c>
      <c r="B478" s="1" t="s">
        <v>5790</v>
      </c>
      <c r="C478" s="41">
        <v>45635</v>
      </c>
      <c r="D478" s="1">
        <v>167241.53</v>
      </c>
      <c r="E478" s="1" t="s">
        <v>6457</v>
      </c>
      <c r="F478" s="1" t="s">
        <v>6461</v>
      </c>
      <c r="G478" s="1" t="s">
        <v>17</v>
      </c>
      <c r="H478" s="1">
        <v>14</v>
      </c>
      <c r="I478" t="str">
        <f>IF(ISNA(_xlfn.XLOOKUP(B478, policy_details!$A$2:$A$2829, policy_details!$A$2:$A$2829)), "Invalid", "Ok")</f>
        <v>Ok</v>
      </c>
    </row>
    <row r="479" spans="1:9" x14ac:dyDescent="0.3">
      <c r="A479" s="1" t="s">
        <v>6941</v>
      </c>
      <c r="B479" s="1" t="s">
        <v>4776</v>
      </c>
      <c r="C479" s="41">
        <v>45547</v>
      </c>
      <c r="D479" s="1">
        <v>248717.36</v>
      </c>
      <c r="E479" s="1" t="s">
        <v>6464</v>
      </c>
      <c r="F479" s="1" t="s">
        <v>6481</v>
      </c>
      <c r="G479" s="1" t="s">
        <v>17</v>
      </c>
      <c r="H479" s="1">
        <v>31</v>
      </c>
      <c r="I479" t="str">
        <f>IF(ISNA(_xlfn.XLOOKUP(B479, policy_details!$A$2:$A$2829, policy_details!$A$2:$A$2829)), "Invalid", "Ok")</f>
        <v>Ok</v>
      </c>
    </row>
    <row r="480" spans="1:9" x14ac:dyDescent="0.3">
      <c r="A480" s="1" t="s">
        <v>6942</v>
      </c>
      <c r="B480" s="1" t="s">
        <v>5895</v>
      </c>
      <c r="C480" s="41">
        <v>45262</v>
      </c>
      <c r="D480" s="1">
        <v>192612.66</v>
      </c>
      <c r="E480" s="1" t="s">
        <v>6464</v>
      </c>
      <c r="F480" s="1" t="s">
        <v>6461</v>
      </c>
      <c r="G480" s="1" t="s">
        <v>30</v>
      </c>
      <c r="H480" s="1">
        <v>24</v>
      </c>
      <c r="I480" t="str">
        <f>IF(ISNA(_xlfn.XLOOKUP(B480, policy_details!$A$2:$A$2829, policy_details!$A$2:$A$2829)), "Invalid", "Ok")</f>
        <v>Ok</v>
      </c>
    </row>
    <row r="481" spans="1:9" x14ac:dyDescent="0.3">
      <c r="A481" s="1" t="s">
        <v>6943</v>
      </c>
      <c r="B481" s="1" t="s">
        <v>4369</v>
      </c>
      <c r="C481" s="41">
        <v>45207</v>
      </c>
      <c r="D481" s="1">
        <v>158535.79</v>
      </c>
      <c r="E481" s="1" t="s">
        <v>6464</v>
      </c>
      <c r="F481" s="1" t="s">
        <v>6461</v>
      </c>
      <c r="G481" s="1" t="s">
        <v>17</v>
      </c>
      <c r="H481" s="1">
        <v>9</v>
      </c>
      <c r="I481" t="str">
        <f>IF(ISNA(_xlfn.XLOOKUP(B481, policy_details!$A$2:$A$2829, policy_details!$A$2:$A$2829)), "Invalid", "Ok")</f>
        <v>Ok</v>
      </c>
    </row>
    <row r="482" spans="1:9" x14ac:dyDescent="0.3">
      <c r="A482" s="1" t="s">
        <v>6944</v>
      </c>
      <c r="B482" s="1" t="s">
        <v>5852</v>
      </c>
      <c r="C482" s="41">
        <v>45482</v>
      </c>
      <c r="D482" s="1">
        <v>192571.07</v>
      </c>
      <c r="E482" s="1" t="s">
        <v>6457</v>
      </c>
      <c r="F482" s="1" t="s">
        <v>6461</v>
      </c>
      <c r="G482" s="1" t="s">
        <v>17</v>
      </c>
      <c r="H482" s="1">
        <v>11</v>
      </c>
      <c r="I482" t="str">
        <f>IF(ISNA(_xlfn.XLOOKUP(B482, policy_details!$A$2:$A$2829, policy_details!$A$2:$A$2829)), "Invalid", "Ok")</f>
        <v>Ok</v>
      </c>
    </row>
    <row r="483" spans="1:9" x14ac:dyDescent="0.3">
      <c r="A483" s="1" t="s">
        <v>6945</v>
      </c>
      <c r="B483" s="1" t="s">
        <v>6186</v>
      </c>
      <c r="C483" s="41">
        <v>45952</v>
      </c>
      <c r="D483" s="1">
        <v>133199.39000000001</v>
      </c>
      <c r="E483" s="1" t="s">
        <v>6457</v>
      </c>
      <c r="F483" s="1" t="s">
        <v>6470</v>
      </c>
      <c r="G483" s="1" t="s">
        <v>17</v>
      </c>
      <c r="H483" s="1">
        <v>37</v>
      </c>
      <c r="I483" t="str">
        <f>IF(ISNA(_xlfn.XLOOKUP(B483, policy_details!$A$2:$A$2829, policy_details!$A$2:$A$2829)), "Invalid", "Ok")</f>
        <v>Ok</v>
      </c>
    </row>
    <row r="484" spans="1:9" x14ac:dyDescent="0.3">
      <c r="A484" s="1" t="s">
        <v>6946</v>
      </c>
      <c r="B484" s="1" t="s">
        <v>6394</v>
      </c>
      <c r="C484" s="41">
        <v>44670</v>
      </c>
      <c r="D484" s="1">
        <v>433923.63</v>
      </c>
      <c r="E484" s="1" t="s">
        <v>6457</v>
      </c>
      <c r="F484" s="1" t="s">
        <v>6458</v>
      </c>
      <c r="G484" s="1" t="s">
        <v>17</v>
      </c>
      <c r="H484" s="1">
        <v>23</v>
      </c>
      <c r="I484" t="str">
        <f>IF(ISNA(_xlfn.XLOOKUP(B484, policy_details!$A$2:$A$2829, policy_details!$A$2:$A$2829)), "Invalid", "Ok")</f>
        <v>Ok</v>
      </c>
    </row>
    <row r="485" spans="1:9" x14ac:dyDescent="0.3">
      <c r="A485" s="1" t="s">
        <v>6947</v>
      </c>
      <c r="B485" s="1" t="s">
        <v>5813</v>
      </c>
      <c r="C485" s="41">
        <v>45424</v>
      </c>
      <c r="D485" s="1">
        <v>879380.89</v>
      </c>
      <c r="E485" s="1" t="s">
        <v>6460</v>
      </c>
      <c r="F485" s="1" t="s">
        <v>6458</v>
      </c>
      <c r="G485" s="1" t="s">
        <v>17</v>
      </c>
      <c r="H485" s="1">
        <v>41</v>
      </c>
      <c r="I485" t="str">
        <f>IF(ISNA(_xlfn.XLOOKUP(B485, policy_details!$A$2:$A$2829, policy_details!$A$2:$A$2829)), "Invalid", "Ok")</f>
        <v>Ok</v>
      </c>
    </row>
    <row r="486" spans="1:9" x14ac:dyDescent="0.3">
      <c r="A486" s="1" t="s">
        <v>6948</v>
      </c>
      <c r="B486" s="1" t="s">
        <v>5609</v>
      </c>
      <c r="C486" s="41">
        <v>45860</v>
      </c>
      <c r="D486" s="1">
        <v>89780.96</v>
      </c>
      <c r="E486" s="1" t="s">
        <v>6460</v>
      </c>
      <c r="F486" s="1" t="s">
        <v>6461</v>
      </c>
      <c r="G486" s="1" t="s">
        <v>17</v>
      </c>
      <c r="H486" s="1">
        <v>25</v>
      </c>
      <c r="I486" t="str">
        <f>IF(ISNA(_xlfn.XLOOKUP(B486, policy_details!$A$2:$A$2829, policy_details!$A$2:$A$2829)), "Invalid", "Ok")</f>
        <v>Ok</v>
      </c>
    </row>
    <row r="487" spans="1:9" x14ac:dyDescent="0.3">
      <c r="A487" s="1" t="s">
        <v>6949</v>
      </c>
      <c r="B487" s="1" t="s">
        <v>5085</v>
      </c>
      <c r="C487" s="41">
        <v>45186</v>
      </c>
      <c r="D487" s="1">
        <v>173677.22</v>
      </c>
      <c r="E487" s="1" t="s">
        <v>6460</v>
      </c>
      <c r="F487" s="1" t="s">
        <v>6481</v>
      </c>
      <c r="G487" s="1" t="s">
        <v>17</v>
      </c>
      <c r="H487" s="1">
        <v>30</v>
      </c>
      <c r="I487" t="str">
        <f>IF(ISNA(_xlfn.XLOOKUP(B487, policy_details!$A$2:$A$2829, policy_details!$A$2:$A$2829)), "Invalid", "Ok")</f>
        <v>Ok</v>
      </c>
    </row>
    <row r="488" spans="1:9" x14ac:dyDescent="0.3">
      <c r="A488" s="1" t="s">
        <v>6950</v>
      </c>
      <c r="B488" s="1" t="s">
        <v>3806</v>
      </c>
      <c r="C488" s="41">
        <v>45510</v>
      </c>
      <c r="D488" s="1">
        <v>321725.11</v>
      </c>
      <c r="E488" s="1" t="s">
        <v>6457</v>
      </c>
      <c r="F488" s="1" t="s">
        <v>6470</v>
      </c>
      <c r="G488" s="1" t="s">
        <v>30</v>
      </c>
      <c r="H488" s="1">
        <v>15</v>
      </c>
      <c r="I488" t="str">
        <f>IF(ISNA(_xlfn.XLOOKUP(B488, policy_details!$A$2:$A$2829, policy_details!$A$2:$A$2829)), "Invalid", "Ok")</f>
        <v>Ok</v>
      </c>
    </row>
    <row r="489" spans="1:9" x14ac:dyDescent="0.3">
      <c r="A489" s="1" t="s">
        <v>6951</v>
      </c>
      <c r="B489" s="1" t="s">
        <v>5199</v>
      </c>
      <c r="C489" s="41">
        <v>44694</v>
      </c>
      <c r="D489" s="1">
        <v>392272.11</v>
      </c>
      <c r="E489" s="1" t="s">
        <v>6460</v>
      </c>
      <c r="F489" s="1" t="s">
        <v>6470</v>
      </c>
      <c r="G489" s="1" t="s">
        <v>17</v>
      </c>
      <c r="H489" s="1">
        <v>2</v>
      </c>
      <c r="I489" t="str">
        <f>IF(ISNA(_xlfn.XLOOKUP(B489, policy_details!$A$2:$A$2829, policy_details!$A$2:$A$2829)), "Invalid", "Ok")</f>
        <v>Ok</v>
      </c>
    </row>
    <row r="490" spans="1:9" x14ac:dyDescent="0.3">
      <c r="A490" s="1" t="s">
        <v>6952</v>
      </c>
      <c r="B490" s="1" t="s">
        <v>5208</v>
      </c>
      <c r="C490" s="41">
        <v>44917</v>
      </c>
      <c r="D490" s="1">
        <v>318719.02</v>
      </c>
      <c r="E490" s="1" t="s">
        <v>6460</v>
      </c>
      <c r="F490" s="1" t="s">
        <v>6470</v>
      </c>
      <c r="G490" s="1" t="s">
        <v>17</v>
      </c>
      <c r="H490" s="1">
        <v>23</v>
      </c>
      <c r="I490" t="str">
        <f>IF(ISNA(_xlfn.XLOOKUP(B490, policy_details!$A$2:$A$2829, policy_details!$A$2:$A$2829)), "Invalid", "Ok")</f>
        <v>Ok</v>
      </c>
    </row>
    <row r="491" spans="1:9" x14ac:dyDescent="0.3">
      <c r="A491" s="1" t="s">
        <v>6953</v>
      </c>
      <c r="B491" s="1" t="s">
        <v>3633</v>
      </c>
      <c r="C491" s="41">
        <v>44966</v>
      </c>
      <c r="D491" s="1">
        <v>403490</v>
      </c>
      <c r="E491" s="1" t="s">
        <v>6460</v>
      </c>
      <c r="F491" s="1" t="s">
        <v>6481</v>
      </c>
      <c r="G491" s="1" t="s">
        <v>17</v>
      </c>
      <c r="H491" s="1">
        <v>33</v>
      </c>
      <c r="I491" t="str">
        <f>IF(ISNA(_xlfn.XLOOKUP(B491, policy_details!$A$2:$A$2829, policy_details!$A$2:$A$2829)), "Invalid", "Ok")</f>
        <v>Ok</v>
      </c>
    </row>
    <row r="492" spans="1:9" x14ac:dyDescent="0.3">
      <c r="A492" s="1" t="s">
        <v>6954</v>
      </c>
      <c r="B492" s="1" t="s">
        <v>5570</v>
      </c>
      <c r="C492" s="41">
        <v>45015</v>
      </c>
      <c r="D492" s="1">
        <v>185477.29</v>
      </c>
      <c r="E492" s="1" t="s">
        <v>6457</v>
      </c>
      <c r="F492" s="1" t="s">
        <v>6470</v>
      </c>
      <c r="G492" s="1" t="s">
        <v>30</v>
      </c>
      <c r="H492" s="1">
        <v>18</v>
      </c>
      <c r="I492" t="str">
        <f>IF(ISNA(_xlfn.XLOOKUP(B492, policy_details!$A$2:$A$2829, policy_details!$A$2:$A$2829)), "Invalid", "Ok")</f>
        <v>Ok</v>
      </c>
    </row>
    <row r="493" spans="1:9" x14ac:dyDescent="0.3">
      <c r="A493" s="1" t="s">
        <v>6955</v>
      </c>
      <c r="B493" s="1" t="s">
        <v>3962</v>
      </c>
      <c r="C493" s="41">
        <v>44590</v>
      </c>
      <c r="D493" s="1">
        <v>1495351.76</v>
      </c>
      <c r="E493" s="1" t="s">
        <v>6464</v>
      </c>
      <c r="F493" s="1" t="s">
        <v>6458</v>
      </c>
      <c r="G493" s="1" t="s">
        <v>30</v>
      </c>
      <c r="H493" s="1">
        <v>38</v>
      </c>
      <c r="I493" t="str">
        <f>IF(ISNA(_xlfn.XLOOKUP(B493, policy_details!$A$2:$A$2829, policy_details!$A$2:$A$2829)), "Invalid", "Ok")</f>
        <v>Ok</v>
      </c>
    </row>
    <row r="494" spans="1:9" x14ac:dyDescent="0.3">
      <c r="A494" s="1" t="s">
        <v>6956</v>
      </c>
      <c r="B494" s="1" t="s">
        <v>5302</v>
      </c>
      <c r="C494" s="41">
        <v>45211</v>
      </c>
      <c r="D494" s="1">
        <v>215027.59</v>
      </c>
      <c r="E494" s="1" t="s">
        <v>6460</v>
      </c>
      <c r="F494" s="1" t="s">
        <v>6470</v>
      </c>
      <c r="G494" s="1" t="s">
        <v>17</v>
      </c>
      <c r="H494" s="1">
        <v>31</v>
      </c>
      <c r="I494" t="str">
        <f>IF(ISNA(_xlfn.XLOOKUP(B494, policy_details!$A$2:$A$2829, policy_details!$A$2:$A$2829)), "Invalid", "Ok")</f>
        <v>Ok</v>
      </c>
    </row>
    <row r="495" spans="1:9" x14ac:dyDescent="0.3">
      <c r="A495" s="1" t="s">
        <v>6957</v>
      </c>
      <c r="B495" s="1" t="s">
        <v>4949</v>
      </c>
      <c r="C495" s="41">
        <v>46238</v>
      </c>
      <c r="D495" s="1">
        <v>661960.67000000004</v>
      </c>
      <c r="E495" s="1" t="s">
        <v>6460</v>
      </c>
      <c r="F495" s="1" t="s">
        <v>6481</v>
      </c>
      <c r="G495" s="1" t="s">
        <v>17</v>
      </c>
      <c r="H495" s="1">
        <v>23</v>
      </c>
      <c r="I495" t="str">
        <f>IF(ISNA(_xlfn.XLOOKUP(B495, policy_details!$A$2:$A$2829, policy_details!$A$2:$A$2829)), "Invalid", "Ok")</f>
        <v>Ok</v>
      </c>
    </row>
    <row r="496" spans="1:9" x14ac:dyDescent="0.3">
      <c r="A496" s="1" t="s">
        <v>6958</v>
      </c>
      <c r="B496" s="1" t="s">
        <v>6096</v>
      </c>
      <c r="C496" s="41">
        <v>45494</v>
      </c>
      <c r="D496" s="1">
        <v>568694.94999999995</v>
      </c>
      <c r="E496" s="1" t="s">
        <v>6460</v>
      </c>
      <c r="F496" s="1" t="s">
        <v>6458</v>
      </c>
      <c r="G496" s="1" t="s">
        <v>17</v>
      </c>
      <c r="H496" s="1">
        <v>24</v>
      </c>
      <c r="I496" t="str">
        <f>IF(ISNA(_xlfn.XLOOKUP(B496, policy_details!$A$2:$A$2829, policy_details!$A$2:$A$2829)), "Invalid", "Ok")</f>
        <v>Ok</v>
      </c>
    </row>
    <row r="497" spans="1:9" x14ac:dyDescent="0.3">
      <c r="A497" s="1" t="s">
        <v>6959</v>
      </c>
      <c r="B497" s="1" t="s">
        <v>4239</v>
      </c>
      <c r="C497" s="41">
        <v>45597</v>
      </c>
      <c r="D497" s="1">
        <v>251957.65</v>
      </c>
      <c r="E497" s="1" t="s">
        <v>6457</v>
      </c>
      <c r="F497" s="1" t="s">
        <v>6470</v>
      </c>
      <c r="G497" s="1" t="s">
        <v>17</v>
      </c>
      <c r="H497" s="1">
        <v>11</v>
      </c>
      <c r="I497" t="str">
        <f>IF(ISNA(_xlfn.XLOOKUP(B497, policy_details!$A$2:$A$2829, policy_details!$A$2:$A$2829)), "Invalid", "Ok")</f>
        <v>Ok</v>
      </c>
    </row>
    <row r="498" spans="1:9" x14ac:dyDescent="0.3">
      <c r="A498" s="1" t="s">
        <v>6960</v>
      </c>
      <c r="B498" s="1" t="s">
        <v>4044</v>
      </c>
      <c r="C498" s="41">
        <v>45853</v>
      </c>
      <c r="D498" s="1">
        <v>79717.490000000005</v>
      </c>
      <c r="E498" s="1" t="s">
        <v>6460</v>
      </c>
      <c r="F498" s="1" t="s">
        <v>6461</v>
      </c>
      <c r="G498" s="1" t="s">
        <v>17</v>
      </c>
      <c r="H498" s="1">
        <v>39</v>
      </c>
      <c r="I498" t="str">
        <f>IF(ISNA(_xlfn.XLOOKUP(B498, policy_details!$A$2:$A$2829, policy_details!$A$2:$A$2829)), "Invalid", "Ok")</f>
        <v>Ok</v>
      </c>
    </row>
    <row r="499" spans="1:9" x14ac:dyDescent="0.3">
      <c r="A499" s="1" t="s">
        <v>6961</v>
      </c>
      <c r="B499" s="1" t="s">
        <v>5174</v>
      </c>
      <c r="C499" s="41">
        <v>46086</v>
      </c>
      <c r="D499" s="1">
        <v>210568.22</v>
      </c>
      <c r="E499" s="1" t="s">
        <v>6457</v>
      </c>
      <c r="F499" s="1" t="s">
        <v>6461</v>
      </c>
      <c r="G499" s="1" t="s">
        <v>17</v>
      </c>
      <c r="H499" s="1">
        <v>3</v>
      </c>
      <c r="I499" t="str">
        <f>IF(ISNA(_xlfn.XLOOKUP(B499, policy_details!$A$2:$A$2829, policy_details!$A$2:$A$2829)), "Invalid", "Ok")</f>
        <v>Ok</v>
      </c>
    </row>
    <row r="500" spans="1:9" x14ac:dyDescent="0.3">
      <c r="A500" s="1" t="s">
        <v>6962</v>
      </c>
      <c r="B500" s="1" t="s">
        <v>4914</v>
      </c>
      <c r="C500" s="41">
        <v>46043</v>
      </c>
      <c r="D500" s="1">
        <v>105837.83</v>
      </c>
      <c r="E500" s="1" t="s">
        <v>6464</v>
      </c>
      <c r="F500" s="1" t="s">
        <v>6481</v>
      </c>
      <c r="G500" s="1" t="s">
        <v>17</v>
      </c>
      <c r="H500" s="1">
        <v>3</v>
      </c>
      <c r="I500" t="str">
        <f>IF(ISNA(_xlfn.XLOOKUP(B500, policy_details!$A$2:$A$2829, policy_details!$A$2:$A$2829)), "Invalid", "Ok")</f>
        <v>Ok</v>
      </c>
    </row>
    <row r="501" spans="1:9" x14ac:dyDescent="0.3">
      <c r="A501" s="1" t="s">
        <v>6963</v>
      </c>
      <c r="B501" s="1" t="s">
        <v>4008</v>
      </c>
      <c r="C501" s="41">
        <v>44470</v>
      </c>
      <c r="D501" s="1">
        <v>81766.19</v>
      </c>
      <c r="E501" s="1" t="s">
        <v>6457</v>
      </c>
      <c r="F501" s="1" t="s">
        <v>6461</v>
      </c>
      <c r="G501" s="1" t="s">
        <v>17</v>
      </c>
      <c r="H501" s="1">
        <v>35</v>
      </c>
      <c r="I501" t="str">
        <f>IF(ISNA(_xlfn.XLOOKUP(B501, policy_details!$A$2:$A$2829, policy_details!$A$2:$A$2829)), "Invalid", "Ok")</f>
        <v>Ok</v>
      </c>
    </row>
    <row r="502" spans="1:9" x14ac:dyDescent="0.3">
      <c r="A502" s="1" t="s">
        <v>6964</v>
      </c>
      <c r="B502" s="1" t="s">
        <v>5352</v>
      </c>
      <c r="C502" s="41">
        <v>44662</v>
      </c>
      <c r="D502" s="1">
        <v>115852.25</v>
      </c>
      <c r="E502" s="1" t="s">
        <v>6457</v>
      </c>
      <c r="F502" s="1" t="s">
        <v>6466</v>
      </c>
      <c r="G502" s="1" t="s">
        <v>30</v>
      </c>
      <c r="H502" s="1">
        <v>2</v>
      </c>
      <c r="I502" t="str">
        <f>IF(ISNA(_xlfn.XLOOKUP(B502, policy_details!$A$2:$A$2829, policy_details!$A$2:$A$2829)), "Invalid", "Ok")</f>
        <v>Ok</v>
      </c>
    </row>
    <row r="503" spans="1:9" x14ac:dyDescent="0.3">
      <c r="A503" s="1" t="s">
        <v>6965</v>
      </c>
      <c r="B503" s="1" t="s">
        <v>6183</v>
      </c>
      <c r="C503" s="41">
        <v>44923</v>
      </c>
      <c r="D503" s="1">
        <v>1020921.33</v>
      </c>
      <c r="E503" s="1" t="s">
        <v>6457</v>
      </c>
      <c r="F503" s="1" t="s">
        <v>6458</v>
      </c>
      <c r="G503" s="1" t="s">
        <v>17</v>
      </c>
      <c r="H503" s="1">
        <v>23</v>
      </c>
      <c r="I503" t="str">
        <f>IF(ISNA(_xlfn.XLOOKUP(B503, policy_details!$A$2:$A$2829, policy_details!$A$2:$A$2829)), "Invalid", "Ok")</f>
        <v>Ok</v>
      </c>
    </row>
    <row r="504" spans="1:9" x14ac:dyDescent="0.3">
      <c r="A504" s="1" t="s">
        <v>6966</v>
      </c>
      <c r="B504" s="1" t="s">
        <v>5710</v>
      </c>
      <c r="C504" s="41">
        <v>45455</v>
      </c>
      <c r="D504" s="1">
        <v>214910.02</v>
      </c>
      <c r="E504" s="1" t="s">
        <v>6460</v>
      </c>
      <c r="F504" s="1" t="s">
        <v>6470</v>
      </c>
      <c r="G504" s="1" t="s">
        <v>17</v>
      </c>
      <c r="H504" s="1">
        <v>9</v>
      </c>
      <c r="I504" t="str">
        <f>IF(ISNA(_xlfn.XLOOKUP(B504, policy_details!$A$2:$A$2829, policy_details!$A$2:$A$2829)), "Invalid", "Ok")</f>
        <v>Ok</v>
      </c>
    </row>
    <row r="505" spans="1:9" x14ac:dyDescent="0.3">
      <c r="A505" s="1" t="s">
        <v>6967</v>
      </c>
      <c r="B505" s="1" t="s">
        <v>4169</v>
      </c>
      <c r="C505" s="41">
        <v>46141</v>
      </c>
      <c r="D505" s="1">
        <v>749095.92</v>
      </c>
      <c r="E505" s="1" t="s">
        <v>6464</v>
      </c>
      <c r="F505" s="1" t="s">
        <v>6466</v>
      </c>
      <c r="G505" s="1" t="s">
        <v>17</v>
      </c>
      <c r="H505" s="1">
        <v>30</v>
      </c>
      <c r="I505" t="str">
        <f>IF(ISNA(_xlfn.XLOOKUP(B505, policy_details!$A$2:$A$2829, policy_details!$A$2:$A$2829)), "Invalid", "Ok")</f>
        <v>Ok</v>
      </c>
    </row>
    <row r="506" spans="1:9" x14ac:dyDescent="0.3">
      <c r="A506" s="1" t="s">
        <v>6968</v>
      </c>
      <c r="B506" s="1" t="s">
        <v>4258</v>
      </c>
      <c r="C506" s="41">
        <v>45799</v>
      </c>
      <c r="D506" s="1">
        <v>171968.55</v>
      </c>
      <c r="E506" s="1" t="s">
        <v>6464</v>
      </c>
      <c r="F506" s="1" t="s">
        <v>6470</v>
      </c>
      <c r="G506" s="1" t="s">
        <v>17</v>
      </c>
      <c r="H506" s="1">
        <v>6</v>
      </c>
      <c r="I506" t="str">
        <f>IF(ISNA(_xlfn.XLOOKUP(B506, policy_details!$A$2:$A$2829, policy_details!$A$2:$A$2829)), "Invalid", "Ok")</f>
        <v>Ok</v>
      </c>
    </row>
    <row r="507" spans="1:9" x14ac:dyDescent="0.3">
      <c r="A507" s="1" t="s">
        <v>6969</v>
      </c>
      <c r="B507" s="1" t="s">
        <v>5192</v>
      </c>
      <c r="C507" s="41">
        <v>44672</v>
      </c>
      <c r="D507" s="1">
        <v>1324333.53</v>
      </c>
      <c r="E507" s="1" t="s">
        <v>6460</v>
      </c>
      <c r="F507" s="1" t="s">
        <v>6458</v>
      </c>
      <c r="G507" s="1" t="s">
        <v>17</v>
      </c>
      <c r="H507" s="1">
        <v>12</v>
      </c>
      <c r="I507" t="str">
        <f>IF(ISNA(_xlfn.XLOOKUP(B507, policy_details!$A$2:$A$2829, policy_details!$A$2:$A$2829)), "Invalid", "Ok")</f>
        <v>Ok</v>
      </c>
    </row>
    <row r="508" spans="1:9" x14ac:dyDescent="0.3">
      <c r="A508" s="1" t="s">
        <v>6970</v>
      </c>
      <c r="B508" s="1" t="s">
        <v>5532</v>
      </c>
      <c r="C508" s="41">
        <v>44504</v>
      </c>
      <c r="D508" s="1">
        <v>195076.52</v>
      </c>
      <c r="E508" s="1" t="s">
        <v>6457</v>
      </c>
      <c r="F508" s="1" t="s">
        <v>6470</v>
      </c>
      <c r="G508" s="1" t="s">
        <v>17</v>
      </c>
      <c r="H508" s="1">
        <v>24</v>
      </c>
      <c r="I508" t="str">
        <f>IF(ISNA(_xlfn.XLOOKUP(B508, policy_details!$A$2:$A$2829, policy_details!$A$2:$A$2829)), "Invalid", "Ok")</f>
        <v>Ok</v>
      </c>
    </row>
    <row r="509" spans="1:9" x14ac:dyDescent="0.3">
      <c r="A509" s="1" t="s">
        <v>6971</v>
      </c>
      <c r="B509" s="1" t="s">
        <v>6389</v>
      </c>
      <c r="C509" s="41">
        <v>45230</v>
      </c>
      <c r="D509" s="1">
        <v>254018.19</v>
      </c>
      <c r="E509" s="1" t="s">
        <v>6464</v>
      </c>
      <c r="F509" s="1" t="s">
        <v>6470</v>
      </c>
      <c r="G509" s="1" t="s">
        <v>17</v>
      </c>
      <c r="H509" s="1">
        <v>17</v>
      </c>
      <c r="I509" t="str">
        <f>IF(ISNA(_xlfn.XLOOKUP(B509, policy_details!$A$2:$A$2829, policy_details!$A$2:$A$2829)), "Invalid", "Ok")</f>
        <v>Ok</v>
      </c>
    </row>
    <row r="510" spans="1:9" x14ac:dyDescent="0.3">
      <c r="A510" s="1" t="s">
        <v>6972</v>
      </c>
      <c r="B510" s="1" t="s">
        <v>3802</v>
      </c>
      <c r="C510" s="41">
        <v>45702</v>
      </c>
      <c r="D510" s="1">
        <v>268618.63</v>
      </c>
      <c r="E510" s="1" t="s">
        <v>6460</v>
      </c>
      <c r="F510" s="1" t="s">
        <v>6481</v>
      </c>
      <c r="G510" s="1" t="s">
        <v>17</v>
      </c>
      <c r="H510" s="1">
        <v>9</v>
      </c>
      <c r="I510" t="str">
        <f>IF(ISNA(_xlfn.XLOOKUP(B510, policy_details!$A$2:$A$2829, policy_details!$A$2:$A$2829)), "Invalid", "Ok")</f>
        <v>Ok</v>
      </c>
    </row>
    <row r="511" spans="1:9" x14ac:dyDescent="0.3">
      <c r="A511" s="1" t="s">
        <v>6973</v>
      </c>
      <c r="B511" s="1" t="s">
        <v>5160</v>
      </c>
      <c r="C511" s="41">
        <v>46250</v>
      </c>
      <c r="D511" s="1">
        <v>259938.15</v>
      </c>
      <c r="E511" s="1" t="s">
        <v>6460</v>
      </c>
      <c r="F511" s="1" t="s">
        <v>6461</v>
      </c>
      <c r="G511" s="1" t="s">
        <v>30</v>
      </c>
      <c r="H511" s="1">
        <v>3</v>
      </c>
      <c r="I511" t="str">
        <f>IF(ISNA(_xlfn.XLOOKUP(B511, policy_details!$A$2:$A$2829, policy_details!$A$2:$A$2829)), "Invalid", "Ok")</f>
        <v>Ok</v>
      </c>
    </row>
    <row r="512" spans="1:9" x14ac:dyDescent="0.3">
      <c r="A512" s="1" t="s">
        <v>6974</v>
      </c>
      <c r="B512" s="1" t="s">
        <v>6413</v>
      </c>
      <c r="C512" s="41">
        <v>44683</v>
      </c>
      <c r="D512" s="1">
        <v>88614.77</v>
      </c>
      <c r="E512" s="1" t="s">
        <v>6460</v>
      </c>
      <c r="F512" s="1" t="s">
        <v>6461</v>
      </c>
      <c r="G512" s="1" t="s">
        <v>17</v>
      </c>
      <c r="H512" s="1">
        <v>1</v>
      </c>
      <c r="I512" t="str">
        <f>IF(ISNA(_xlfn.XLOOKUP(B512, policy_details!$A$2:$A$2829, policy_details!$A$2:$A$2829)), "Invalid", "Ok")</f>
        <v>Ok</v>
      </c>
    </row>
    <row r="513" spans="1:9" x14ac:dyDescent="0.3">
      <c r="A513" s="1" t="s">
        <v>6975</v>
      </c>
      <c r="B513" s="1" t="s">
        <v>3831</v>
      </c>
      <c r="C513" s="41">
        <v>46025</v>
      </c>
      <c r="D513" s="1">
        <v>52943.23</v>
      </c>
      <c r="E513" s="1" t="s">
        <v>6460</v>
      </c>
      <c r="F513" s="1" t="s">
        <v>6470</v>
      </c>
      <c r="G513" s="1" t="s">
        <v>17</v>
      </c>
      <c r="H513" s="1">
        <v>9</v>
      </c>
      <c r="I513" t="str">
        <f>IF(ISNA(_xlfn.XLOOKUP(B513, policy_details!$A$2:$A$2829, policy_details!$A$2:$A$2829)), "Invalid", "Ok")</f>
        <v>Ok</v>
      </c>
    </row>
    <row r="514" spans="1:9" x14ac:dyDescent="0.3">
      <c r="A514" s="1" t="s">
        <v>6976</v>
      </c>
      <c r="B514" s="1" t="s">
        <v>6371</v>
      </c>
      <c r="C514" s="41">
        <v>46120</v>
      </c>
      <c r="D514" s="1">
        <v>308019.31</v>
      </c>
      <c r="E514" s="1" t="s">
        <v>6457</v>
      </c>
      <c r="F514" s="1" t="s">
        <v>6481</v>
      </c>
      <c r="G514" s="1" t="s">
        <v>17</v>
      </c>
      <c r="H514" s="1">
        <v>13</v>
      </c>
      <c r="I514" t="str">
        <f>IF(ISNA(_xlfn.XLOOKUP(B514, policy_details!$A$2:$A$2829, policy_details!$A$2:$A$2829)), "Invalid", "Ok")</f>
        <v>Ok</v>
      </c>
    </row>
    <row r="515" spans="1:9" x14ac:dyDescent="0.3">
      <c r="A515" s="1" t="s">
        <v>6977</v>
      </c>
      <c r="B515" s="1" t="s">
        <v>4920</v>
      </c>
      <c r="C515" s="41">
        <v>46094</v>
      </c>
      <c r="D515" s="1">
        <v>72996.990000000005</v>
      </c>
      <c r="E515" s="1" t="s">
        <v>6464</v>
      </c>
      <c r="F515" s="1" t="s">
        <v>6470</v>
      </c>
      <c r="G515" s="1" t="s">
        <v>30</v>
      </c>
      <c r="H515" s="1">
        <v>6</v>
      </c>
      <c r="I515" t="str">
        <f>IF(ISNA(_xlfn.XLOOKUP(B515, policy_details!$A$2:$A$2829, policy_details!$A$2:$A$2829)), "Invalid", "Ok")</f>
        <v>Ok</v>
      </c>
    </row>
    <row r="516" spans="1:9" x14ac:dyDescent="0.3">
      <c r="A516" s="1" t="s">
        <v>6978</v>
      </c>
      <c r="B516" s="1" t="s">
        <v>5645</v>
      </c>
      <c r="C516" s="41">
        <v>45089</v>
      </c>
      <c r="D516" s="1">
        <v>289022.48</v>
      </c>
      <c r="E516" s="1" t="s">
        <v>6464</v>
      </c>
      <c r="F516" s="1" t="s">
        <v>6461</v>
      </c>
      <c r="G516" s="1" t="s">
        <v>17</v>
      </c>
      <c r="H516" s="1">
        <v>23</v>
      </c>
      <c r="I516" t="str">
        <f>IF(ISNA(_xlfn.XLOOKUP(B516, policy_details!$A$2:$A$2829, policy_details!$A$2:$A$2829)), "Invalid", "Ok")</f>
        <v>Ok</v>
      </c>
    </row>
    <row r="517" spans="1:9" x14ac:dyDescent="0.3">
      <c r="A517" s="1" t="s">
        <v>6979</v>
      </c>
      <c r="B517" s="1" t="s">
        <v>4814</v>
      </c>
      <c r="C517" s="41">
        <v>45177</v>
      </c>
      <c r="D517" s="1">
        <v>684258.14</v>
      </c>
      <c r="E517" s="1" t="s">
        <v>6457</v>
      </c>
      <c r="F517" s="1" t="s">
        <v>6458</v>
      </c>
      <c r="G517" s="1" t="s">
        <v>17</v>
      </c>
      <c r="H517" s="1">
        <v>39</v>
      </c>
      <c r="I517" t="str">
        <f>IF(ISNA(_xlfn.XLOOKUP(B517, policy_details!$A$2:$A$2829, policy_details!$A$2:$A$2829)), "Invalid", "Ok")</f>
        <v>Ok</v>
      </c>
    </row>
    <row r="518" spans="1:9" x14ac:dyDescent="0.3">
      <c r="A518" s="1" t="s">
        <v>6980</v>
      </c>
      <c r="B518" s="1" t="s">
        <v>5998</v>
      </c>
      <c r="C518" s="41">
        <v>45459</v>
      </c>
      <c r="D518" s="1">
        <v>148761.23000000001</v>
      </c>
      <c r="E518" s="1" t="s">
        <v>6457</v>
      </c>
      <c r="F518" s="1" t="s">
        <v>6481</v>
      </c>
      <c r="G518" s="1" t="s">
        <v>17</v>
      </c>
      <c r="H518" s="1">
        <v>32</v>
      </c>
      <c r="I518" t="str">
        <f>IF(ISNA(_xlfn.XLOOKUP(B518, policy_details!$A$2:$A$2829, policy_details!$A$2:$A$2829)), "Invalid", "Ok")</f>
        <v>Ok</v>
      </c>
    </row>
    <row r="519" spans="1:9" x14ac:dyDescent="0.3">
      <c r="A519" s="1" t="s">
        <v>6981</v>
      </c>
      <c r="B519" s="1" t="s">
        <v>6191</v>
      </c>
      <c r="C519" s="41">
        <v>45742</v>
      </c>
      <c r="D519" s="1">
        <v>3472585.87</v>
      </c>
      <c r="E519" s="1" t="s">
        <v>6457</v>
      </c>
      <c r="F519" s="1" t="s">
        <v>6458</v>
      </c>
      <c r="G519" s="1" t="s">
        <v>17</v>
      </c>
      <c r="H519" s="1">
        <v>14</v>
      </c>
      <c r="I519" t="str">
        <f>IF(ISNA(_xlfn.XLOOKUP(B519, policy_details!$A$2:$A$2829, policy_details!$A$2:$A$2829)), "Invalid", "Ok")</f>
        <v>Ok</v>
      </c>
    </row>
    <row r="520" spans="1:9" x14ac:dyDescent="0.3">
      <c r="A520" s="1" t="s">
        <v>6982</v>
      </c>
      <c r="B520" s="1" t="s">
        <v>4024</v>
      </c>
      <c r="C520" s="41">
        <v>44659</v>
      </c>
      <c r="D520" s="1">
        <v>178347.13</v>
      </c>
      <c r="E520" s="1" t="s">
        <v>6457</v>
      </c>
      <c r="F520" s="1" t="s">
        <v>6470</v>
      </c>
      <c r="G520" s="1" t="s">
        <v>17</v>
      </c>
      <c r="H520" s="1">
        <v>20</v>
      </c>
      <c r="I520" t="str">
        <f>IF(ISNA(_xlfn.XLOOKUP(B520, policy_details!$A$2:$A$2829, policy_details!$A$2:$A$2829)), "Invalid", "Ok")</f>
        <v>Ok</v>
      </c>
    </row>
    <row r="521" spans="1:9" x14ac:dyDescent="0.3">
      <c r="A521" s="1" t="s">
        <v>6983</v>
      </c>
      <c r="B521" s="1" t="s">
        <v>5729</v>
      </c>
      <c r="C521" s="41">
        <v>46081</v>
      </c>
      <c r="D521" s="1">
        <v>135041.53</v>
      </c>
      <c r="E521" s="1" t="s">
        <v>6464</v>
      </c>
      <c r="F521" s="1" t="s">
        <v>6461</v>
      </c>
      <c r="G521" s="1" t="s">
        <v>17</v>
      </c>
      <c r="H521" s="1">
        <v>34</v>
      </c>
      <c r="I521" t="str">
        <f>IF(ISNA(_xlfn.XLOOKUP(B521, policy_details!$A$2:$A$2829, policy_details!$A$2:$A$2829)), "Invalid", "Ok")</f>
        <v>Ok</v>
      </c>
    </row>
    <row r="522" spans="1:9" x14ac:dyDescent="0.3">
      <c r="A522" s="1" t="s">
        <v>6984</v>
      </c>
      <c r="B522" s="1" t="s">
        <v>3426</v>
      </c>
      <c r="C522" s="41">
        <v>46083</v>
      </c>
      <c r="D522" s="1">
        <v>218027.89</v>
      </c>
      <c r="E522" s="1" t="s">
        <v>6457</v>
      </c>
      <c r="F522" s="1" t="s">
        <v>6461</v>
      </c>
      <c r="G522" s="1" t="s">
        <v>17</v>
      </c>
      <c r="H522" s="1">
        <v>43</v>
      </c>
      <c r="I522" t="str">
        <f>IF(ISNA(_xlfn.XLOOKUP(B522, policy_details!$A$2:$A$2829, policy_details!$A$2:$A$2829)), "Invalid", "Ok")</f>
        <v>Ok</v>
      </c>
    </row>
    <row r="523" spans="1:9" x14ac:dyDescent="0.3">
      <c r="A523" s="1" t="s">
        <v>6985</v>
      </c>
      <c r="B523" s="1" t="s">
        <v>4378</v>
      </c>
      <c r="C523" s="41">
        <v>45522</v>
      </c>
      <c r="D523" s="1">
        <v>375851.07</v>
      </c>
      <c r="E523" s="1" t="s">
        <v>6460</v>
      </c>
      <c r="F523" s="1" t="s">
        <v>6481</v>
      </c>
      <c r="G523" s="1" t="s">
        <v>17</v>
      </c>
      <c r="H523" s="1">
        <v>25</v>
      </c>
      <c r="I523" t="str">
        <f>IF(ISNA(_xlfn.XLOOKUP(B523, policy_details!$A$2:$A$2829, policy_details!$A$2:$A$2829)), "Invalid", "Ok")</f>
        <v>Ok</v>
      </c>
    </row>
    <row r="524" spans="1:9" x14ac:dyDescent="0.3">
      <c r="A524" s="1" t="s">
        <v>6986</v>
      </c>
      <c r="B524" s="1" t="s">
        <v>5178</v>
      </c>
      <c r="C524" s="41">
        <v>45568</v>
      </c>
      <c r="D524" s="1">
        <v>388848.92</v>
      </c>
      <c r="E524" s="1" t="s">
        <v>6464</v>
      </c>
      <c r="F524" s="1" t="s">
        <v>6466</v>
      </c>
      <c r="G524" s="1" t="s">
        <v>17</v>
      </c>
      <c r="H524" s="1">
        <v>9</v>
      </c>
      <c r="I524" t="str">
        <f>IF(ISNA(_xlfn.XLOOKUP(B524, policy_details!$A$2:$A$2829, policy_details!$A$2:$A$2829)), "Invalid", "Ok")</f>
        <v>Ok</v>
      </c>
    </row>
    <row r="525" spans="1:9" x14ac:dyDescent="0.3">
      <c r="A525" s="1" t="s">
        <v>6987</v>
      </c>
      <c r="B525" s="1" t="s">
        <v>5322</v>
      </c>
      <c r="C525" s="41">
        <v>46258</v>
      </c>
      <c r="D525" s="1">
        <v>92431.71</v>
      </c>
      <c r="E525" s="1" t="s">
        <v>6457</v>
      </c>
      <c r="F525" s="1" t="s">
        <v>6470</v>
      </c>
      <c r="G525" s="1" t="s">
        <v>17</v>
      </c>
      <c r="H525" s="1">
        <v>39</v>
      </c>
      <c r="I525" t="str">
        <f>IF(ISNA(_xlfn.XLOOKUP(B525, policy_details!$A$2:$A$2829, policy_details!$A$2:$A$2829)), "Invalid", "Ok")</f>
        <v>Ok</v>
      </c>
    </row>
    <row r="526" spans="1:9" x14ac:dyDescent="0.3">
      <c r="A526" s="1" t="s">
        <v>6988</v>
      </c>
      <c r="B526" s="1" t="s">
        <v>4644</v>
      </c>
      <c r="C526" s="41">
        <v>44524</v>
      </c>
      <c r="D526" s="1">
        <v>235335.05</v>
      </c>
      <c r="E526" s="1" t="s">
        <v>6457</v>
      </c>
      <c r="F526" s="1" t="s">
        <v>6470</v>
      </c>
      <c r="G526" s="1" t="s">
        <v>17</v>
      </c>
      <c r="H526" s="1">
        <v>23</v>
      </c>
      <c r="I526" t="str">
        <f>IF(ISNA(_xlfn.XLOOKUP(B526, policy_details!$A$2:$A$2829, policy_details!$A$2:$A$2829)), "Invalid", "Ok")</f>
        <v>Ok</v>
      </c>
    </row>
    <row r="527" spans="1:9" x14ac:dyDescent="0.3">
      <c r="A527" s="1" t="s">
        <v>6989</v>
      </c>
      <c r="B527" s="1" t="s">
        <v>4359</v>
      </c>
      <c r="C527" s="41">
        <v>45791</v>
      </c>
      <c r="D527" s="1">
        <v>155456.17000000001</v>
      </c>
      <c r="E527" s="1" t="s">
        <v>6460</v>
      </c>
      <c r="F527" s="1" t="s">
        <v>6470</v>
      </c>
      <c r="G527" s="1" t="s">
        <v>17</v>
      </c>
      <c r="H527" s="1">
        <v>2</v>
      </c>
      <c r="I527" t="str">
        <f>IF(ISNA(_xlfn.XLOOKUP(B527, policy_details!$A$2:$A$2829, policy_details!$A$2:$A$2829)), "Invalid", "Ok")</f>
        <v>Ok</v>
      </c>
    </row>
    <row r="528" spans="1:9" x14ac:dyDescent="0.3">
      <c r="A528" s="1" t="s">
        <v>6990</v>
      </c>
      <c r="B528" s="1" t="s">
        <v>4046</v>
      </c>
      <c r="C528" s="41">
        <v>45090</v>
      </c>
      <c r="D528" s="1">
        <v>157739.76999999999</v>
      </c>
      <c r="E528" s="1" t="s">
        <v>6457</v>
      </c>
      <c r="F528" s="1" t="s">
        <v>6481</v>
      </c>
      <c r="G528" s="1" t="s">
        <v>17</v>
      </c>
      <c r="H528" s="1">
        <v>12</v>
      </c>
      <c r="I528" t="str">
        <f>IF(ISNA(_xlfn.XLOOKUP(B528, policy_details!$A$2:$A$2829, policy_details!$A$2:$A$2829)), "Invalid", "Ok")</f>
        <v>Ok</v>
      </c>
    </row>
    <row r="529" spans="1:9" x14ac:dyDescent="0.3">
      <c r="A529" s="1" t="s">
        <v>6991</v>
      </c>
      <c r="B529" s="1" t="s">
        <v>4262</v>
      </c>
      <c r="C529" s="41">
        <v>45262</v>
      </c>
      <c r="D529" s="1">
        <v>225356.59</v>
      </c>
      <c r="E529" s="1" t="s">
        <v>6457</v>
      </c>
      <c r="F529" s="1" t="s">
        <v>6466</v>
      </c>
      <c r="G529" s="1" t="s">
        <v>17</v>
      </c>
      <c r="H529" s="1">
        <v>24</v>
      </c>
      <c r="I529" t="str">
        <f>IF(ISNA(_xlfn.XLOOKUP(B529, policy_details!$A$2:$A$2829, policy_details!$A$2:$A$2829)), "Invalid", "Ok")</f>
        <v>Ok</v>
      </c>
    </row>
    <row r="530" spans="1:9" x14ac:dyDescent="0.3">
      <c r="A530" s="1" t="s">
        <v>6992</v>
      </c>
      <c r="B530" s="1" t="s">
        <v>3900</v>
      </c>
      <c r="C530" s="41">
        <v>45189</v>
      </c>
      <c r="D530" s="1">
        <v>88943.95</v>
      </c>
      <c r="E530" s="1" t="s">
        <v>6460</v>
      </c>
      <c r="F530" s="1" t="s">
        <v>6466</v>
      </c>
      <c r="G530" s="1" t="s">
        <v>17</v>
      </c>
      <c r="H530" s="1">
        <v>36</v>
      </c>
      <c r="I530" t="str">
        <f>IF(ISNA(_xlfn.XLOOKUP(B530, policy_details!$A$2:$A$2829, policy_details!$A$2:$A$2829)), "Invalid", "Ok")</f>
        <v>Ok</v>
      </c>
    </row>
    <row r="531" spans="1:9" x14ac:dyDescent="0.3">
      <c r="A531" s="1" t="s">
        <v>6993</v>
      </c>
      <c r="B531" s="1" t="s">
        <v>4330</v>
      </c>
      <c r="C531" s="41">
        <v>45263</v>
      </c>
      <c r="D531" s="1">
        <v>396599.28</v>
      </c>
      <c r="E531" s="1" t="s">
        <v>6457</v>
      </c>
      <c r="F531" s="1" t="s">
        <v>6481</v>
      </c>
      <c r="G531" s="1" t="s">
        <v>17</v>
      </c>
      <c r="H531" s="1">
        <v>38</v>
      </c>
      <c r="I531" t="str">
        <f>IF(ISNA(_xlfn.XLOOKUP(B531, policy_details!$A$2:$A$2829, policy_details!$A$2:$A$2829)), "Invalid", "Ok")</f>
        <v>Ok</v>
      </c>
    </row>
    <row r="532" spans="1:9" x14ac:dyDescent="0.3">
      <c r="A532" s="1" t="s">
        <v>6994</v>
      </c>
      <c r="B532" s="1" t="s">
        <v>5941</v>
      </c>
      <c r="C532" s="41">
        <v>45967</v>
      </c>
      <c r="D532" s="1">
        <v>155651.4</v>
      </c>
      <c r="E532" s="1" t="s">
        <v>6460</v>
      </c>
      <c r="F532" s="1" t="s">
        <v>6470</v>
      </c>
      <c r="G532" s="1" t="s">
        <v>17</v>
      </c>
      <c r="H532" s="1">
        <v>9</v>
      </c>
      <c r="I532" t="str">
        <f>IF(ISNA(_xlfn.XLOOKUP(B532, policy_details!$A$2:$A$2829, policy_details!$A$2:$A$2829)), "Invalid", "Ok")</f>
        <v>Ok</v>
      </c>
    </row>
    <row r="533" spans="1:9" x14ac:dyDescent="0.3">
      <c r="A533" s="1" t="s">
        <v>6995</v>
      </c>
      <c r="B533" s="1" t="s">
        <v>4411</v>
      </c>
      <c r="C533" s="41">
        <v>44970</v>
      </c>
      <c r="D533" s="1">
        <v>141770.04999999999</v>
      </c>
      <c r="E533" s="1" t="s">
        <v>6464</v>
      </c>
      <c r="F533" s="1" t="s">
        <v>6470</v>
      </c>
      <c r="G533" s="1" t="s">
        <v>17</v>
      </c>
      <c r="H533" s="1">
        <v>32</v>
      </c>
      <c r="I533" t="str">
        <f>IF(ISNA(_xlfn.XLOOKUP(B533, policy_details!$A$2:$A$2829, policy_details!$A$2:$A$2829)), "Invalid", "Ok")</f>
        <v>Ok</v>
      </c>
    </row>
    <row r="534" spans="1:9" x14ac:dyDescent="0.3">
      <c r="A534" s="1" t="s">
        <v>6996</v>
      </c>
      <c r="B534" s="1" t="s">
        <v>6188</v>
      </c>
      <c r="C534" s="41">
        <v>45313</v>
      </c>
      <c r="D534" s="1">
        <v>168025.8</v>
      </c>
      <c r="E534" s="1" t="s">
        <v>6457</v>
      </c>
      <c r="F534" s="1" t="s">
        <v>6470</v>
      </c>
      <c r="G534" s="1" t="s">
        <v>17</v>
      </c>
      <c r="H534" s="1">
        <v>43</v>
      </c>
      <c r="I534" t="str">
        <f>IF(ISNA(_xlfn.XLOOKUP(B534, policy_details!$A$2:$A$2829, policy_details!$A$2:$A$2829)), "Invalid", "Ok")</f>
        <v>Ok</v>
      </c>
    </row>
    <row r="535" spans="1:9" x14ac:dyDescent="0.3">
      <c r="A535" s="1" t="s">
        <v>6997</v>
      </c>
      <c r="B535" s="1" t="s">
        <v>4279</v>
      </c>
      <c r="C535" s="41">
        <v>44687</v>
      </c>
      <c r="D535" s="1">
        <v>165537.62</v>
      </c>
      <c r="E535" s="1" t="s">
        <v>6457</v>
      </c>
      <c r="F535" s="1" t="s">
        <v>6470</v>
      </c>
      <c r="G535" s="1" t="s">
        <v>17</v>
      </c>
      <c r="H535" s="1">
        <v>36</v>
      </c>
      <c r="I535" t="str">
        <f>IF(ISNA(_xlfn.XLOOKUP(B535, policy_details!$A$2:$A$2829, policy_details!$A$2:$A$2829)), "Invalid", "Ok")</f>
        <v>Ok</v>
      </c>
    </row>
    <row r="536" spans="1:9" x14ac:dyDescent="0.3">
      <c r="A536" s="1" t="s">
        <v>6998</v>
      </c>
      <c r="B536" s="1" t="s">
        <v>5003</v>
      </c>
      <c r="C536" s="41">
        <v>44777</v>
      </c>
      <c r="D536" s="1">
        <v>1591982.99</v>
      </c>
      <c r="E536" s="1" t="s">
        <v>6457</v>
      </c>
      <c r="F536" s="1" t="s">
        <v>6458</v>
      </c>
      <c r="G536" s="1" t="s">
        <v>17</v>
      </c>
      <c r="H536" s="1">
        <v>32</v>
      </c>
      <c r="I536" t="str">
        <f>IF(ISNA(_xlfn.XLOOKUP(B536, policy_details!$A$2:$A$2829, policy_details!$A$2:$A$2829)), "Invalid", "Ok")</f>
        <v>Ok</v>
      </c>
    </row>
    <row r="537" spans="1:9" x14ac:dyDescent="0.3">
      <c r="A537" s="1" t="s">
        <v>6999</v>
      </c>
      <c r="B537" s="1" t="s">
        <v>4029</v>
      </c>
      <c r="C537" s="41">
        <v>45841</v>
      </c>
      <c r="D537" s="1">
        <v>520368.99</v>
      </c>
      <c r="E537" s="1" t="s">
        <v>6457</v>
      </c>
      <c r="F537" s="1" t="s">
        <v>6458</v>
      </c>
      <c r="G537" s="1" t="s">
        <v>30</v>
      </c>
      <c r="H537" s="1">
        <v>36</v>
      </c>
      <c r="I537" t="str">
        <f>IF(ISNA(_xlfn.XLOOKUP(B537, policy_details!$A$2:$A$2829, policy_details!$A$2:$A$2829)), "Invalid", "Ok")</f>
        <v>Ok</v>
      </c>
    </row>
    <row r="538" spans="1:9" x14ac:dyDescent="0.3">
      <c r="A538" s="1" t="s">
        <v>7000</v>
      </c>
      <c r="B538" s="1" t="s">
        <v>3409</v>
      </c>
      <c r="C538" s="41">
        <v>46116</v>
      </c>
      <c r="D538" s="1">
        <v>181730.43</v>
      </c>
      <c r="E538" s="1" t="s">
        <v>6457</v>
      </c>
      <c r="F538" s="1" t="s">
        <v>6466</v>
      </c>
      <c r="G538" s="1" t="s">
        <v>30</v>
      </c>
      <c r="H538" s="1">
        <v>25</v>
      </c>
      <c r="I538" t="str">
        <f>IF(ISNA(_xlfn.XLOOKUP(B538, policy_details!$A$2:$A$2829, policy_details!$A$2:$A$2829)), "Invalid", "Ok")</f>
        <v>Ok</v>
      </c>
    </row>
    <row r="539" spans="1:9" x14ac:dyDescent="0.3">
      <c r="A539" s="1" t="s">
        <v>7001</v>
      </c>
      <c r="B539" s="1" t="s">
        <v>5385</v>
      </c>
      <c r="C539" s="41">
        <v>46153</v>
      </c>
      <c r="D539" s="1">
        <v>197423.11</v>
      </c>
      <c r="E539" s="1" t="s">
        <v>6460</v>
      </c>
      <c r="F539" s="1" t="s">
        <v>6466</v>
      </c>
      <c r="G539" s="1" t="s">
        <v>17</v>
      </c>
      <c r="H539" s="1">
        <v>27</v>
      </c>
      <c r="I539" t="str">
        <f>IF(ISNA(_xlfn.XLOOKUP(B539, policy_details!$A$2:$A$2829, policy_details!$A$2:$A$2829)), "Invalid", "Ok")</f>
        <v>Ok</v>
      </c>
    </row>
    <row r="540" spans="1:9" x14ac:dyDescent="0.3">
      <c r="A540" s="1" t="s">
        <v>7002</v>
      </c>
      <c r="B540" s="1" t="s">
        <v>4561</v>
      </c>
      <c r="C540" s="41">
        <v>44595</v>
      </c>
      <c r="D540" s="1">
        <v>88063.29</v>
      </c>
      <c r="E540" s="1" t="s">
        <v>6457</v>
      </c>
      <c r="F540" s="1" t="s">
        <v>6461</v>
      </c>
      <c r="G540" s="1" t="s">
        <v>17</v>
      </c>
      <c r="H540" s="1">
        <v>24</v>
      </c>
      <c r="I540" t="str">
        <f>IF(ISNA(_xlfn.XLOOKUP(B540, policy_details!$A$2:$A$2829, policy_details!$A$2:$A$2829)), "Invalid", "Ok")</f>
        <v>Ok</v>
      </c>
    </row>
    <row r="541" spans="1:9" x14ac:dyDescent="0.3">
      <c r="A541" s="1" t="s">
        <v>7003</v>
      </c>
      <c r="B541" s="1" t="s">
        <v>4582</v>
      </c>
      <c r="C541" s="41">
        <v>46078</v>
      </c>
      <c r="D541" s="1">
        <v>974623.74</v>
      </c>
      <c r="E541" s="1" t="s">
        <v>6460</v>
      </c>
      <c r="F541" s="1" t="s">
        <v>6458</v>
      </c>
      <c r="G541" s="1" t="s">
        <v>17</v>
      </c>
      <c r="H541" s="1">
        <v>43</v>
      </c>
      <c r="I541" t="str">
        <f>IF(ISNA(_xlfn.XLOOKUP(B541, policy_details!$A$2:$A$2829, policy_details!$A$2:$A$2829)), "Invalid", "Ok")</f>
        <v>Ok</v>
      </c>
    </row>
    <row r="542" spans="1:9" x14ac:dyDescent="0.3">
      <c r="A542" s="1" t="s">
        <v>7004</v>
      </c>
      <c r="B542" s="1" t="s">
        <v>4765</v>
      </c>
      <c r="C542" s="41">
        <v>45526</v>
      </c>
      <c r="D542" s="1">
        <v>174081.62</v>
      </c>
      <c r="E542" s="1" t="s">
        <v>6457</v>
      </c>
      <c r="F542" s="1" t="s">
        <v>6481</v>
      </c>
      <c r="G542" s="1" t="s">
        <v>17</v>
      </c>
      <c r="H542" s="1">
        <v>16</v>
      </c>
      <c r="I542" t="str">
        <f>IF(ISNA(_xlfn.XLOOKUP(B542, policy_details!$A$2:$A$2829, policy_details!$A$2:$A$2829)), "Invalid", "Ok")</f>
        <v>Ok</v>
      </c>
    </row>
    <row r="543" spans="1:9" x14ac:dyDescent="0.3">
      <c r="A543" s="1" t="s">
        <v>7005</v>
      </c>
      <c r="B543" s="1" t="s">
        <v>5816</v>
      </c>
      <c r="C543" s="41">
        <v>45117</v>
      </c>
      <c r="D543" s="1">
        <v>445970.93</v>
      </c>
      <c r="E543" s="1" t="s">
        <v>6460</v>
      </c>
      <c r="F543" s="1" t="s">
        <v>6458</v>
      </c>
      <c r="G543" s="1" t="s">
        <v>17</v>
      </c>
      <c r="H543" s="1">
        <v>35</v>
      </c>
      <c r="I543" t="str">
        <f>IF(ISNA(_xlfn.XLOOKUP(B543, policy_details!$A$2:$A$2829, policy_details!$A$2:$A$2829)), "Invalid", "Ok")</f>
        <v>Ok</v>
      </c>
    </row>
    <row r="544" spans="1:9" x14ac:dyDescent="0.3">
      <c r="A544" s="1" t="s">
        <v>7006</v>
      </c>
      <c r="B544" s="1" t="s">
        <v>4744</v>
      </c>
      <c r="C544" s="41">
        <v>45628</v>
      </c>
      <c r="D544" s="1">
        <v>1170877.17</v>
      </c>
      <c r="E544" s="1" t="s">
        <v>6460</v>
      </c>
      <c r="F544" s="1" t="s">
        <v>6458</v>
      </c>
      <c r="G544" s="1" t="s">
        <v>17</v>
      </c>
      <c r="H544" s="1">
        <v>1</v>
      </c>
      <c r="I544" t="str">
        <f>IF(ISNA(_xlfn.XLOOKUP(B544, policy_details!$A$2:$A$2829, policy_details!$A$2:$A$2829)), "Invalid", "Ok")</f>
        <v>Ok</v>
      </c>
    </row>
    <row r="545" spans="1:9" x14ac:dyDescent="0.3">
      <c r="A545" s="1" t="s">
        <v>7007</v>
      </c>
      <c r="B545" s="1" t="s">
        <v>3724</v>
      </c>
      <c r="C545" s="41">
        <v>45135</v>
      </c>
      <c r="D545" s="1">
        <v>1950873.12</v>
      </c>
      <c r="E545" s="1" t="s">
        <v>6464</v>
      </c>
      <c r="F545" s="1" t="s">
        <v>6458</v>
      </c>
      <c r="G545" s="1" t="s">
        <v>17</v>
      </c>
      <c r="H545" s="1">
        <v>19</v>
      </c>
      <c r="I545" t="str">
        <f>IF(ISNA(_xlfn.XLOOKUP(B545, policy_details!$A$2:$A$2829, policy_details!$A$2:$A$2829)), "Invalid", "Ok")</f>
        <v>Ok</v>
      </c>
    </row>
    <row r="546" spans="1:9" x14ac:dyDescent="0.3">
      <c r="A546" s="1" t="s">
        <v>7008</v>
      </c>
      <c r="B546" s="1" t="s">
        <v>4383</v>
      </c>
      <c r="C546" s="41">
        <v>45243</v>
      </c>
      <c r="D546" s="1">
        <v>153675.87</v>
      </c>
      <c r="E546" s="1" t="s">
        <v>6460</v>
      </c>
      <c r="F546" s="1" t="s">
        <v>6461</v>
      </c>
      <c r="G546" s="1" t="s">
        <v>17</v>
      </c>
      <c r="H546" s="1">
        <v>41</v>
      </c>
      <c r="I546" t="str">
        <f>IF(ISNA(_xlfn.XLOOKUP(B546, policy_details!$A$2:$A$2829, policy_details!$A$2:$A$2829)), "Invalid", "Ok")</f>
        <v>Ok</v>
      </c>
    </row>
    <row r="547" spans="1:9" x14ac:dyDescent="0.3">
      <c r="A547" s="1" t="s">
        <v>7009</v>
      </c>
      <c r="B547" s="1" t="s">
        <v>5244</v>
      </c>
      <c r="C547" s="41">
        <v>45371</v>
      </c>
      <c r="D547" s="1">
        <v>142450.21</v>
      </c>
      <c r="E547" s="1" t="s">
        <v>6460</v>
      </c>
      <c r="F547" s="1" t="s">
        <v>6461</v>
      </c>
      <c r="G547" s="1" t="s">
        <v>17</v>
      </c>
      <c r="H547" s="1">
        <v>11</v>
      </c>
      <c r="I547" t="str">
        <f>IF(ISNA(_xlfn.XLOOKUP(B547, policy_details!$A$2:$A$2829, policy_details!$A$2:$A$2829)), "Invalid", "Ok")</f>
        <v>Ok</v>
      </c>
    </row>
    <row r="548" spans="1:9" x14ac:dyDescent="0.3">
      <c r="A548" s="1" t="s">
        <v>7010</v>
      </c>
      <c r="B548" s="1" t="s">
        <v>6430</v>
      </c>
      <c r="C548" s="41">
        <v>45516</v>
      </c>
      <c r="D548" s="1">
        <v>234914.86</v>
      </c>
      <c r="E548" s="1" t="s">
        <v>6460</v>
      </c>
      <c r="F548" s="1" t="s">
        <v>6481</v>
      </c>
      <c r="G548" s="1" t="s">
        <v>17</v>
      </c>
      <c r="H548" s="1">
        <v>35</v>
      </c>
      <c r="I548" t="str">
        <f>IF(ISNA(_xlfn.XLOOKUP(B548, policy_details!$A$2:$A$2829, policy_details!$A$2:$A$2829)), "Invalid", "Ok")</f>
        <v>Ok</v>
      </c>
    </row>
    <row r="549" spans="1:9" x14ac:dyDescent="0.3">
      <c r="A549" s="1" t="s">
        <v>7011</v>
      </c>
      <c r="B549" s="1" t="s">
        <v>3942</v>
      </c>
      <c r="C549" s="41">
        <v>46168</v>
      </c>
      <c r="D549" s="1">
        <v>115892.13</v>
      </c>
      <c r="E549" s="1" t="s">
        <v>6457</v>
      </c>
      <c r="F549" s="1" t="s">
        <v>6461</v>
      </c>
      <c r="G549" s="1" t="s">
        <v>17</v>
      </c>
      <c r="H549" s="1">
        <v>23</v>
      </c>
      <c r="I549" t="str">
        <f>IF(ISNA(_xlfn.XLOOKUP(B549, policy_details!$A$2:$A$2829, policy_details!$A$2:$A$2829)), "Invalid", "Ok")</f>
        <v>Ok</v>
      </c>
    </row>
    <row r="550" spans="1:9" x14ac:dyDescent="0.3">
      <c r="A550" s="1" t="s">
        <v>7012</v>
      </c>
      <c r="B550" s="1" t="s">
        <v>4519</v>
      </c>
      <c r="C550" s="41">
        <v>44619</v>
      </c>
      <c r="D550" s="1">
        <v>394917.25</v>
      </c>
      <c r="E550" s="1" t="s">
        <v>6460</v>
      </c>
      <c r="F550" s="1" t="s">
        <v>6466</v>
      </c>
      <c r="G550" s="1" t="s">
        <v>17</v>
      </c>
      <c r="H550" s="1">
        <v>6</v>
      </c>
      <c r="I550" t="str">
        <f>IF(ISNA(_xlfn.XLOOKUP(B550, policy_details!$A$2:$A$2829, policy_details!$A$2:$A$2829)), "Invalid", "Ok")</f>
        <v>Ok</v>
      </c>
    </row>
    <row r="551" spans="1:9" x14ac:dyDescent="0.3">
      <c r="A551" s="1" t="s">
        <v>7013</v>
      </c>
      <c r="B551" s="1" t="s">
        <v>4985</v>
      </c>
      <c r="C551" s="41">
        <v>44985</v>
      </c>
      <c r="D551" s="1">
        <v>943333.28</v>
      </c>
      <c r="E551" s="1" t="s">
        <v>6460</v>
      </c>
      <c r="F551" s="1" t="s">
        <v>6458</v>
      </c>
      <c r="G551" s="1" t="s">
        <v>17</v>
      </c>
      <c r="H551" s="1">
        <v>5</v>
      </c>
      <c r="I551" t="str">
        <f>IF(ISNA(_xlfn.XLOOKUP(B551, policy_details!$A$2:$A$2829, policy_details!$A$2:$A$2829)), "Invalid", "Ok")</f>
        <v>Ok</v>
      </c>
    </row>
    <row r="552" spans="1:9" x14ac:dyDescent="0.3">
      <c r="A552" s="1" t="s">
        <v>7014</v>
      </c>
      <c r="B552" s="1" t="s">
        <v>6293</v>
      </c>
      <c r="C552" s="41">
        <v>45065</v>
      </c>
      <c r="D552" s="1">
        <v>84111.27</v>
      </c>
      <c r="E552" s="1" t="s">
        <v>6460</v>
      </c>
      <c r="F552" s="1" t="s">
        <v>6481</v>
      </c>
      <c r="G552" s="1" t="s">
        <v>17</v>
      </c>
      <c r="H552" s="1">
        <v>6</v>
      </c>
      <c r="I552" t="str">
        <f>IF(ISNA(_xlfn.XLOOKUP(B552, policy_details!$A$2:$A$2829, policy_details!$A$2:$A$2829)), "Invalid", "Ok")</f>
        <v>Ok</v>
      </c>
    </row>
    <row r="553" spans="1:9" x14ac:dyDescent="0.3">
      <c r="A553" s="1" t="s">
        <v>7015</v>
      </c>
      <c r="B553" s="1" t="s">
        <v>3820</v>
      </c>
      <c r="C553" s="41">
        <v>45472</v>
      </c>
      <c r="D553" s="1">
        <v>455291.51</v>
      </c>
      <c r="E553" s="1" t="s">
        <v>6460</v>
      </c>
      <c r="F553" s="1" t="s">
        <v>6481</v>
      </c>
      <c r="G553" s="1" t="s">
        <v>17</v>
      </c>
      <c r="H553" s="1">
        <v>21</v>
      </c>
      <c r="I553" t="str">
        <f>IF(ISNA(_xlfn.XLOOKUP(B553, policy_details!$A$2:$A$2829, policy_details!$A$2:$A$2829)), "Invalid", "Ok")</f>
        <v>Ok</v>
      </c>
    </row>
    <row r="554" spans="1:9" x14ac:dyDescent="0.3">
      <c r="A554" s="1" t="s">
        <v>7016</v>
      </c>
      <c r="B554" s="1" t="s">
        <v>5863</v>
      </c>
      <c r="C554" s="41">
        <v>46081</v>
      </c>
      <c r="D554" s="1">
        <v>1449990.41</v>
      </c>
      <c r="E554" s="1" t="s">
        <v>6460</v>
      </c>
      <c r="F554" s="1" t="s">
        <v>6458</v>
      </c>
      <c r="G554" s="1" t="s">
        <v>17</v>
      </c>
      <c r="H554" s="1">
        <v>14</v>
      </c>
      <c r="I554" t="str">
        <f>IF(ISNA(_xlfn.XLOOKUP(B554, policy_details!$A$2:$A$2829, policy_details!$A$2:$A$2829)), "Invalid", "Ok")</f>
        <v>Ok</v>
      </c>
    </row>
    <row r="555" spans="1:9" x14ac:dyDescent="0.3">
      <c r="A555" s="1" t="s">
        <v>7017</v>
      </c>
      <c r="B555" s="1" t="s">
        <v>5661</v>
      </c>
      <c r="C555" s="41">
        <v>45501</v>
      </c>
      <c r="D555" s="1">
        <v>1215845.82</v>
      </c>
      <c r="E555" s="1" t="s">
        <v>6460</v>
      </c>
      <c r="F555" s="1" t="s">
        <v>6458</v>
      </c>
      <c r="G555" s="1" t="s">
        <v>17</v>
      </c>
      <c r="H555" s="1">
        <v>40</v>
      </c>
      <c r="I555" t="str">
        <f>IF(ISNA(_xlfn.XLOOKUP(B555, policy_details!$A$2:$A$2829, policy_details!$A$2:$A$2829)), "Invalid", "Ok")</f>
        <v>Ok</v>
      </c>
    </row>
    <row r="556" spans="1:9" x14ac:dyDescent="0.3">
      <c r="A556" s="1" t="s">
        <v>7018</v>
      </c>
      <c r="B556" s="1" t="s">
        <v>4466</v>
      </c>
      <c r="C556" s="41">
        <v>45984</v>
      </c>
      <c r="D556" s="1">
        <v>55474.54</v>
      </c>
      <c r="E556" s="1" t="s">
        <v>6457</v>
      </c>
      <c r="F556" s="1" t="s">
        <v>6466</v>
      </c>
      <c r="G556" s="1" t="s">
        <v>17</v>
      </c>
      <c r="H556" s="1">
        <v>34</v>
      </c>
      <c r="I556" t="str">
        <f>IF(ISNA(_xlfn.XLOOKUP(B556, policy_details!$A$2:$A$2829, policy_details!$A$2:$A$2829)), "Invalid", "Ok")</f>
        <v>Ok</v>
      </c>
    </row>
    <row r="557" spans="1:9" x14ac:dyDescent="0.3">
      <c r="A557" s="1" t="s">
        <v>7019</v>
      </c>
      <c r="B557" s="1" t="s">
        <v>5804</v>
      </c>
      <c r="C557" s="41">
        <v>45221</v>
      </c>
      <c r="D557" s="1">
        <v>179734.85</v>
      </c>
      <c r="E557" s="1" t="s">
        <v>6460</v>
      </c>
      <c r="F557" s="1" t="s">
        <v>6470</v>
      </c>
      <c r="G557" s="1" t="s">
        <v>17</v>
      </c>
      <c r="H557" s="1">
        <v>7</v>
      </c>
      <c r="I557" t="str">
        <f>IF(ISNA(_xlfn.XLOOKUP(B557, policy_details!$A$2:$A$2829, policy_details!$A$2:$A$2829)), "Invalid", "Ok")</f>
        <v>Ok</v>
      </c>
    </row>
    <row r="558" spans="1:9" x14ac:dyDescent="0.3">
      <c r="A558" s="1" t="s">
        <v>7020</v>
      </c>
      <c r="B558" s="1" t="s">
        <v>5240</v>
      </c>
      <c r="C558" s="41">
        <v>45031</v>
      </c>
      <c r="D558" s="1">
        <v>1406850.44</v>
      </c>
      <c r="E558" s="1" t="s">
        <v>6464</v>
      </c>
      <c r="F558" s="1" t="s">
        <v>6458</v>
      </c>
      <c r="G558" s="1" t="s">
        <v>30</v>
      </c>
      <c r="H558" s="1">
        <v>23</v>
      </c>
      <c r="I558" t="str">
        <f>IF(ISNA(_xlfn.XLOOKUP(B558, policy_details!$A$2:$A$2829, policy_details!$A$2:$A$2829)), "Invalid", "Ok")</f>
        <v>Ok</v>
      </c>
    </row>
    <row r="559" spans="1:9" x14ac:dyDescent="0.3">
      <c r="A559" s="1" t="s">
        <v>7021</v>
      </c>
      <c r="B559" s="1" t="s">
        <v>4044</v>
      </c>
      <c r="C559" s="41">
        <v>45024</v>
      </c>
      <c r="D559" s="1">
        <v>265968.33</v>
      </c>
      <c r="E559" s="1" t="s">
        <v>6457</v>
      </c>
      <c r="F559" s="1" t="s">
        <v>6466</v>
      </c>
      <c r="G559" s="1" t="s">
        <v>17</v>
      </c>
      <c r="H559" s="1">
        <v>34</v>
      </c>
      <c r="I559" t="str">
        <f>IF(ISNA(_xlfn.XLOOKUP(B559, policy_details!$A$2:$A$2829, policy_details!$A$2:$A$2829)), "Invalid", "Ok")</f>
        <v>Ok</v>
      </c>
    </row>
    <row r="560" spans="1:9" x14ac:dyDescent="0.3">
      <c r="A560" s="1" t="s">
        <v>7022</v>
      </c>
      <c r="B560" s="1" t="s">
        <v>4406</v>
      </c>
      <c r="C560" s="41">
        <v>44767</v>
      </c>
      <c r="D560" s="1">
        <v>277005.28999999998</v>
      </c>
      <c r="E560" s="1" t="s">
        <v>6457</v>
      </c>
      <c r="F560" s="1" t="s">
        <v>6481</v>
      </c>
      <c r="G560" s="1" t="s">
        <v>17</v>
      </c>
      <c r="H560" s="1">
        <v>29</v>
      </c>
      <c r="I560" t="str">
        <f>IF(ISNA(_xlfn.XLOOKUP(B560, policy_details!$A$2:$A$2829, policy_details!$A$2:$A$2829)), "Invalid", "Ok")</f>
        <v>Ok</v>
      </c>
    </row>
    <row r="561" spans="1:9" x14ac:dyDescent="0.3">
      <c r="A561" s="1" t="s">
        <v>7023</v>
      </c>
      <c r="B561" s="1" t="s">
        <v>4533</v>
      </c>
      <c r="C561" s="41">
        <v>44703</v>
      </c>
      <c r="D561" s="1">
        <v>1408317.64</v>
      </c>
      <c r="E561" s="1" t="s">
        <v>6460</v>
      </c>
      <c r="F561" s="1" t="s">
        <v>6458</v>
      </c>
      <c r="G561" s="1" t="s">
        <v>17</v>
      </c>
      <c r="H561" s="1">
        <v>1</v>
      </c>
      <c r="I561" t="str">
        <f>IF(ISNA(_xlfn.XLOOKUP(B561, policy_details!$A$2:$A$2829, policy_details!$A$2:$A$2829)), "Invalid", "Ok")</f>
        <v>Ok</v>
      </c>
    </row>
    <row r="562" spans="1:9" x14ac:dyDescent="0.3">
      <c r="A562" s="1" t="s">
        <v>7024</v>
      </c>
      <c r="B562" s="1" t="s">
        <v>4517</v>
      </c>
      <c r="C562" s="41">
        <v>45929</v>
      </c>
      <c r="D562" s="1">
        <v>268034.33</v>
      </c>
      <c r="E562" s="1" t="s">
        <v>6460</v>
      </c>
      <c r="F562" s="1" t="s">
        <v>6481</v>
      </c>
      <c r="G562" s="1" t="s">
        <v>17</v>
      </c>
      <c r="H562" s="1">
        <v>1</v>
      </c>
      <c r="I562" t="str">
        <f>IF(ISNA(_xlfn.XLOOKUP(B562, policy_details!$A$2:$A$2829, policy_details!$A$2:$A$2829)), "Invalid", "Ok")</f>
        <v>Ok</v>
      </c>
    </row>
    <row r="563" spans="1:9" x14ac:dyDescent="0.3">
      <c r="A563" s="1" t="s">
        <v>7025</v>
      </c>
      <c r="B563" s="1" t="s">
        <v>5727</v>
      </c>
      <c r="C563" s="41">
        <v>45784</v>
      </c>
      <c r="D563" s="1">
        <v>328576.28999999998</v>
      </c>
      <c r="E563" s="1" t="s">
        <v>6464</v>
      </c>
      <c r="F563" s="1" t="s">
        <v>6470</v>
      </c>
      <c r="G563" s="1" t="s">
        <v>17</v>
      </c>
      <c r="H563" s="1">
        <v>26</v>
      </c>
      <c r="I563" t="str">
        <f>IF(ISNA(_xlfn.XLOOKUP(B563, policy_details!$A$2:$A$2829, policy_details!$A$2:$A$2829)), "Invalid", "Ok")</f>
        <v>Ok</v>
      </c>
    </row>
    <row r="564" spans="1:9" x14ac:dyDescent="0.3">
      <c r="A564" s="1" t="s">
        <v>7026</v>
      </c>
      <c r="B564" s="1" t="s">
        <v>5485</v>
      </c>
      <c r="C564" s="41">
        <v>46249</v>
      </c>
      <c r="D564" s="1">
        <v>271059.76</v>
      </c>
      <c r="E564" s="1" t="s">
        <v>6460</v>
      </c>
      <c r="F564" s="1" t="s">
        <v>6481</v>
      </c>
      <c r="G564" s="1" t="s">
        <v>17</v>
      </c>
      <c r="H564" s="1">
        <v>41</v>
      </c>
      <c r="I564" t="str">
        <f>IF(ISNA(_xlfn.XLOOKUP(B564, policy_details!$A$2:$A$2829, policy_details!$A$2:$A$2829)), "Invalid", "Ok")</f>
        <v>Ok</v>
      </c>
    </row>
    <row r="565" spans="1:9" x14ac:dyDescent="0.3">
      <c r="A565" s="1" t="s">
        <v>7027</v>
      </c>
      <c r="B565" s="1" t="s">
        <v>5937</v>
      </c>
      <c r="C565" s="41">
        <v>44826</v>
      </c>
      <c r="D565" s="1">
        <v>229228.56</v>
      </c>
      <c r="E565" s="1" t="s">
        <v>6464</v>
      </c>
      <c r="F565" s="1" t="s">
        <v>6466</v>
      </c>
      <c r="G565" s="1" t="s">
        <v>30</v>
      </c>
      <c r="H565" s="1">
        <v>3</v>
      </c>
      <c r="I565" t="str">
        <f>IF(ISNA(_xlfn.XLOOKUP(B565, policy_details!$A$2:$A$2829, policy_details!$A$2:$A$2829)), "Invalid", "Ok")</f>
        <v>Ok</v>
      </c>
    </row>
    <row r="566" spans="1:9" x14ac:dyDescent="0.3">
      <c r="A566" s="1" t="s">
        <v>7028</v>
      </c>
      <c r="B566" s="1" t="s">
        <v>5058</v>
      </c>
      <c r="C566" s="41">
        <v>45390</v>
      </c>
      <c r="D566" s="1">
        <v>234356.19</v>
      </c>
      <c r="E566" s="1" t="s">
        <v>6464</v>
      </c>
      <c r="F566" s="1" t="s">
        <v>6461</v>
      </c>
      <c r="G566" s="1" t="s">
        <v>17</v>
      </c>
      <c r="H566" s="1">
        <v>8</v>
      </c>
      <c r="I566" t="str">
        <f>IF(ISNA(_xlfn.XLOOKUP(B566, policy_details!$A$2:$A$2829, policy_details!$A$2:$A$2829)), "Invalid", "Ok")</f>
        <v>Ok</v>
      </c>
    </row>
    <row r="567" spans="1:9" x14ac:dyDescent="0.3">
      <c r="A567" s="1" t="s">
        <v>7029</v>
      </c>
      <c r="B567" s="1" t="s">
        <v>4598</v>
      </c>
      <c r="C567" s="41">
        <v>45492</v>
      </c>
      <c r="D567" s="1">
        <v>122896.41</v>
      </c>
      <c r="E567" s="1" t="s">
        <v>6457</v>
      </c>
      <c r="F567" s="1" t="s">
        <v>6461</v>
      </c>
      <c r="G567" s="1" t="s">
        <v>17</v>
      </c>
      <c r="H567" s="1">
        <v>9</v>
      </c>
      <c r="I567" t="str">
        <f>IF(ISNA(_xlfn.XLOOKUP(B567, policy_details!$A$2:$A$2829, policy_details!$A$2:$A$2829)), "Invalid", "Ok")</f>
        <v>Ok</v>
      </c>
    </row>
    <row r="568" spans="1:9" x14ac:dyDescent="0.3">
      <c r="A568" s="1" t="s">
        <v>7030</v>
      </c>
      <c r="B568" s="1" t="s">
        <v>3646</v>
      </c>
      <c r="C568" s="41">
        <v>45566</v>
      </c>
      <c r="D568" s="1">
        <v>103994.27</v>
      </c>
      <c r="E568" s="1" t="s">
        <v>6464</v>
      </c>
      <c r="F568" s="1" t="s">
        <v>6470</v>
      </c>
      <c r="G568" s="1" t="s">
        <v>17</v>
      </c>
      <c r="H568" s="1">
        <v>15</v>
      </c>
      <c r="I568" t="str">
        <f>IF(ISNA(_xlfn.XLOOKUP(B568, policy_details!$A$2:$A$2829, policy_details!$A$2:$A$2829)), "Invalid", "Ok")</f>
        <v>Ok</v>
      </c>
    </row>
    <row r="569" spans="1:9" x14ac:dyDescent="0.3">
      <c r="A569" s="1" t="s">
        <v>7031</v>
      </c>
      <c r="B569" s="1" t="s">
        <v>5864</v>
      </c>
      <c r="C569" s="41">
        <v>44623</v>
      </c>
      <c r="D569" s="1">
        <v>180342.45</v>
      </c>
      <c r="E569" s="1" t="s">
        <v>6460</v>
      </c>
      <c r="F569" s="1" t="s">
        <v>6470</v>
      </c>
      <c r="G569" s="1" t="s">
        <v>17</v>
      </c>
      <c r="H569" s="1">
        <v>40</v>
      </c>
      <c r="I569" t="str">
        <f>IF(ISNA(_xlfn.XLOOKUP(B569, policy_details!$A$2:$A$2829, policy_details!$A$2:$A$2829)), "Invalid", "Ok")</f>
        <v>Ok</v>
      </c>
    </row>
    <row r="570" spans="1:9" x14ac:dyDescent="0.3">
      <c r="A570" s="1" t="s">
        <v>7032</v>
      </c>
      <c r="B570" s="1" t="s">
        <v>3679</v>
      </c>
      <c r="C570" s="41">
        <v>44962</v>
      </c>
      <c r="D570" s="1">
        <v>295543.14</v>
      </c>
      <c r="E570" s="1" t="s">
        <v>6457</v>
      </c>
      <c r="F570" s="1" t="s">
        <v>6466</v>
      </c>
      <c r="G570" s="1" t="s">
        <v>30</v>
      </c>
      <c r="H570" s="1">
        <v>42</v>
      </c>
      <c r="I570" t="str">
        <f>IF(ISNA(_xlfn.XLOOKUP(B570, policy_details!$A$2:$A$2829, policy_details!$A$2:$A$2829)), "Invalid", "Ok")</f>
        <v>Ok</v>
      </c>
    </row>
    <row r="571" spans="1:9" x14ac:dyDescent="0.3">
      <c r="A571" s="1" t="s">
        <v>7033</v>
      </c>
      <c r="B571" s="1" t="s">
        <v>4452</v>
      </c>
      <c r="C571" s="41">
        <v>44658</v>
      </c>
      <c r="D571" s="1">
        <v>285898.86</v>
      </c>
      <c r="E571" s="1" t="s">
        <v>6464</v>
      </c>
      <c r="F571" s="1" t="s">
        <v>6470</v>
      </c>
      <c r="G571" s="1" t="s">
        <v>17</v>
      </c>
      <c r="H571" s="1">
        <v>14</v>
      </c>
      <c r="I571" t="str">
        <f>IF(ISNA(_xlfn.XLOOKUP(B571, policy_details!$A$2:$A$2829, policy_details!$A$2:$A$2829)), "Invalid", "Ok")</f>
        <v>Ok</v>
      </c>
    </row>
    <row r="572" spans="1:9" x14ac:dyDescent="0.3">
      <c r="A572" s="1" t="s">
        <v>7034</v>
      </c>
      <c r="B572" s="1" t="s">
        <v>5508</v>
      </c>
      <c r="C572" s="41">
        <v>44942</v>
      </c>
      <c r="D572" s="1">
        <v>1433457.34</v>
      </c>
      <c r="E572" s="1" t="s">
        <v>6457</v>
      </c>
      <c r="F572" s="1" t="s">
        <v>6458</v>
      </c>
      <c r="G572" s="1" t="s">
        <v>17</v>
      </c>
      <c r="H572" s="1">
        <v>33</v>
      </c>
      <c r="I572" t="str">
        <f>IF(ISNA(_xlfn.XLOOKUP(B572, policy_details!$A$2:$A$2829, policy_details!$A$2:$A$2829)), "Invalid", "Ok")</f>
        <v>Ok</v>
      </c>
    </row>
    <row r="573" spans="1:9" x14ac:dyDescent="0.3">
      <c r="A573" s="1" t="s">
        <v>7035</v>
      </c>
      <c r="B573" s="1" t="s">
        <v>5777</v>
      </c>
      <c r="C573" s="41">
        <v>45243</v>
      </c>
      <c r="D573" s="1">
        <v>173926.49</v>
      </c>
      <c r="E573" s="1" t="s">
        <v>6464</v>
      </c>
      <c r="F573" s="1" t="s">
        <v>6470</v>
      </c>
      <c r="G573" s="1" t="s">
        <v>17</v>
      </c>
      <c r="H573" s="1">
        <v>1</v>
      </c>
      <c r="I573" t="str">
        <f>IF(ISNA(_xlfn.XLOOKUP(B573, policy_details!$A$2:$A$2829, policy_details!$A$2:$A$2829)), "Invalid", "Ok")</f>
        <v>Ok</v>
      </c>
    </row>
    <row r="574" spans="1:9" x14ac:dyDescent="0.3">
      <c r="A574" s="1" t="s">
        <v>7036</v>
      </c>
      <c r="B574" s="1" t="s">
        <v>3650</v>
      </c>
      <c r="C574" s="41">
        <v>46059</v>
      </c>
      <c r="D574" s="1">
        <v>826094.96</v>
      </c>
      <c r="E574" s="1" t="s">
        <v>6464</v>
      </c>
      <c r="F574" s="1" t="s">
        <v>6458</v>
      </c>
      <c r="G574" s="1" t="s">
        <v>17</v>
      </c>
      <c r="H574" s="1">
        <v>23</v>
      </c>
      <c r="I574" t="str">
        <f>IF(ISNA(_xlfn.XLOOKUP(B574, policy_details!$A$2:$A$2829, policy_details!$A$2:$A$2829)), "Invalid", "Ok")</f>
        <v>Ok</v>
      </c>
    </row>
    <row r="575" spans="1:9" x14ac:dyDescent="0.3">
      <c r="A575" s="1" t="s">
        <v>7037</v>
      </c>
      <c r="B575" s="1" t="s">
        <v>5335</v>
      </c>
      <c r="C575" s="41">
        <v>44969</v>
      </c>
      <c r="D575" s="1">
        <v>669369.88</v>
      </c>
      <c r="E575" s="1" t="s">
        <v>6464</v>
      </c>
      <c r="F575" s="1" t="s">
        <v>6458</v>
      </c>
      <c r="G575" s="1" t="s">
        <v>17</v>
      </c>
      <c r="H575" s="1">
        <v>28</v>
      </c>
      <c r="I575" t="str">
        <f>IF(ISNA(_xlfn.XLOOKUP(B575, policy_details!$A$2:$A$2829, policy_details!$A$2:$A$2829)), "Invalid", "Ok")</f>
        <v>Ok</v>
      </c>
    </row>
    <row r="576" spans="1:9" x14ac:dyDescent="0.3">
      <c r="A576" s="1" t="s">
        <v>7038</v>
      </c>
      <c r="B576" s="1" t="s">
        <v>3923</v>
      </c>
      <c r="C576" s="41">
        <v>46118</v>
      </c>
      <c r="D576" s="1">
        <v>203954.08</v>
      </c>
      <c r="E576" s="1" t="s">
        <v>6460</v>
      </c>
      <c r="F576" s="1" t="s">
        <v>6470</v>
      </c>
      <c r="G576" s="1" t="s">
        <v>17</v>
      </c>
      <c r="H576" s="1">
        <v>38</v>
      </c>
      <c r="I576" t="str">
        <f>IF(ISNA(_xlfn.XLOOKUP(B576, policy_details!$A$2:$A$2829, policy_details!$A$2:$A$2829)), "Invalid", "Ok")</f>
        <v>Ok</v>
      </c>
    </row>
    <row r="577" spans="1:9" x14ac:dyDescent="0.3">
      <c r="A577" s="1" t="s">
        <v>7039</v>
      </c>
      <c r="B577" s="1" t="s">
        <v>5758</v>
      </c>
      <c r="C577" s="41">
        <v>46248</v>
      </c>
      <c r="D577" s="1">
        <v>66027.63</v>
      </c>
      <c r="E577" s="1" t="s">
        <v>6460</v>
      </c>
      <c r="F577" s="1" t="s">
        <v>6461</v>
      </c>
      <c r="G577" s="1" t="s">
        <v>17</v>
      </c>
      <c r="H577" s="1">
        <v>37</v>
      </c>
      <c r="I577" t="str">
        <f>IF(ISNA(_xlfn.XLOOKUP(B577, policy_details!$A$2:$A$2829, policy_details!$A$2:$A$2829)), "Invalid", "Ok")</f>
        <v>Ok</v>
      </c>
    </row>
    <row r="578" spans="1:9" x14ac:dyDescent="0.3">
      <c r="A578" s="1" t="s">
        <v>7040</v>
      </c>
      <c r="B578" s="1" t="s">
        <v>5681</v>
      </c>
      <c r="C578" s="41">
        <v>45818</v>
      </c>
      <c r="D578" s="1">
        <v>252861.15</v>
      </c>
      <c r="E578" s="1" t="s">
        <v>6460</v>
      </c>
      <c r="F578" s="1" t="s">
        <v>6481</v>
      </c>
      <c r="G578" s="1" t="s">
        <v>17</v>
      </c>
      <c r="H578" s="1">
        <v>3</v>
      </c>
      <c r="I578" t="str">
        <f>IF(ISNA(_xlfn.XLOOKUP(B578, policy_details!$A$2:$A$2829, policy_details!$A$2:$A$2829)), "Invalid", "Ok")</f>
        <v>Ok</v>
      </c>
    </row>
    <row r="579" spans="1:9" x14ac:dyDescent="0.3">
      <c r="A579" s="1" t="s">
        <v>7041</v>
      </c>
      <c r="B579" s="1" t="s">
        <v>5732</v>
      </c>
      <c r="C579" s="41">
        <v>46131</v>
      </c>
      <c r="D579" s="1">
        <v>3741474.66</v>
      </c>
      <c r="E579" s="1" t="s">
        <v>6460</v>
      </c>
      <c r="F579" s="1" t="s">
        <v>6458</v>
      </c>
      <c r="G579" s="1" t="s">
        <v>17</v>
      </c>
      <c r="H579" s="1">
        <v>19</v>
      </c>
      <c r="I579" t="str">
        <f>IF(ISNA(_xlfn.XLOOKUP(B579, policy_details!$A$2:$A$2829, policy_details!$A$2:$A$2829)), "Invalid", "Ok")</f>
        <v>Ok</v>
      </c>
    </row>
    <row r="580" spans="1:9" x14ac:dyDescent="0.3">
      <c r="A580" s="1" t="s">
        <v>7042</v>
      </c>
      <c r="B580" s="1" t="s">
        <v>3628</v>
      </c>
      <c r="C580" s="41">
        <v>45659</v>
      </c>
      <c r="D580" s="1">
        <v>117863.74</v>
      </c>
      <c r="E580" s="1" t="s">
        <v>6464</v>
      </c>
      <c r="F580" s="1" t="s">
        <v>6481</v>
      </c>
      <c r="G580" s="1" t="s">
        <v>17</v>
      </c>
      <c r="H580" s="1">
        <v>4</v>
      </c>
      <c r="I580" t="str">
        <f>IF(ISNA(_xlfn.XLOOKUP(B580, policy_details!$A$2:$A$2829, policy_details!$A$2:$A$2829)), "Invalid", "Ok")</f>
        <v>Ok</v>
      </c>
    </row>
    <row r="581" spans="1:9" x14ac:dyDescent="0.3">
      <c r="A581" s="1" t="s">
        <v>7043</v>
      </c>
      <c r="B581" s="1" t="s">
        <v>5197</v>
      </c>
      <c r="C581" s="41">
        <v>44699</v>
      </c>
      <c r="D581" s="1">
        <v>194683.4</v>
      </c>
      <c r="E581" s="1" t="s">
        <v>6460</v>
      </c>
      <c r="F581" s="1" t="s">
        <v>6470</v>
      </c>
      <c r="G581" s="1" t="s">
        <v>17</v>
      </c>
      <c r="H581" s="1">
        <v>1</v>
      </c>
      <c r="I581" t="str">
        <f>IF(ISNA(_xlfn.XLOOKUP(B581, policy_details!$A$2:$A$2829, policy_details!$A$2:$A$2829)), "Invalid", "Ok")</f>
        <v>Ok</v>
      </c>
    </row>
    <row r="582" spans="1:9" x14ac:dyDescent="0.3">
      <c r="A582" s="1" t="s">
        <v>7044</v>
      </c>
      <c r="B582" s="1" t="s">
        <v>4265</v>
      </c>
      <c r="C582" s="41">
        <v>44819</v>
      </c>
      <c r="D582" s="1">
        <v>1087147.5900000001</v>
      </c>
      <c r="E582" s="1" t="s">
        <v>6460</v>
      </c>
      <c r="F582" s="1" t="s">
        <v>6458</v>
      </c>
      <c r="G582" s="1" t="s">
        <v>17</v>
      </c>
      <c r="H582" s="1">
        <v>7</v>
      </c>
      <c r="I582" t="str">
        <f>IF(ISNA(_xlfn.XLOOKUP(B582, policy_details!$A$2:$A$2829, policy_details!$A$2:$A$2829)), "Invalid", "Ok")</f>
        <v>Ok</v>
      </c>
    </row>
    <row r="583" spans="1:9" x14ac:dyDescent="0.3">
      <c r="A583" s="1" t="s">
        <v>7045</v>
      </c>
      <c r="B583" s="1" t="s">
        <v>5014</v>
      </c>
      <c r="C583" s="41">
        <v>45974</v>
      </c>
      <c r="D583" s="1">
        <v>231872.9</v>
      </c>
      <c r="E583" s="1" t="s">
        <v>6464</v>
      </c>
      <c r="F583" s="1" t="s">
        <v>6470</v>
      </c>
      <c r="G583" s="1" t="s">
        <v>17</v>
      </c>
      <c r="H583" s="1">
        <v>42</v>
      </c>
      <c r="I583" t="str">
        <f>IF(ISNA(_xlfn.XLOOKUP(B583, policy_details!$A$2:$A$2829, policy_details!$A$2:$A$2829)), "Invalid", "Ok")</f>
        <v>Ok</v>
      </c>
    </row>
    <row r="584" spans="1:9" x14ac:dyDescent="0.3">
      <c r="A584" s="1" t="s">
        <v>7046</v>
      </c>
      <c r="B584" s="1" t="s">
        <v>6419</v>
      </c>
      <c r="C584" s="41">
        <v>45821</v>
      </c>
      <c r="D584" s="1">
        <v>135680.93</v>
      </c>
      <c r="E584" s="1" t="s">
        <v>6460</v>
      </c>
      <c r="F584" s="1" t="s">
        <v>6466</v>
      </c>
      <c r="G584" s="1" t="s">
        <v>17</v>
      </c>
      <c r="H584" s="1">
        <v>12</v>
      </c>
      <c r="I584" t="str">
        <f>IF(ISNA(_xlfn.XLOOKUP(B584, policy_details!$A$2:$A$2829, policy_details!$A$2:$A$2829)), "Invalid", "Ok")</f>
        <v>Ok</v>
      </c>
    </row>
    <row r="585" spans="1:9" x14ac:dyDescent="0.3">
      <c r="A585" s="1" t="s">
        <v>7047</v>
      </c>
      <c r="B585" s="1" t="s">
        <v>3739</v>
      </c>
      <c r="C585" s="41">
        <v>44491</v>
      </c>
      <c r="D585" s="1">
        <v>323517.84000000003</v>
      </c>
      <c r="E585" s="1" t="s">
        <v>6464</v>
      </c>
      <c r="F585" s="1" t="s">
        <v>6481</v>
      </c>
      <c r="G585" s="1" t="s">
        <v>17</v>
      </c>
      <c r="H585" s="1">
        <v>33</v>
      </c>
      <c r="I585" t="str">
        <f>IF(ISNA(_xlfn.XLOOKUP(B585, policy_details!$A$2:$A$2829, policy_details!$A$2:$A$2829)), "Invalid", "Ok")</f>
        <v>Ok</v>
      </c>
    </row>
    <row r="586" spans="1:9" x14ac:dyDescent="0.3">
      <c r="A586" s="1" t="s">
        <v>7048</v>
      </c>
      <c r="B586" s="1" t="s">
        <v>5295</v>
      </c>
      <c r="C586" s="41">
        <v>46090</v>
      </c>
      <c r="D586" s="1">
        <v>168405.42</v>
      </c>
      <c r="E586" s="1" t="s">
        <v>6457</v>
      </c>
      <c r="F586" s="1" t="s">
        <v>6466</v>
      </c>
      <c r="G586" s="1" t="s">
        <v>17</v>
      </c>
      <c r="H586" s="1">
        <v>32</v>
      </c>
      <c r="I586" t="str">
        <f>IF(ISNA(_xlfn.XLOOKUP(B586, policy_details!$A$2:$A$2829, policy_details!$A$2:$A$2829)), "Invalid", "Ok")</f>
        <v>Ok</v>
      </c>
    </row>
    <row r="587" spans="1:9" x14ac:dyDescent="0.3">
      <c r="A587" s="1" t="s">
        <v>7049</v>
      </c>
      <c r="B587" s="1" t="s">
        <v>4020</v>
      </c>
      <c r="C587" s="41">
        <v>46195</v>
      </c>
      <c r="D587" s="1">
        <v>73467.53</v>
      </c>
      <c r="E587" s="1" t="s">
        <v>6457</v>
      </c>
      <c r="F587" s="1" t="s">
        <v>6461</v>
      </c>
      <c r="G587" s="1" t="s">
        <v>17</v>
      </c>
      <c r="H587" s="1">
        <v>39</v>
      </c>
      <c r="I587" t="str">
        <f>IF(ISNA(_xlfn.XLOOKUP(B587, policy_details!$A$2:$A$2829, policy_details!$A$2:$A$2829)), "Invalid", "Ok")</f>
        <v>Ok</v>
      </c>
    </row>
    <row r="588" spans="1:9" x14ac:dyDescent="0.3">
      <c r="A588" s="1" t="s">
        <v>7050</v>
      </c>
      <c r="B588" s="1" t="s">
        <v>5056</v>
      </c>
      <c r="C588" s="41">
        <v>45428</v>
      </c>
      <c r="D588" s="1">
        <v>402397.16</v>
      </c>
      <c r="E588" s="1" t="s">
        <v>6457</v>
      </c>
      <c r="F588" s="1" t="s">
        <v>6481</v>
      </c>
      <c r="G588" s="1" t="s">
        <v>30</v>
      </c>
      <c r="H588" s="1">
        <v>24</v>
      </c>
      <c r="I588" t="str">
        <f>IF(ISNA(_xlfn.XLOOKUP(B588, policy_details!$A$2:$A$2829, policy_details!$A$2:$A$2829)), "Invalid", "Ok")</f>
        <v>Ok</v>
      </c>
    </row>
    <row r="589" spans="1:9" x14ac:dyDescent="0.3">
      <c r="A589" s="1" t="s">
        <v>7051</v>
      </c>
      <c r="B589" s="1" t="s">
        <v>5087</v>
      </c>
      <c r="C589" s="41">
        <v>45901</v>
      </c>
      <c r="D589" s="1">
        <v>209127.2</v>
      </c>
      <c r="E589" s="1" t="s">
        <v>6457</v>
      </c>
      <c r="F589" s="1" t="s">
        <v>6461</v>
      </c>
      <c r="G589" s="1" t="s">
        <v>30</v>
      </c>
      <c r="H589" s="1">
        <v>43</v>
      </c>
      <c r="I589" t="str">
        <f>IF(ISNA(_xlfn.XLOOKUP(B589, policy_details!$A$2:$A$2829, policy_details!$A$2:$A$2829)), "Invalid", "Ok")</f>
        <v>Ok</v>
      </c>
    </row>
    <row r="590" spans="1:9" x14ac:dyDescent="0.3">
      <c r="A590" s="1" t="s">
        <v>7052</v>
      </c>
      <c r="B590" s="1" t="s">
        <v>4903</v>
      </c>
      <c r="C590" s="41">
        <v>44454</v>
      </c>
      <c r="D590" s="1">
        <v>555080.71</v>
      </c>
      <c r="E590" s="1" t="s">
        <v>6464</v>
      </c>
      <c r="F590" s="1" t="s">
        <v>6458</v>
      </c>
      <c r="G590" s="1" t="s">
        <v>17</v>
      </c>
      <c r="H590" s="1">
        <v>19</v>
      </c>
      <c r="I590" t="str">
        <f>IF(ISNA(_xlfn.XLOOKUP(B590, policy_details!$A$2:$A$2829, policy_details!$A$2:$A$2829)), "Invalid", "Ok")</f>
        <v>Ok</v>
      </c>
    </row>
    <row r="591" spans="1:9" x14ac:dyDescent="0.3">
      <c r="A591" s="1" t="s">
        <v>7053</v>
      </c>
      <c r="B591" s="1" t="s">
        <v>5426</v>
      </c>
      <c r="C591" s="41">
        <v>45962</v>
      </c>
      <c r="D591" s="1">
        <v>137147.65</v>
      </c>
      <c r="E591" s="1" t="s">
        <v>6457</v>
      </c>
      <c r="F591" s="1" t="s">
        <v>6470</v>
      </c>
      <c r="G591" s="1" t="s">
        <v>30</v>
      </c>
      <c r="H591" s="1">
        <v>35</v>
      </c>
      <c r="I591" t="str">
        <f>IF(ISNA(_xlfn.XLOOKUP(B591, policy_details!$A$2:$A$2829, policy_details!$A$2:$A$2829)), "Invalid", "Ok")</f>
        <v>Ok</v>
      </c>
    </row>
    <row r="592" spans="1:9" x14ac:dyDescent="0.3">
      <c r="A592" s="1" t="s">
        <v>7054</v>
      </c>
      <c r="B592" s="1" t="s">
        <v>6376</v>
      </c>
      <c r="C592" s="41">
        <v>44489</v>
      </c>
      <c r="D592" s="1">
        <v>164616.95999999999</v>
      </c>
      <c r="E592" s="1" t="s">
        <v>6457</v>
      </c>
      <c r="F592" s="1" t="s">
        <v>6466</v>
      </c>
      <c r="G592" s="1" t="s">
        <v>17</v>
      </c>
      <c r="H592" s="1">
        <v>35</v>
      </c>
      <c r="I592" t="str">
        <f>IF(ISNA(_xlfn.XLOOKUP(B592, policy_details!$A$2:$A$2829, policy_details!$A$2:$A$2829)), "Invalid", "Ok")</f>
        <v>Ok</v>
      </c>
    </row>
    <row r="593" spans="1:9" x14ac:dyDescent="0.3">
      <c r="A593" s="1" t="s">
        <v>7055</v>
      </c>
      <c r="B593" s="1" t="s">
        <v>5896</v>
      </c>
      <c r="C593" s="41">
        <v>44813</v>
      </c>
      <c r="D593" s="1">
        <v>395678.67</v>
      </c>
      <c r="E593" s="1" t="s">
        <v>6464</v>
      </c>
      <c r="F593" s="1" t="s">
        <v>6458</v>
      </c>
      <c r="G593" s="1" t="s">
        <v>17</v>
      </c>
      <c r="H593" s="1">
        <v>24</v>
      </c>
      <c r="I593" t="str">
        <f>IF(ISNA(_xlfn.XLOOKUP(B593, policy_details!$A$2:$A$2829, policy_details!$A$2:$A$2829)), "Invalid", "Ok")</f>
        <v>Ok</v>
      </c>
    </row>
    <row r="594" spans="1:9" x14ac:dyDescent="0.3">
      <c r="A594" s="1" t="s">
        <v>7056</v>
      </c>
      <c r="B594" s="1" t="s">
        <v>6332</v>
      </c>
      <c r="C594" s="41">
        <v>46162</v>
      </c>
      <c r="D594" s="1">
        <v>1317655.94</v>
      </c>
      <c r="E594" s="1" t="s">
        <v>6460</v>
      </c>
      <c r="F594" s="1" t="s">
        <v>6458</v>
      </c>
      <c r="G594" s="1" t="s">
        <v>17</v>
      </c>
      <c r="H594" s="1">
        <v>14</v>
      </c>
      <c r="I594" t="str">
        <f>IF(ISNA(_xlfn.XLOOKUP(B594, policy_details!$A$2:$A$2829, policy_details!$A$2:$A$2829)), "Invalid", "Ok")</f>
        <v>Ok</v>
      </c>
    </row>
    <row r="595" spans="1:9" x14ac:dyDescent="0.3">
      <c r="A595" s="1" t="s">
        <v>7057</v>
      </c>
      <c r="B595" s="1" t="s">
        <v>4107</v>
      </c>
      <c r="C595" s="41">
        <v>45485</v>
      </c>
      <c r="D595" s="1">
        <v>223764.58</v>
      </c>
      <c r="E595" s="1" t="s">
        <v>6460</v>
      </c>
      <c r="F595" s="1" t="s">
        <v>6461</v>
      </c>
      <c r="G595" s="1" t="s">
        <v>17</v>
      </c>
      <c r="H595" s="1">
        <v>7</v>
      </c>
      <c r="I595" t="str">
        <f>IF(ISNA(_xlfn.XLOOKUP(B595, policy_details!$A$2:$A$2829, policy_details!$A$2:$A$2829)), "Invalid", "Ok")</f>
        <v>Ok</v>
      </c>
    </row>
    <row r="596" spans="1:9" x14ac:dyDescent="0.3">
      <c r="A596" s="1" t="s">
        <v>7058</v>
      </c>
      <c r="B596" s="1" t="s">
        <v>6430</v>
      </c>
      <c r="C596" s="41">
        <v>45779</v>
      </c>
      <c r="D596" s="1">
        <v>127018.22</v>
      </c>
      <c r="E596" s="1" t="s">
        <v>6457</v>
      </c>
      <c r="F596" s="1" t="s">
        <v>6461</v>
      </c>
      <c r="G596" s="1" t="s">
        <v>17</v>
      </c>
      <c r="H596" s="1">
        <v>4</v>
      </c>
      <c r="I596" t="str">
        <f>IF(ISNA(_xlfn.XLOOKUP(B596, policy_details!$A$2:$A$2829, policy_details!$A$2:$A$2829)), "Invalid", "Ok")</f>
        <v>Ok</v>
      </c>
    </row>
    <row r="597" spans="1:9" x14ac:dyDescent="0.3">
      <c r="A597" s="1" t="s">
        <v>7059</v>
      </c>
      <c r="B597" s="1" t="s">
        <v>4463</v>
      </c>
      <c r="C597" s="41">
        <v>45393</v>
      </c>
      <c r="D597" s="1">
        <v>216927.84</v>
      </c>
      <c r="E597" s="1" t="s">
        <v>6464</v>
      </c>
      <c r="F597" s="1" t="s">
        <v>6466</v>
      </c>
      <c r="G597" s="1" t="s">
        <v>17</v>
      </c>
      <c r="H597" s="1">
        <v>22</v>
      </c>
      <c r="I597" t="str">
        <f>IF(ISNA(_xlfn.XLOOKUP(B597, policy_details!$A$2:$A$2829, policy_details!$A$2:$A$2829)), "Invalid", "Ok")</f>
        <v>Ok</v>
      </c>
    </row>
    <row r="598" spans="1:9" x14ac:dyDescent="0.3">
      <c r="A598" s="1" t="s">
        <v>7060</v>
      </c>
      <c r="B598" s="1" t="s">
        <v>3493</v>
      </c>
      <c r="C598" s="41">
        <v>45960</v>
      </c>
      <c r="D598" s="1">
        <v>190624.56</v>
      </c>
      <c r="E598" s="1" t="s">
        <v>6464</v>
      </c>
      <c r="F598" s="1" t="s">
        <v>6470</v>
      </c>
      <c r="G598" s="1" t="s">
        <v>17</v>
      </c>
      <c r="H598" s="1">
        <v>18</v>
      </c>
      <c r="I598" t="str">
        <f>IF(ISNA(_xlfn.XLOOKUP(B598, policy_details!$A$2:$A$2829, policy_details!$A$2:$A$2829)), "Invalid", "Ok")</f>
        <v>Ok</v>
      </c>
    </row>
    <row r="599" spans="1:9" x14ac:dyDescent="0.3">
      <c r="A599" s="1" t="s">
        <v>7061</v>
      </c>
      <c r="B599" s="1" t="s">
        <v>4847</v>
      </c>
      <c r="C599" s="41">
        <v>44980</v>
      </c>
      <c r="D599" s="1">
        <v>1016977.93</v>
      </c>
      <c r="E599" s="1" t="s">
        <v>6460</v>
      </c>
      <c r="F599" s="1" t="s">
        <v>6458</v>
      </c>
      <c r="G599" s="1" t="s">
        <v>17</v>
      </c>
      <c r="H599" s="1">
        <v>10</v>
      </c>
      <c r="I599" t="str">
        <f>IF(ISNA(_xlfn.XLOOKUP(B599, policy_details!$A$2:$A$2829, policy_details!$A$2:$A$2829)), "Invalid", "Ok")</f>
        <v>Ok</v>
      </c>
    </row>
    <row r="600" spans="1:9" x14ac:dyDescent="0.3">
      <c r="A600" s="1" t="s">
        <v>7062</v>
      </c>
      <c r="B600" s="1" t="s">
        <v>4281</v>
      </c>
      <c r="C600" s="41">
        <v>44642</v>
      </c>
      <c r="D600" s="1">
        <v>127446.46</v>
      </c>
      <c r="E600" s="1" t="s">
        <v>6457</v>
      </c>
      <c r="F600" s="1" t="s">
        <v>6481</v>
      </c>
      <c r="G600" s="1" t="s">
        <v>17</v>
      </c>
      <c r="H600" s="1">
        <v>34</v>
      </c>
      <c r="I600" t="str">
        <f>IF(ISNA(_xlfn.XLOOKUP(B600, policy_details!$A$2:$A$2829, policy_details!$A$2:$A$2829)), "Invalid", "Ok")</f>
        <v>Ok</v>
      </c>
    </row>
    <row r="601" spans="1:9" x14ac:dyDescent="0.3">
      <c r="A601" s="1" t="s">
        <v>7063</v>
      </c>
      <c r="B601" s="1" t="s">
        <v>5771</v>
      </c>
      <c r="C601" s="41">
        <v>45732</v>
      </c>
      <c r="D601" s="1">
        <v>191494.21</v>
      </c>
      <c r="E601" s="1" t="s">
        <v>6464</v>
      </c>
      <c r="F601" s="1" t="s">
        <v>6461</v>
      </c>
      <c r="G601" s="1" t="s">
        <v>17</v>
      </c>
      <c r="H601" s="1">
        <v>8</v>
      </c>
      <c r="I601" t="str">
        <f>IF(ISNA(_xlfn.XLOOKUP(B601, policy_details!$A$2:$A$2829, policy_details!$A$2:$A$2829)), "Invalid", "Ok")</f>
        <v>Ok</v>
      </c>
    </row>
    <row r="602" spans="1:9" x14ac:dyDescent="0.3">
      <c r="A602" s="1" t="s">
        <v>7064</v>
      </c>
      <c r="B602" s="1" t="s">
        <v>3727</v>
      </c>
      <c r="C602" s="41">
        <v>45985</v>
      </c>
      <c r="D602" s="1">
        <v>138893.48000000001</v>
      </c>
      <c r="E602" s="1" t="s">
        <v>6464</v>
      </c>
      <c r="F602" s="1" t="s">
        <v>6481</v>
      </c>
      <c r="G602" s="1" t="s">
        <v>17</v>
      </c>
      <c r="H602" s="1">
        <v>21</v>
      </c>
      <c r="I602" t="str">
        <f>IF(ISNA(_xlfn.XLOOKUP(B602, policy_details!$A$2:$A$2829, policy_details!$A$2:$A$2829)), "Invalid", "Ok")</f>
        <v>Ok</v>
      </c>
    </row>
    <row r="603" spans="1:9" x14ac:dyDescent="0.3">
      <c r="A603" s="1" t="s">
        <v>7065</v>
      </c>
      <c r="B603" s="1" t="s">
        <v>5165</v>
      </c>
      <c r="C603" s="41">
        <v>45253</v>
      </c>
      <c r="D603" s="1">
        <v>253064.52</v>
      </c>
      <c r="E603" s="1" t="s">
        <v>6460</v>
      </c>
      <c r="F603" s="1" t="s">
        <v>6470</v>
      </c>
      <c r="G603" s="1" t="s">
        <v>17</v>
      </c>
      <c r="H603" s="1">
        <v>19</v>
      </c>
      <c r="I603" t="str">
        <f>IF(ISNA(_xlfn.XLOOKUP(B603, policy_details!$A$2:$A$2829, policy_details!$A$2:$A$2829)), "Invalid", "Ok")</f>
        <v>Ok</v>
      </c>
    </row>
    <row r="604" spans="1:9" x14ac:dyDescent="0.3">
      <c r="A604" s="1" t="s">
        <v>7066</v>
      </c>
      <c r="B604" s="1" t="s">
        <v>4416</v>
      </c>
      <c r="C604" s="41">
        <v>45231</v>
      </c>
      <c r="D604" s="1">
        <v>129177.5</v>
      </c>
      <c r="E604" s="1" t="s">
        <v>6460</v>
      </c>
      <c r="F604" s="1" t="s">
        <v>6466</v>
      </c>
      <c r="G604" s="1" t="s">
        <v>17</v>
      </c>
      <c r="H604" s="1">
        <v>43</v>
      </c>
      <c r="I604" t="str">
        <f>IF(ISNA(_xlfn.XLOOKUP(B604, policy_details!$A$2:$A$2829, policy_details!$A$2:$A$2829)), "Invalid", "Ok")</f>
        <v>Ok</v>
      </c>
    </row>
    <row r="605" spans="1:9" x14ac:dyDescent="0.3">
      <c r="A605" s="1" t="s">
        <v>7067</v>
      </c>
      <c r="B605" s="1" t="s">
        <v>4161</v>
      </c>
      <c r="C605" s="41">
        <v>44922</v>
      </c>
      <c r="D605" s="1">
        <v>130504.35</v>
      </c>
      <c r="E605" s="1" t="s">
        <v>6460</v>
      </c>
      <c r="F605" s="1" t="s">
        <v>6481</v>
      </c>
      <c r="G605" s="1" t="s">
        <v>17</v>
      </c>
      <c r="H605" s="1">
        <v>5</v>
      </c>
      <c r="I605" t="str">
        <f>IF(ISNA(_xlfn.XLOOKUP(B605, policy_details!$A$2:$A$2829, policy_details!$A$2:$A$2829)), "Invalid", "Ok")</f>
        <v>Ok</v>
      </c>
    </row>
    <row r="606" spans="1:9" x14ac:dyDescent="0.3">
      <c r="A606" s="1" t="s">
        <v>7068</v>
      </c>
      <c r="B606" s="1" t="s">
        <v>6098</v>
      </c>
      <c r="C606" s="41">
        <v>46021</v>
      </c>
      <c r="D606" s="1">
        <v>216937.28</v>
      </c>
      <c r="E606" s="1" t="s">
        <v>6464</v>
      </c>
      <c r="F606" s="1" t="s">
        <v>6466</v>
      </c>
      <c r="G606" s="1" t="s">
        <v>30</v>
      </c>
      <c r="H606" s="1">
        <v>38</v>
      </c>
      <c r="I606" t="str">
        <f>IF(ISNA(_xlfn.XLOOKUP(B606, policy_details!$A$2:$A$2829, policy_details!$A$2:$A$2829)), "Invalid", "Ok")</f>
        <v>Ok</v>
      </c>
    </row>
    <row r="607" spans="1:9" x14ac:dyDescent="0.3">
      <c r="A607" s="1" t="s">
        <v>7069</v>
      </c>
      <c r="B607" s="1" t="s">
        <v>5072</v>
      </c>
      <c r="C607" s="41">
        <v>46256</v>
      </c>
      <c r="D607" s="1">
        <v>146259.54</v>
      </c>
      <c r="E607" s="1" t="s">
        <v>6460</v>
      </c>
      <c r="F607" s="1" t="s">
        <v>6461</v>
      </c>
      <c r="G607" s="1" t="s">
        <v>17</v>
      </c>
      <c r="H607" s="1">
        <v>31</v>
      </c>
      <c r="I607" t="str">
        <f>IF(ISNA(_xlfn.XLOOKUP(B607, policy_details!$A$2:$A$2829, policy_details!$A$2:$A$2829)), "Invalid", "Ok")</f>
        <v>Ok</v>
      </c>
    </row>
    <row r="608" spans="1:9" x14ac:dyDescent="0.3">
      <c r="A608" s="1" t="s">
        <v>7070</v>
      </c>
      <c r="B608" s="1" t="s">
        <v>4526</v>
      </c>
      <c r="C608" s="41">
        <v>45778</v>
      </c>
      <c r="D608" s="1">
        <v>157986.35</v>
      </c>
      <c r="E608" s="1" t="s">
        <v>6460</v>
      </c>
      <c r="F608" s="1" t="s">
        <v>6461</v>
      </c>
      <c r="G608" s="1" t="s">
        <v>17</v>
      </c>
      <c r="H608" s="1">
        <v>35</v>
      </c>
      <c r="I608" t="str">
        <f>IF(ISNA(_xlfn.XLOOKUP(B608, policy_details!$A$2:$A$2829, policy_details!$A$2:$A$2829)), "Invalid", "Ok")</f>
        <v>Ok</v>
      </c>
    </row>
    <row r="609" spans="1:9" x14ac:dyDescent="0.3">
      <c r="A609" s="1" t="s">
        <v>7071</v>
      </c>
      <c r="B609" s="1" t="s">
        <v>5726</v>
      </c>
      <c r="C609" s="41">
        <v>44654</v>
      </c>
      <c r="D609" s="1">
        <v>140788.63</v>
      </c>
      <c r="E609" s="1" t="s">
        <v>6460</v>
      </c>
      <c r="F609" s="1" t="s">
        <v>6466</v>
      </c>
      <c r="G609" s="1" t="s">
        <v>17</v>
      </c>
      <c r="H609" s="1">
        <v>35</v>
      </c>
      <c r="I609" t="str">
        <f>IF(ISNA(_xlfn.XLOOKUP(B609, policy_details!$A$2:$A$2829, policy_details!$A$2:$A$2829)), "Invalid", "Ok")</f>
        <v>Ok</v>
      </c>
    </row>
    <row r="610" spans="1:9" x14ac:dyDescent="0.3">
      <c r="A610" s="1" t="s">
        <v>7072</v>
      </c>
      <c r="B610" s="1" t="s">
        <v>6033</v>
      </c>
      <c r="C610" s="41">
        <v>45088</v>
      </c>
      <c r="D610" s="1">
        <v>166009.35999999999</v>
      </c>
      <c r="E610" s="1" t="s">
        <v>6457</v>
      </c>
      <c r="F610" s="1" t="s">
        <v>6461</v>
      </c>
      <c r="G610" s="1" t="s">
        <v>17</v>
      </c>
      <c r="H610" s="1">
        <v>35</v>
      </c>
      <c r="I610" t="str">
        <f>IF(ISNA(_xlfn.XLOOKUP(B610, policy_details!$A$2:$A$2829, policy_details!$A$2:$A$2829)), "Invalid", "Ok")</f>
        <v>Ok</v>
      </c>
    </row>
    <row r="611" spans="1:9" x14ac:dyDescent="0.3">
      <c r="A611" s="1" t="s">
        <v>7073</v>
      </c>
      <c r="B611" s="1" t="s">
        <v>4862</v>
      </c>
      <c r="C611" s="41">
        <v>44586</v>
      </c>
      <c r="D611" s="1">
        <v>255219.35</v>
      </c>
      <c r="E611" s="1" t="s">
        <v>6460</v>
      </c>
      <c r="F611" s="1" t="s">
        <v>6466</v>
      </c>
      <c r="G611" s="1" t="s">
        <v>17</v>
      </c>
      <c r="H611" s="1">
        <v>20</v>
      </c>
      <c r="I611" t="str">
        <f>IF(ISNA(_xlfn.XLOOKUP(B611, policy_details!$A$2:$A$2829, policy_details!$A$2:$A$2829)), "Invalid", "Ok")</f>
        <v>Ok</v>
      </c>
    </row>
    <row r="612" spans="1:9" x14ac:dyDescent="0.3">
      <c r="A612" s="1" t="s">
        <v>7074</v>
      </c>
      <c r="B612" s="1" t="s">
        <v>4082</v>
      </c>
      <c r="C612" s="41">
        <v>45891</v>
      </c>
      <c r="D612" s="1">
        <v>268672.17</v>
      </c>
      <c r="E612" s="1" t="s">
        <v>6464</v>
      </c>
      <c r="F612" s="1" t="s">
        <v>6461</v>
      </c>
      <c r="G612" s="1" t="s">
        <v>17</v>
      </c>
      <c r="H612" s="1">
        <v>26</v>
      </c>
      <c r="I612" t="str">
        <f>IF(ISNA(_xlfn.XLOOKUP(B612, policy_details!$A$2:$A$2829, policy_details!$A$2:$A$2829)), "Invalid", "Ok")</f>
        <v>Ok</v>
      </c>
    </row>
    <row r="613" spans="1:9" x14ac:dyDescent="0.3">
      <c r="A613" s="1" t="s">
        <v>7075</v>
      </c>
      <c r="B613" s="1" t="s">
        <v>6433</v>
      </c>
      <c r="C613" s="41">
        <v>45770</v>
      </c>
      <c r="D613" s="1">
        <v>164539.66</v>
      </c>
      <c r="E613" s="1" t="s">
        <v>6457</v>
      </c>
      <c r="F613" s="1" t="s">
        <v>6461</v>
      </c>
      <c r="G613" s="1" t="s">
        <v>17</v>
      </c>
      <c r="H613" s="1">
        <v>17</v>
      </c>
      <c r="I613" t="str">
        <f>IF(ISNA(_xlfn.XLOOKUP(B613, policy_details!$A$2:$A$2829, policy_details!$A$2:$A$2829)), "Invalid", "Ok")</f>
        <v>Ok</v>
      </c>
    </row>
    <row r="614" spans="1:9" x14ac:dyDescent="0.3">
      <c r="A614" s="1" t="s">
        <v>7076</v>
      </c>
      <c r="B614" s="1" t="s">
        <v>4623</v>
      </c>
      <c r="C614" s="41">
        <v>45039</v>
      </c>
      <c r="D614" s="1">
        <v>111156.51</v>
      </c>
      <c r="E614" s="1" t="s">
        <v>6464</v>
      </c>
      <c r="F614" s="1" t="s">
        <v>6461</v>
      </c>
      <c r="G614" s="1" t="s">
        <v>17</v>
      </c>
      <c r="H614" s="1">
        <v>40</v>
      </c>
      <c r="I614" t="str">
        <f>IF(ISNA(_xlfn.XLOOKUP(B614, policy_details!$A$2:$A$2829, policy_details!$A$2:$A$2829)), "Invalid", "Ok")</f>
        <v>Ok</v>
      </c>
    </row>
    <row r="615" spans="1:9" x14ac:dyDescent="0.3">
      <c r="A615" s="1" t="s">
        <v>7077</v>
      </c>
      <c r="B615" s="1" t="s">
        <v>4157</v>
      </c>
      <c r="C615" s="41">
        <v>45368</v>
      </c>
      <c r="D615" s="1">
        <v>76485.73</v>
      </c>
      <c r="E615" s="1" t="s">
        <v>6457</v>
      </c>
      <c r="F615" s="1" t="s">
        <v>6461</v>
      </c>
      <c r="G615" s="1" t="s">
        <v>17</v>
      </c>
      <c r="H615" s="1">
        <v>10</v>
      </c>
      <c r="I615" t="str">
        <f>IF(ISNA(_xlfn.XLOOKUP(B615, policy_details!$A$2:$A$2829, policy_details!$A$2:$A$2829)), "Invalid", "Ok")</f>
        <v>Ok</v>
      </c>
    </row>
    <row r="616" spans="1:9" x14ac:dyDescent="0.3">
      <c r="A616" s="1" t="s">
        <v>7078</v>
      </c>
      <c r="B616" s="1" t="s">
        <v>3793</v>
      </c>
      <c r="C616" s="41">
        <v>44946</v>
      </c>
      <c r="D616" s="1">
        <v>116318.31</v>
      </c>
      <c r="E616" s="1" t="s">
        <v>6464</v>
      </c>
      <c r="F616" s="1" t="s">
        <v>6481</v>
      </c>
      <c r="G616" s="1" t="s">
        <v>30</v>
      </c>
      <c r="H616" s="1">
        <v>26</v>
      </c>
      <c r="I616" t="str">
        <f>IF(ISNA(_xlfn.XLOOKUP(B616, policy_details!$A$2:$A$2829, policy_details!$A$2:$A$2829)), "Invalid", "Ok")</f>
        <v>Ok</v>
      </c>
    </row>
    <row r="617" spans="1:9" x14ac:dyDescent="0.3">
      <c r="A617" s="1" t="s">
        <v>7079</v>
      </c>
      <c r="B617" s="1" t="s">
        <v>3878</v>
      </c>
      <c r="C617" s="41">
        <v>45594</v>
      </c>
      <c r="D617" s="1">
        <v>1057733.6499999999</v>
      </c>
      <c r="E617" s="1" t="s">
        <v>6460</v>
      </c>
      <c r="F617" s="1" t="s">
        <v>6458</v>
      </c>
      <c r="G617" s="1" t="s">
        <v>17</v>
      </c>
      <c r="H617" s="1">
        <v>10</v>
      </c>
      <c r="I617" t="str">
        <f>IF(ISNA(_xlfn.XLOOKUP(B617, policy_details!$A$2:$A$2829, policy_details!$A$2:$A$2829)), "Invalid", "Ok")</f>
        <v>Ok</v>
      </c>
    </row>
    <row r="618" spans="1:9" x14ac:dyDescent="0.3">
      <c r="A618" s="1" t="s">
        <v>7080</v>
      </c>
      <c r="B618" s="1" t="s">
        <v>6288</v>
      </c>
      <c r="C618" s="41">
        <v>45378</v>
      </c>
      <c r="D618" s="1">
        <v>371690.07</v>
      </c>
      <c r="E618" s="1" t="s">
        <v>6457</v>
      </c>
      <c r="F618" s="1" t="s">
        <v>6481</v>
      </c>
      <c r="G618" s="1" t="s">
        <v>17</v>
      </c>
      <c r="H618" s="1">
        <v>17</v>
      </c>
      <c r="I618" t="str">
        <f>IF(ISNA(_xlfn.XLOOKUP(B618, policy_details!$A$2:$A$2829, policy_details!$A$2:$A$2829)), "Invalid", "Ok")</f>
        <v>Ok</v>
      </c>
    </row>
    <row r="619" spans="1:9" x14ac:dyDescent="0.3">
      <c r="A619" s="1" t="s">
        <v>7081</v>
      </c>
      <c r="B619" s="1" t="s">
        <v>6300</v>
      </c>
      <c r="C619" s="41">
        <v>45861</v>
      </c>
      <c r="D619" s="1">
        <v>160188.41</v>
      </c>
      <c r="E619" s="1" t="s">
        <v>6457</v>
      </c>
      <c r="F619" s="1" t="s">
        <v>6481</v>
      </c>
      <c r="G619" s="1" t="s">
        <v>17</v>
      </c>
      <c r="H619" s="1">
        <v>43</v>
      </c>
      <c r="I619" t="str">
        <f>IF(ISNA(_xlfn.XLOOKUP(B619, policy_details!$A$2:$A$2829, policy_details!$A$2:$A$2829)), "Invalid", "Ok")</f>
        <v>Ok</v>
      </c>
    </row>
    <row r="620" spans="1:9" x14ac:dyDescent="0.3">
      <c r="A620" s="1" t="s">
        <v>7082</v>
      </c>
      <c r="B620" s="1" t="s">
        <v>5051</v>
      </c>
      <c r="C620" s="41">
        <v>45733</v>
      </c>
      <c r="D620" s="1">
        <v>284033.65000000002</v>
      </c>
      <c r="E620" s="1" t="s">
        <v>6457</v>
      </c>
      <c r="F620" s="1" t="s">
        <v>6481</v>
      </c>
      <c r="G620" s="1" t="s">
        <v>30</v>
      </c>
      <c r="H620" s="1">
        <v>9</v>
      </c>
      <c r="I620" t="str">
        <f>IF(ISNA(_xlfn.XLOOKUP(B620, policy_details!$A$2:$A$2829, policy_details!$A$2:$A$2829)), "Invalid", "Ok")</f>
        <v>Ok</v>
      </c>
    </row>
    <row r="621" spans="1:9" x14ac:dyDescent="0.3">
      <c r="A621" s="1" t="s">
        <v>7083</v>
      </c>
      <c r="B621" s="1" t="s">
        <v>5574</v>
      </c>
      <c r="C621" s="41">
        <v>45017</v>
      </c>
      <c r="D621" s="1">
        <v>137486.53</v>
      </c>
      <c r="E621" s="1" t="s">
        <v>6457</v>
      </c>
      <c r="F621" s="1" t="s">
        <v>6461</v>
      </c>
      <c r="G621" s="1" t="s">
        <v>17</v>
      </c>
      <c r="H621" s="1">
        <v>39</v>
      </c>
      <c r="I621" t="str">
        <f>IF(ISNA(_xlfn.XLOOKUP(B621, policy_details!$A$2:$A$2829, policy_details!$A$2:$A$2829)), "Invalid", "Ok")</f>
        <v>Ok</v>
      </c>
    </row>
    <row r="622" spans="1:9" x14ac:dyDescent="0.3">
      <c r="A622" s="1" t="s">
        <v>7084</v>
      </c>
      <c r="B622" s="1" t="s">
        <v>5974</v>
      </c>
      <c r="C622" s="41">
        <v>46131</v>
      </c>
      <c r="D622" s="1">
        <v>214813.25</v>
      </c>
      <c r="E622" s="1" t="s">
        <v>6464</v>
      </c>
      <c r="F622" s="1" t="s">
        <v>6461</v>
      </c>
      <c r="G622" s="1" t="s">
        <v>17</v>
      </c>
      <c r="H622" s="1">
        <v>36</v>
      </c>
      <c r="I622" t="str">
        <f>IF(ISNA(_xlfn.XLOOKUP(B622, policy_details!$A$2:$A$2829, policy_details!$A$2:$A$2829)), "Invalid", "Ok")</f>
        <v>Ok</v>
      </c>
    </row>
    <row r="623" spans="1:9" x14ac:dyDescent="0.3">
      <c r="A623" s="1" t="s">
        <v>7085</v>
      </c>
      <c r="B623" s="1" t="s">
        <v>5192</v>
      </c>
      <c r="C623" s="41">
        <v>45233</v>
      </c>
      <c r="D623" s="1">
        <v>385483.88</v>
      </c>
      <c r="E623" s="1" t="s">
        <v>6457</v>
      </c>
      <c r="F623" s="1" t="s">
        <v>6481</v>
      </c>
      <c r="G623" s="1" t="s">
        <v>17</v>
      </c>
      <c r="H623" s="1">
        <v>17</v>
      </c>
      <c r="I623" t="str">
        <f>IF(ISNA(_xlfn.XLOOKUP(B623, policy_details!$A$2:$A$2829, policy_details!$A$2:$A$2829)), "Invalid", "Ok")</f>
        <v>Ok</v>
      </c>
    </row>
    <row r="624" spans="1:9" x14ac:dyDescent="0.3">
      <c r="A624" s="1" t="s">
        <v>7086</v>
      </c>
      <c r="B624" s="1" t="s">
        <v>5503</v>
      </c>
      <c r="C624" s="41">
        <v>46145</v>
      </c>
      <c r="D624" s="1">
        <v>80507.839999999997</v>
      </c>
      <c r="E624" s="1" t="s">
        <v>6460</v>
      </c>
      <c r="F624" s="1" t="s">
        <v>6481</v>
      </c>
      <c r="G624" s="1" t="s">
        <v>17</v>
      </c>
      <c r="H624" s="1">
        <v>17</v>
      </c>
      <c r="I624" t="str">
        <f>IF(ISNA(_xlfn.XLOOKUP(B624, policy_details!$A$2:$A$2829, policy_details!$A$2:$A$2829)), "Invalid", "Ok")</f>
        <v>Ok</v>
      </c>
    </row>
    <row r="625" spans="1:9" x14ac:dyDescent="0.3">
      <c r="A625" s="1" t="s">
        <v>7087</v>
      </c>
      <c r="B625" s="1" t="s">
        <v>6356</v>
      </c>
      <c r="C625" s="41">
        <v>45892</v>
      </c>
      <c r="D625" s="1">
        <v>418856.45</v>
      </c>
      <c r="E625" s="1" t="s">
        <v>6460</v>
      </c>
      <c r="F625" s="1" t="s">
        <v>6481</v>
      </c>
      <c r="G625" s="1" t="s">
        <v>17</v>
      </c>
      <c r="H625" s="1">
        <v>1</v>
      </c>
      <c r="I625" t="str">
        <f>IF(ISNA(_xlfn.XLOOKUP(B625, policy_details!$A$2:$A$2829, policy_details!$A$2:$A$2829)), "Invalid", "Ok")</f>
        <v>Ok</v>
      </c>
    </row>
    <row r="626" spans="1:9" x14ac:dyDescent="0.3">
      <c r="A626" s="1" t="s">
        <v>7088</v>
      </c>
      <c r="B626" s="1" t="s">
        <v>4049</v>
      </c>
      <c r="C626" s="41">
        <v>45022</v>
      </c>
      <c r="D626" s="1">
        <v>170159.08</v>
      </c>
      <c r="E626" s="1" t="s">
        <v>6460</v>
      </c>
      <c r="F626" s="1" t="s">
        <v>6461</v>
      </c>
      <c r="G626" s="1" t="s">
        <v>17</v>
      </c>
      <c r="H626" s="1">
        <v>35</v>
      </c>
      <c r="I626" t="str">
        <f>IF(ISNA(_xlfn.XLOOKUP(B626, policy_details!$A$2:$A$2829, policy_details!$A$2:$A$2829)), "Invalid", "Ok")</f>
        <v>Ok</v>
      </c>
    </row>
    <row r="627" spans="1:9" x14ac:dyDescent="0.3">
      <c r="A627" s="1" t="s">
        <v>7089</v>
      </c>
      <c r="B627" s="1" t="s">
        <v>3928</v>
      </c>
      <c r="C627" s="41">
        <v>45979</v>
      </c>
      <c r="D627" s="1">
        <v>115002.9</v>
      </c>
      <c r="E627" s="1" t="s">
        <v>6460</v>
      </c>
      <c r="F627" s="1" t="s">
        <v>6461</v>
      </c>
      <c r="G627" s="1" t="s">
        <v>17</v>
      </c>
      <c r="H627" s="1">
        <v>30</v>
      </c>
      <c r="I627" t="str">
        <f>IF(ISNA(_xlfn.XLOOKUP(B627, policy_details!$A$2:$A$2829, policy_details!$A$2:$A$2829)), "Invalid", "Ok")</f>
        <v>Ok</v>
      </c>
    </row>
    <row r="628" spans="1:9" x14ac:dyDescent="0.3">
      <c r="A628" s="1" t="s">
        <v>7090</v>
      </c>
      <c r="B628" s="1" t="s">
        <v>5746</v>
      </c>
      <c r="C628" s="41">
        <v>45649</v>
      </c>
      <c r="D628" s="1">
        <v>171039.77</v>
      </c>
      <c r="E628" s="1" t="s">
        <v>6460</v>
      </c>
      <c r="F628" s="1" t="s">
        <v>6466</v>
      </c>
      <c r="G628" s="1" t="s">
        <v>17</v>
      </c>
      <c r="H628" s="1">
        <v>44</v>
      </c>
      <c r="I628" t="str">
        <f>IF(ISNA(_xlfn.XLOOKUP(B628, policy_details!$A$2:$A$2829, policy_details!$A$2:$A$2829)), "Invalid", "Ok")</f>
        <v>Ok</v>
      </c>
    </row>
    <row r="629" spans="1:9" x14ac:dyDescent="0.3">
      <c r="A629" s="1" t="s">
        <v>7091</v>
      </c>
      <c r="B629" s="1" t="s">
        <v>5607</v>
      </c>
      <c r="C629" s="41">
        <v>46045</v>
      </c>
      <c r="D629" s="1">
        <v>152400.04999999999</v>
      </c>
      <c r="E629" s="1" t="s">
        <v>6460</v>
      </c>
      <c r="F629" s="1" t="s">
        <v>6461</v>
      </c>
      <c r="G629" s="1" t="s">
        <v>17</v>
      </c>
      <c r="H629" s="1">
        <v>13</v>
      </c>
      <c r="I629" t="str">
        <f>IF(ISNA(_xlfn.XLOOKUP(B629, policy_details!$A$2:$A$2829, policy_details!$A$2:$A$2829)), "Invalid", "Ok")</f>
        <v>Ok</v>
      </c>
    </row>
    <row r="630" spans="1:9" x14ac:dyDescent="0.3">
      <c r="A630" s="1" t="s">
        <v>7092</v>
      </c>
      <c r="B630" s="1" t="s">
        <v>4097</v>
      </c>
      <c r="C630" s="41">
        <v>44507</v>
      </c>
      <c r="D630" s="1">
        <v>139921.63</v>
      </c>
      <c r="E630" s="1" t="s">
        <v>6457</v>
      </c>
      <c r="F630" s="1" t="s">
        <v>6470</v>
      </c>
      <c r="G630" s="1" t="s">
        <v>17</v>
      </c>
      <c r="H630" s="1">
        <v>18</v>
      </c>
      <c r="I630" t="str">
        <f>IF(ISNA(_xlfn.XLOOKUP(B630, policy_details!$A$2:$A$2829, policy_details!$A$2:$A$2829)), "Invalid", "Ok")</f>
        <v>Ok</v>
      </c>
    </row>
    <row r="631" spans="1:9" x14ac:dyDescent="0.3">
      <c r="A631" s="1" t="s">
        <v>7093</v>
      </c>
      <c r="B631" s="1" t="s">
        <v>4454</v>
      </c>
      <c r="C631" s="41">
        <v>45601</v>
      </c>
      <c r="D631" s="1">
        <v>93890.9</v>
      </c>
      <c r="E631" s="1" t="s">
        <v>6460</v>
      </c>
      <c r="F631" s="1" t="s">
        <v>6461</v>
      </c>
      <c r="G631" s="1" t="s">
        <v>17</v>
      </c>
      <c r="H631" s="1">
        <v>31</v>
      </c>
      <c r="I631" t="str">
        <f>IF(ISNA(_xlfn.XLOOKUP(B631, policy_details!$A$2:$A$2829, policy_details!$A$2:$A$2829)), "Invalid", "Ok")</f>
        <v>Ok</v>
      </c>
    </row>
    <row r="632" spans="1:9" x14ac:dyDescent="0.3">
      <c r="A632" s="1" t="s">
        <v>7094</v>
      </c>
      <c r="B632" s="1" t="s">
        <v>5555</v>
      </c>
      <c r="C632" s="41">
        <v>44456</v>
      </c>
      <c r="D632" s="1">
        <v>154428.12</v>
      </c>
      <c r="E632" s="1" t="s">
        <v>6460</v>
      </c>
      <c r="F632" s="1" t="s">
        <v>6466</v>
      </c>
      <c r="G632" s="1" t="s">
        <v>17</v>
      </c>
      <c r="H632" s="1">
        <v>15</v>
      </c>
      <c r="I632" t="str">
        <f>IF(ISNA(_xlfn.XLOOKUP(B632, policy_details!$A$2:$A$2829, policy_details!$A$2:$A$2829)), "Invalid", "Ok")</f>
        <v>Ok</v>
      </c>
    </row>
    <row r="633" spans="1:9" x14ac:dyDescent="0.3">
      <c r="A633" s="1" t="s">
        <v>7095</v>
      </c>
      <c r="B633" s="1" t="s">
        <v>5010</v>
      </c>
      <c r="C633" s="41">
        <v>44692</v>
      </c>
      <c r="D633" s="1">
        <v>89170.86</v>
      </c>
      <c r="E633" s="1" t="s">
        <v>6460</v>
      </c>
      <c r="F633" s="1" t="s">
        <v>6461</v>
      </c>
      <c r="G633" s="1" t="s">
        <v>17</v>
      </c>
      <c r="H633" s="1">
        <v>15</v>
      </c>
      <c r="I633" t="str">
        <f>IF(ISNA(_xlfn.XLOOKUP(B633, policy_details!$A$2:$A$2829, policy_details!$A$2:$A$2829)), "Invalid", "Ok")</f>
        <v>Ok</v>
      </c>
    </row>
    <row r="634" spans="1:9" x14ac:dyDescent="0.3">
      <c r="A634" s="1" t="s">
        <v>7096</v>
      </c>
      <c r="B634" s="1" t="s">
        <v>6148</v>
      </c>
      <c r="C634" s="41">
        <v>45129</v>
      </c>
      <c r="D634" s="1">
        <v>431346.53</v>
      </c>
      <c r="E634" s="1" t="s">
        <v>6457</v>
      </c>
      <c r="F634" s="1" t="s">
        <v>6466</v>
      </c>
      <c r="G634" s="1" t="s">
        <v>17</v>
      </c>
      <c r="H634" s="1">
        <v>8</v>
      </c>
      <c r="I634" t="str">
        <f>IF(ISNA(_xlfn.XLOOKUP(B634, policy_details!$A$2:$A$2829, policy_details!$A$2:$A$2829)), "Invalid", "Ok")</f>
        <v>Ok</v>
      </c>
    </row>
    <row r="635" spans="1:9" x14ac:dyDescent="0.3">
      <c r="A635" s="1" t="s">
        <v>7097</v>
      </c>
      <c r="B635" s="1" t="s">
        <v>5987</v>
      </c>
      <c r="C635" s="41">
        <v>46165</v>
      </c>
      <c r="D635" s="1">
        <v>154252.01</v>
      </c>
      <c r="E635" s="1" t="s">
        <v>6464</v>
      </c>
      <c r="F635" s="1" t="s">
        <v>6461</v>
      </c>
      <c r="G635" s="1" t="s">
        <v>17</v>
      </c>
      <c r="H635" s="1">
        <v>44</v>
      </c>
      <c r="I635" t="str">
        <f>IF(ISNA(_xlfn.XLOOKUP(B635, policy_details!$A$2:$A$2829, policy_details!$A$2:$A$2829)), "Invalid", "Ok")</f>
        <v>Ok</v>
      </c>
    </row>
    <row r="636" spans="1:9" x14ac:dyDescent="0.3">
      <c r="A636" s="1" t="s">
        <v>7098</v>
      </c>
      <c r="B636" s="1" t="s">
        <v>4989</v>
      </c>
      <c r="C636" s="41">
        <v>45672</v>
      </c>
      <c r="D636" s="1">
        <v>2776138.77</v>
      </c>
      <c r="E636" s="1" t="s">
        <v>6457</v>
      </c>
      <c r="F636" s="1" t="s">
        <v>6458</v>
      </c>
      <c r="G636" s="1" t="s">
        <v>17</v>
      </c>
      <c r="H636" s="1">
        <v>21</v>
      </c>
      <c r="I636" t="str">
        <f>IF(ISNA(_xlfn.XLOOKUP(B636, policy_details!$A$2:$A$2829, policy_details!$A$2:$A$2829)), "Invalid", "Ok")</f>
        <v>Ok</v>
      </c>
    </row>
    <row r="637" spans="1:9" x14ac:dyDescent="0.3">
      <c r="A637" s="1" t="s">
        <v>7099</v>
      </c>
      <c r="B637" s="1" t="s">
        <v>5503</v>
      </c>
      <c r="C637" s="41">
        <v>44926</v>
      </c>
      <c r="D637" s="1">
        <v>264850.56</v>
      </c>
      <c r="E637" s="1" t="s">
        <v>6464</v>
      </c>
      <c r="F637" s="1" t="s">
        <v>6466</v>
      </c>
      <c r="G637" s="1" t="s">
        <v>17</v>
      </c>
      <c r="H637" s="1">
        <v>34</v>
      </c>
      <c r="I637" t="str">
        <f>IF(ISNA(_xlfn.XLOOKUP(B637, policy_details!$A$2:$A$2829, policy_details!$A$2:$A$2829)), "Invalid", "Ok")</f>
        <v>Ok</v>
      </c>
    </row>
    <row r="638" spans="1:9" x14ac:dyDescent="0.3">
      <c r="A638" s="1" t="s">
        <v>7100</v>
      </c>
      <c r="B638" s="1" t="s">
        <v>5437</v>
      </c>
      <c r="C638" s="41">
        <v>44718</v>
      </c>
      <c r="D638" s="1">
        <v>295326.53999999998</v>
      </c>
      <c r="E638" s="1" t="s">
        <v>6457</v>
      </c>
      <c r="F638" s="1" t="s">
        <v>6466</v>
      </c>
      <c r="G638" s="1" t="s">
        <v>17</v>
      </c>
      <c r="H638" s="1">
        <v>29</v>
      </c>
      <c r="I638" t="str">
        <f>IF(ISNA(_xlfn.XLOOKUP(B638, policy_details!$A$2:$A$2829, policy_details!$A$2:$A$2829)), "Invalid", "Ok")</f>
        <v>Ok</v>
      </c>
    </row>
    <row r="639" spans="1:9" x14ac:dyDescent="0.3">
      <c r="A639" s="1" t="s">
        <v>7101</v>
      </c>
      <c r="B639" s="1" t="s">
        <v>3746</v>
      </c>
      <c r="C639" s="41">
        <v>45928</v>
      </c>
      <c r="D639" s="1">
        <v>88219.91</v>
      </c>
      <c r="E639" s="1" t="s">
        <v>6464</v>
      </c>
      <c r="F639" s="1" t="s">
        <v>6461</v>
      </c>
      <c r="G639" s="1" t="s">
        <v>17</v>
      </c>
      <c r="H639" s="1">
        <v>27</v>
      </c>
      <c r="I639" t="str">
        <f>IF(ISNA(_xlfn.XLOOKUP(B639, policy_details!$A$2:$A$2829, policy_details!$A$2:$A$2829)), "Invalid", "Ok")</f>
        <v>Ok</v>
      </c>
    </row>
    <row r="640" spans="1:9" x14ac:dyDescent="0.3">
      <c r="A640" s="1" t="s">
        <v>7102</v>
      </c>
      <c r="B640" s="1" t="s">
        <v>4815</v>
      </c>
      <c r="C640" s="41">
        <v>45782</v>
      </c>
      <c r="D640" s="1">
        <v>134495.51</v>
      </c>
      <c r="E640" s="1" t="s">
        <v>6460</v>
      </c>
      <c r="F640" s="1" t="s">
        <v>6461</v>
      </c>
      <c r="G640" s="1" t="s">
        <v>17</v>
      </c>
      <c r="H640" s="1">
        <v>14</v>
      </c>
      <c r="I640" t="str">
        <f>IF(ISNA(_xlfn.XLOOKUP(B640, policy_details!$A$2:$A$2829, policy_details!$A$2:$A$2829)), "Invalid", "Ok")</f>
        <v>Ok</v>
      </c>
    </row>
    <row r="641" spans="1:9" x14ac:dyDescent="0.3">
      <c r="A641" s="1" t="s">
        <v>7103</v>
      </c>
      <c r="B641" s="1" t="s">
        <v>4856</v>
      </c>
      <c r="C641" s="41">
        <v>44958</v>
      </c>
      <c r="D641" s="1">
        <v>933312.81</v>
      </c>
      <c r="E641" s="1" t="s">
        <v>6460</v>
      </c>
      <c r="F641" s="1" t="s">
        <v>6458</v>
      </c>
      <c r="G641" s="1" t="s">
        <v>17</v>
      </c>
      <c r="H641" s="1">
        <v>14</v>
      </c>
      <c r="I641" t="str">
        <f>IF(ISNA(_xlfn.XLOOKUP(B641, policy_details!$A$2:$A$2829, policy_details!$A$2:$A$2829)), "Invalid", "Ok")</f>
        <v>Ok</v>
      </c>
    </row>
    <row r="642" spans="1:9" x14ac:dyDescent="0.3">
      <c r="A642" s="1" t="s">
        <v>7104</v>
      </c>
      <c r="B642" s="1" t="s">
        <v>6159</v>
      </c>
      <c r="C642" s="41">
        <v>44804</v>
      </c>
      <c r="D642" s="1">
        <v>130886.76</v>
      </c>
      <c r="E642" s="1" t="s">
        <v>6457</v>
      </c>
      <c r="F642" s="1" t="s">
        <v>6470</v>
      </c>
      <c r="G642" s="1" t="s">
        <v>17</v>
      </c>
      <c r="H642" s="1">
        <v>22</v>
      </c>
      <c r="I642" t="str">
        <f>IF(ISNA(_xlfn.XLOOKUP(B642, policy_details!$A$2:$A$2829, policy_details!$A$2:$A$2829)), "Invalid", "Ok")</f>
        <v>Ok</v>
      </c>
    </row>
    <row r="643" spans="1:9" x14ac:dyDescent="0.3">
      <c r="A643" s="1" t="s">
        <v>7105</v>
      </c>
      <c r="B643" s="1" t="s">
        <v>6124</v>
      </c>
      <c r="C643" s="41">
        <v>46042</v>
      </c>
      <c r="D643" s="1">
        <v>174378.29</v>
      </c>
      <c r="E643" s="1" t="s">
        <v>6464</v>
      </c>
      <c r="F643" s="1" t="s">
        <v>6466</v>
      </c>
      <c r="G643" s="1" t="s">
        <v>17</v>
      </c>
      <c r="H643" s="1">
        <v>6</v>
      </c>
      <c r="I643" t="str">
        <f>IF(ISNA(_xlfn.XLOOKUP(B643, policy_details!$A$2:$A$2829, policy_details!$A$2:$A$2829)), "Invalid", "Ok")</f>
        <v>Ok</v>
      </c>
    </row>
    <row r="644" spans="1:9" x14ac:dyDescent="0.3">
      <c r="A644" s="1" t="s">
        <v>7106</v>
      </c>
      <c r="B644" s="1" t="s">
        <v>3605</v>
      </c>
      <c r="C644" s="41">
        <v>46179</v>
      </c>
      <c r="D644" s="1">
        <v>222078.47</v>
      </c>
      <c r="E644" s="1" t="s">
        <v>6457</v>
      </c>
      <c r="F644" s="1" t="s">
        <v>6470</v>
      </c>
      <c r="G644" s="1" t="s">
        <v>17</v>
      </c>
      <c r="H644" s="1">
        <v>24</v>
      </c>
      <c r="I644" t="str">
        <f>IF(ISNA(_xlfn.XLOOKUP(B644, policy_details!$A$2:$A$2829, policy_details!$A$2:$A$2829)), "Invalid", "Ok")</f>
        <v>Ok</v>
      </c>
    </row>
    <row r="645" spans="1:9" x14ac:dyDescent="0.3">
      <c r="A645" s="1" t="s">
        <v>7107</v>
      </c>
      <c r="B645" s="1" t="s">
        <v>6010</v>
      </c>
      <c r="C645" s="41">
        <v>46008</v>
      </c>
      <c r="D645" s="1">
        <v>186889.06</v>
      </c>
      <c r="E645" s="1" t="s">
        <v>6464</v>
      </c>
      <c r="F645" s="1" t="s">
        <v>6461</v>
      </c>
      <c r="G645" s="1" t="s">
        <v>17</v>
      </c>
      <c r="H645" s="1">
        <v>4</v>
      </c>
      <c r="I645" t="str">
        <f>IF(ISNA(_xlfn.XLOOKUP(B645, policy_details!$A$2:$A$2829, policy_details!$A$2:$A$2829)), "Invalid", "Ok")</f>
        <v>Ok</v>
      </c>
    </row>
    <row r="646" spans="1:9" x14ac:dyDescent="0.3">
      <c r="A646" s="1" t="s">
        <v>7108</v>
      </c>
      <c r="B646" s="1" t="s">
        <v>5346</v>
      </c>
      <c r="C646" s="41">
        <v>45811</v>
      </c>
      <c r="D646" s="1">
        <v>128122.68</v>
      </c>
      <c r="E646" s="1" t="s">
        <v>6457</v>
      </c>
      <c r="F646" s="1" t="s">
        <v>6481</v>
      </c>
      <c r="G646" s="1" t="s">
        <v>17</v>
      </c>
      <c r="H646" s="1">
        <v>13</v>
      </c>
      <c r="I646" t="str">
        <f>IF(ISNA(_xlfn.XLOOKUP(B646, policy_details!$A$2:$A$2829, policy_details!$A$2:$A$2829)), "Invalid", "Ok")</f>
        <v>Ok</v>
      </c>
    </row>
    <row r="647" spans="1:9" x14ac:dyDescent="0.3">
      <c r="A647" s="1" t="s">
        <v>7109</v>
      </c>
      <c r="B647" s="1" t="s">
        <v>3405</v>
      </c>
      <c r="C647" s="41">
        <v>44447</v>
      </c>
      <c r="D647" s="1">
        <v>288106.84000000003</v>
      </c>
      <c r="E647" s="1" t="s">
        <v>6460</v>
      </c>
      <c r="F647" s="1" t="s">
        <v>6481</v>
      </c>
      <c r="G647" s="1" t="s">
        <v>17</v>
      </c>
      <c r="H647" s="1">
        <v>28</v>
      </c>
      <c r="I647" t="str">
        <f>IF(ISNA(_xlfn.XLOOKUP(B647, policy_details!$A$2:$A$2829, policy_details!$A$2:$A$2829)), "Invalid", "Ok")</f>
        <v>Ok</v>
      </c>
    </row>
    <row r="648" spans="1:9" x14ac:dyDescent="0.3">
      <c r="A648" s="1" t="s">
        <v>7110</v>
      </c>
      <c r="B648" s="1" t="s">
        <v>4690</v>
      </c>
      <c r="C648" s="41">
        <v>44564</v>
      </c>
      <c r="D648" s="1">
        <v>237333.05</v>
      </c>
      <c r="E648" s="1" t="s">
        <v>6464</v>
      </c>
      <c r="F648" s="1" t="s">
        <v>6470</v>
      </c>
      <c r="G648" s="1" t="s">
        <v>17</v>
      </c>
      <c r="H648" s="1">
        <v>2</v>
      </c>
      <c r="I648" t="str">
        <f>IF(ISNA(_xlfn.XLOOKUP(B648, policy_details!$A$2:$A$2829, policy_details!$A$2:$A$2829)), "Invalid", "Ok")</f>
        <v>Ok</v>
      </c>
    </row>
    <row r="649" spans="1:9" x14ac:dyDescent="0.3">
      <c r="A649" s="1" t="s">
        <v>7111</v>
      </c>
      <c r="B649" s="1" t="s">
        <v>6132</v>
      </c>
      <c r="C649" s="41">
        <v>45460</v>
      </c>
      <c r="D649" s="1">
        <v>669985.68000000005</v>
      </c>
      <c r="E649" s="1" t="s">
        <v>6460</v>
      </c>
      <c r="F649" s="1" t="s">
        <v>6458</v>
      </c>
      <c r="G649" s="1" t="s">
        <v>17</v>
      </c>
      <c r="H649" s="1">
        <v>2</v>
      </c>
      <c r="I649" t="str">
        <f>IF(ISNA(_xlfn.XLOOKUP(B649, policy_details!$A$2:$A$2829, policy_details!$A$2:$A$2829)), "Invalid", "Ok")</f>
        <v>Ok</v>
      </c>
    </row>
    <row r="650" spans="1:9" x14ac:dyDescent="0.3">
      <c r="A650" s="1" t="s">
        <v>7112</v>
      </c>
      <c r="B650" s="1" t="s">
        <v>4621</v>
      </c>
      <c r="C650" s="41">
        <v>44823</v>
      </c>
      <c r="D650" s="1">
        <v>155659.46</v>
      </c>
      <c r="E650" s="1" t="s">
        <v>6460</v>
      </c>
      <c r="F650" s="1" t="s">
        <v>6466</v>
      </c>
      <c r="G650" s="1" t="s">
        <v>17</v>
      </c>
      <c r="H650" s="1">
        <v>10</v>
      </c>
      <c r="I650" t="str">
        <f>IF(ISNA(_xlfn.XLOOKUP(B650, policy_details!$A$2:$A$2829, policy_details!$A$2:$A$2829)), "Invalid", "Ok")</f>
        <v>Ok</v>
      </c>
    </row>
    <row r="651" spans="1:9" x14ac:dyDescent="0.3">
      <c r="A651" s="1" t="s">
        <v>7113</v>
      </c>
      <c r="B651" s="1" t="s">
        <v>5529</v>
      </c>
      <c r="C651" s="41">
        <v>44767</v>
      </c>
      <c r="D651" s="1">
        <v>1122293.1599999999</v>
      </c>
      <c r="E651" s="1" t="s">
        <v>6464</v>
      </c>
      <c r="F651" s="1" t="s">
        <v>6458</v>
      </c>
      <c r="G651" s="1" t="s">
        <v>17</v>
      </c>
      <c r="H651" s="1">
        <v>34</v>
      </c>
      <c r="I651" t="str">
        <f>IF(ISNA(_xlfn.XLOOKUP(B651, policy_details!$A$2:$A$2829, policy_details!$A$2:$A$2829)), "Invalid", "Ok")</f>
        <v>Ok</v>
      </c>
    </row>
    <row r="652" spans="1:9" x14ac:dyDescent="0.3">
      <c r="A652" s="1" t="s">
        <v>7114</v>
      </c>
      <c r="B652" s="1" t="s">
        <v>5214</v>
      </c>
      <c r="C652" s="41">
        <v>45205</v>
      </c>
      <c r="D652" s="1">
        <v>60769.25</v>
      </c>
      <c r="E652" s="1" t="s">
        <v>6460</v>
      </c>
      <c r="F652" s="1" t="s">
        <v>6466</v>
      </c>
      <c r="G652" s="1" t="s">
        <v>17</v>
      </c>
      <c r="H652" s="1">
        <v>36</v>
      </c>
      <c r="I652" t="str">
        <f>IF(ISNA(_xlfn.XLOOKUP(B652, policy_details!$A$2:$A$2829, policy_details!$A$2:$A$2829)), "Invalid", "Ok")</f>
        <v>Ok</v>
      </c>
    </row>
    <row r="653" spans="1:9" x14ac:dyDescent="0.3">
      <c r="A653" s="1" t="s">
        <v>7115</v>
      </c>
      <c r="B653" s="1" t="s">
        <v>5283</v>
      </c>
      <c r="C653" s="41">
        <v>44922</v>
      </c>
      <c r="D653" s="1">
        <v>150156.42000000001</v>
      </c>
      <c r="E653" s="1" t="s">
        <v>6457</v>
      </c>
      <c r="F653" s="1" t="s">
        <v>6461</v>
      </c>
      <c r="G653" s="1" t="s">
        <v>17</v>
      </c>
      <c r="H653" s="1">
        <v>1</v>
      </c>
      <c r="I653" t="str">
        <f>IF(ISNA(_xlfn.XLOOKUP(B653, policy_details!$A$2:$A$2829, policy_details!$A$2:$A$2829)), "Invalid", "Ok")</f>
        <v>Ok</v>
      </c>
    </row>
    <row r="654" spans="1:9" x14ac:dyDescent="0.3">
      <c r="A654" s="1" t="s">
        <v>7116</v>
      </c>
      <c r="B654" s="1" t="s">
        <v>4971</v>
      </c>
      <c r="C654" s="41">
        <v>45136</v>
      </c>
      <c r="D654" s="1">
        <v>339627.44</v>
      </c>
      <c r="E654" s="1" t="s">
        <v>6460</v>
      </c>
      <c r="F654" s="1" t="s">
        <v>6461</v>
      </c>
      <c r="G654" s="1" t="s">
        <v>17</v>
      </c>
      <c r="H654" s="1">
        <v>13</v>
      </c>
      <c r="I654" t="str">
        <f>IF(ISNA(_xlfn.XLOOKUP(B654, policy_details!$A$2:$A$2829, policy_details!$A$2:$A$2829)), "Invalid", "Ok")</f>
        <v>Ok</v>
      </c>
    </row>
    <row r="655" spans="1:9" x14ac:dyDescent="0.3">
      <c r="A655" s="1" t="s">
        <v>7117</v>
      </c>
      <c r="B655" s="1" t="s">
        <v>4976</v>
      </c>
      <c r="C655" s="41">
        <v>45508</v>
      </c>
      <c r="D655" s="1">
        <v>60066.239999999998</v>
      </c>
      <c r="E655" s="1" t="s">
        <v>6464</v>
      </c>
      <c r="F655" s="1" t="s">
        <v>6466</v>
      </c>
      <c r="G655" s="1" t="s">
        <v>17</v>
      </c>
      <c r="H655" s="1">
        <v>3</v>
      </c>
      <c r="I655" t="str">
        <f>IF(ISNA(_xlfn.XLOOKUP(B655, policy_details!$A$2:$A$2829, policy_details!$A$2:$A$2829)), "Invalid", "Ok")</f>
        <v>Ok</v>
      </c>
    </row>
    <row r="656" spans="1:9" x14ac:dyDescent="0.3">
      <c r="A656" s="1" t="s">
        <v>7118</v>
      </c>
      <c r="B656" s="1" t="s">
        <v>6173</v>
      </c>
      <c r="C656" s="41">
        <v>45607</v>
      </c>
      <c r="D656" s="1">
        <v>377246.32</v>
      </c>
      <c r="E656" s="1" t="s">
        <v>6457</v>
      </c>
      <c r="F656" s="1" t="s">
        <v>6481</v>
      </c>
      <c r="G656" s="1" t="s">
        <v>17</v>
      </c>
      <c r="H656" s="1">
        <v>1</v>
      </c>
      <c r="I656" t="str">
        <f>IF(ISNA(_xlfn.XLOOKUP(B656, policy_details!$A$2:$A$2829, policy_details!$A$2:$A$2829)), "Invalid", "Ok")</f>
        <v>Ok</v>
      </c>
    </row>
    <row r="657" spans="1:9" x14ac:dyDescent="0.3">
      <c r="A657" s="1" t="s">
        <v>7119</v>
      </c>
      <c r="B657" s="1" t="s">
        <v>4783</v>
      </c>
      <c r="C657" s="41">
        <v>45326</v>
      </c>
      <c r="D657" s="1">
        <v>196929.64</v>
      </c>
      <c r="E657" s="1" t="s">
        <v>6460</v>
      </c>
      <c r="F657" s="1" t="s">
        <v>6461</v>
      </c>
      <c r="G657" s="1" t="s">
        <v>17</v>
      </c>
      <c r="H657" s="1">
        <v>42</v>
      </c>
      <c r="I657" t="str">
        <f>IF(ISNA(_xlfn.XLOOKUP(B657, policy_details!$A$2:$A$2829, policy_details!$A$2:$A$2829)), "Invalid", "Ok")</f>
        <v>Ok</v>
      </c>
    </row>
    <row r="658" spans="1:9" x14ac:dyDescent="0.3">
      <c r="A658" s="1" t="s">
        <v>7120</v>
      </c>
      <c r="B658" s="1" t="s">
        <v>4113</v>
      </c>
      <c r="C658" s="41">
        <v>45642</v>
      </c>
      <c r="D658" s="1">
        <v>87698.64</v>
      </c>
      <c r="E658" s="1" t="s">
        <v>6457</v>
      </c>
      <c r="F658" s="1" t="s">
        <v>6470</v>
      </c>
      <c r="G658" s="1" t="s">
        <v>17</v>
      </c>
      <c r="H658" s="1">
        <v>19</v>
      </c>
      <c r="I658" t="str">
        <f>IF(ISNA(_xlfn.XLOOKUP(B658, policy_details!$A$2:$A$2829, policy_details!$A$2:$A$2829)), "Invalid", "Ok")</f>
        <v>Ok</v>
      </c>
    </row>
    <row r="659" spans="1:9" x14ac:dyDescent="0.3">
      <c r="A659" s="1" t="s">
        <v>7121</v>
      </c>
      <c r="B659" s="1" t="s">
        <v>4799</v>
      </c>
      <c r="C659" s="41">
        <v>44770</v>
      </c>
      <c r="D659" s="1">
        <v>194587.07</v>
      </c>
      <c r="E659" s="1" t="s">
        <v>6464</v>
      </c>
      <c r="F659" s="1" t="s">
        <v>6461</v>
      </c>
      <c r="G659" s="1" t="s">
        <v>17</v>
      </c>
      <c r="H659" s="1">
        <v>35</v>
      </c>
      <c r="I659" t="str">
        <f>IF(ISNA(_xlfn.XLOOKUP(B659, policy_details!$A$2:$A$2829, policy_details!$A$2:$A$2829)), "Invalid", "Ok")</f>
        <v>Ok</v>
      </c>
    </row>
    <row r="660" spans="1:9" x14ac:dyDescent="0.3">
      <c r="A660" s="1" t="s">
        <v>7122</v>
      </c>
      <c r="B660" s="1" t="s">
        <v>5690</v>
      </c>
      <c r="C660" s="41">
        <v>44990</v>
      </c>
      <c r="D660" s="1">
        <v>1484902.97</v>
      </c>
      <c r="E660" s="1" t="s">
        <v>6460</v>
      </c>
      <c r="F660" s="1" t="s">
        <v>6458</v>
      </c>
      <c r="G660" s="1" t="s">
        <v>17</v>
      </c>
      <c r="H660" s="1">
        <v>31</v>
      </c>
      <c r="I660" t="str">
        <f>IF(ISNA(_xlfn.XLOOKUP(B660, policy_details!$A$2:$A$2829, policy_details!$A$2:$A$2829)), "Invalid", "Ok")</f>
        <v>Ok</v>
      </c>
    </row>
    <row r="661" spans="1:9" x14ac:dyDescent="0.3">
      <c r="A661" s="1" t="s">
        <v>7123</v>
      </c>
      <c r="B661" s="1" t="s">
        <v>4956</v>
      </c>
      <c r="C661" s="41">
        <v>44865</v>
      </c>
      <c r="D661" s="1">
        <v>99947.82</v>
      </c>
      <c r="E661" s="1" t="s">
        <v>6460</v>
      </c>
      <c r="F661" s="1" t="s">
        <v>6470</v>
      </c>
      <c r="G661" s="1" t="s">
        <v>17</v>
      </c>
      <c r="H661" s="1">
        <v>20</v>
      </c>
      <c r="I661" t="str">
        <f>IF(ISNA(_xlfn.XLOOKUP(B661, policy_details!$A$2:$A$2829, policy_details!$A$2:$A$2829)), "Invalid", "Ok")</f>
        <v>Ok</v>
      </c>
    </row>
    <row r="662" spans="1:9" x14ac:dyDescent="0.3">
      <c r="A662" s="1" t="s">
        <v>7124</v>
      </c>
      <c r="B662" s="1" t="s">
        <v>5688</v>
      </c>
      <c r="C662" s="41">
        <v>44975</v>
      </c>
      <c r="D662" s="1">
        <v>105322.08</v>
      </c>
      <c r="E662" s="1" t="s">
        <v>6464</v>
      </c>
      <c r="F662" s="1" t="s">
        <v>6461</v>
      </c>
      <c r="G662" s="1" t="s">
        <v>17</v>
      </c>
      <c r="H662" s="1">
        <v>34</v>
      </c>
      <c r="I662" t="str">
        <f>IF(ISNA(_xlfn.XLOOKUP(B662, policy_details!$A$2:$A$2829, policy_details!$A$2:$A$2829)), "Invalid", "Ok")</f>
        <v>Ok</v>
      </c>
    </row>
    <row r="663" spans="1:9" x14ac:dyDescent="0.3">
      <c r="A663" s="1" t="s">
        <v>7125</v>
      </c>
      <c r="B663" s="1" t="s">
        <v>4262</v>
      </c>
      <c r="C663" s="41">
        <v>45328</v>
      </c>
      <c r="D663" s="1">
        <v>151970.87</v>
      </c>
      <c r="E663" s="1" t="s">
        <v>6464</v>
      </c>
      <c r="F663" s="1" t="s">
        <v>6461</v>
      </c>
      <c r="G663" s="1" t="s">
        <v>17</v>
      </c>
      <c r="H663" s="1">
        <v>11</v>
      </c>
      <c r="I663" t="str">
        <f>IF(ISNA(_xlfn.XLOOKUP(B663, policy_details!$A$2:$A$2829, policy_details!$A$2:$A$2829)), "Invalid", "Ok")</f>
        <v>Ok</v>
      </c>
    </row>
    <row r="664" spans="1:9" x14ac:dyDescent="0.3">
      <c r="A664" s="1" t="s">
        <v>7126</v>
      </c>
      <c r="B664" s="1" t="s">
        <v>5263</v>
      </c>
      <c r="C664" s="41">
        <v>45897</v>
      </c>
      <c r="D664" s="1">
        <v>1467374.22</v>
      </c>
      <c r="E664" s="1" t="s">
        <v>6457</v>
      </c>
      <c r="F664" s="1" t="s">
        <v>6458</v>
      </c>
      <c r="G664" s="1" t="s">
        <v>17</v>
      </c>
      <c r="H664" s="1">
        <v>19</v>
      </c>
      <c r="I664" t="str">
        <f>IF(ISNA(_xlfn.XLOOKUP(B664, policy_details!$A$2:$A$2829, policy_details!$A$2:$A$2829)), "Invalid", "Ok")</f>
        <v>Ok</v>
      </c>
    </row>
    <row r="665" spans="1:9" x14ac:dyDescent="0.3">
      <c r="A665" s="1" t="s">
        <v>7127</v>
      </c>
      <c r="B665" s="1" t="s">
        <v>6065</v>
      </c>
      <c r="C665" s="41">
        <v>45158</v>
      </c>
      <c r="D665" s="1">
        <v>686657.46</v>
      </c>
      <c r="E665" s="1" t="s">
        <v>6457</v>
      </c>
      <c r="F665" s="1" t="s">
        <v>6458</v>
      </c>
      <c r="G665" s="1" t="s">
        <v>17</v>
      </c>
      <c r="H665" s="1">
        <v>17</v>
      </c>
      <c r="I665" t="str">
        <f>IF(ISNA(_xlfn.XLOOKUP(B665, policy_details!$A$2:$A$2829, policy_details!$A$2:$A$2829)), "Invalid", "Ok")</f>
        <v>Ok</v>
      </c>
    </row>
    <row r="666" spans="1:9" x14ac:dyDescent="0.3">
      <c r="A666" s="1" t="s">
        <v>7128</v>
      </c>
      <c r="B666" s="1" t="s">
        <v>5112</v>
      </c>
      <c r="C666" s="41">
        <v>45094</v>
      </c>
      <c r="D666" s="1">
        <v>244793.64</v>
      </c>
      <c r="E666" s="1" t="s">
        <v>6460</v>
      </c>
      <c r="F666" s="1" t="s">
        <v>6481</v>
      </c>
      <c r="G666" s="1" t="s">
        <v>17</v>
      </c>
      <c r="H666" s="1">
        <v>26</v>
      </c>
      <c r="I666" t="str">
        <f>IF(ISNA(_xlfn.XLOOKUP(B666, policy_details!$A$2:$A$2829, policy_details!$A$2:$A$2829)), "Invalid", "Ok")</f>
        <v>Ok</v>
      </c>
    </row>
    <row r="667" spans="1:9" x14ac:dyDescent="0.3">
      <c r="A667" s="1" t="s">
        <v>7129</v>
      </c>
      <c r="B667" s="1" t="s">
        <v>5418</v>
      </c>
      <c r="C667" s="41">
        <v>45320</v>
      </c>
      <c r="D667" s="1">
        <v>129090.02</v>
      </c>
      <c r="E667" s="1" t="s">
        <v>6460</v>
      </c>
      <c r="F667" s="1" t="s">
        <v>6470</v>
      </c>
      <c r="G667" s="1" t="s">
        <v>17</v>
      </c>
      <c r="H667" s="1">
        <v>10</v>
      </c>
      <c r="I667" t="str">
        <f>IF(ISNA(_xlfn.XLOOKUP(B667, policy_details!$A$2:$A$2829, policy_details!$A$2:$A$2829)), "Invalid", "Ok")</f>
        <v>Ok</v>
      </c>
    </row>
    <row r="668" spans="1:9" x14ac:dyDescent="0.3">
      <c r="A668" s="1" t="s">
        <v>7130</v>
      </c>
      <c r="B668" s="1" t="s">
        <v>5536</v>
      </c>
      <c r="C668" s="41">
        <v>44618</v>
      </c>
      <c r="D668" s="1">
        <v>222717.99</v>
      </c>
      <c r="E668" s="1" t="s">
        <v>6457</v>
      </c>
      <c r="F668" s="1" t="s">
        <v>6466</v>
      </c>
      <c r="G668" s="1" t="s">
        <v>17</v>
      </c>
      <c r="H668" s="1">
        <v>33</v>
      </c>
      <c r="I668" t="str">
        <f>IF(ISNA(_xlfn.XLOOKUP(B668, policy_details!$A$2:$A$2829, policy_details!$A$2:$A$2829)), "Invalid", "Ok")</f>
        <v>Ok</v>
      </c>
    </row>
    <row r="669" spans="1:9" x14ac:dyDescent="0.3">
      <c r="A669" s="1" t="s">
        <v>7131</v>
      </c>
      <c r="B669" s="1" t="s">
        <v>5709</v>
      </c>
      <c r="C669" s="41">
        <v>44647</v>
      </c>
      <c r="D669" s="1">
        <v>253148.03</v>
      </c>
      <c r="E669" s="1" t="s">
        <v>6457</v>
      </c>
      <c r="F669" s="1" t="s">
        <v>6461</v>
      </c>
      <c r="G669" s="1" t="s">
        <v>30</v>
      </c>
      <c r="H669" s="1">
        <v>38</v>
      </c>
      <c r="I669" t="str">
        <f>IF(ISNA(_xlfn.XLOOKUP(B669, policy_details!$A$2:$A$2829, policy_details!$A$2:$A$2829)), "Invalid", "Ok")</f>
        <v>Ok</v>
      </c>
    </row>
    <row r="670" spans="1:9" x14ac:dyDescent="0.3">
      <c r="A670" s="1" t="s">
        <v>7132</v>
      </c>
      <c r="B670" s="1" t="s">
        <v>4598</v>
      </c>
      <c r="C670" s="41">
        <v>46051</v>
      </c>
      <c r="D670" s="1">
        <v>231962.56</v>
      </c>
      <c r="E670" s="1" t="s">
        <v>6457</v>
      </c>
      <c r="F670" s="1" t="s">
        <v>6466</v>
      </c>
      <c r="G670" s="1" t="s">
        <v>17</v>
      </c>
      <c r="H670" s="1">
        <v>40</v>
      </c>
      <c r="I670" t="str">
        <f>IF(ISNA(_xlfn.XLOOKUP(B670, policy_details!$A$2:$A$2829, policy_details!$A$2:$A$2829)), "Invalid", "Ok")</f>
        <v>Ok</v>
      </c>
    </row>
    <row r="671" spans="1:9" x14ac:dyDescent="0.3">
      <c r="A671" s="1" t="s">
        <v>7133</v>
      </c>
      <c r="B671" s="1" t="s">
        <v>5389</v>
      </c>
      <c r="C671" s="41">
        <v>45821</v>
      </c>
      <c r="D671" s="1">
        <v>209083</v>
      </c>
      <c r="E671" s="1" t="s">
        <v>6457</v>
      </c>
      <c r="F671" s="1" t="s">
        <v>6481</v>
      </c>
      <c r="G671" s="1" t="s">
        <v>17</v>
      </c>
      <c r="H671" s="1">
        <v>40</v>
      </c>
      <c r="I671" t="str">
        <f>IF(ISNA(_xlfn.XLOOKUP(B671, policy_details!$A$2:$A$2829, policy_details!$A$2:$A$2829)), "Invalid", "Ok")</f>
        <v>Ok</v>
      </c>
    </row>
    <row r="672" spans="1:9" x14ac:dyDescent="0.3">
      <c r="A672" s="1" t="s">
        <v>7134</v>
      </c>
      <c r="B672" s="1" t="s">
        <v>4789</v>
      </c>
      <c r="C672" s="41">
        <v>44966</v>
      </c>
      <c r="D672" s="1">
        <v>177075.91</v>
      </c>
      <c r="E672" s="1" t="s">
        <v>6457</v>
      </c>
      <c r="F672" s="1" t="s">
        <v>6470</v>
      </c>
      <c r="G672" s="1" t="s">
        <v>17</v>
      </c>
      <c r="H672" s="1">
        <v>29</v>
      </c>
      <c r="I672" t="str">
        <f>IF(ISNA(_xlfn.XLOOKUP(B672, policy_details!$A$2:$A$2829, policy_details!$A$2:$A$2829)), "Invalid", "Ok")</f>
        <v>Ok</v>
      </c>
    </row>
    <row r="673" spans="1:9" x14ac:dyDescent="0.3">
      <c r="A673" s="1" t="s">
        <v>7135</v>
      </c>
      <c r="B673" s="1" t="s">
        <v>4718</v>
      </c>
      <c r="C673" s="41">
        <v>46213</v>
      </c>
      <c r="D673" s="1">
        <v>167527.6</v>
      </c>
      <c r="E673" s="1" t="s">
        <v>6457</v>
      </c>
      <c r="F673" s="1" t="s">
        <v>6481</v>
      </c>
      <c r="G673" s="1" t="s">
        <v>30</v>
      </c>
      <c r="H673" s="1">
        <v>36</v>
      </c>
      <c r="I673" t="str">
        <f>IF(ISNA(_xlfn.XLOOKUP(B673, policy_details!$A$2:$A$2829, policy_details!$A$2:$A$2829)), "Invalid", "Ok")</f>
        <v>Ok</v>
      </c>
    </row>
    <row r="674" spans="1:9" x14ac:dyDescent="0.3">
      <c r="A674" s="1" t="s">
        <v>7136</v>
      </c>
      <c r="B674" s="1" t="s">
        <v>4956</v>
      </c>
      <c r="C674" s="41">
        <v>45036</v>
      </c>
      <c r="D674" s="1">
        <v>133811.42000000001</v>
      </c>
      <c r="E674" s="1" t="s">
        <v>6460</v>
      </c>
      <c r="F674" s="1" t="s">
        <v>6466</v>
      </c>
      <c r="G674" s="1" t="s">
        <v>17</v>
      </c>
      <c r="H674" s="1">
        <v>31</v>
      </c>
      <c r="I674" t="str">
        <f>IF(ISNA(_xlfn.XLOOKUP(B674, policy_details!$A$2:$A$2829, policy_details!$A$2:$A$2829)), "Invalid", "Ok")</f>
        <v>Ok</v>
      </c>
    </row>
    <row r="675" spans="1:9" x14ac:dyDescent="0.3">
      <c r="A675" s="1" t="s">
        <v>7137</v>
      </c>
      <c r="B675" s="1" t="s">
        <v>4766</v>
      </c>
      <c r="C675" s="41">
        <v>45652</v>
      </c>
      <c r="D675" s="1">
        <v>273785.32</v>
      </c>
      <c r="E675" s="1" t="s">
        <v>6457</v>
      </c>
      <c r="F675" s="1" t="s">
        <v>6461</v>
      </c>
      <c r="G675" s="1" t="s">
        <v>17</v>
      </c>
      <c r="H675" s="1">
        <v>42</v>
      </c>
      <c r="I675" t="str">
        <f>IF(ISNA(_xlfn.XLOOKUP(B675, policy_details!$A$2:$A$2829, policy_details!$A$2:$A$2829)), "Invalid", "Ok")</f>
        <v>Ok</v>
      </c>
    </row>
    <row r="676" spans="1:9" x14ac:dyDescent="0.3">
      <c r="A676" s="1" t="s">
        <v>7138</v>
      </c>
      <c r="B676" s="1" t="s">
        <v>3454</v>
      </c>
      <c r="C676" s="41">
        <v>44653</v>
      </c>
      <c r="D676" s="1">
        <v>498938.26</v>
      </c>
      <c r="E676" s="1" t="s">
        <v>6457</v>
      </c>
      <c r="F676" s="1" t="s">
        <v>6466</v>
      </c>
      <c r="G676" s="1" t="s">
        <v>17</v>
      </c>
      <c r="H676" s="1">
        <v>5</v>
      </c>
      <c r="I676" t="str">
        <f>IF(ISNA(_xlfn.XLOOKUP(B676, policy_details!$A$2:$A$2829, policy_details!$A$2:$A$2829)), "Invalid", "Ok")</f>
        <v>Ok</v>
      </c>
    </row>
    <row r="677" spans="1:9" x14ac:dyDescent="0.3">
      <c r="A677" s="1" t="s">
        <v>7139</v>
      </c>
      <c r="B677" s="1" t="s">
        <v>5715</v>
      </c>
      <c r="C677" s="41">
        <v>45291</v>
      </c>
      <c r="D677" s="1">
        <v>367469.04</v>
      </c>
      <c r="E677" s="1" t="s">
        <v>6464</v>
      </c>
      <c r="F677" s="1" t="s">
        <v>6458</v>
      </c>
      <c r="G677" s="1" t="s">
        <v>17</v>
      </c>
      <c r="H677" s="1">
        <v>9</v>
      </c>
      <c r="I677" t="str">
        <f>IF(ISNA(_xlfn.XLOOKUP(B677, policy_details!$A$2:$A$2829, policy_details!$A$2:$A$2829)), "Invalid", "Ok")</f>
        <v>Ok</v>
      </c>
    </row>
    <row r="678" spans="1:9" x14ac:dyDescent="0.3">
      <c r="A678" s="1" t="s">
        <v>7140</v>
      </c>
      <c r="B678" s="1" t="s">
        <v>5268</v>
      </c>
      <c r="C678" s="41">
        <v>45024</v>
      </c>
      <c r="D678" s="1">
        <v>240813.22</v>
      </c>
      <c r="E678" s="1" t="s">
        <v>6460</v>
      </c>
      <c r="F678" s="1" t="s">
        <v>6470</v>
      </c>
      <c r="G678" s="1" t="s">
        <v>17</v>
      </c>
      <c r="H678" s="1">
        <v>19</v>
      </c>
      <c r="I678" t="str">
        <f>IF(ISNA(_xlfn.XLOOKUP(B678, policy_details!$A$2:$A$2829, policy_details!$A$2:$A$2829)), "Invalid", "Ok")</f>
        <v>Ok</v>
      </c>
    </row>
    <row r="679" spans="1:9" x14ac:dyDescent="0.3">
      <c r="A679" s="1" t="s">
        <v>7141</v>
      </c>
      <c r="B679" s="1" t="s">
        <v>3925</v>
      </c>
      <c r="C679" s="41">
        <v>44649</v>
      </c>
      <c r="D679" s="1">
        <v>384109.49</v>
      </c>
      <c r="E679" s="1" t="s">
        <v>6464</v>
      </c>
      <c r="F679" s="1" t="s">
        <v>6481</v>
      </c>
      <c r="G679" s="1" t="s">
        <v>17</v>
      </c>
      <c r="H679" s="1">
        <v>28</v>
      </c>
      <c r="I679" t="str">
        <f>IF(ISNA(_xlfn.XLOOKUP(B679, policy_details!$A$2:$A$2829, policy_details!$A$2:$A$2829)), "Invalid", "Ok")</f>
        <v>Ok</v>
      </c>
    </row>
    <row r="680" spans="1:9" x14ac:dyDescent="0.3">
      <c r="A680" s="1" t="s">
        <v>7142</v>
      </c>
      <c r="B680" s="1" t="s">
        <v>4331</v>
      </c>
      <c r="C680" s="41">
        <v>45715</v>
      </c>
      <c r="D680" s="1">
        <v>81842.179999999993</v>
      </c>
      <c r="E680" s="1" t="s">
        <v>6464</v>
      </c>
      <c r="F680" s="1" t="s">
        <v>6461</v>
      </c>
      <c r="G680" s="1" t="s">
        <v>17</v>
      </c>
      <c r="H680" s="1">
        <v>40</v>
      </c>
      <c r="I680" t="str">
        <f>IF(ISNA(_xlfn.XLOOKUP(B680, policy_details!$A$2:$A$2829, policy_details!$A$2:$A$2829)), "Invalid", "Ok")</f>
        <v>Ok</v>
      </c>
    </row>
    <row r="681" spans="1:9" x14ac:dyDescent="0.3">
      <c r="A681" s="1" t="s">
        <v>7143</v>
      </c>
      <c r="B681" s="1" t="s">
        <v>5345</v>
      </c>
      <c r="C681" s="41">
        <v>45729</v>
      </c>
      <c r="D681" s="1">
        <v>173773.02</v>
      </c>
      <c r="E681" s="1" t="s">
        <v>6460</v>
      </c>
      <c r="F681" s="1" t="s">
        <v>6466</v>
      </c>
      <c r="G681" s="1" t="s">
        <v>17</v>
      </c>
      <c r="H681" s="1">
        <v>5</v>
      </c>
      <c r="I681" t="str">
        <f>IF(ISNA(_xlfn.XLOOKUP(B681, policy_details!$A$2:$A$2829, policy_details!$A$2:$A$2829)), "Invalid", "Ok")</f>
        <v>Ok</v>
      </c>
    </row>
    <row r="682" spans="1:9" x14ac:dyDescent="0.3">
      <c r="A682" s="1" t="s">
        <v>7144</v>
      </c>
      <c r="B682" s="1" t="s">
        <v>5079</v>
      </c>
      <c r="C682" s="41">
        <v>45855</v>
      </c>
      <c r="D682" s="1">
        <v>164861.28</v>
      </c>
      <c r="E682" s="1" t="s">
        <v>6464</v>
      </c>
      <c r="F682" s="1" t="s">
        <v>6466</v>
      </c>
      <c r="G682" s="1" t="s">
        <v>17</v>
      </c>
      <c r="H682" s="1">
        <v>8</v>
      </c>
      <c r="I682" t="str">
        <f>IF(ISNA(_xlfn.XLOOKUP(B682, policy_details!$A$2:$A$2829, policy_details!$A$2:$A$2829)), "Invalid", "Ok")</f>
        <v>Ok</v>
      </c>
    </row>
    <row r="683" spans="1:9" x14ac:dyDescent="0.3">
      <c r="A683" s="1" t="s">
        <v>7145</v>
      </c>
      <c r="B683" s="1" t="s">
        <v>5663</v>
      </c>
      <c r="C683" s="41">
        <v>45325</v>
      </c>
      <c r="D683" s="1">
        <v>388040.1</v>
      </c>
      <c r="E683" s="1" t="s">
        <v>6457</v>
      </c>
      <c r="F683" s="1" t="s">
        <v>6461</v>
      </c>
      <c r="G683" s="1" t="s">
        <v>30</v>
      </c>
      <c r="H683" s="1">
        <v>38</v>
      </c>
      <c r="I683" t="str">
        <f>IF(ISNA(_xlfn.XLOOKUP(B683, policy_details!$A$2:$A$2829, policy_details!$A$2:$A$2829)), "Invalid", "Ok")</f>
        <v>Ok</v>
      </c>
    </row>
    <row r="684" spans="1:9" x14ac:dyDescent="0.3">
      <c r="A684" s="1" t="s">
        <v>7146</v>
      </c>
      <c r="B684" s="1" t="s">
        <v>4995</v>
      </c>
      <c r="C684" s="41">
        <v>45912</v>
      </c>
      <c r="D684" s="1">
        <v>411242.05</v>
      </c>
      <c r="E684" s="1" t="s">
        <v>6460</v>
      </c>
      <c r="F684" s="1" t="s">
        <v>6470</v>
      </c>
      <c r="G684" s="1" t="s">
        <v>17</v>
      </c>
      <c r="H684" s="1">
        <v>14</v>
      </c>
      <c r="I684" t="str">
        <f>IF(ISNA(_xlfn.XLOOKUP(B684, policy_details!$A$2:$A$2829, policy_details!$A$2:$A$2829)), "Invalid", "Ok")</f>
        <v>Ok</v>
      </c>
    </row>
    <row r="685" spans="1:9" x14ac:dyDescent="0.3">
      <c r="A685" s="1" t="s">
        <v>7147</v>
      </c>
      <c r="B685" s="1" t="s">
        <v>6009</v>
      </c>
      <c r="C685" s="41">
        <v>45335</v>
      </c>
      <c r="D685" s="1">
        <v>113564.21</v>
      </c>
      <c r="E685" s="1" t="s">
        <v>6460</v>
      </c>
      <c r="F685" s="1" t="s">
        <v>6470</v>
      </c>
      <c r="G685" s="1" t="s">
        <v>17</v>
      </c>
      <c r="H685" s="1">
        <v>1</v>
      </c>
      <c r="I685" t="str">
        <f>IF(ISNA(_xlfn.XLOOKUP(B685, policy_details!$A$2:$A$2829, policy_details!$A$2:$A$2829)), "Invalid", "Ok")</f>
        <v>Ok</v>
      </c>
    </row>
    <row r="686" spans="1:9" x14ac:dyDescent="0.3">
      <c r="A686" s="1" t="s">
        <v>7148</v>
      </c>
      <c r="B686" s="1" t="s">
        <v>3688</v>
      </c>
      <c r="C686" s="41">
        <v>45194</v>
      </c>
      <c r="D686" s="1">
        <v>106059.84</v>
      </c>
      <c r="E686" s="1" t="s">
        <v>6464</v>
      </c>
      <c r="F686" s="1" t="s">
        <v>6466</v>
      </c>
      <c r="G686" s="1" t="s">
        <v>30</v>
      </c>
      <c r="H686" s="1">
        <v>30</v>
      </c>
      <c r="I686" t="str">
        <f>IF(ISNA(_xlfn.XLOOKUP(B686, policy_details!$A$2:$A$2829, policy_details!$A$2:$A$2829)), "Invalid", "Ok")</f>
        <v>Ok</v>
      </c>
    </row>
    <row r="687" spans="1:9" x14ac:dyDescent="0.3">
      <c r="A687" s="1" t="s">
        <v>7149</v>
      </c>
      <c r="B687" s="1" t="s">
        <v>5350</v>
      </c>
      <c r="C687" s="41">
        <v>44871</v>
      </c>
      <c r="D687" s="1">
        <v>1324623.1000000001</v>
      </c>
      <c r="E687" s="1" t="s">
        <v>6457</v>
      </c>
      <c r="F687" s="1" t="s">
        <v>6458</v>
      </c>
      <c r="G687" s="1" t="s">
        <v>17</v>
      </c>
      <c r="H687" s="1">
        <v>39</v>
      </c>
      <c r="I687" t="str">
        <f>IF(ISNA(_xlfn.XLOOKUP(B687, policy_details!$A$2:$A$2829, policy_details!$A$2:$A$2829)), "Invalid", "Ok")</f>
        <v>Ok</v>
      </c>
    </row>
    <row r="688" spans="1:9" x14ac:dyDescent="0.3">
      <c r="A688" s="1" t="s">
        <v>7150</v>
      </c>
      <c r="B688" s="1" t="s">
        <v>4661</v>
      </c>
      <c r="C688" s="41">
        <v>44973</v>
      </c>
      <c r="D688" s="1">
        <v>288761.56</v>
      </c>
      <c r="E688" s="1" t="s">
        <v>6464</v>
      </c>
      <c r="F688" s="1" t="s">
        <v>6466</v>
      </c>
      <c r="G688" s="1" t="s">
        <v>17</v>
      </c>
      <c r="H688" s="1">
        <v>40</v>
      </c>
      <c r="I688" t="str">
        <f>IF(ISNA(_xlfn.XLOOKUP(B688, policy_details!$A$2:$A$2829, policy_details!$A$2:$A$2829)), "Invalid", "Ok")</f>
        <v>Ok</v>
      </c>
    </row>
    <row r="689" spans="1:9" x14ac:dyDescent="0.3">
      <c r="A689" s="1" t="s">
        <v>7151</v>
      </c>
      <c r="B689" s="1" t="s">
        <v>4468</v>
      </c>
      <c r="C689" s="41">
        <v>45369</v>
      </c>
      <c r="D689" s="1">
        <v>279396.53000000003</v>
      </c>
      <c r="E689" s="1" t="s">
        <v>6457</v>
      </c>
      <c r="F689" s="1" t="s">
        <v>6461</v>
      </c>
      <c r="G689" s="1" t="s">
        <v>30</v>
      </c>
      <c r="H689" s="1">
        <v>38</v>
      </c>
      <c r="I689" t="str">
        <f>IF(ISNA(_xlfn.XLOOKUP(B689, policy_details!$A$2:$A$2829, policy_details!$A$2:$A$2829)), "Invalid", "Ok")</f>
        <v>Ok</v>
      </c>
    </row>
    <row r="690" spans="1:9" x14ac:dyDescent="0.3">
      <c r="A690" s="1" t="s">
        <v>7152</v>
      </c>
      <c r="B690" s="1" t="s">
        <v>6290</v>
      </c>
      <c r="C690" s="41">
        <v>46067</v>
      </c>
      <c r="D690" s="1">
        <v>88331.61</v>
      </c>
      <c r="E690" s="1" t="s">
        <v>6464</v>
      </c>
      <c r="F690" s="1" t="s">
        <v>6461</v>
      </c>
      <c r="G690" s="1" t="s">
        <v>17</v>
      </c>
      <c r="H690" s="1">
        <v>3</v>
      </c>
      <c r="I690" t="str">
        <f>IF(ISNA(_xlfn.XLOOKUP(B690, policy_details!$A$2:$A$2829, policy_details!$A$2:$A$2829)), "Invalid", "Ok")</f>
        <v>Ok</v>
      </c>
    </row>
    <row r="691" spans="1:9" x14ac:dyDescent="0.3">
      <c r="A691" s="1" t="s">
        <v>7153</v>
      </c>
      <c r="B691" s="1" t="s">
        <v>6063</v>
      </c>
      <c r="C691" s="41">
        <v>45872</v>
      </c>
      <c r="D691" s="1">
        <v>258456.49</v>
      </c>
      <c r="E691" s="1" t="s">
        <v>6464</v>
      </c>
      <c r="F691" s="1" t="s">
        <v>6470</v>
      </c>
      <c r="G691" s="1" t="s">
        <v>17</v>
      </c>
      <c r="H691" s="1">
        <v>6</v>
      </c>
      <c r="I691" t="str">
        <f>IF(ISNA(_xlfn.XLOOKUP(B691, policy_details!$A$2:$A$2829, policy_details!$A$2:$A$2829)), "Invalid", "Ok")</f>
        <v>Ok</v>
      </c>
    </row>
    <row r="692" spans="1:9" x14ac:dyDescent="0.3">
      <c r="A692" s="1" t="s">
        <v>7154</v>
      </c>
      <c r="B692" s="1" t="s">
        <v>4088</v>
      </c>
      <c r="C692" s="41">
        <v>44553</v>
      </c>
      <c r="D692" s="1">
        <v>104037.94</v>
      </c>
      <c r="E692" s="1" t="s">
        <v>6457</v>
      </c>
      <c r="F692" s="1" t="s">
        <v>6461</v>
      </c>
      <c r="G692" s="1" t="s">
        <v>30</v>
      </c>
      <c r="H692" s="1">
        <v>39</v>
      </c>
      <c r="I692" t="str">
        <f>IF(ISNA(_xlfn.XLOOKUP(B692, policy_details!$A$2:$A$2829, policy_details!$A$2:$A$2829)), "Invalid", "Ok")</f>
        <v>Ok</v>
      </c>
    </row>
    <row r="693" spans="1:9" x14ac:dyDescent="0.3">
      <c r="A693" s="1" t="s">
        <v>7155</v>
      </c>
      <c r="B693" s="1" t="s">
        <v>3605</v>
      </c>
      <c r="C693" s="41">
        <v>45852</v>
      </c>
      <c r="D693" s="1">
        <v>245805.01</v>
      </c>
      <c r="E693" s="1" t="s">
        <v>6457</v>
      </c>
      <c r="F693" s="1" t="s">
        <v>6470</v>
      </c>
      <c r="G693" s="1" t="s">
        <v>17</v>
      </c>
      <c r="H693" s="1">
        <v>31</v>
      </c>
      <c r="I693" t="str">
        <f>IF(ISNA(_xlfn.XLOOKUP(B693, policy_details!$A$2:$A$2829, policy_details!$A$2:$A$2829)), "Invalid", "Ok")</f>
        <v>Ok</v>
      </c>
    </row>
    <row r="694" spans="1:9" x14ac:dyDescent="0.3">
      <c r="A694" s="1" t="s">
        <v>7156</v>
      </c>
      <c r="B694" s="1" t="s">
        <v>6073</v>
      </c>
      <c r="C694" s="41">
        <v>44919</v>
      </c>
      <c r="D694" s="1">
        <v>215954.53</v>
      </c>
      <c r="E694" s="1" t="s">
        <v>6460</v>
      </c>
      <c r="F694" s="1" t="s">
        <v>6466</v>
      </c>
      <c r="G694" s="1" t="s">
        <v>17</v>
      </c>
      <c r="H694" s="1">
        <v>10</v>
      </c>
      <c r="I694" t="str">
        <f>IF(ISNA(_xlfn.XLOOKUP(B694, policy_details!$A$2:$A$2829, policy_details!$A$2:$A$2829)), "Invalid", "Ok")</f>
        <v>Ok</v>
      </c>
    </row>
    <row r="695" spans="1:9" x14ac:dyDescent="0.3">
      <c r="A695" s="1" t="s">
        <v>7157</v>
      </c>
      <c r="B695" s="1" t="s">
        <v>4037</v>
      </c>
      <c r="C695" s="41">
        <v>45022</v>
      </c>
      <c r="D695" s="1">
        <v>2327857.89</v>
      </c>
      <c r="E695" s="1" t="s">
        <v>6460</v>
      </c>
      <c r="F695" s="1" t="s">
        <v>6458</v>
      </c>
      <c r="G695" s="1" t="s">
        <v>17</v>
      </c>
      <c r="H695" s="1">
        <v>18</v>
      </c>
      <c r="I695" t="str">
        <f>IF(ISNA(_xlfn.XLOOKUP(B695, policy_details!$A$2:$A$2829, policy_details!$A$2:$A$2829)), "Invalid", "Ok")</f>
        <v>Ok</v>
      </c>
    </row>
    <row r="696" spans="1:9" x14ac:dyDescent="0.3">
      <c r="A696" s="1" t="s">
        <v>7158</v>
      </c>
      <c r="B696" s="1" t="s">
        <v>6245</v>
      </c>
      <c r="C696" s="41">
        <v>45157</v>
      </c>
      <c r="D696" s="1">
        <v>275152.2</v>
      </c>
      <c r="E696" s="1" t="s">
        <v>6460</v>
      </c>
      <c r="F696" s="1" t="s">
        <v>6466</v>
      </c>
      <c r="G696" s="1" t="s">
        <v>17</v>
      </c>
      <c r="H696" s="1">
        <v>38</v>
      </c>
      <c r="I696" t="str">
        <f>IF(ISNA(_xlfn.XLOOKUP(B696, policy_details!$A$2:$A$2829, policy_details!$A$2:$A$2829)), "Invalid", "Ok")</f>
        <v>Ok</v>
      </c>
    </row>
    <row r="697" spans="1:9" x14ac:dyDescent="0.3">
      <c r="A697" s="1" t="s">
        <v>7159</v>
      </c>
      <c r="B697" s="1" t="s">
        <v>4379</v>
      </c>
      <c r="C697" s="41">
        <v>45249</v>
      </c>
      <c r="D697" s="1">
        <v>128205.97</v>
      </c>
      <c r="E697" s="1" t="s">
        <v>6460</v>
      </c>
      <c r="F697" s="1" t="s">
        <v>6461</v>
      </c>
      <c r="G697" s="1" t="s">
        <v>17</v>
      </c>
      <c r="H697" s="1">
        <v>41</v>
      </c>
      <c r="I697" t="str">
        <f>IF(ISNA(_xlfn.XLOOKUP(B697, policy_details!$A$2:$A$2829, policy_details!$A$2:$A$2829)), "Invalid", "Ok")</f>
        <v>Ok</v>
      </c>
    </row>
    <row r="698" spans="1:9" x14ac:dyDescent="0.3">
      <c r="A698" s="1" t="s">
        <v>7160</v>
      </c>
      <c r="B698" s="1" t="s">
        <v>4777</v>
      </c>
      <c r="C698" s="41">
        <v>45170</v>
      </c>
      <c r="D698" s="1">
        <v>160710.07999999999</v>
      </c>
      <c r="E698" s="1" t="s">
        <v>6460</v>
      </c>
      <c r="F698" s="1" t="s">
        <v>6461</v>
      </c>
      <c r="G698" s="1" t="s">
        <v>17</v>
      </c>
      <c r="H698" s="1">
        <v>40</v>
      </c>
      <c r="I698" t="str">
        <f>IF(ISNA(_xlfn.XLOOKUP(B698, policy_details!$A$2:$A$2829, policy_details!$A$2:$A$2829)), "Invalid", "Ok")</f>
        <v>Ok</v>
      </c>
    </row>
    <row r="699" spans="1:9" x14ac:dyDescent="0.3">
      <c r="A699" s="1" t="s">
        <v>7161</v>
      </c>
      <c r="B699" s="1" t="s">
        <v>3544</v>
      </c>
      <c r="C699" s="41">
        <v>46108</v>
      </c>
      <c r="D699" s="1">
        <v>237745.72</v>
      </c>
      <c r="E699" s="1" t="s">
        <v>6464</v>
      </c>
      <c r="F699" s="1" t="s">
        <v>6481</v>
      </c>
      <c r="G699" s="1" t="s">
        <v>30</v>
      </c>
      <c r="H699" s="1">
        <v>21</v>
      </c>
      <c r="I699" t="str">
        <f>IF(ISNA(_xlfn.XLOOKUP(B699, policy_details!$A$2:$A$2829, policy_details!$A$2:$A$2829)), "Invalid", "Ok")</f>
        <v>Ok</v>
      </c>
    </row>
    <row r="700" spans="1:9" x14ac:dyDescent="0.3">
      <c r="A700" s="1" t="s">
        <v>7162</v>
      </c>
      <c r="B700" s="1" t="s">
        <v>5135</v>
      </c>
      <c r="C700" s="41">
        <v>44932</v>
      </c>
      <c r="D700" s="1">
        <v>505312.27</v>
      </c>
      <c r="E700" s="1" t="s">
        <v>6457</v>
      </c>
      <c r="F700" s="1" t="s">
        <v>6458</v>
      </c>
      <c r="G700" s="1" t="s">
        <v>17</v>
      </c>
      <c r="H700" s="1">
        <v>35</v>
      </c>
      <c r="I700" t="str">
        <f>IF(ISNA(_xlfn.XLOOKUP(B700, policy_details!$A$2:$A$2829, policy_details!$A$2:$A$2829)), "Invalid", "Ok")</f>
        <v>Ok</v>
      </c>
    </row>
    <row r="701" spans="1:9" x14ac:dyDescent="0.3">
      <c r="A701" s="1" t="s">
        <v>7163</v>
      </c>
      <c r="B701" s="1" t="s">
        <v>4104</v>
      </c>
      <c r="C701" s="41">
        <v>45772</v>
      </c>
      <c r="D701" s="1">
        <v>575980.39</v>
      </c>
      <c r="E701" s="1" t="s">
        <v>6457</v>
      </c>
      <c r="F701" s="1" t="s">
        <v>6466</v>
      </c>
      <c r="G701" s="1" t="s">
        <v>17</v>
      </c>
      <c r="H701" s="1">
        <v>2</v>
      </c>
      <c r="I701" t="str">
        <f>IF(ISNA(_xlfn.XLOOKUP(B701, policy_details!$A$2:$A$2829, policy_details!$A$2:$A$2829)), "Invalid", "Ok")</f>
        <v>Ok</v>
      </c>
    </row>
    <row r="702" spans="1:9" x14ac:dyDescent="0.3">
      <c r="A702" s="1" t="s">
        <v>7164</v>
      </c>
      <c r="B702" s="1" t="s">
        <v>4831</v>
      </c>
      <c r="C702" s="41">
        <v>45062</v>
      </c>
      <c r="D702" s="1">
        <v>556029.18000000005</v>
      </c>
      <c r="E702" s="1" t="s">
        <v>6460</v>
      </c>
      <c r="F702" s="1" t="s">
        <v>6481</v>
      </c>
      <c r="G702" s="1" t="s">
        <v>17</v>
      </c>
      <c r="H702" s="1">
        <v>41</v>
      </c>
      <c r="I702" t="str">
        <f>IF(ISNA(_xlfn.XLOOKUP(B702, policy_details!$A$2:$A$2829, policy_details!$A$2:$A$2829)), "Invalid", "Ok")</f>
        <v>Ok</v>
      </c>
    </row>
    <row r="703" spans="1:9" x14ac:dyDescent="0.3">
      <c r="A703" s="1" t="s">
        <v>7165</v>
      </c>
      <c r="B703" s="1" t="s">
        <v>6221</v>
      </c>
      <c r="C703" s="41">
        <v>45937</v>
      </c>
      <c r="D703" s="1">
        <v>824059.74</v>
      </c>
      <c r="E703" s="1" t="s">
        <v>6460</v>
      </c>
      <c r="F703" s="1" t="s">
        <v>6458</v>
      </c>
      <c r="G703" s="1" t="s">
        <v>17</v>
      </c>
      <c r="H703" s="1">
        <v>10</v>
      </c>
      <c r="I703" t="str">
        <f>IF(ISNA(_xlfn.XLOOKUP(B703, policy_details!$A$2:$A$2829, policy_details!$A$2:$A$2829)), "Invalid", "Ok")</f>
        <v>Ok</v>
      </c>
    </row>
    <row r="704" spans="1:9" x14ac:dyDescent="0.3">
      <c r="A704" s="1" t="s">
        <v>7166</v>
      </c>
      <c r="B704" s="1" t="s">
        <v>4301</v>
      </c>
      <c r="C704" s="41">
        <v>45005</v>
      </c>
      <c r="D704" s="1">
        <v>212847.44</v>
      </c>
      <c r="E704" s="1" t="s">
        <v>6464</v>
      </c>
      <c r="F704" s="1" t="s">
        <v>6461</v>
      </c>
      <c r="G704" s="1" t="s">
        <v>17</v>
      </c>
      <c r="H704" s="1">
        <v>43</v>
      </c>
      <c r="I704" t="str">
        <f>IF(ISNA(_xlfn.XLOOKUP(B704, policy_details!$A$2:$A$2829, policy_details!$A$2:$A$2829)), "Invalid", "Ok")</f>
        <v>Ok</v>
      </c>
    </row>
    <row r="705" spans="1:9" x14ac:dyDescent="0.3">
      <c r="A705" s="1" t="s">
        <v>7167</v>
      </c>
      <c r="B705" s="1" t="s">
        <v>5412</v>
      </c>
      <c r="C705" s="41">
        <v>45190</v>
      </c>
      <c r="D705" s="1">
        <v>613599.37</v>
      </c>
      <c r="E705" s="1" t="s">
        <v>6464</v>
      </c>
      <c r="F705" s="1" t="s">
        <v>6466</v>
      </c>
      <c r="G705" s="1" t="s">
        <v>17</v>
      </c>
      <c r="H705" s="1">
        <v>1</v>
      </c>
      <c r="I705" t="str">
        <f>IF(ISNA(_xlfn.XLOOKUP(B705, policy_details!$A$2:$A$2829, policy_details!$A$2:$A$2829)), "Invalid", "Ok")</f>
        <v>Ok</v>
      </c>
    </row>
    <row r="706" spans="1:9" x14ac:dyDescent="0.3">
      <c r="A706" s="1" t="s">
        <v>7168</v>
      </c>
      <c r="B706" s="1" t="s">
        <v>4147</v>
      </c>
      <c r="C706" s="41">
        <v>45487</v>
      </c>
      <c r="D706" s="1">
        <v>464011.38</v>
      </c>
      <c r="E706" s="1" t="s">
        <v>6460</v>
      </c>
      <c r="F706" s="1" t="s">
        <v>6481</v>
      </c>
      <c r="G706" s="1" t="s">
        <v>17</v>
      </c>
      <c r="H706" s="1">
        <v>41</v>
      </c>
      <c r="I706" t="str">
        <f>IF(ISNA(_xlfn.XLOOKUP(B706, policy_details!$A$2:$A$2829, policy_details!$A$2:$A$2829)), "Invalid", "Ok")</f>
        <v>Ok</v>
      </c>
    </row>
    <row r="707" spans="1:9" x14ac:dyDescent="0.3">
      <c r="A707" s="1" t="s">
        <v>7169</v>
      </c>
      <c r="B707" s="1" t="s">
        <v>5341</v>
      </c>
      <c r="C707" s="41">
        <v>44746</v>
      </c>
      <c r="D707" s="1">
        <v>214383.23</v>
      </c>
      <c r="E707" s="1" t="s">
        <v>6460</v>
      </c>
      <c r="F707" s="1" t="s">
        <v>6481</v>
      </c>
      <c r="G707" s="1" t="s">
        <v>17</v>
      </c>
      <c r="H707" s="1">
        <v>24</v>
      </c>
      <c r="I707" t="str">
        <f>IF(ISNA(_xlfn.XLOOKUP(B707, policy_details!$A$2:$A$2829, policy_details!$A$2:$A$2829)), "Invalid", "Ok")</f>
        <v>Ok</v>
      </c>
    </row>
    <row r="708" spans="1:9" x14ac:dyDescent="0.3">
      <c r="A708" s="1" t="s">
        <v>7170</v>
      </c>
      <c r="B708" s="1" t="s">
        <v>4416</v>
      </c>
      <c r="C708" s="41">
        <v>44818</v>
      </c>
      <c r="D708" s="1">
        <v>143546.16</v>
      </c>
      <c r="E708" s="1" t="s">
        <v>6464</v>
      </c>
      <c r="F708" s="1" t="s">
        <v>6461</v>
      </c>
      <c r="G708" s="1" t="s">
        <v>17</v>
      </c>
      <c r="H708" s="1">
        <v>23</v>
      </c>
      <c r="I708" t="str">
        <f>IF(ISNA(_xlfn.XLOOKUP(B708, policy_details!$A$2:$A$2829, policy_details!$A$2:$A$2829)), "Invalid", "Ok")</f>
        <v>Ok</v>
      </c>
    </row>
    <row r="709" spans="1:9" x14ac:dyDescent="0.3">
      <c r="A709" s="1" t="s">
        <v>7171</v>
      </c>
      <c r="B709" s="1" t="s">
        <v>5544</v>
      </c>
      <c r="C709" s="41">
        <v>45584</v>
      </c>
      <c r="D709" s="1">
        <v>76263.13</v>
      </c>
      <c r="E709" s="1" t="s">
        <v>6460</v>
      </c>
      <c r="F709" s="1" t="s">
        <v>6470</v>
      </c>
      <c r="G709" s="1" t="s">
        <v>17</v>
      </c>
      <c r="H709" s="1">
        <v>30</v>
      </c>
      <c r="I709" t="str">
        <f>IF(ISNA(_xlfn.XLOOKUP(B709, policy_details!$A$2:$A$2829, policy_details!$A$2:$A$2829)), "Invalid", "Ok")</f>
        <v>Ok</v>
      </c>
    </row>
    <row r="710" spans="1:9" x14ac:dyDescent="0.3">
      <c r="A710" s="1" t="s">
        <v>7172</v>
      </c>
      <c r="B710" s="1" t="s">
        <v>5795</v>
      </c>
      <c r="C710" s="41">
        <v>46173</v>
      </c>
      <c r="D710" s="1">
        <v>1325812.3999999999</v>
      </c>
      <c r="E710" s="1" t="s">
        <v>6457</v>
      </c>
      <c r="F710" s="1" t="s">
        <v>6458</v>
      </c>
      <c r="G710" s="1" t="s">
        <v>17</v>
      </c>
      <c r="H710" s="1">
        <v>21</v>
      </c>
      <c r="I710" t="str">
        <f>IF(ISNA(_xlfn.XLOOKUP(B710, policy_details!$A$2:$A$2829, policy_details!$A$2:$A$2829)), "Invalid", "Ok")</f>
        <v>Ok</v>
      </c>
    </row>
    <row r="711" spans="1:9" x14ac:dyDescent="0.3">
      <c r="A711" s="1" t="s">
        <v>7173</v>
      </c>
      <c r="B711" s="1" t="s">
        <v>6112</v>
      </c>
      <c r="C711" s="41">
        <v>45562</v>
      </c>
      <c r="D711" s="1">
        <v>335083.40000000002</v>
      </c>
      <c r="E711" s="1" t="s">
        <v>6460</v>
      </c>
      <c r="F711" s="1" t="s">
        <v>6470</v>
      </c>
      <c r="G711" s="1" t="s">
        <v>17</v>
      </c>
      <c r="H711" s="1">
        <v>42</v>
      </c>
      <c r="I711" t="str">
        <f>IF(ISNA(_xlfn.XLOOKUP(B711, policy_details!$A$2:$A$2829, policy_details!$A$2:$A$2829)), "Invalid", "Ok")</f>
        <v>Ok</v>
      </c>
    </row>
    <row r="712" spans="1:9" x14ac:dyDescent="0.3">
      <c r="A712" s="1" t="s">
        <v>7174</v>
      </c>
      <c r="B712" s="1" t="s">
        <v>6219</v>
      </c>
      <c r="C712" s="41">
        <v>45044</v>
      </c>
      <c r="D712" s="1">
        <v>1681174.35</v>
      </c>
      <c r="E712" s="1" t="s">
        <v>6457</v>
      </c>
      <c r="F712" s="1" t="s">
        <v>6458</v>
      </c>
      <c r="G712" s="1" t="s">
        <v>30</v>
      </c>
      <c r="H712" s="1">
        <v>5</v>
      </c>
      <c r="I712" t="str">
        <f>IF(ISNA(_xlfn.XLOOKUP(B712, policy_details!$A$2:$A$2829, policy_details!$A$2:$A$2829)), "Invalid", "Ok")</f>
        <v>Ok</v>
      </c>
    </row>
    <row r="713" spans="1:9" x14ac:dyDescent="0.3">
      <c r="A713" s="1" t="s">
        <v>7175</v>
      </c>
      <c r="B713" s="1" t="s">
        <v>4266</v>
      </c>
      <c r="C713" s="41">
        <v>45547</v>
      </c>
      <c r="D713" s="1">
        <v>212970.88</v>
      </c>
      <c r="E713" s="1" t="s">
        <v>6464</v>
      </c>
      <c r="F713" s="1" t="s">
        <v>6461</v>
      </c>
      <c r="G713" s="1" t="s">
        <v>17</v>
      </c>
      <c r="H713" s="1">
        <v>29</v>
      </c>
      <c r="I713" t="str">
        <f>IF(ISNA(_xlfn.XLOOKUP(B713, policy_details!$A$2:$A$2829, policy_details!$A$2:$A$2829)), "Invalid", "Ok")</f>
        <v>Ok</v>
      </c>
    </row>
    <row r="714" spans="1:9" x14ac:dyDescent="0.3">
      <c r="A714" s="1" t="s">
        <v>7176</v>
      </c>
      <c r="B714" s="1" t="s">
        <v>3896</v>
      </c>
      <c r="C714" s="41">
        <v>44478</v>
      </c>
      <c r="D714" s="1">
        <v>214676.05</v>
      </c>
      <c r="E714" s="1" t="s">
        <v>6457</v>
      </c>
      <c r="F714" s="1" t="s">
        <v>6470</v>
      </c>
      <c r="G714" s="1" t="s">
        <v>17</v>
      </c>
      <c r="H714" s="1">
        <v>10</v>
      </c>
      <c r="I714" t="str">
        <f>IF(ISNA(_xlfn.XLOOKUP(B714, policy_details!$A$2:$A$2829, policy_details!$A$2:$A$2829)), "Invalid", "Ok")</f>
        <v>Ok</v>
      </c>
    </row>
    <row r="715" spans="1:9" x14ac:dyDescent="0.3">
      <c r="A715" s="1" t="s">
        <v>7177</v>
      </c>
      <c r="B715" s="1" t="s">
        <v>3561</v>
      </c>
      <c r="C715" s="41">
        <v>45761</v>
      </c>
      <c r="D715" s="1">
        <v>109295.01</v>
      </c>
      <c r="E715" s="1" t="s">
        <v>6464</v>
      </c>
      <c r="F715" s="1" t="s">
        <v>6470</v>
      </c>
      <c r="G715" s="1" t="s">
        <v>30</v>
      </c>
      <c r="H715" s="1">
        <v>2</v>
      </c>
      <c r="I715" t="str">
        <f>IF(ISNA(_xlfn.XLOOKUP(B715, policy_details!$A$2:$A$2829, policy_details!$A$2:$A$2829)), "Invalid", "Ok")</f>
        <v>Ok</v>
      </c>
    </row>
    <row r="716" spans="1:9" x14ac:dyDescent="0.3">
      <c r="A716" s="1" t="s">
        <v>7178</v>
      </c>
      <c r="B716" s="1" t="s">
        <v>5654</v>
      </c>
      <c r="C716" s="41">
        <v>45908</v>
      </c>
      <c r="D716" s="1">
        <v>176001.07</v>
      </c>
      <c r="E716" s="1" t="s">
        <v>6464</v>
      </c>
      <c r="F716" s="1" t="s">
        <v>6461</v>
      </c>
      <c r="G716" s="1" t="s">
        <v>17</v>
      </c>
      <c r="H716" s="1">
        <v>29</v>
      </c>
      <c r="I716" t="str">
        <f>IF(ISNA(_xlfn.XLOOKUP(B716, policy_details!$A$2:$A$2829, policy_details!$A$2:$A$2829)), "Invalid", "Ok")</f>
        <v>Ok</v>
      </c>
    </row>
    <row r="717" spans="1:9" x14ac:dyDescent="0.3">
      <c r="A717" s="1" t="s">
        <v>7179</v>
      </c>
      <c r="B717" s="1" t="s">
        <v>4099</v>
      </c>
      <c r="C717" s="41">
        <v>44606</v>
      </c>
      <c r="D717" s="1">
        <v>109377.4</v>
      </c>
      <c r="E717" s="1" t="s">
        <v>6457</v>
      </c>
      <c r="F717" s="1" t="s">
        <v>6461</v>
      </c>
      <c r="G717" s="1" t="s">
        <v>30</v>
      </c>
      <c r="H717" s="1">
        <v>30</v>
      </c>
      <c r="I717" t="str">
        <f>IF(ISNA(_xlfn.XLOOKUP(B717, policy_details!$A$2:$A$2829, policy_details!$A$2:$A$2829)), "Invalid", "Ok")</f>
        <v>Ok</v>
      </c>
    </row>
    <row r="718" spans="1:9" x14ac:dyDescent="0.3">
      <c r="A718" s="1" t="s">
        <v>7180</v>
      </c>
      <c r="B718" s="1" t="s">
        <v>5881</v>
      </c>
      <c r="C718" s="41">
        <v>45729</v>
      </c>
      <c r="D718" s="1">
        <v>286064.49</v>
      </c>
      <c r="E718" s="1" t="s">
        <v>6457</v>
      </c>
      <c r="F718" s="1" t="s">
        <v>6466</v>
      </c>
      <c r="G718" s="1" t="s">
        <v>17</v>
      </c>
      <c r="H718" s="1">
        <v>6</v>
      </c>
      <c r="I718" t="str">
        <f>IF(ISNA(_xlfn.XLOOKUP(B718, policy_details!$A$2:$A$2829, policy_details!$A$2:$A$2829)), "Invalid", "Ok")</f>
        <v>Ok</v>
      </c>
    </row>
    <row r="719" spans="1:9" x14ac:dyDescent="0.3">
      <c r="A719" s="1" t="s">
        <v>7181</v>
      </c>
      <c r="B719" s="1" t="s">
        <v>6349</v>
      </c>
      <c r="C719" s="41">
        <v>46108</v>
      </c>
      <c r="D719" s="1">
        <v>122857.33</v>
      </c>
      <c r="E719" s="1" t="s">
        <v>6457</v>
      </c>
      <c r="F719" s="1" t="s">
        <v>6470</v>
      </c>
      <c r="G719" s="1" t="s">
        <v>17</v>
      </c>
      <c r="H719" s="1">
        <v>32</v>
      </c>
      <c r="I719" t="str">
        <f>IF(ISNA(_xlfn.XLOOKUP(B719, policy_details!$A$2:$A$2829, policy_details!$A$2:$A$2829)), "Invalid", "Ok")</f>
        <v>Ok</v>
      </c>
    </row>
    <row r="720" spans="1:9" x14ac:dyDescent="0.3">
      <c r="A720" s="1" t="s">
        <v>7182</v>
      </c>
      <c r="B720" s="1" t="s">
        <v>3959</v>
      </c>
      <c r="C720" s="41">
        <v>45843</v>
      </c>
      <c r="D720" s="1">
        <v>1166546.3</v>
      </c>
      <c r="E720" s="1" t="s">
        <v>6464</v>
      </c>
      <c r="F720" s="1" t="s">
        <v>6458</v>
      </c>
      <c r="G720" s="1" t="s">
        <v>17</v>
      </c>
      <c r="H720" s="1">
        <v>42</v>
      </c>
      <c r="I720" t="str">
        <f>IF(ISNA(_xlfn.XLOOKUP(B720, policy_details!$A$2:$A$2829, policy_details!$A$2:$A$2829)), "Invalid", "Ok")</f>
        <v>Ok</v>
      </c>
    </row>
    <row r="721" spans="1:9" x14ac:dyDescent="0.3">
      <c r="A721" s="1" t="s">
        <v>7183</v>
      </c>
      <c r="B721" s="1" t="s">
        <v>4399</v>
      </c>
      <c r="C721" s="41">
        <v>45452</v>
      </c>
      <c r="D721" s="1">
        <v>484454.07</v>
      </c>
      <c r="E721" s="1" t="s">
        <v>6464</v>
      </c>
      <c r="F721" s="1" t="s">
        <v>6481</v>
      </c>
      <c r="G721" s="1" t="s">
        <v>17</v>
      </c>
      <c r="H721" s="1">
        <v>31</v>
      </c>
      <c r="I721" t="str">
        <f>IF(ISNA(_xlfn.XLOOKUP(B721, policy_details!$A$2:$A$2829, policy_details!$A$2:$A$2829)), "Invalid", "Ok")</f>
        <v>Ok</v>
      </c>
    </row>
    <row r="722" spans="1:9" x14ac:dyDescent="0.3">
      <c r="A722" s="1" t="s">
        <v>7184</v>
      </c>
      <c r="B722" s="1" t="s">
        <v>5097</v>
      </c>
      <c r="C722" s="41">
        <v>45638</v>
      </c>
      <c r="D722" s="1">
        <v>301882.15999999997</v>
      </c>
      <c r="E722" s="1" t="s">
        <v>6460</v>
      </c>
      <c r="F722" s="1" t="s">
        <v>6481</v>
      </c>
      <c r="G722" s="1" t="s">
        <v>17</v>
      </c>
      <c r="H722" s="1">
        <v>10</v>
      </c>
      <c r="I722" t="str">
        <f>IF(ISNA(_xlfn.XLOOKUP(B722, policy_details!$A$2:$A$2829, policy_details!$A$2:$A$2829)), "Invalid", "Ok")</f>
        <v>Ok</v>
      </c>
    </row>
    <row r="723" spans="1:9" x14ac:dyDescent="0.3">
      <c r="A723" s="1" t="s">
        <v>7185</v>
      </c>
      <c r="B723" s="1" t="s">
        <v>4830</v>
      </c>
      <c r="C723" s="41">
        <v>45389</v>
      </c>
      <c r="D723" s="1">
        <v>212127.23</v>
      </c>
      <c r="E723" s="1" t="s">
        <v>6464</v>
      </c>
      <c r="F723" s="1" t="s">
        <v>6470</v>
      </c>
      <c r="G723" s="1" t="s">
        <v>17</v>
      </c>
      <c r="H723" s="1">
        <v>4</v>
      </c>
      <c r="I723" t="str">
        <f>IF(ISNA(_xlfn.XLOOKUP(B723, policy_details!$A$2:$A$2829, policy_details!$A$2:$A$2829)), "Invalid", "Ok")</f>
        <v>Ok</v>
      </c>
    </row>
    <row r="724" spans="1:9" x14ac:dyDescent="0.3">
      <c r="A724" s="1" t="s">
        <v>7186</v>
      </c>
      <c r="B724" s="1" t="s">
        <v>4816</v>
      </c>
      <c r="C724" s="41">
        <v>45103</v>
      </c>
      <c r="D724" s="1">
        <v>1420704.58</v>
      </c>
      <c r="E724" s="1" t="s">
        <v>6464</v>
      </c>
      <c r="F724" s="1" t="s">
        <v>6458</v>
      </c>
      <c r="G724" s="1" t="s">
        <v>17</v>
      </c>
      <c r="H724" s="1">
        <v>4</v>
      </c>
      <c r="I724" t="str">
        <f>IF(ISNA(_xlfn.XLOOKUP(B724, policy_details!$A$2:$A$2829, policy_details!$A$2:$A$2829)), "Invalid", "Ok")</f>
        <v>Ok</v>
      </c>
    </row>
    <row r="725" spans="1:9" x14ac:dyDescent="0.3">
      <c r="A725" s="1" t="s">
        <v>7187</v>
      </c>
      <c r="B725" s="1" t="s">
        <v>4194</v>
      </c>
      <c r="C725" s="41">
        <v>44804</v>
      </c>
      <c r="D725" s="1">
        <v>2181050.87</v>
      </c>
      <c r="E725" s="1" t="s">
        <v>6457</v>
      </c>
      <c r="F725" s="1" t="s">
        <v>6458</v>
      </c>
      <c r="G725" s="1" t="s">
        <v>17</v>
      </c>
      <c r="H725" s="1">
        <v>28</v>
      </c>
      <c r="I725" t="str">
        <f>IF(ISNA(_xlfn.XLOOKUP(B725, policy_details!$A$2:$A$2829, policy_details!$A$2:$A$2829)), "Invalid", "Ok")</f>
        <v>Ok</v>
      </c>
    </row>
    <row r="726" spans="1:9" x14ac:dyDescent="0.3">
      <c r="A726" s="1" t="s">
        <v>7188</v>
      </c>
      <c r="B726" s="1" t="s">
        <v>6136</v>
      </c>
      <c r="C726" s="41">
        <v>44728</v>
      </c>
      <c r="D726" s="1">
        <v>852994.17</v>
      </c>
      <c r="E726" s="1" t="s">
        <v>6457</v>
      </c>
      <c r="F726" s="1" t="s">
        <v>6458</v>
      </c>
      <c r="G726" s="1" t="s">
        <v>17</v>
      </c>
      <c r="H726" s="1">
        <v>11</v>
      </c>
      <c r="I726" t="str">
        <f>IF(ISNA(_xlfn.XLOOKUP(B726, policy_details!$A$2:$A$2829, policy_details!$A$2:$A$2829)), "Invalid", "Ok")</f>
        <v>Ok</v>
      </c>
    </row>
    <row r="727" spans="1:9" x14ac:dyDescent="0.3">
      <c r="A727" s="1" t="s">
        <v>7189</v>
      </c>
      <c r="B727" s="1" t="s">
        <v>5544</v>
      </c>
      <c r="C727" s="41">
        <v>45420</v>
      </c>
      <c r="D727" s="1">
        <v>233566.74</v>
      </c>
      <c r="E727" s="1" t="s">
        <v>6464</v>
      </c>
      <c r="F727" s="1" t="s">
        <v>6470</v>
      </c>
      <c r="G727" s="1" t="s">
        <v>17</v>
      </c>
      <c r="H727" s="1">
        <v>17</v>
      </c>
      <c r="I727" t="str">
        <f>IF(ISNA(_xlfn.XLOOKUP(B727, policy_details!$A$2:$A$2829, policy_details!$A$2:$A$2829)), "Invalid", "Ok")</f>
        <v>Ok</v>
      </c>
    </row>
    <row r="728" spans="1:9" x14ac:dyDescent="0.3">
      <c r="A728" s="1" t="s">
        <v>7190</v>
      </c>
      <c r="B728" s="1" t="s">
        <v>3979</v>
      </c>
      <c r="C728" s="41">
        <v>46012</v>
      </c>
      <c r="D728" s="1">
        <v>1916030.84</v>
      </c>
      <c r="E728" s="1" t="s">
        <v>6457</v>
      </c>
      <c r="F728" s="1" t="s">
        <v>6458</v>
      </c>
      <c r="G728" s="1" t="s">
        <v>17</v>
      </c>
      <c r="H728" s="1">
        <v>3</v>
      </c>
      <c r="I728" t="str">
        <f>IF(ISNA(_xlfn.XLOOKUP(B728, policy_details!$A$2:$A$2829, policy_details!$A$2:$A$2829)), "Invalid", "Ok")</f>
        <v>Ok</v>
      </c>
    </row>
    <row r="729" spans="1:9" x14ac:dyDescent="0.3">
      <c r="A729" s="1" t="s">
        <v>7191</v>
      </c>
      <c r="B729" s="1" t="s">
        <v>3342</v>
      </c>
      <c r="C729" s="41">
        <v>44860</v>
      </c>
      <c r="D729" s="1">
        <v>349360.85</v>
      </c>
      <c r="E729" s="1" t="s">
        <v>6460</v>
      </c>
      <c r="F729" s="1" t="s">
        <v>6481</v>
      </c>
      <c r="G729" s="1" t="s">
        <v>30</v>
      </c>
      <c r="H729" s="1">
        <v>20</v>
      </c>
      <c r="I729" t="str">
        <f>IF(ISNA(_xlfn.XLOOKUP(B729, policy_details!$A$2:$A$2829, policy_details!$A$2:$A$2829)), "Invalid", "Ok")</f>
        <v>Ok</v>
      </c>
    </row>
    <row r="730" spans="1:9" x14ac:dyDescent="0.3">
      <c r="A730" s="1" t="s">
        <v>7192</v>
      </c>
      <c r="B730" s="1" t="s">
        <v>5773</v>
      </c>
      <c r="C730" s="41">
        <v>45905</v>
      </c>
      <c r="D730" s="1">
        <v>55116.36</v>
      </c>
      <c r="E730" s="1" t="s">
        <v>6457</v>
      </c>
      <c r="F730" s="1" t="s">
        <v>6461</v>
      </c>
      <c r="G730" s="1" t="s">
        <v>30</v>
      </c>
      <c r="H730" s="1">
        <v>8</v>
      </c>
      <c r="I730" t="str">
        <f>IF(ISNA(_xlfn.XLOOKUP(B730, policy_details!$A$2:$A$2829, policy_details!$A$2:$A$2829)), "Invalid", "Ok")</f>
        <v>Ok</v>
      </c>
    </row>
    <row r="731" spans="1:9" x14ac:dyDescent="0.3">
      <c r="A731" s="1" t="s">
        <v>7193</v>
      </c>
      <c r="B731" s="1" t="s">
        <v>3403</v>
      </c>
      <c r="C731" s="41">
        <v>46105</v>
      </c>
      <c r="D731" s="1">
        <v>174801.6</v>
      </c>
      <c r="E731" s="1" t="s">
        <v>6460</v>
      </c>
      <c r="F731" s="1" t="s">
        <v>6481</v>
      </c>
      <c r="G731" s="1" t="s">
        <v>17</v>
      </c>
      <c r="H731" s="1">
        <v>19</v>
      </c>
      <c r="I731" t="str">
        <f>IF(ISNA(_xlfn.XLOOKUP(B731, policy_details!$A$2:$A$2829, policy_details!$A$2:$A$2829)), "Invalid", "Ok")</f>
        <v>Ok</v>
      </c>
    </row>
    <row r="732" spans="1:9" x14ac:dyDescent="0.3">
      <c r="A732" s="1" t="s">
        <v>7194</v>
      </c>
      <c r="B732" s="1" t="s">
        <v>6111</v>
      </c>
      <c r="C732" s="41">
        <v>45047</v>
      </c>
      <c r="D732" s="1">
        <v>1310174.76</v>
      </c>
      <c r="E732" s="1" t="s">
        <v>6457</v>
      </c>
      <c r="F732" s="1" t="s">
        <v>6458</v>
      </c>
      <c r="G732" s="1" t="s">
        <v>17</v>
      </c>
      <c r="H732" s="1">
        <v>26</v>
      </c>
      <c r="I732" t="str">
        <f>IF(ISNA(_xlfn.XLOOKUP(B732, policy_details!$A$2:$A$2829, policy_details!$A$2:$A$2829)), "Invalid", "Ok")</f>
        <v>Ok</v>
      </c>
    </row>
    <row r="733" spans="1:9" x14ac:dyDescent="0.3">
      <c r="A733" s="1" t="s">
        <v>7195</v>
      </c>
      <c r="B733" s="1" t="s">
        <v>5112</v>
      </c>
      <c r="C733" s="41">
        <v>44835</v>
      </c>
      <c r="D733" s="1">
        <v>122799.01</v>
      </c>
      <c r="E733" s="1" t="s">
        <v>6457</v>
      </c>
      <c r="F733" s="1" t="s">
        <v>6461</v>
      </c>
      <c r="G733" s="1" t="s">
        <v>17</v>
      </c>
      <c r="H733" s="1">
        <v>43</v>
      </c>
      <c r="I733" t="str">
        <f>IF(ISNA(_xlfn.XLOOKUP(B733, policy_details!$A$2:$A$2829, policy_details!$A$2:$A$2829)), "Invalid", "Ok")</f>
        <v>Ok</v>
      </c>
    </row>
    <row r="734" spans="1:9" x14ac:dyDescent="0.3">
      <c r="A734" s="1" t="s">
        <v>7196</v>
      </c>
      <c r="B734" s="1" t="s">
        <v>6251</v>
      </c>
      <c r="C734" s="41">
        <v>45781</v>
      </c>
      <c r="D734" s="1">
        <v>452055.47</v>
      </c>
      <c r="E734" s="1" t="s">
        <v>6457</v>
      </c>
      <c r="F734" s="1" t="s">
        <v>6466</v>
      </c>
      <c r="G734" s="1" t="s">
        <v>17</v>
      </c>
      <c r="H734" s="1">
        <v>13</v>
      </c>
      <c r="I734" t="str">
        <f>IF(ISNA(_xlfn.XLOOKUP(B734, policy_details!$A$2:$A$2829, policy_details!$A$2:$A$2829)), "Invalid", "Ok")</f>
        <v>Ok</v>
      </c>
    </row>
    <row r="735" spans="1:9" x14ac:dyDescent="0.3">
      <c r="A735" s="1" t="s">
        <v>7197</v>
      </c>
      <c r="B735" s="1" t="s">
        <v>5798</v>
      </c>
      <c r="C735" s="41">
        <v>46159</v>
      </c>
      <c r="D735" s="1">
        <v>632969.93000000005</v>
      </c>
      <c r="E735" s="1" t="s">
        <v>6464</v>
      </c>
      <c r="F735" s="1" t="s">
        <v>6481</v>
      </c>
      <c r="G735" s="1" t="s">
        <v>17</v>
      </c>
      <c r="H735" s="1">
        <v>15</v>
      </c>
      <c r="I735" t="str">
        <f>IF(ISNA(_xlfn.XLOOKUP(B735, policy_details!$A$2:$A$2829, policy_details!$A$2:$A$2829)), "Invalid", "Ok")</f>
        <v>Ok</v>
      </c>
    </row>
    <row r="736" spans="1:9" x14ac:dyDescent="0.3">
      <c r="A736" s="1" t="s">
        <v>7198</v>
      </c>
      <c r="B736" s="1" t="s">
        <v>6150</v>
      </c>
      <c r="C736" s="41">
        <v>44507</v>
      </c>
      <c r="D736" s="1">
        <v>111666.05</v>
      </c>
      <c r="E736" s="1" t="s">
        <v>6457</v>
      </c>
      <c r="F736" s="1" t="s">
        <v>6461</v>
      </c>
      <c r="G736" s="1" t="s">
        <v>17</v>
      </c>
      <c r="H736" s="1">
        <v>36</v>
      </c>
      <c r="I736" t="str">
        <f>IF(ISNA(_xlfn.XLOOKUP(B736, policy_details!$A$2:$A$2829, policy_details!$A$2:$A$2829)), "Invalid", "Ok")</f>
        <v>Ok</v>
      </c>
    </row>
    <row r="737" spans="1:9" x14ac:dyDescent="0.3">
      <c r="A737" s="1" t="s">
        <v>7199</v>
      </c>
      <c r="B737" s="1" t="s">
        <v>5720</v>
      </c>
      <c r="C737" s="41">
        <v>44478</v>
      </c>
      <c r="D737" s="1">
        <v>89513.01</v>
      </c>
      <c r="E737" s="1" t="s">
        <v>6460</v>
      </c>
      <c r="F737" s="1" t="s">
        <v>6461</v>
      </c>
      <c r="G737" s="1" t="s">
        <v>17</v>
      </c>
      <c r="H737" s="1">
        <v>42</v>
      </c>
      <c r="I737" t="str">
        <f>IF(ISNA(_xlfn.XLOOKUP(B737, policy_details!$A$2:$A$2829, policy_details!$A$2:$A$2829)), "Invalid", "Ok")</f>
        <v>Ok</v>
      </c>
    </row>
    <row r="738" spans="1:9" x14ac:dyDescent="0.3">
      <c r="A738" s="1" t="s">
        <v>7200</v>
      </c>
      <c r="B738" s="1" t="s">
        <v>5245</v>
      </c>
      <c r="C738" s="41">
        <v>46160</v>
      </c>
      <c r="D738" s="1">
        <v>208694.14</v>
      </c>
      <c r="E738" s="1" t="s">
        <v>6460</v>
      </c>
      <c r="F738" s="1" t="s">
        <v>6481</v>
      </c>
      <c r="G738" s="1" t="s">
        <v>17</v>
      </c>
      <c r="H738" s="1">
        <v>18</v>
      </c>
      <c r="I738" t="str">
        <f>IF(ISNA(_xlfn.XLOOKUP(B738, policy_details!$A$2:$A$2829, policy_details!$A$2:$A$2829)), "Invalid", "Ok")</f>
        <v>Ok</v>
      </c>
    </row>
    <row r="739" spans="1:9" x14ac:dyDescent="0.3">
      <c r="A739" s="1" t="s">
        <v>7201</v>
      </c>
      <c r="B739" s="1" t="s">
        <v>4050</v>
      </c>
      <c r="C739" s="41">
        <v>44629</v>
      </c>
      <c r="D739" s="1">
        <v>729920.87</v>
      </c>
      <c r="E739" s="1" t="s">
        <v>6457</v>
      </c>
      <c r="F739" s="1" t="s">
        <v>6458</v>
      </c>
      <c r="G739" s="1" t="s">
        <v>17</v>
      </c>
      <c r="H739" s="1">
        <v>16</v>
      </c>
      <c r="I739" t="str">
        <f>IF(ISNA(_xlfn.XLOOKUP(B739, policy_details!$A$2:$A$2829, policy_details!$A$2:$A$2829)), "Invalid", "Ok")</f>
        <v>Ok</v>
      </c>
    </row>
    <row r="740" spans="1:9" x14ac:dyDescent="0.3">
      <c r="A740" s="1" t="s">
        <v>7202</v>
      </c>
      <c r="B740" s="1" t="s">
        <v>5674</v>
      </c>
      <c r="C740" s="41">
        <v>45169</v>
      </c>
      <c r="D740" s="1">
        <v>387998.31</v>
      </c>
      <c r="E740" s="1" t="s">
        <v>6464</v>
      </c>
      <c r="F740" s="1" t="s">
        <v>6470</v>
      </c>
      <c r="G740" s="1" t="s">
        <v>17</v>
      </c>
      <c r="H740" s="1">
        <v>32</v>
      </c>
      <c r="I740" t="str">
        <f>IF(ISNA(_xlfn.XLOOKUP(B740, policy_details!$A$2:$A$2829, policy_details!$A$2:$A$2829)), "Invalid", "Ok")</f>
        <v>Ok</v>
      </c>
    </row>
    <row r="741" spans="1:9" x14ac:dyDescent="0.3">
      <c r="A741" s="1" t="s">
        <v>7203</v>
      </c>
      <c r="B741" s="1" t="s">
        <v>5290</v>
      </c>
      <c r="C741" s="41">
        <v>45327</v>
      </c>
      <c r="D741" s="1">
        <v>107263.63</v>
      </c>
      <c r="E741" s="1" t="s">
        <v>6460</v>
      </c>
      <c r="F741" s="1" t="s">
        <v>6470</v>
      </c>
      <c r="G741" s="1" t="s">
        <v>17</v>
      </c>
      <c r="H741" s="1">
        <v>34</v>
      </c>
      <c r="I741" t="str">
        <f>IF(ISNA(_xlfn.XLOOKUP(B741, policy_details!$A$2:$A$2829, policy_details!$A$2:$A$2829)), "Invalid", "Ok")</f>
        <v>Ok</v>
      </c>
    </row>
    <row r="742" spans="1:9" x14ac:dyDescent="0.3">
      <c r="A742" s="1" t="s">
        <v>7204</v>
      </c>
      <c r="B742" s="1" t="s">
        <v>4898</v>
      </c>
      <c r="C742" s="41">
        <v>44728</v>
      </c>
      <c r="D742" s="1">
        <v>217424.22</v>
      </c>
      <c r="E742" s="1" t="s">
        <v>6460</v>
      </c>
      <c r="F742" s="1" t="s">
        <v>6461</v>
      </c>
      <c r="G742" s="1" t="s">
        <v>17</v>
      </c>
      <c r="H742" s="1">
        <v>32</v>
      </c>
      <c r="I742" t="str">
        <f>IF(ISNA(_xlfn.XLOOKUP(B742, policy_details!$A$2:$A$2829, policy_details!$A$2:$A$2829)), "Invalid", "Ok")</f>
        <v>Ok</v>
      </c>
    </row>
    <row r="743" spans="1:9" x14ac:dyDescent="0.3">
      <c r="A743" s="1" t="s">
        <v>7205</v>
      </c>
      <c r="B743" s="1" t="s">
        <v>5195</v>
      </c>
      <c r="C743" s="41">
        <v>44992</v>
      </c>
      <c r="D743" s="1">
        <v>360277.95</v>
      </c>
      <c r="E743" s="1" t="s">
        <v>6460</v>
      </c>
      <c r="F743" s="1" t="s">
        <v>6470</v>
      </c>
      <c r="G743" s="1" t="s">
        <v>17</v>
      </c>
      <c r="H743" s="1">
        <v>29</v>
      </c>
      <c r="I743" t="str">
        <f>IF(ISNA(_xlfn.XLOOKUP(B743, policy_details!$A$2:$A$2829, policy_details!$A$2:$A$2829)), "Invalid", "Ok")</f>
        <v>Ok</v>
      </c>
    </row>
    <row r="744" spans="1:9" x14ac:dyDescent="0.3">
      <c r="A744" s="1" t="s">
        <v>7206</v>
      </c>
      <c r="B744" s="1" t="s">
        <v>4239</v>
      </c>
      <c r="C744" s="41">
        <v>44862</v>
      </c>
      <c r="D744" s="1">
        <v>376557.64</v>
      </c>
      <c r="E744" s="1" t="s">
        <v>6464</v>
      </c>
      <c r="F744" s="1" t="s">
        <v>6481</v>
      </c>
      <c r="G744" s="1" t="s">
        <v>17</v>
      </c>
      <c r="H744" s="1">
        <v>6</v>
      </c>
      <c r="I744" t="str">
        <f>IF(ISNA(_xlfn.XLOOKUP(B744, policy_details!$A$2:$A$2829, policy_details!$A$2:$A$2829)), "Invalid", "Ok")</f>
        <v>Ok</v>
      </c>
    </row>
    <row r="745" spans="1:9" x14ac:dyDescent="0.3">
      <c r="A745" s="1" t="s">
        <v>7207</v>
      </c>
      <c r="B745" s="1" t="s">
        <v>4756</v>
      </c>
      <c r="C745" s="41">
        <v>45853</v>
      </c>
      <c r="D745" s="1">
        <v>223896.63</v>
      </c>
      <c r="E745" s="1" t="s">
        <v>6464</v>
      </c>
      <c r="F745" s="1" t="s">
        <v>6470</v>
      </c>
      <c r="G745" s="1" t="s">
        <v>17</v>
      </c>
      <c r="H745" s="1">
        <v>12</v>
      </c>
      <c r="I745" t="str">
        <f>IF(ISNA(_xlfn.XLOOKUP(B745, policy_details!$A$2:$A$2829, policy_details!$A$2:$A$2829)), "Invalid", "Ok")</f>
        <v>Ok</v>
      </c>
    </row>
    <row r="746" spans="1:9" x14ac:dyDescent="0.3">
      <c r="A746" s="1" t="s">
        <v>7208</v>
      </c>
      <c r="B746" s="1" t="s">
        <v>3879</v>
      </c>
      <c r="C746" s="41">
        <v>44893</v>
      </c>
      <c r="D746" s="1">
        <v>138314.45000000001</v>
      </c>
      <c r="E746" s="1" t="s">
        <v>6457</v>
      </c>
      <c r="F746" s="1" t="s">
        <v>6461</v>
      </c>
      <c r="G746" s="1" t="s">
        <v>17</v>
      </c>
      <c r="H746" s="1">
        <v>3</v>
      </c>
      <c r="I746" t="str">
        <f>IF(ISNA(_xlfn.XLOOKUP(B746, policy_details!$A$2:$A$2829, policy_details!$A$2:$A$2829)), "Invalid", "Ok")</f>
        <v>Ok</v>
      </c>
    </row>
    <row r="747" spans="1:9" x14ac:dyDescent="0.3">
      <c r="A747" s="1" t="s">
        <v>7209</v>
      </c>
      <c r="B747" s="1" t="s">
        <v>4772</v>
      </c>
      <c r="C747" s="41">
        <v>44939</v>
      </c>
      <c r="D747" s="1">
        <v>453704.07</v>
      </c>
      <c r="E747" s="1" t="s">
        <v>6464</v>
      </c>
      <c r="F747" s="1" t="s">
        <v>6470</v>
      </c>
      <c r="G747" s="1" t="s">
        <v>17</v>
      </c>
      <c r="H747" s="1">
        <v>18</v>
      </c>
      <c r="I747" t="str">
        <f>IF(ISNA(_xlfn.XLOOKUP(B747, policy_details!$A$2:$A$2829, policy_details!$A$2:$A$2829)), "Invalid", "Ok")</f>
        <v>Ok</v>
      </c>
    </row>
    <row r="748" spans="1:9" x14ac:dyDescent="0.3">
      <c r="A748" s="1" t="s">
        <v>7210</v>
      </c>
      <c r="B748" s="1" t="s">
        <v>4933</v>
      </c>
      <c r="C748" s="41">
        <v>44667</v>
      </c>
      <c r="D748" s="1">
        <v>194610.42</v>
      </c>
      <c r="E748" s="1" t="s">
        <v>6464</v>
      </c>
      <c r="F748" s="1" t="s">
        <v>6466</v>
      </c>
      <c r="G748" s="1" t="s">
        <v>17</v>
      </c>
      <c r="H748" s="1">
        <v>38</v>
      </c>
      <c r="I748" t="str">
        <f>IF(ISNA(_xlfn.XLOOKUP(B748, policy_details!$A$2:$A$2829, policy_details!$A$2:$A$2829)), "Invalid", "Ok")</f>
        <v>Ok</v>
      </c>
    </row>
    <row r="749" spans="1:9" x14ac:dyDescent="0.3">
      <c r="A749" s="1" t="s">
        <v>7211</v>
      </c>
      <c r="B749" s="1" t="s">
        <v>6046</v>
      </c>
      <c r="C749" s="41">
        <v>45874</v>
      </c>
      <c r="D749" s="1">
        <v>289194.37</v>
      </c>
      <c r="E749" s="1" t="s">
        <v>6464</v>
      </c>
      <c r="F749" s="1" t="s">
        <v>6470</v>
      </c>
      <c r="G749" s="1" t="s">
        <v>17</v>
      </c>
      <c r="H749" s="1">
        <v>10</v>
      </c>
      <c r="I749" t="str">
        <f>IF(ISNA(_xlfn.XLOOKUP(B749, policy_details!$A$2:$A$2829, policy_details!$A$2:$A$2829)), "Invalid", "Ok")</f>
        <v>Ok</v>
      </c>
    </row>
    <row r="750" spans="1:9" x14ac:dyDescent="0.3">
      <c r="A750" s="1" t="s">
        <v>7212</v>
      </c>
      <c r="B750" s="1" t="s">
        <v>5106</v>
      </c>
      <c r="C750" s="41">
        <v>45639</v>
      </c>
      <c r="D750" s="1">
        <v>138555.04999999999</v>
      </c>
      <c r="E750" s="1" t="s">
        <v>6464</v>
      </c>
      <c r="F750" s="1" t="s">
        <v>6461</v>
      </c>
      <c r="G750" s="1" t="s">
        <v>17</v>
      </c>
      <c r="H750" s="1">
        <v>31</v>
      </c>
      <c r="I750" t="str">
        <f>IF(ISNA(_xlfn.XLOOKUP(B750, policy_details!$A$2:$A$2829, policy_details!$A$2:$A$2829)), "Invalid", "Ok")</f>
        <v>Ok</v>
      </c>
    </row>
    <row r="751" spans="1:9" x14ac:dyDescent="0.3">
      <c r="A751" s="1" t="s">
        <v>7213</v>
      </c>
      <c r="B751" s="1" t="s">
        <v>6192</v>
      </c>
      <c r="C751" s="41">
        <v>44681</v>
      </c>
      <c r="D751" s="1">
        <v>71672.37</v>
      </c>
      <c r="E751" s="1" t="s">
        <v>6464</v>
      </c>
      <c r="F751" s="1" t="s">
        <v>6470</v>
      </c>
      <c r="G751" s="1" t="s">
        <v>17</v>
      </c>
      <c r="H751" s="1">
        <v>19</v>
      </c>
      <c r="I751" t="str">
        <f>IF(ISNA(_xlfn.XLOOKUP(B751, policy_details!$A$2:$A$2829, policy_details!$A$2:$A$2829)), "Invalid", "Ok")</f>
        <v>Ok</v>
      </c>
    </row>
    <row r="752" spans="1:9" x14ac:dyDescent="0.3">
      <c r="A752" s="1" t="s">
        <v>7214</v>
      </c>
      <c r="B752" s="1" t="s">
        <v>6358</v>
      </c>
      <c r="C752" s="41">
        <v>45794</v>
      </c>
      <c r="D752" s="1">
        <v>157296.95999999999</v>
      </c>
      <c r="E752" s="1" t="s">
        <v>6460</v>
      </c>
      <c r="F752" s="1" t="s">
        <v>6470</v>
      </c>
      <c r="G752" s="1" t="s">
        <v>17</v>
      </c>
      <c r="H752" s="1">
        <v>8</v>
      </c>
      <c r="I752" t="str">
        <f>IF(ISNA(_xlfn.XLOOKUP(B752, policy_details!$A$2:$A$2829, policy_details!$A$2:$A$2829)), "Invalid", "Ok")</f>
        <v>Ok</v>
      </c>
    </row>
    <row r="753" spans="1:9" x14ac:dyDescent="0.3">
      <c r="A753" s="1" t="s">
        <v>7215</v>
      </c>
      <c r="B753" s="1" t="s">
        <v>3564</v>
      </c>
      <c r="C753" s="41">
        <v>44935</v>
      </c>
      <c r="D753" s="1">
        <v>203463.3</v>
      </c>
      <c r="E753" s="1" t="s">
        <v>6457</v>
      </c>
      <c r="F753" s="1" t="s">
        <v>6466</v>
      </c>
      <c r="G753" s="1" t="s">
        <v>17</v>
      </c>
      <c r="H753" s="1">
        <v>10</v>
      </c>
      <c r="I753" t="str">
        <f>IF(ISNA(_xlfn.XLOOKUP(B753, policy_details!$A$2:$A$2829, policy_details!$A$2:$A$2829)), "Invalid", "Ok")</f>
        <v>Ok</v>
      </c>
    </row>
    <row r="754" spans="1:9" x14ac:dyDescent="0.3">
      <c r="A754" s="1" t="s">
        <v>7216</v>
      </c>
      <c r="B754" s="1" t="s">
        <v>5304</v>
      </c>
      <c r="C754" s="41">
        <v>44597</v>
      </c>
      <c r="D754" s="1">
        <v>232703.09</v>
      </c>
      <c r="E754" s="1" t="s">
        <v>6464</v>
      </c>
      <c r="F754" s="1" t="s">
        <v>6481</v>
      </c>
      <c r="G754" s="1" t="s">
        <v>17</v>
      </c>
      <c r="H754" s="1">
        <v>30</v>
      </c>
      <c r="I754" t="str">
        <f>IF(ISNA(_xlfn.XLOOKUP(B754, policy_details!$A$2:$A$2829, policy_details!$A$2:$A$2829)), "Invalid", "Ok")</f>
        <v>Ok</v>
      </c>
    </row>
    <row r="755" spans="1:9" x14ac:dyDescent="0.3">
      <c r="A755" s="1" t="s">
        <v>7217</v>
      </c>
      <c r="B755" s="1" t="s">
        <v>4445</v>
      </c>
      <c r="C755" s="41">
        <v>44576</v>
      </c>
      <c r="D755" s="1">
        <v>646931.05000000005</v>
      </c>
      <c r="E755" s="1" t="s">
        <v>6464</v>
      </c>
      <c r="F755" s="1" t="s">
        <v>6458</v>
      </c>
      <c r="G755" s="1" t="s">
        <v>17</v>
      </c>
      <c r="H755" s="1">
        <v>35</v>
      </c>
      <c r="I755" t="str">
        <f>IF(ISNA(_xlfn.XLOOKUP(B755, policy_details!$A$2:$A$2829, policy_details!$A$2:$A$2829)), "Invalid", "Ok")</f>
        <v>Ok</v>
      </c>
    </row>
    <row r="756" spans="1:9" x14ac:dyDescent="0.3">
      <c r="A756" s="1" t="s">
        <v>7218</v>
      </c>
      <c r="B756" s="1" t="s">
        <v>6028</v>
      </c>
      <c r="C756" s="41">
        <v>45761</v>
      </c>
      <c r="D756" s="1">
        <v>205104.68</v>
      </c>
      <c r="E756" s="1" t="s">
        <v>6457</v>
      </c>
      <c r="F756" s="1" t="s">
        <v>6461</v>
      </c>
      <c r="G756" s="1" t="s">
        <v>17</v>
      </c>
      <c r="H756" s="1">
        <v>15</v>
      </c>
      <c r="I756" t="str">
        <f>IF(ISNA(_xlfn.XLOOKUP(B756, policy_details!$A$2:$A$2829, policy_details!$A$2:$A$2829)), "Invalid", "Ok")</f>
        <v>Ok</v>
      </c>
    </row>
    <row r="757" spans="1:9" x14ac:dyDescent="0.3">
      <c r="A757" s="1" t="s">
        <v>7219</v>
      </c>
      <c r="B757" s="1" t="s">
        <v>5009</v>
      </c>
      <c r="C757" s="41">
        <v>45834</v>
      </c>
      <c r="D757" s="1">
        <v>318038.45</v>
      </c>
      <c r="E757" s="1" t="s">
        <v>6460</v>
      </c>
      <c r="F757" s="1" t="s">
        <v>6466</v>
      </c>
      <c r="G757" s="1" t="s">
        <v>17</v>
      </c>
      <c r="H757" s="1">
        <v>41</v>
      </c>
      <c r="I757" t="str">
        <f>IF(ISNA(_xlfn.XLOOKUP(B757, policy_details!$A$2:$A$2829, policy_details!$A$2:$A$2829)), "Invalid", "Ok")</f>
        <v>Ok</v>
      </c>
    </row>
    <row r="758" spans="1:9" x14ac:dyDescent="0.3">
      <c r="A758" s="1" t="s">
        <v>7220</v>
      </c>
      <c r="B758" s="1" t="s">
        <v>3689</v>
      </c>
      <c r="C758" s="41">
        <v>45200</v>
      </c>
      <c r="D758" s="1">
        <v>154477.34</v>
      </c>
      <c r="E758" s="1" t="s">
        <v>6457</v>
      </c>
      <c r="F758" s="1" t="s">
        <v>6470</v>
      </c>
      <c r="G758" s="1" t="s">
        <v>17</v>
      </c>
      <c r="H758" s="1">
        <v>3</v>
      </c>
      <c r="I758" t="str">
        <f>IF(ISNA(_xlfn.XLOOKUP(B758, policy_details!$A$2:$A$2829, policy_details!$A$2:$A$2829)), "Invalid", "Ok")</f>
        <v>Ok</v>
      </c>
    </row>
    <row r="759" spans="1:9" x14ac:dyDescent="0.3">
      <c r="A759" s="1" t="s">
        <v>7221</v>
      </c>
      <c r="B759" s="1" t="s">
        <v>4188</v>
      </c>
      <c r="C759" s="41">
        <v>44468</v>
      </c>
      <c r="D759" s="1">
        <v>188014.63</v>
      </c>
      <c r="E759" s="1" t="s">
        <v>6457</v>
      </c>
      <c r="F759" s="1" t="s">
        <v>6466</v>
      </c>
      <c r="G759" s="1" t="s">
        <v>17</v>
      </c>
      <c r="H759" s="1">
        <v>26</v>
      </c>
      <c r="I759" t="str">
        <f>IF(ISNA(_xlfn.XLOOKUP(B759, policy_details!$A$2:$A$2829, policy_details!$A$2:$A$2829)), "Invalid", "Ok")</f>
        <v>Ok</v>
      </c>
    </row>
    <row r="760" spans="1:9" x14ac:dyDescent="0.3">
      <c r="A760" s="1" t="s">
        <v>7222</v>
      </c>
      <c r="B760" s="1" t="s">
        <v>5522</v>
      </c>
      <c r="C760" s="41">
        <v>45958</v>
      </c>
      <c r="D760" s="1">
        <v>130097.4</v>
      </c>
      <c r="E760" s="1" t="s">
        <v>6460</v>
      </c>
      <c r="F760" s="1" t="s">
        <v>6466</v>
      </c>
      <c r="G760" s="1" t="s">
        <v>17</v>
      </c>
      <c r="H760" s="1">
        <v>11</v>
      </c>
      <c r="I760" t="str">
        <f>IF(ISNA(_xlfn.XLOOKUP(B760, policy_details!$A$2:$A$2829, policy_details!$A$2:$A$2829)), "Invalid", "Ok")</f>
        <v>Ok</v>
      </c>
    </row>
    <row r="761" spans="1:9" x14ac:dyDescent="0.3">
      <c r="A761" s="1" t="s">
        <v>7223</v>
      </c>
      <c r="B761" s="1" t="s">
        <v>3696</v>
      </c>
      <c r="C761" s="41">
        <v>45547</v>
      </c>
      <c r="D761" s="1">
        <v>170343.41</v>
      </c>
      <c r="E761" s="1" t="s">
        <v>6457</v>
      </c>
      <c r="F761" s="1" t="s">
        <v>6461</v>
      </c>
      <c r="G761" s="1" t="s">
        <v>17</v>
      </c>
      <c r="H761" s="1">
        <v>40</v>
      </c>
      <c r="I761" t="str">
        <f>IF(ISNA(_xlfn.XLOOKUP(B761, policy_details!$A$2:$A$2829, policy_details!$A$2:$A$2829)), "Invalid", "Ok")</f>
        <v>Ok</v>
      </c>
    </row>
    <row r="762" spans="1:9" x14ac:dyDescent="0.3">
      <c r="A762" s="1" t="s">
        <v>7224</v>
      </c>
      <c r="B762" s="1" t="s">
        <v>4683</v>
      </c>
      <c r="C762" s="41">
        <v>44719</v>
      </c>
      <c r="D762" s="1">
        <v>358495.66</v>
      </c>
      <c r="E762" s="1" t="s">
        <v>6460</v>
      </c>
      <c r="F762" s="1" t="s">
        <v>6470</v>
      </c>
      <c r="G762" s="1" t="s">
        <v>17</v>
      </c>
      <c r="H762" s="1">
        <v>34</v>
      </c>
      <c r="I762" t="str">
        <f>IF(ISNA(_xlfn.XLOOKUP(B762, policy_details!$A$2:$A$2829, policy_details!$A$2:$A$2829)), "Invalid", "Ok")</f>
        <v>Ok</v>
      </c>
    </row>
    <row r="763" spans="1:9" x14ac:dyDescent="0.3">
      <c r="A763" s="1" t="s">
        <v>7225</v>
      </c>
      <c r="B763" s="1" t="s">
        <v>6086</v>
      </c>
      <c r="C763" s="41">
        <v>45786</v>
      </c>
      <c r="D763" s="1">
        <v>498084.37</v>
      </c>
      <c r="E763" s="1" t="s">
        <v>6457</v>
      </c>
      <c r="F763" s="1" t="s">
        <v>6481</v>
      </c>
      <c r="G763" s="1" t="s">
        <v>17</v>
      </c>
      <c r="H763" s="1">
        <v>3</v>
      </c>
      <c r="I763" t="str">
        <f>IF(ISNA(_xlfn.XLOOKUP(B763, policy_details!$A$2:$A$2829, policy_details!$A$2:$A$2829)), "Invalid", "Ok")</f>
        <v>Ok</v>
      </c>
    </row>
    <row r="764" spans="1:9" x14ac:dyDescent="0.3">
      <c r="A764" s="1" t="s">
        <v>7226</v>
      </c>
      <c r="B764" s="1" t="s">
        <v>3469</v>
      </c>
      <c r="C764" s="41">
        <v>45890</v>
      </c>
      <c r="D764" s="1">
        <v>163049.35999999999</v>
      </c>
      <c r="E764" s="1" t="s">
        <v>6460</v>
      </c>
      <c r="F764" s="1" t="s">
        <v>6466</v>
      </c>
      <c r="G764" s="1" t="s">
        <v>17</v>
      </c>
      <c r="H764" s="1">
        <v>18</v>
      </c>
      <c r="I764" t="str">
        <f>IF(ISNA(_xlfn.XLOOKUP(B764, policy_details!$A$2:$A$2829, policy_details!$A$2:$A$2829)), "Invalid", "Ok")</f>
        <v>Ok</v>
      </c>
    </row>
    <row r="765" spans="1:9" x14ac:dyDescent="0.3">
      <c r="A765" s="1" t="s">
        <v>7227</v>
      </c>
      <c r="B765" s="1" t="s">
        <v>5586</v>
      </c>
      <c r="C765" s="41">
        <v>44796</v>
      </c>
      <c r="D765" s="1">
        <v>405950.48</v>
      </c>
      <c r="E765" s="1" t="s">
        <v>6460</v>
      </c>
      <c r="F765" s="1" t="s">
        <v>6461</v>
      </c>
      <c r="G765" s="1" t="s">
        <v>17</v>
      </c>
      <c r="H765" s="1">
        <v>33</v>
      </c>
      <c r="I765" t="str">
        <f>IF(ISNA(_xlfn.XLOOKUP(B765, policy_details!$A$2:$A$2829, policy_details!$A$2:$A$2829)), "Invalid", "Ok")</f>
        <v>Ok</v>
      </c>
    </row>
    <row r="766" spans="1:9" x14ac:dyDescent="0.3">
      <c r="A766" s="1" t="s">
        <v>7228</v>
      </c>
      <c r="B766" s="1" t="s">
        <v>5527</v>
      </c>
      <c r="C766" s="41">
        <v>45548</v>
      </c>
      <c r="D766" s="1">
        <v>125154.58</v>
      </c>
      <c r="E766" s="1" t="s">
        <v>6464</v>
      </c>
      <c r="F766" s="1" t="s">
        <v>6461</v>
      </c>
      <c r="G766" s="1" t="s">
        <v>17</v>
      </c>
      <c r="H766" s="1">
        <v>24</v>
      </c>
      <c r="I766" t="str">
        <f>IF(ISNA(_xlfn.XLOOKUP(B766, policy_details!$A$2:$A$2829, policy_details!$A$2:$A$2829)), "Invalid", "Ok")</f>
        <v>Ok</v>
      </c>
    </row>
    <row r="767" spans="1:9" x14ac:dyDescent="0.3">
      <c r="A767" s="1" t="s">
        <v>7229</v>
      </c>
      <c r="B767" s="1" t="s">
        <v>4510</v>
      </c>
      <c r="C767" s="41">
        <v>45012</v>
      </c>
      <c r="D767" s="1">
        <v>150428.98000000001</v>
      </c>
      <c r="E767" s="1" t="s">
        <v>6457</v>
      </c>
      <c r="F767" s="1" t="s">
        <v>6481</v>
      </c>
      <c r="G767" s="1" t="s">
        <v>30</v>
      </c>
      <c r="H767" s="1">
        <v>22</v>
      </c>
      <c r="I767" t="str">
        <f>IF(ISNA(_xlfn.XLOOKUP(B767, policy_details!$A$2:$A$2829, policy_details!$A$2:$A$2829)), "Invalid", "Ok")</f>
        <v>Ok</v>
      </c>
    </row>
    <row r="768" spans="1:9" x14ac:dyDescent="0.3">
      <c r="A768" s="1" t="s">
        <v>7230</v>
      </c>
      <c r="B768" s="1" t="s">
        <v>3837</v>
      </c>
      <c r="C768" s="41">
        <v>45033</v>
      </c>
      <c r="D768" s="1">
        <v>111352.89</v>
      </c>
      <c r="E768" s="1" t="s">
        <v>6460</v>
      </c>
      <c r="F768" s="1" t="s">
        <v>6466</v>
      </c>
      <c r="G768" s="1" t="s">
        <v>30</v>
      </c>
      <c r="H768" s="1">
        <v>7</v>
      </c>
      <c r="I768" t="str">
        <f>IF(ISNA(_xlfn.XLOOKUP(B768, policy_details!$A$2:$A$2829, policy_details!$A$2:$A$2829)), "Invalid", "Ok")</f>
        <v>Ok</v>
      </c>
    </row>
    <row r="769" spans="1:9" x14ac:dyDescent="0.3">
      <c r="A769" s="1" t="s">
        <v>7231</v>
      </c>
      <c r="B769" s="1" t="s">
        <v>3789</v>
      </c>
      <c r="C769" s="41">
        <v>45378</v>
      </c>
      <c r="D769" s="1">
        <v>105090.61</v>
      </c>
      <c r="E769" s="1" t="s">
        <v>6460</v>
      </c>
      <c r="F769" s="1" t="s">
        <v>6470</v>
      </c>
      <c r="G769" s="1" t="s">
        <v>17</v>
      </c>
      <c r="H769" s="1">
        <v>26</v>
      </c>
      <c r="I769" t="str">
        <f>IF(ISNA(_xlfn.XLOOKUP(B769, policy_details!$A$2:$A$2829, policy_details!$A$2:$A$2829)), "Invalid", "Ok")</f>
        <v>Ok</v>
      </c>
    </row>
    <row r="770" spans="1:9" x14ac:dyDescent="0.3">
      <c r="A770" s="1" t="s">
        <v>7232</v>
      </c>
      <c r="B770" s="1" t="s">
        <v>6362</v>
      </c>
      <c r="C770" s="41">
        <v>44484</v>
      </c>
      <c r="D770" s="1">
        <v>177240.97</v>
      </c>
      <c r="E770" s="1" t="s">
        <v>6460</v>
      </c>
      <c r="F770" s="1" t="s">
        <v>6461</v>
      </c>
      <c r="G770" s="1" t="s">
        <v>17</v>
      </c>
      <c r="H770" s="1">
        <v>5</v>
      </c>
      <c r="I770" t="str">
        <f>IF(ISNA(_xlfn.XLOOKUP(B770, policy_details!$A$2:$A$2829, policy_details!$A$2:$A$2829)), "Invalid", "Ok")</f>
        <v>Ok</v>
      </c>
    </row>
    <row r="771" spans="1:9" x14ac:dyDescent="0.3">
      <c r="A771" s="1" t="s">
        <v>7233</v>
      </c>
      <c r="B771" s="1" t="s">
        <v>5530</v>
      </c>
      <c r="C771" s="41">
        <v>44942</v>
      </c>
      <c r="D771" s="1">
        <v>791288.56</v>
      </c>
      <c r="E771" s="1" t="s">
        <v>6460</v>
      </c>
      <c r="F771" s="1" t="s">
        <v>6458</v>
      </c>
      <c r="G771" s="1" t="s">
        <v>17</v>
      </c>
      <c r="H771" s="1">
        <v>15</v>
      </c>
      <c r="I771" t="str">
        <f>IF(ISNA(_xlfn.XLOOKUP(B771, policy_details!$A$2:$A$2829, policy_details!$A$2:$A$2829)), "Invalid", "Ok")</f>
        <v>Ok</v>
      </c>
    </row>
    <row r="772" spans="1:9" x14ac:dyDescent="0.3">
      <c r="A772" s="1" t="s">
        <v>7234</v>
      </c>
      <c r="B772" s="1" t="s">
        <v>4673</v>
      </c>
      <c r="C772" s="41">
        <v>44812</v>
      </c>
      <c r="D772" s="1">
        <v>656150.92000000004</v>
      </c>
      <c r="E772" s="1" t="s">
        <v>6460</v>
      </c>
      <c r="F772" s="1" t="s">
        <v>6458</v>
      </c>
      <c r="G772" s="1" t="s">
        <v>17</v>
      </c>
      <c r="H772" s="1">
        <v>11</v>
      </c>
      <c r="I772" t="str">
        <f>IF(ISNA(_xlfn.XLOOKUP(B772, policy_details!$A$2:$A$2829, policy_details!$A$2:$A$2829)), "Invalid", "Ok")</f>
        <v>Ok</v>
      </c>
    </row>
    <row r="773" spans="1:9" x14ac:dyDescent="0.3">
      <c r="A773" s="1" t="s">
        <v>7235</v>
      </c>
      <c r="B773" s="1" t="s">
        <v>5976</v>
      </c>
      <c r="C773" s="41">
        <v>44924</v>
      </c>
      <c r="D773" s="1">
        <v>589159.67000000004</v>
      </c>
      <c r="E773" s="1" t="s">
        <v>6464</v>
      </c>
      <c r="F773" s="1" t="s">
        <v>6458</v>
      </c>
      <c r="G773" s="1" t="s">
        <v>17</v>
      </c>
      <c r="H773" s="1">
        <v>29</v>
      </c>
      <c r="I773" t="str">
        <f>IF(ISNA(_xlfn.XLOOKUP(B773, policy_details!$A$2:$A$2829, policy_details!$A$2:$A$2829)), "Invalid", "Ok")</f>
        <v>Ok</v>
      </c>
    </row>
    <row r="774" spans="1:9" x14ac:dyDescent="0.3">
      <c r="A774" s="1" t="s">
        <v>7236</v>
      </c>
      <c r="B774" s="1" t="s">
        <v>3793</v>
      </c>
      <c r="C774" s="41">
        <v>45640</v>
      </c>
      <c r="D774" s="1">
        <v>87145.279999999999</v>
      </c>
      <c r="E774" s="1" t="s">
        <v>6460</v>
      </c>
      <c r="F774" s="1" t="s">
        <v>6461</v>
      </c>
      <c r="G774" s="1" t="s">
        <v>17</v>
      </c>
      <c r="H774" s="1">
        <v>21</v>
      </c>
      <c r="I774" t="str">
        <f>IF(ISNA(_xlfn.XLOOKUP(B774, policy_details!$A$2:$A$2829, policy_details!$A$2:$A$2829)), "Invalid", "Ok")</f>
        <v>Ok</v>
      </c>
    </row>
    <row r="775" spans="1:9" x14ac:dyDescent="0.3">
      <c r="A775" s="1" t="s">
        <v>7237</v>
      </c>
      <c r="B775" s="1" t="s">
        <v>3889</v>
      </c>
      <c r="C775" s="41">
        <v>45303</v>
      </c>
      <c r="D775" s="1">
        <v>576779.68000000005</v>
      </c>
      <c r="E775" s="1" t="s">
        <v>6457</v>
      </c>
      <c r="F775" s="1" t="s">
        <v>6458</v>
      </c>
      <c r="G775" s="1" t="s">
        <v>17</v>
      </c>
      <c r="H775" s="1">
        <v>19</v>
      </c>
      <c r="I775" t="str">
        <f>IF(ISNA(_xlfn.XLOOKUP(B775, policy_details!$A$2:$A$2829, policy_details!$A$2:$A$2829)), "Invalid", "Ok")</f>
        <v>Ok</v>
      </c>
    </row>
    <row r="776" spans="1:9" x14ac:dyDescent="0.3">
      <c r="A776" s="1" t="s">
        <v>7238</v>
      </c>
      <c r="B776" s="1" t="s">
        <v>4133</v>
      </c>
      <c r="C776" s="41">
        <v>44974</v>
      </c>
      <c r="D776" s="1">
        <v>415365.04</v>
      </c>
      <c r="E776" s="1" t="s">
        <v>6464</v>
      </c>
      <c r="F776" s="1" t="s">
        <v>6481</v>
      </c>
      <c r="G776" s="1" t="s">
        <v>17</v>
      </c>
      <c r="H776" s="1">
        <v>38</v>
      </c>
      <c r="I776" t="str">
        <f>IF(ISNA(_xlfn.XLOOKUP(B776, policy_details!$A$2:$A$2829, policy_details!$A$2:$A$2829)), "Invalid", "Ok")</f>
        <v>Ok</v>
      </c>
    </row>
    <row r="777" spans="1:9" x14ac:dyDescent="0.3">
      <c r="A777" s="1" t="s">
        <v>7239</v>
      </c>
      <c r="B777" s="1" t="s">
        <v>5775</v>
      </c>
      <c r="C777" s="41">
        <v>44612</v>
      </c>
      <c r="D777" s="1">
        <v>542016.15</v>
      </c>
      <c r="E777" s="1" t="s">
        <v>6464</v>
      </c>
      <c r="F777" s="1" t="s">
        <v>6466</v>
      </c>
      <c r="G777" s="1" t="s">
        <v>17</v>
      </c>
      <c r="H777" s="1">
        <v>18</v>
      </c>
      <c r="I777" t="str">
        <f>IF(ISNA(_xlfn.XLOOKUP(B777, policy_details!$A$2:$A$2829, policy_details!$A$2:$A$2829)), "Invalid", "Ok")</f>
        <v>Ok</v>
      </c>
    </row>
    <row r="778" spans="1:9" x14ac:dyDescent="0.3">
      <c r="A778" s="1" t="s">
        <v>7240</v>
      </c>
      <c r="B778" s="1" t="s">
        <v>4768</v>
      </c>
      <c r="C778" s="41">
        <v>46208</v>
      </c>
      <c r="D778" s="1">
        <v>559032.54</v>
      </c>
      <c r="E778" s="1" t="s">
        <v>6457</v>
      </c>
      <c r="F778" s="1" t="s">
        <v>6466</v>
      </c>
      <c r="G778" s="1" t="s">
        <v>17</v>
      </c>
      <c r="H778" s="1">
        <v>34</v>
      </c>
      <c r="I778" t="str">
        <f>IF(ISNA(_xlfn.XLOOKUP(B778, policy_details!$A$2:$A$2829, policy_details!$A$2:$A$2829)), "Invalid", "Ok")</f>
        <v>Ok</v>
      </c>
    </row>
    <row r="779" spans="1:9" x14ac:dyDescent="0.3">
      <c r="A779" s="1" t="s">
        <v>7241</v>
      </c>
      <c r="B779" s="1" t="s">
        <v>5435</v>
      </c>
      <c r="C779" s="41">
        <v>45466</v>
      </c>
      <c r="D779" s="1">
        <v>310185.65999999997</v>
      </c>
      <c r="E779" s="1" t="s">
        <v>6464</v>
      </c>
      <c r="F779" s="1" t="s">
        <v>6466</v>
      </c>
      <c r="G779" s="1" t="s">
        <v>17</v>
      </c>
      <c r="H779" s="1">
        <v>40</v>
      </c>
      <c r="I779" t="str">
        <f>IF(ISNA(_xlfn.XLOOKUP(B779, policy_details!$A$2:$A$2829, policy_details!$A$2:$A$2829)), "Invalid", "Ok")</f>
        <v>Ok</v>
      </c>
    </row>
    <row r="780" spans="1:9" x14ac:dyDescent="0.3">
      <c r="A780" s="1" t="s">
        <v>7242</v>
      </c>
      <c r="B780" s="1" t="s">
        <v>4241</v>
      </c>
      <c r="C780" s="41">
        <v>45325</v>
      </c>
      <c r="D780" s="1">
        <v>171999.15</v>
      </c>
      <c r="E780" s="1" t="s">
        <v>6457</v>
      </c>
      <c r="F780" s="1" t="s">
        <v>6466</v>
      </c>
      <c r="G780" s="1" t="s">
        <v>17</v>
      </c>
      <c r="H780" s="1">
        <v>8</v>
      </c>
      <c r="I780" t="str">
        <f>IF(ISNA(_xlfn.XLOOKUP(B780, policy_details!$A$2:$A$2829, policy_details!$A$2:$A$2829)), "Invalid", "Ok")</f>
        <v>Ok</v>
      </c>
    </row>
    <row r="781" spans="1:9" x14ac:dyDescent="0.3">
      <c r="A781" s="1" t="s">
        <v>7243</v>
      </c>
      <c r="B781" s="1" t="s">
        <v>5815</v>
      </c>
      <c r="C781" s="41">
        <v>46100</v>
      </c>
      <c r="D781" s="1">
        <v>644508.51</v>
      </c>
      <c r="E781" s="1" t="s">
        <v>6464</v>
      </c>
      <c r="F781" s="1" t="s">
        <v>6458</v>
      </c>
      <c r="G781" s="1" t="s">
        <v>17</v>
      </c>
      <c r="H781" s="1">
        <v>33</v>
      </c>
      <c r="I781" t="str">
        <f>IF(ISNA(_xlfn.XLOOKUP(B781, policy_details!$A$2:$A$2829, policy_details!$A$2:$A$2829)), "Invalid", "Ok")</f>
        <v>Ok</v>
      </c>
    </row>
    <row r="782" spans="1:9" x14ac:dyDescent="0.3">
      <c r="A782" s="1" t="s">
        <v>7244</v>
      </c>
      <c r="B782" s="1" t="s">
        <v>5885</v>
      </c>
      <c r="C782" s="41">
        <v>45416</v>
      </c>
      <c r="D782" s="1">
        <v>262703.7</v>
      </c>
      <c r="E782" s="1" t="s">
        <v>6460</v>
      </c>
      <c r="F782" s="1" t="s">
        <v>6470</v>
      </c>
      <c r="G782" s="1" t="s">
        <v>17</v>
      </c>
      <c r="H782" s="1">
        <v>4</v>
      </c>
      <c r="I782" t="str">
        <f>IF(ISNA(_xlfn.XLOOKUP(B782, policy_details!$A$2:$A$2829, policy_details!$A$2:$A$2829)), "Invalid", "Ok")</f>
        <v>Ok</v>
      </c>
    </row>
    <row r="783" spans="1:9" x14ac:dyDescent="0.3">
      <c r="A783" s="1" t="s">
        <v>7245</v>
      </c>
      <c r="B783" s="1" t="s">
        <v>4781</v>
      </c>
      <c r="C783" s="41">
        <v>44888</v>
      </c>
      <c r="D783" s="1">
        <v>221026.33</v>
      </c>
      <c r="E783" s="1" t="s">
        <v>6460</v>
      </c>
      <c r="F783" s="1" t="s">
        <v>6481</v>
      </c>
      <c r="G783" s="1" t="s">
        <v>17</v>
      </c>
      <c r="H783" s="1">
        <v>29</v>
      </c>
      <c r="I783" t="str">
        <f>IF(ISNA(_xlfn.XLOOKUP(B783, policy_details!$A$2:$A$2829, policy_details!$A$2:$A$2829)), "Invalid", "Ok")</f>
        <v>Ok</v>
      </c>
    </row>
    <row r="784" spans="1:9" x14ac:dyDescent="0.3">
      <c r="A784" s="1" t="s">
        <v>7246</v>
      </c>
      <c r="B784" s="1" t="s">
        <v>4167</v>
      </c>
      <c r="C784" s="41">
        <v>44473</v>
      </c>
      <c r="D784" s="1">
        <v>1105831.74</v>
      </c>
      <c r="E784" s="1" t="s">
        <v>6464</v>
      </c>
      <c r="F784" s="1" t="s">
        <v>6458</v>
      </c>
      <c r="G784" s="1" t="s">
        <v>17</v>
      </c>
      <c r="H784" s="1">
        <v>10</v>
      </c>
      <c r="I784" t="str">
        <f>IF(ISNA(_xlfn.XLOOKUP(B784, policy_details!$A$2:$A$2829, policy_details!$A$2:$A$2829)), "Invalid", "Ok")</f>
        <v>Ok</v>
      </c>
    </row>
    <row r="785" spans="1:9" x14ac:dyDescent="0.3">
      <c r="A785" s="1" t="s">
        <v>7247</v>
      </c>
      <c r="B785" s="1" t="s">
        <v>5399</v>
      </c>
      <c r="C785" s="41">
        <v>45350</v>
      </c>
      <c r="D785" s="1">
        <v>472565.26</v>
      </c>
      <c r="E785" s="1" t="s">
        <v>6464</v>
      </c>
      <c r="F785" s="1" t="s">
        <v>6470</v>
      </c>
      <c r="G785" s="1" t="s">
        <v>30</v>
      </c>
      <c r="H785" s="1">
        <v>12</v>
      </c>
      <c r="I785" t="str">
        <f>IF(ISNA(_xlfn.XLOOKUP(B785, policy_details!$A$2:$A$2829, policy_details!$A$2:$A$2829)), "Invalid", "Ok")</f>
        <v>Ok</v>
      </c>
    </row>
    <row r="786" spans="1:9" x14ac:dyDescent="0.3">
      <c r="A786" s="1" t="s">
        <v>7248</v>
      </c>
      <c r="B786" s="1" t="s">
        <v>4316</v>
      </c>
      <c r="C786" s="41">
        <v>45161</v>
      </c>
      <c r="D786" s="1">
        <v>167176.41</v>
      </c>
      <c r="E786" s="1" t="s">
        <v>6457</v>
      </c>
      <c r="F786" s="1" t="s">
        <v>6461</v>
      </c>
      <c r="G786" s="1" t="s">
        <v>17</v>
      </c>
      <c r="H786" s="1">
        <v>38</v>
      </c>
      <c r="I786" t="str">
        <f>IF(ISNA(_xlfn.XLOOKUP(B786, policy_details!$A$2:$A$2829, policy_details!$A$2:$A$2829)), "Invalid", "Ok")</f>
        <v>Ok</v>
      </c>
    </row>
    <row r="787" spans="1:9" x14ac:dyDescent="0.3">
      <c r="A787" s="1" t="s">
        <v>7249</v>
      </c>
      <c r="B787" s="1" t="s">
        <v>3960</v>
      </c>
      <c r="C787" s="41">
        <v>45122</v>
      </c>
      <c r="D787" s="1">
        <v>780852.79</v>
      </c>
      <c r="E787" s="1" t="s">
        <v>6460</v>
      </c>
      <c r="F787" s="1" t="s">
        <v>6481</v>
      </c>
      <c r="G787" s="1" t="s">
        <v>17</v>
      </c>
      <c r="H787" s="1">
        <v>9</v>
      </c>
      <c r="I787" t="str">
        <f>IF(ISNA(_xlfn.XLOOKUP(B787, policy_details!$A$2:$A$2829, policy_details!$A$2:$A$2829)), "Invalid", "Ok")</f>
        <v>Ok</v>
      </c>
    </row>
    <row r="788" spans="1:9" x14ac:dyDescent="0.3">
      <c r="A788" s="1" t="s">
        <v>7250</v>
      </c>
      <c r="B788" s="1" t="s">
        <v>5358</v>
      </c>
      <c r="C788" s="41">
        <v>45440</v>
      </c>
      <c r="D788" s="1">
        <v>142312.24</v>
      </c>
      <c r="E788" s="1" t="s">
        <v>6464</v>
      </c>
      <c r="F788" s="1" t="s">
        <v>6481</v>
      </c>
      <c r="G788" s="1" t="s">
        <v>17</v>
      </c>
      <c r="H788" s="1">
        <v>23</v>
      </c>
      <c r="I788" t="str">
        <f>IF(ISNA(_xlfn.XLOOKUP(B788, policy_details!$A$2:$A$2829, policy_details!$A$2:$A$2829)), "Invalid", "Ok")</f>
        <v>Ok</v>
      </c>
    </row>
    <row r="789" spans="1:9" x14ac:dyDescent="0.3">
      <c r="A789" s="1" t="s">
        <v>7251</v>
      </c>
      <c r="B789" s="1" t="s">
        <v>5064</v>
      </c>
      <c r="C789" s="41">
        <v>44639</v>
      </c>
      <c r="D789" s="1">
        <v>187606.47</v>
      </c>
      <c r="E789" s="1" t="s">
        <v>6460</v>
      </c>
      <c r="F789" s="1" t="s">
        <v>6461</v>
      </c>
      <c r="G789" s="1" t="s">
        <v>17</v>
      </c>
      <c r="H789" s="1">
        <v>35</v>
      </c>
      <c r="I789" t="str">
        <f>IF(ISNA(_xlfn.XLOOKUP(B789, policy_details!$A$2:$A$2829, policy_details!$A$2:$A$2829)), "Invalid", "Ok")</f>
        <v>Ok</v>
      </c>
    </row>
    <row r="790" spans="1:9" x14ac:dyDescent="0.3">
      <c r="A790" s="1" t="s">
        <v>7252</v>
      </c>
      <c r="B790" s="1" t="s">
        <v>5833</v>
      </c>
      <c r="C790" s="41">
        <v>44851</v>
      </c>
      <c r="D790" s="1">
        <v>175476.22</v>
      </c>
      <c r="E790" s="1" t="s">
        <v>6457</v>
      </c>
      <c r="F790" s="1" t="s">
        <v>6461</v>
      </c>
      <c r="G790" s="1" t="s">
        <v>17</v>
      </c>
      <c r="H790" s="1">
        <v>36</v>
      </c>
      <c r="I790" t="str">
        <f>IF(ISNA(_xlfn.XLOOKUP(B790, policy_details!$A$2:$A$2829, policy_details!$A$2:$A$2829)), "Invalid", "Ok")</f>
        <v>Ok</v>
      </c>
    </row>
    <row r="791" spans="1:9" x14ac:dyDescent="0.3">
      <c r="A791" s="1" t="s">
        <v>7253</v>
      </c>
      <c r="B791" s="1" t="s">
        <v>4425</v>
      </c>
      <c r="C791" s="41">
        <v>46223</v>
      </c>
      <c r="D791" s="1">
        <v>550239.77</v>
      </c>
      <c r="E791" s="1" t="s">
        <v>6457</v>
      </c>
      <c r="F791" s="1" t="s">
        <v>6458</v>
      </c>
      <c r="G791" s="1" t="s">
        <v>17</v>
      </c>
      <c r="H791" s="1">
        <v>10</v>
      </c>
      <c r="I791" t="str">
        <f>IF(ISNA(_xlfn.XLOOKUP(B791, policy_details!$A$2:$A$2829, policy_details!$A$2:$A$2829)), "Invalid", "Ok")</f>
        <v>Ok</v>
      </c>
    </row>
    <row r="792" spans="1:9" x14ac:dyDescent="0.3">
      <c r="A792" s="1" t="s">
        <v>7254</v>
      </c>
      <c r="B792" s="1" t="s">
        <v>4218</v>
      </c>
      <c r="C792" s="41">
        <v>45167</v>
      </c>
      <c r="D792" s="1">
        <v>1343754.09</v>
      </c>
      <c r="E792" s="1" t="s">
        <v>6464</v>
      </c>
      <c r="F792" s="1" t="s">
        <v>6458</v>
      </c>
      <c r="G792" s="1" t="s">
        <v>17</v>
      </c>
      <c r="H792" s="1">
        <v>17</v>
      </c>
      <c r="I792" t="str">
        <f>IF(ISNA(_xlfn.XLOOKUP(B792, policy_details!$A$2:$A$2829, policy_details!$A$2:$A$2829)), "Invalid", "Ok")</f>
        <v>Ok</v>
      </c>
    </row>
    <row r="793" spans="1:9" x14ac:dyDescent="0.3">
      <c r="A793" s="1" t="s">
        <v>7255</v>
      </c>
      <c r="B793" s="1" t="s">
        <v>5429</v>
      </c>
      <c r="C793" s="41">
        <v>44866</v>
      </c>
      <c r="D793" s="1">
        <v>386975.68</v>
      </c>
      <c r="E793" s="1" t="s">
        <v>6460</v>
      </c>
      <c r="F793" s="1" t="s">
        <v>6470</v>
      </c>
      <c r="G793" s="1" t="s">
        <v>30</v>
      </c>
      <c r="H793" s="1">
        <v>25</v>
      </c>
      <c r="I793" t="str">
        <f>IF(ISNA(_xlfn.XLOOKUP(B793, policy_details!$A$2:$A$2829, policy_details!$A$2:$A$2829)), "Invalid", "Ok")</f>
        <v>Ok</v>
      </c>
    </row>
    <row r="794" spans="1:9" x14ac:dyDescent="0.3">
      <c r="A794" s="1" t="s">
        <v>7256</v>
      </c>
      <c r="B794" s="1" t="s">
        <v>5600</v>
      </c>
      <c r="C794" s="41">
        <v>45117</v>
      </c>
      <c r="D794" s="1">
        <v>451226.85</v>
      </c>
      <c r="E794" s="1" t="s">
        <v>6460</v>
      </c>
      <c r="F794" s="1" t="s">
        <v>6461</v>
      </c>
      <c r="G794" s="1" t="s">
        <v>17</v>
      </c>
      <c r="H794" s="1">
        <v>26</v>
      </c>
      <c r="I794" t="str">
        <f>IF(ISNA(_xlfn.XLOOKUP(B794, policy_details!$A$2:$A$2829, policy_details!$A$2:$A$2829)), "Invalid", "Ok")</f>
        <v>Ok</v>
      </c>
    </row>
    <row r="795" spans="1:9" x14ac:dyDescent="0.3">
      <c r="A795" s="1" t="s">
        <v>7257</v>
      </c>
      <c r="B795" s="1" t="s">
        <v>4782</v>
      </c>
      <c r="C795" s="41">
        <v>45470</v>
      </c>
      <c r="D795" s="1">
        <v>221097.06</v>
      </c>
      <c r="E795" s="1" t="s">
        <v>6460</v>
      </c>
      <c r="F795" s="1" t="s">
        <v>6470</v>
      </c>
      <c r="G795" s="1" t="s">
        <v>17</v>
      </c>
      <c r="H795" s="1">
        <v>8</v>
      </c>
      <c r="I795" t="str">
        <f>IF(ISNA(_xlfn.XLOOKUP(B795, policy_details!$A$2:$A$2829, policy_details!$A$2:$A$2829)), "Invalid", "Ok")</f>
        <v>Ok</v>
      </c>
    </row>
    <row r="796" spans="1:9" x14ac:dyDescent="0.3">
      <c r="A796" s="1" t="s">
        <v>7258</v>
      </c>
      <c r="B796" s="1" t="s">
        <v>4863</v>
      </c>
      <c r="C796" s="41">
        <v>45616</v>
      </c>
      <c r="D796" s="1">
        <v>85078.48</v>
      </c>
      <c r="E796" s="1" t="s">
        <v>6457</v>
      </c>
      <c r="F796" s="1" t="s">
        <v>6466</v>
      </c>
      <c r="G796" s="1" t="s">
        <v>17</v>
      </c>
      <c r="H796" s="1">
        <v>27</v>
      </c>
      <c r="I796" t="str">
        <f>IF(ISNA(_xlfn.XLOOKUP(B796, policy_details!$A$2:$A$2829, policy_details!$A$2:$A$2829)), "Invalid", "Ok")</f>
        <v>Ok</v>
      </c>
    </row>
    <row r="797" spans="1:9" x14ac:dyDescent="0.3">
      <c r="A797" s="1" t="s">
        <v>7259</v>
      </c>
      <c r="B797" s="1" t="s">
        <v>3878</v>
      </c>
      <c r="C797" s="41">
        <v>45049</v>
      </c>
      <c r="D797" s="1">
        <v>279254.18</v>
      </c>
      <c r="E797" s="1" t="s">
        <v>6457</v>
      </c>
      <c r="F797" s="1" t="s">
        <v>6466</v>
      </c>
      <c r="G797" s="1" t="s">
        <v>30</v>
      </c>
      <c r="H797" s="1">
        <v>1</v>
      </c>
      <c r="I797" t="str">
        <f>IF(ISNA(_xlfn.XLOOKUP(B797, policy_details!$A$2:$A$2829, policy_details!$A$2:$A$2829)), "Invalid", "Ok")</f>
        <v>Ok</v>
      </c>
    </row>
    <row r="798" spans="1:9" x14ac:dyDescent="0.3">
      <c r="A798" s="1" t="s">
        <v>7260</v>
      </c>
      <c r="B798" s="1" t="s">
        <v>4941</v>
      </c>
      <c r="C798" s="41">
        <v>45921</v>
      </c>
      <c r="D798" s="1">
        <v>362288.45</v>
      </c>
      <c r="E798" s="1" t="s">
        <v>6457</v>
      </c>
      <c r="F798" s="1" t="s">
        <v>6481</v>
      </c>
      <c r="G798" s="1" t="s">
        <v>17</v>
      </c>
      <c r="H798" s="1">
        <v>28</v>
      </c>
      <c r="I798" t="str">
        <f>IF(ISNA(_xlfn.XLOOKUP(B798, policy_details!$A$2:$A$2829, policy_details!$A$2:$A$2829)), "Invalid", "Ok")</f>
        <v>Ok</v>
      </c>
    </row>
    <row r="799" spans="1:9" x14ac:dyDescent="0.3">
      <c r="A799" s="1" t="s">
        <v>7261</v>
      </c>
      <c r="B799" s="1" t="s">
        <v>6340</v>
      </c>
      <c r="C799" s="41">
        <v>46224</v>
      </c>
      <c r="D799" s="1">
        <v>160030.41</v>
      </c>
      <c r="E799" s="1" t="s">
        <v>6457</v>
      </c>
      <c r="F799" s="1" t="s">
        <v>6470</v>
      </c>
      <c r="G799" s="1" t="s">
        <v>17</v>
      </c>
      <c r="H799" s="1">
        <v>33</v>
      </c>
      <c r="I799" t="str">
        <f>IF(ISNA(_xlfn.XLOOKUP(B799, policy_details!$A$2:$A$2829, policy_details!$A$2:$A$2829)), "Invalid", "Ok")</f>
        <v>Ok</v>
      </c>
    </row>
    <row r="800" spans="1:9" x14ac:dyDescent="0.3">
      <c r="A800" s="1" t="s">
        <v>7262</v>
      </c>
      <c r="B800" s="1" t="s">
        <v>3844</v>
      </c>
      <c r="C800" s="41">
        <v>44616</v>
      </c>
      <c r="D800" s="1">
        <v>244982.6</v>
      </c>
      <c r="E800" s="1" t="s">
        <v>6464</v>
      </c>
      <c r="F800" s="1" t="s">
        <v>6466</v>
      </c>
      <c r="G800" s="1" t="s">
        <v>30</v>
      </c>
      <c r="H800" s="1">
        <v>21</v>
      </c>
      <c r="I800" t="str">
        <f>IF(ISNA(_xlfn.XLOOKUP(B800, policy_details!$A$2:$A$2829, policy_details!$A$2:$A$2829)), "Invalid", "Ok")</f>
        <v>Ok</v>
      </c>
    </row>
    <row r="801" spans="1:9" x14ac:dyDescent="0.3">
      <c r="A801" s="1" t="s">
        <v>7263</v>
      </c>
      <c r="B801" s="1" t="s">
        <v>5221</v>
      </c>
      <c r="C801" s="41">
        <v>44751</v>
      </c>
      <c r="D801" s="1">
        <v>172761.91</v>
      </c>
      <c r="E801" s="1" t="s">
        <v>6457</v>
      </c>
      <c r="F801" s="1" t="s">
        <v>6466</v>
      </c>
      <c r="G801" s="1" t="s">
        <v>17</v>
      </c>
      <c r="H801" s="1">
        <v>11</v>
      </c>
      <c r="I801" t="str">
        <f>IF(ISNA(_xlfn.XLOOKUP(B801, policy_details!$A$2:$A$2829, policy_details!$A$2:$A$2829)), "Invalid", "Ok")</f>
        <v>Ok</v>
      </c>
    </row>
    <row r="802" spans="1:9" x14ac:dyDescent="0.3">
      <c r="A802" s="1" t="s">
        <v>7264</v>
      </c>
      <c r="B802" s="1" t="s">
        <v>3414</v>
      </c>
      <c r="C802" s="41">
        <v>46022</v>
      </c>
      <c r="D802" s="1">
        <v>233834.39</v>
      </c>
      <c r="E802" s="1" t="s">
        <v>6457</v>
      </c>
      <c r="F802" s="1" t="s">
        <v>6481</v>
      </c>
      <c r="G802" s="1" t="s">
        <v>17</v>
      </c>
      <c r="H802" s="1">
        <v>11</v>
      </c>
      <c r="I802" t="str">
        <f>IF(ISNA(_xlfn.XLOOKUP(B802, policy_details!$A$2:$A$2829, policy_details!$A$2:$A$2829)), "Invalid", "Ok")</f>
        <v>Ok</v>
      </c>
    </row>
    <row r="803" spans="1:9" x14ac:dyDescent="0.3">
      <c r="A803" s="1" t="s">
        <v>7265</v>
      </c>
      <c r="B803" s="1" t="s">
        <v>4525</v>
      </c>
      <c r="C803" s="41">
        <v>45336</v>
      </c>
      <c r="D803" s="1">
        <v>249480.01</v>
      </c>
      <c r="E803" s="1" t="s">
        <v>6460</v>
      </c>
      <c r="F803" s="1" t="s">
        <v>6461</v>
      </c>
      <c r="G803" s="1" t="s">
        <v>30</v>
      </c>
      <c r="H803" s="1">
        <v>31</v>
      </c>
      <c r="I803" t="str">
        <f>IF(ISNA(_xlfn.XLOOKUP(B803, policy_details!$A$2:$A$2829, policy_details!$A$2:$A$2829)), "Invalid", "Ok")</f>
        <v>Ok</v>
      </c>
    </row>
    <row r="804" spans="1:9" x14ac:dyDescent="0.3">
      <c r="A804" s="1" t="s">
        <v>7266</v>
      </c>
      <c r="B804" s="1" t="s">
        <v>5768</v>
      </c>
      <c r="C804" s="41">
        <v>44898</v>
      </c>
      <c r="D804" s="1">
        <v>500682.81</v>
      </c>
      <c r="E804" s="1" t="s">
        <v>6464</v>
      </c>
      <c r="F804" s="1" t="s">
        <v>6481</v>
      </c>
      <c r="G804" s="1" t="s">
        <v>30</v>
      </c>
      <c r="H804" s="1">
        <v>19</v>
      </c>
      <c r="I804" t="str">
        <f>IF(ISNA(_xlfn.XLOOKUP(B804, policy_details!$A$2:$A$2829, policy_details!$A$2:$A$2829)), "Invalid", "Ok")</f>
        <v>Ok</v>
      </c>
    </row>
    <row r="805" spans="1:9" x14ac:dyDescent="0.3">
      <c r="A805" s="1" t="s">
        <v>7267</v>
      </c>
      <c r="B805" s="1" t="s">
        <v>5219</v>
      </c>
      <c r="C805" s="41">
        <v>44700</v>
      </c>
      <c r="D805" s="1">
        <v>95354.58</v>
      </c>
      <c r="E805" s="1" t="s">
        <v>6457</v>
      </c>
      <c r="F805" s="1" t="s">
        <v>6470</v>
      </c>
      <c r="G805" s="1" t="s">
        <v>17</v>
      </c>
      <c r="H805" s="1">
        <v>41</v>
      </c>
      <c r="I805" t="str">
        <f>IF(ISNA(_xlfn.XLOOKUP(B805, policy_details!$A$2:$A$2829, policy_details!$A$2:$A$2829)), "Invalid", "Ok")</f>
        <v>Ok</v>
      </c>
    </row>
    <row r="806" spans="1:9" x14ac:dyDescent="0.3">
      <c r="A806" s="1" t="s">
        <v>7268</v>
      </c>
      <c r="B806" s="1" t="s">
        <v>3702</v>
      </c>
      <c r="C806" s="41">
        <v>45568</v>
      </c>
      <c r="D806" s="1">
        <v>139392.76999999999</v>
      </c>
      <c r="E806" s="1" t="s">
        <v>6457</v>
      </c>
      <c r="F806" s="1" t="s">
        <v>6470</v>
      </c>
      <c r="G806" s="1" t="s">
        <v>17</v>
      </c>
      <c r="H806" s="1">
        <v>43</v>
      </c>
      <c r="I806" t="str">
        <f>IF(ISNA(_xlfn.XLOOKUP(B806, policy_details!$A$2:$A$2829, policy_details!$A$2:$A$2829)), "Invalid", "Ok")</f>
        <v>Ok</v>
      </c>
    </row>
    <row r="807" spans="1:9" x14ac:dyDescent="0.3">
      <c r="A807" s="1" t="s">
        <v>7269</v>
      </c>
      <c r="B807" s="1" t="s">
        <v>4890</v>
      </c>
      <c r="C807" s="41">
        <v>45307</v>
      </c>
      <c r="D807" s="1">
        <v>112982.58</v>
      </c>
      <c r="E807" s="1" t="s">
        <v>6460</v>
      </c>
      <c r="F807" s="1" t="s">
        <v>6481</v>
      </c>
      <c r="G807" s="1" t="s">
        <v>30</v>
      </c>
      <c r="H807" s="1">
        <v>20</v>
      </c>
      <c r="I807" t="str">
        <f>IF(ISNA(_xlfn.XLOOKUP(B807, policy_details!$A$2:$A$2829, policy_details!$A$2:$A$2829)), "Invalid", "Ok")</f>
        <v>Ok</v>
      </c>
    </row>
    <row r="808" spans="1:9" x14ac:dyDescent="0.3">
      <c r="A808" s="1" t="s">
        <v>7270</v>
      </c>
      <c r="B808" s="1" t="s">
        <v>3693</v>
      </c>
      <c r="C808" s="41">
        <v>45762</v>
      </c>
      <c r="D808" s="1">
        <v>2256469.9300000002</v>
      </c>
      <c r="E808" s="1" t="s">
        <v>6460</v>
      </c>
      <c r="F808" s="1" t="s">
        <v>6458</v>
      </c>
      <c r="G808" s="1" t="s">
        <v>17</v>
      </c>
      <c r="H808" s="1">
        <v>12</v>
      </c>
      <c r="I808" t="str">
        <f>IF(ISNA(_xlfn.XLOOKUP(B808, policy_details!$A$2:$A$2829, policy_details!$A$2:$A$2829)), "Invalid", "Ok")</f>
        <v>Ok</v>
      </c>
    </row>
    <row r="809" spans="1:9" x14ac:dyDescent="0.3">
      <c r="A809" s="1" t="s">
        <v>7271</v>
      </c>
      <c r="B809" s="1" t="s">
        <v>4667</v>
      </c>
      <c r="C809" s="41">
        <v>45477</v>
      </c>
      <c r="D809" s="1">
        <v>386391.34</v>
      </c>
      <c r="E809" s="1" t="s">
        <v>6460</v>
      </c>
      <c r="F809" s="1" t="s">
        <v>6481</v>
      </c>
      <c r="G809" s="1" t="s">
        <v>30</v>
      </c>
      <c r="H809" s="1">
        <v>36</v>
      </c>
      <c r="I809" t="str">
        <f>IF(ISNA(_xlfn.XLOOKUP(B809, policy_details!$A$2:$A$2829, policy_details!$A$2:$A$2829)), "Invalid", "Ok")</f>
        <v>Ok</v>
      </c>
    </row>
    <row r="810" spans="1:9" x14ac:dyDescent="0.3">
      <c r="A810" s="1" t="s">
        <v>7272</v>
      </c>
      <c r="B810" s="1" t="s">
        <v>5790</v>
      </c>
      <c r="C810" s="41">
        <v>44866</v>
      </c>
      <c r="D810" s="1">
        <v>91923.73</v>
      </c>
      <c r="E810" s="1" t="s">
        <v>6457</v>
      </c>
      <c r="F810" s="1" t="s">
        <v>6481</v>
      </c>
      <c r="G810" s="1" t="s">
        <v>17</v>
      </c>
      <c r="H810" s="1">
        <v>32</v>
      </c>
      <c r="I810" t="str">
        <f>IF(ISNA(_xlfn.XLOOKUP(B810, policy_details!$A$2:$A$2829, policy_details!$A$2:$A$2829)), "Invalid", "Ok")</f>
        <v>Ok</v>
      </c>
    </row>
    <row r="811" spans="1:9" x14ac:dyDescent="0.3">
      <c r="A811" s="1" t="s">
        <v>7273</v>
      </c>
      <c r="B811" s="1" t="s">
        <v>4322</v>
      </c>
      <c r="C811" s="41">
        <v>45844</v>
      </c>
      <c r="D811" s="1">
        <v>871422.89</v>
      </c>
      <c r="E811" s="1" t="s">
        <v>6464</v>
      </c>
      <c r="F811" s="1" t="s">
        <v>6458</v>
      </c>
      <c r="G811" s="1" t="s">
        <v>17</v>
      </c>
      <c r="H811" s="1">
        <v>8</v>
      </c>
      <c r="I811" t="str">
        <f>IF(ISNA(_xlfn.XLOOKUP(B811, policy_details!$A$2:$A$2829, policy_details!$A$2:$A$2829)), "Invalid", "Ok")</f>
        <v>Ok</v>
      </c>
    </row>
    <row r="812" spans="1:9" x14ac:dyDescent="0.3">
      <c r="A812" s="1" t="s">
        <v>7274</v>
      </c>
      <c r="B812" s="1" t="s">
        <v>4894</v>
      </c>
      <c r="C812" s="41">
        <v>44902</v>
      </c>
      <c r="D812" s="1">
        <v>156214.07</v>
      </c>
      <c r="E812" s="1" t="s">
        <v>6460</v>
      </c>
      <c r="F812" s="1" t="s">
        <v>6470</v>
      </c>
      <c r="G812" s="1" t="s">
        <v>17</v>
      </c>
      <c r="H812" s="1">
        <v>42</v>
      </c>
      <c r="I812" t="str">
        <f>IF(ISNA(_xlfn.XLOOKUP(B812, policy_details!$A$2:$A$2829, policy_details!$A$2:$A$2829)), "Invalid", "Ok")</f>
        <v>Ok</v>
      </c>
    </row>
    <row r="813" spans="1:9" x14ac:dyDescent="0.3">
      <c r="A813" s="1" t="s">
        <v>7275</v>
      </c>
      <c r="B813" s="1" t="s">
        <v>5027</v>
      </c>
      <c r="C813" s="41">
        <v>45011</v>
      </c>
      <c r="D813" s="1">
        <v>102787.71</v>
      </c>
      <c r="E813" s="1" t="s">
        <v>6464</v>
      </c>
      <c r="F813" s="1" t="s">
        <v>6461</v>
      </c>
      <c r="G813" s="1" t="s">
        <v>17</v>
      </c>
      <c r="H813" s="1">
        <v>9</v>
      </c>
      <c r="I813" t="str">
        <f>IF(ISNA(_xlfn.XLOOKUP(B813, policy_details!$A$2:$A$2829, policy_details!$A$2:$A$2829)), "Invalid", "Ok")</f>
        <v>Ok</v>
      </c>
    </row>
    <row r="814" spans="1:9" x14ac:dyDescent="0.3">
      <c r="A814" s="1" t="s">
        <v>7276</v>
      </c>
      <c r="B814" s="1" t="s">
        <v>6033</v>
      </c>
      <c r="C814" s="41">
        <v>45059</v>
      </c>
      <c r="D814" s="1">
        <v>1511009.76</v>
      </c>
      <c r="E814" s="1" t="s">
        <v>6464</v>
      </c>
      <c r="F814" s="1" t="s">
        <v>6458</v>
      </c>
      <c r="G814" s="1" t="s">
        <v>17</v>
      </c>
      <c r="H814" s="1">
        <v>25</v>
      </c>
      <c r="I814" t="str">
        <f>IF(ISNA(_xlfn.XLOOKUP(B814, policy_details!$A$2:$A$2829, policy_details!$A$2:$A$2829)), "Invalid", "Ok")</f>
        <v>Ok</v>
      </c>
    </row>
    <row r="815" spans="1:9" x14ac:dyDescent="0.3">
      <c r="A815" s="1" t="s">
        <v>7277</v>
      </c>
      <c r="B815" s="1" t="s">
        <v>3870</v>
      </c>
      <c r="C815" s="41">
        <v>44717</v>
      </c>
      <c r="D815" s="1">
        <v>365154.65</v>
      </c>
      <c r="E815" s="1" t="s">
        <v>6464</v>
      </c>
      <c r="F815" s="1" t="s">
        <v>6466</v>
      </c>
      <c r="G815" s="1" t="s">
        <v>30</v>
      </c>
      <c r="H815" s="1">
        <v>9</v>
      </c>
      <c r="I815" t="str">
        <f>IF(ISNA(_xlfn.XLOOKUP(B815, policy_details!$A$2:$A$2829, policy_details!$A$2:$A$2829)), "Invalid", "Ok")</f>
        <v>Ok</v>
      </c>
    </row>
    <row r="816" spans="1:9" x14ac:dyDescent="0.3">
      <c r="A816" s="1" t="s">
        <v>7278</v>
      </c>
      <c r="B816" s="1" t="s">
        <v>5172</v>
      </c>
      <c r="C816" s="41">
        <v>45029</v>
      </c>
      <c r="D816" s="1">
        <v>286055.75</v>
      </c>
      <c r="E816" s="1" t="s">
        <v>6457</v>
      </c>
      <c r="F816" s="1" t="s">
        <v>6481</v>
      </c>
      <c r="G816" s="1" t="s">
        <v>17</v>
      </c>
      <c r="H816" s="1">
        <v>22</v>
      </c>
      <c r="I816" t="str">
        <f>IF(ISNA(_xlfn.XLOOKUP(B816, policy_details!$A$2:$A$2829, policy_details!$A$2:$A$2829)), "Invalid", "Ok")</f>
        <v>Ok</v>
      </c>
    </row>
    <row r="817" spans="1:9" x14ac:dyDescent="0.3">
      <c r="A817" s="1" t="s">
        <v>7279</v>
      </c>
      <c r="B817" s="1" t="s">
        <v>3476</v>
      </c>
      <c r="C817" s="41">
        <v>45474</v>
      </c>
      <c r="D817" s="1">
        <v>652994.39</v>
      </c>
      <c r="E817" s="1" t="s">
        <v>6460</v>
      </c>
      <c r="F817" s="1" t="s">
        <v>6458</v>
      </c>
      <c r="G817" s="1" t="s">
        <v>17</v>
      </c>
      <c r="H817" s="1">
        <v>28</v>
      </c>
      <c r="I817" t="str">
        <f>IF(ISNA(_xlfn.XLOOKUP(B817, policy_details!$A$2:$A$2829, policy_details!$A$2:$A$2829)), "Invalid", "Ok")</f>
        <v>Ok</v>
      </c>
    </row>
    <row r="818" spans="1:9" x14ac:dyDescent="0.3">
      <c r="A818" s="1" t="s">
        <v>7280</v>
      </c>
      <c r="B818" s="1" t="s">
        <v>3753</v>
      </c>
      <c r="C818" s="41">
        <v>45184</v>
      </c>
      <c r="D818" s="1">
        <v>109290.7</v>
      </c>
      <c r="E818" s="1" t="s">
        <v>6460</v>
      </c>
      <c r="F818" s="1" t="s">
        <v>6461</v>
      </c>
      <c r="G818" s="1" t="s">
        <v>17</v>
      </c>
      <c r="H818" s="1">
        <v>6</v>
      </c>
      <c r="I818" t="str">
        <f>IF(ISNA(_xlfn.XLOOKUP(B818, policy_details!$A$2:$A$2829, policy_details!$A$2:$A$2829)), "Invalid", "Ok")</f>
        <v>Ok</v>
      </c>
    </row>
    <row r="819" spans="1:9" x14ac:dyDescent="0.3">
      <c r="A819" s="1" t="s">
        <v>7281</v>
      </c>
      <c r="B819" s="1" t="s">
        <v>4204</v>
      </c>
      <c r="C819" s="41">
        <v>44452</v>
      </c>
      <c r="D819" s="1">
        <v>153330.95000000001</v>
      </c>
      <c r="E819" s="1" t="s">
        <v>6457</v>
      </c>
      <c r="F819" s="1" t="s">
        <v>6461</v>
      </c>
      <c r="G819" s="1" t="s">
        <v>17</v>
      </c>
      <c r="H819" s="1">
        <v>12</v>
      </c>
      <c r="I819" t="str">
        <f>IF(ISNA(_xlfn.XLOOKUP(B819, policy_details!$A$2:$A$2829, policy_details!$A$2:$A$2829)), "Invalid", "Ok")</f>
        <v>Ok</v>
      </c>
    </row>
    <row r="820" spans="1:9" x14ac:dyDescent="0.3">
      <c r="A820" s="1" t="s">
        <v>7282</v>
      </c>
      <c r="B820" s="1" t="s">
        <v>5652</v>
      </c>
      <c r="C820" s="41">
        <v>45703</v>
      </c>
      <c r="D820" s="1">
        <v>175047.85</v>
      </c>
      <c r="E820" s="1" t="s">
        <v>6457</v>
      </c>
      <c r="F820" s="1" t="s">
        <v>6466</v>
      </c>
      <c r="G820" s="1" t="s">
        <v>30</v>
      </c>
      <c r="H820" s="1">
        <v>34</v>
      </c>
      <c r="I820" t="str">
        <f>IF(ISNA(_xlfn.XLOOKUP(B820, policy_details!$A$2:$A$2829, policy_details!$A$2:$A$2829)), "Invalid", "Ok")</f>
        <v>Ok</v>
      </c>
    </row>
    <row r="821" spans="1:9" x14ac:dyDescent="0.3">
      <c r="A821" s="1" t="s">
        <v>7283</v>
      </c>
      <c r="B821" s="1" t="s">
        <v>3528</v>
      </c>
      <c r="C821" s="41">
        <v>45821</v>
      </c>
      <c r="D821" s="1">
        <v>249273.38</v>
      </c>
      <c r="E821" s="1" t="s">
        <v>6457</v>
      </c>
      <c r="F821" s="1" t="s">
        <v>6481</v>
      </c>
      <c r="G821" s="1" t="s">
        <v>17</v>
      </c>
      <c r="H821" s="1">
        <v>43</v>
      </c>
      <c r="I821" t="str">
        <f>IF(ISNA(_xlfn.XLOOKUP(B821, policy_details!$A$2:$A$2829, policy_details!$A$2:$A$2829)), "Invalid", "Ok")</f>
        <v>Ok</v>
      </c>
    </row>
    <row r="822" spans="1:9" x14ac:dyDescent="0.3">
      <c r="A822" s="1" t="s">
        <v>7284</v>
      </c>
      <c r="B822" s="1" t="s">
        <v>6294</v>
      </c>
      <c r="C822" s="41">
        <v>45893</v>
      </c>
      <c r="D822" s="1">
        <v>290809.40999999997</v>
      </c>
      <c r="E822" s="1" t="s">
        <v>6457</v>
      </c>
      <c r="F822" s="1" t="s">
        <v>6466</v>
      </c>
      <c r="G822" s="1" t="s">
        <v>30</v>
      </c>
      <c r="H822" s="1">
        <v>41</v>
      </c>
      <c r="I822" t="str">
        <f>IF(ISNA(_xlfn.XLOOKUP(B822, policy_details!$A$2:$A$2829, policy_details!$A$2:$A$2829)), "Invalid", "Ok")</f>
        <v>Ok</v>
      </c>
    </row>
    <row r="823" spans="1:9" x14ac:dyDescent="0.3">
      <c r="A823" s="1" t="s">
        <v>7285</v>
      </c>
      <c r="B823" s="1" t="s">
        <v>4821</v>
      </c>
      <c r="C823" s="41">
        <v>45438</v>
      </c>
      <c r="D823" s="1">
        <v>102193.01</v>
      </c>
      <c r="E823" s="1" t="s">
        <v>6464</v>
      </c>
      <c r="F823" s="1" t="s">
        <v>6466</v>
      </c>
      <c r="G823" s="1" t="s">
        <v>17</v>
      </c>
      <c r="H823" s="1">
        <v>34</v>
      </c>
      <c r="I823" t="str">
        <f>IF(ISNA(_xlfn.XLOOKUP(B823, policy_details!$A$2:$A$2829, policy_details!$A$2:$A$2829)), "Invalid", "Ok")</f>
        <v>Ok</v>
      </c>
    </row>
    <row r="824" spans="1:9" x14ac:dyDescent="0.3">
      <c r="A824" s="1" t="s">
        <v>7286</v>
      </c>
      <c r="B824" s="1" t="s">
        <v>5991</v>
      </c>
      <c r="C824" s="41">
        <v>45013</v>
      </c>
      <c r="D824" s="1">
        <v>150586.16</v>
      </c>
      <c r="E824" s="1" t="s">
        <v>6460</v>
      </c>
      <c r="F824" s="1" t="s">
        <v>6466</v>
      </c>
      <c r="G824" s="1" t="s">
        <v>17</v>
      </c>
      <c r="H824" s="1">
        <v>44</v>
      </c>
      <c r="I824" t="str">
        <f>IF(ISNA(_xlfn.XLOOKUP(B824, policy_details!$A$2:$A$2829, policy_details!$A$2:$A$2829)), "Invalid", "Ok")</f>
        <v>Ok</v>
      </c>
    </row>
    <row r="825" spans="1:9" x14ac:dyDescent="0.3">
      <c r="A825" s="1" t="s">
        <v>7287</v>
      </c>
      <c r="B825" s="1" t="s">
        <v>4208</v>
      </c>
      <c r="C825" s="41">
        <v>45633</v>
      </c>
      <c r="D825" s="1">
        <v>176993.03</v>
      </c>
      <c r="E825" s="1" t="s">
        <v>6464</v>
      </c>
      <c r="F825" s="1" t="s">
        <v>6470</v>
      </c>
      <c r="G825" s="1" t="s">
        <v>30</v>
      </c>
      <c r="H825" s="1">
        <v>8</v>
      </c>
      <c r="I825" t="str">
        <f>IF(ISNA(_xlfn.XLOOKUP(B825, policy_details!$A$2:$A$2829, policy_details!$A$2:$A$2829)), "Invalid", "Ok")</f>
        <v>Ok</v>
      </c>
    </row>
    <row r="826" spans="1:9" x14ac:dyDescent="0.3">
      <c r="A826" s="1" t="s">
        <v>7288</v>
      </c>
      <c r="B826" s="1" t="s">
        <v>4561</v>
      </c>
      <c r="C826" s="41">
        <v>45029</v>
      </c>
      <c r="D826" s="1">
        <v>393715.79</v>
      </c>
      <c r="E826" s="1" t="s">
        <v>6460</v>
      </c>
      <c r="F826" s="1" t="s">
        <v>6470</v>
      </c>
      <c r="G826" s="1" t="s">
        <v>17</v>
      </c>
      <c r="H826" s="1">
        <v>9</v>
      </c>
      <c r="I826" t="str">
        <f>IF(ISNA(_xlfn.XLOOKUP(B826, policy_details!$A$2:$A$2829, policy_details!$A$2:$A$2829)), "Invalid", "Ok")</f>
        <v>Ok</v>
      </c>
    </row>
    <row r="827" spans="1:9" x14ac:dyDescent="0.3">
      <c r="A827" s="1" t="s">
        <v>7289</v>
      </c>
      <c r="B827" s="1" t="s">
        <v>5672</v>
      </c>
      <c r="C827" s="41">
        <v>45737</v>
      </c>
      <c r="D827" s="1">
        <v>228903.86</v>
      </c>
      <c r="E827" s="1" t="s">
        <v>6464</v>
      </c>
      <c r="F827" s="1" t="s">
        <v>6461</v>
      </c>
      <c r="G827" s="1" t="s">
        <v>17</v>
      </c>
      <c r="H827" s="1">
        <v>18</v>
      </c>
      <c r="I827" t="str">
        <f>IF(ISNA(_xlfn.XLOOKUP(B827, policy_details!$A$2:$A$2829, policy_details!$A$2:$A$2829)), "Invalid", "Ok")</f>
        <v>Ok</v>
      </c>
    </row>
    <row r="828" spans="1:9" x14ac:dyDescent="0.3">
      <c r="A828" s="1" t="s">
        <v>7290</v>
      </c>
      <c r="B828" s="1" t="s">
        <v>4683</v>
      </c>
      <c r="C828" s="41">
        <v>45381</v>
      </c>
      <c r="D828" s="1">
        <v>249552.4</v>
      </c>
      <c r="E828" s="1" t="s">
        <v>6457</v>
      </c>
      <c r="F828" s="1" t="s">
        <v>6481</v>
      </c>
      <c r="G828" s="1" t="s">
        <v>17</v>
      </c>
      <c r="H828" s="1">
        <v>41</v>
      </c>
      <c r="I828" t="str">
        <f>IF(ISNA(_xlfn.XLOOKUP(B828, policy_details!$A$2:$A$2829, policy_details!$A$2:$A$2829)), "Invalid", "Ok")</f>
        <v>Ok</v>
      </c>
    </row>
    <row r="829" spans="1:9" x14ac:dyDescent="0.3">
      <c r="A829" s="1" t="s">
        <v>7291</v>
      </c>
      <c r="B829" s="1" t="s">
        <v>5049</v>
      </c>
      <c r="C829" s="41">
        <v>46010</v>
      </c>
      <c r="D829" s="1">
        <v>183422.03</v>
      </c>
      <c r="E829" s="1" t="s">
        <v>6457</v>
      </c>
      <c r="F829" s="1" t="s">
        <v>6461</v>
      </c>
      <c r="G829" s="1" t="s">
        <v>17</v>
      </c>
      <c r="H829" s="1">
        <v>36</v>
      </c>
      <c r="I829" t="str">
        <f>IF(ISNA(_xlfn.XLOOKUP(B829, policy_details!$A$2:$A$2829, policy_details!$A$2:$A$2829)), "Invalid", "Ok")</f>
        <v>Ok</v>
      </c>
    </row>
    <row r="830" spans="1:9" x14ac:dyDescent="0.3">
      <c r="A830" s="1" t="s">
        <v>7292</v>
      </c>
      <c r="B830" s="1" t="s">
        <v>5907</v>
      </c>
      <c r="C830" s="41">
        <v>46255</v>
      </c>
      <c r="D830" s="1">
        <v>142577.16</v>
      </c>
      <c r="E830" s="1" t="s">
        <v>6460</v>
      </c>
      <c r="F830" s="1" t="s">
        <v>6461</v>
      </c>
      <c r="G830" s="1" t="s">
        <v>30</v>
      </c>
      <c r="H830" s="1">
        <v>17</v>
      </c>
      <c r="I830" t="str">
        <f>IF(ISNA(_xlfn.XLOOKUP(B830, policy_details!$A$2:$A$2829, policy_details!$A$2:$A$2829)), "Invalid", "Ok")</f>
        <v>Ok</v>
      </c>
    </row>
    <row r="831" spans="1:9" x14ac:dyDescent="0.3">
      <c r="A831" s="1" t="s">
        <v>7293</v>
      </c>
      <c r="B831" s="1" t="s">
        <v>5459</v>
      </c>
      <c r="C831" s="41">
        <v>44590</v>
      </c>
      <c r="D831" s="1">
        <v>1542263.85</v>
      </c>
      <c r="E831" s="1" t="s">
        <v>6464</v>
      </c>
      <c r="F831" s="1" t="s">
        <v>6458</v>
      </c>
      <c r="G831" s="1" t="s">
        <v>17</v>
      </c>
      <c r="H831" s="1">
        <v>1</v>
      </c>
      <c r="I831" t="str">
        <f>IF(ISNA(_xlfn.XLOOKUP(B831, policy_details!$A$2:$A$2829, policy_details!$A$2:$A$2829)), "Invalid", "Ok")</f>
        <v>Ok</v>
      </c>
    </row>
    <row r="832" spans="1:9" x14ac:dyDescent="0.3">
      <c r="A832" s="1" t="s">
        <v>7294</v>
      </c>
      <c r="B832" s="1" t="s">
        <v>5983</v>
      </c>
      <c r="C832" s="41">
        <v>44633</v>
      </c>
      <c r="D832" s="1">
        <v>223594.34</v>
      </c>
      <c r="E832" s="1" t="s">
        <v>6464</v>
      </c>
      <c r="F832" s="1" t="s">
        <v>6470</v>
      </c>
      <c r="G832" s="1" t="s">
        <v>17</v>
      </c>
      <c r="H832" s="1">
        <v>28</v>
      </c>
      <c r="I832" t="str">
        <f>IF(ISNA(_xlfn.XLOOKUP(B832, policy_details!$A$2:$A$2829, policy_details!$A$2:$A$2829)), "Invalid", "Ok")</f>
        <v>Ok</v>
      </c>
    </row>
    <row r="833" spans="1:9" x14ac:dyDescent="0.3">
      <c r="A833" s="1" t="s">
        <v>7295</v>
      </c>
      <c r="B833" s="1" t="s">
        <v>3726</v>
      </c>
      <c r="C833" s="41">
        <v>45719</v>
      </c>
      <c r="D833" s="1">
        <v>284301.53000000003</v>
      </c>
      <c r="E833" s="1" t="s">
        <v>6464</v>
      </c>
      <c r="F833" s="1" t="s">
        <v>6461</v>
      </c>
      <c r="G833" s="1" t="s">
        <v>17</v>
      </c>
      <c r="H833" s="1">
        <v>14</v>
      </c>
      <c r="I833" t="str">
        <f>IF(ISNA(_xlfn.XLOOKUP(B833, policy_details!$A$2:$A$2829, policy_details!$A$2:$A$2829)), "Invalid", "Ok")</f>
        <v>Ok</v>
      </c>
    </row>
    <row r="834" spans="1:9" x14ac:dyDescent="0.3">
      <c r="A834" s="1" t="s">
        <v>7296</v>
      </c>
      <c r="B834" s="1" t="s">
        <v>5336</v>
      </c>
      <c r="C834" s="41">
        <v>45128</v>
      </c>
      <c r="D834" s="1">
        <v>457019.21</v>
      </c>
      <c r="E834" s="1" t="s">
        <v>6464</v>
      </c>
      <c r="F834" s="1" t="s">
        <v>6458</v>
      </c>
      <c r="G834" s="1" t="s">
        <v>17</v>
      </c>
      <c r="H834" s="1">
        <v>10</v>
      </c>
      <c r="I834" t="str">
        <f>IF(ISNA(_xlfn.XLOOKUP(B834, policy_details!$A$2:$A$2829, policy_details!$A$2:$A$2829)), "Invalid", "Ok")</f>
        <v>Ok</v>
      </c>
    </row>
    <row r="835" spans="1:9" x14ac:dyDescent="0.3">
      <c r="A835" s="1" t="s">
        <v>7297</v>
      </c>
      <c r="B835" s="1" t="s">
        <v>5316</v>
      </c>
      <c r="C835" s="41">
        <v>45824</v>
      </c>
      <c r="D835" s="1">
        <v>120284.72</v>
      </c>
      <c r="E835" s="1" t="s">
        <v>6457</v>
      </c>
      <c r="F835" s="1" t="s">
        <v>6470</v>
      </c>
      <c r="G835" s="1" t="s">
        <v>17</v>
      </c>
      <c r="H835" s="1">
        <v>10</v>
      </c>
      <c r="I835" t="str">
        <f>IF(ISNA(_xlfn.XLOOKUP(B835, policy_details!$A$2:$A$2829, policy_details!$A$2:$A$2829)), "Invalid", "Ok")</f>
        <v>Ok</v>
      </c>
    </row>
    <row r="836" spans="1:9" x14ac:dyDescent="0.3">
      <c r="A836" s="1" t="s">
        <v>7298</v>
      </c>
      <c r="B836" s="1" t="s">
        <v>5334</v>
      </c>
      <c r="C836" s="41">
        <v>44738</v>
      </c>
      <c r="D836" s="1">
        <v>206488.05</v>
      </c>
      <c r="E836" s="1" t="s">
        <v>6457</v>
      </c>
      <c r="F836" s="1" t="s">
        <v>6470</v>
      </c>
      <c r="G836" s="1" t="s">
        <v>17</v>
      </c>
      <c r="H836" s="1">
        <v>11</v>
      </c>
      <c r="I836" t="str">
        <f>IF(ISNA(_xlfn.XLOOKUP(B836, policy_details!$A$2:$A$2829, policy_details!$A$2:$A$2829)), "Invalid", "Ok")</f>
        <v>Ok</v>
      </c>
    </row>
    <row r="837" spans="1:9" x14ac:dyDescent="0.3">
      <c r="A837" s="1" t="s">
        <v>7299</v>
      </c>
      <c r="B837" s="1" t="s">
        <v>5280</v>
      </c>
      <c r="C837" s="41">
        <v>45808</v>
      </c>
      <c r="D837" s="1">
        <v>191979.94</v>
      </c>
      <c r="E837" s="1" t="s">
        <v>6460</v>
      </c>
      <c r="F837" s="1" t="s">
        <v>6461</v>
      </c>
      <c r="G837" s="1" t="s">
        <v>17</v>
      </c>
      <c r="H837" s="1">
        <v>15</v>
      </c>
      <c r="I837" t="str">
        <f>IF(ISNA(_xlfn.XLOOKUP(B837, policy_details!$A$2:$A$2829, policy_details!$A$2:$A$2829)), "Invalid", "Ok")</f>
        <v>Ok</v>
      </c>
    </row>
    <row r="838" spans="1:9" x14ac:dyDescent="0.3">
      <c r="A838" s="1" t="s">
        <v>7300</v>
      </c>
      <c r="B838" s="1" t="s">
        <v>5664</v>
      </c>
      <c r="C838" s="41">
        <v>44745</v>
      </c>
      <c r="D838" s="1">
        <v>597722.18999999994</v>
      </c>
      <c r="E838" s="1" t="s">
        <v>6460</v>
      </c>
      <c r="F838" s="1" t="s">
        <v>6470</v>
      </c>
      <c r="G838" s="1" t="s">
        <v>17</v>
      </c>
      <c r="H838" s="1">
        <v>28</v>
      </c>
      <c r="I838" t="str">
        <f>IF(ISNA(_xlfn.XLOOKUP(B838, policy_details!$A$2:$A$2829, policy_details!$A$2:$A$2829)), "Invalid", "Ok")</f>
        <v>Ok</v>
      </c>
    </row>
    <row r="839" spans="1:9" x14ac:dyDescent="0.3">
      <c r="A839" s="1" t="s">
        <v>7301</v>
      </c>
      <c r="B839" s="1" t="s">
        <v>6007</v>
      </c>
      <c r="C839" s="41">
        <v>45241</v>
      </c>
      <c r="D839" s="1">
        <v>72899.63</v>
      </c>
      <c r="E839" s="1" t="s">
        <v>6460</v>
      </c>
      <c r="F839" s="1" t="s">
        <v>6470</v>
      </c>
      <c r="G839" s="1" t="s">
        <v>17</v>
      </c>
      <c r="H839" s="1">
        <v>8</v>
      </c>
      <c r="I839" t="str">
        <f>IF(ISNA(_xlfn.XLOOKUP(B839, policy_details!$A$2:$A$2829, policy_details!$A$2:$A$2829)), "Invalid", "Ok")</f>
        <v>Ok</v>
      </c>
    </row>
    <row r="840" spans="1:9" x14ac:dyDescent="0.3">
      <c r="A840" s="1" t="s">
        <v>7302</v>
      </c>
      <c r="B840" s="1" t="s">
        <v>4232</v>
      </c>
      <c r="C840" s="41">
        <v>46217</v>
      </c>
      <c r="D840" s="1">
        <v>177047.71</v>
      </c>
      <c r="E840" s="1" t="s">
        <v>6457</v>
      </c>
      <c r="F840" s="1" t="s">
        <v>6470</v>
      </c>
      <c r="G840" s="1" t="s">
        <v>17</v>
      </c>
      <c r="H840" s="1">
        <v>22</v>
      </c>
      <c r="I840" t="str">
        <f>IF(ISNA(_xlfn.XLOOKUP(B840, policy_details!$A$2:$A$2829, policy_details!$A$2:$A$2829)), "Invalid", "Ok")</f>
        <v>Ok</v>
      </c>
    </row>
    <row r="841" spans="1:9" x14ac:dyDescent="0.3">
      <c r="A841" s="1" t="s">
        <v>7303</v>
      </c>
      <c r="B841" s="1" t="s">
        <v>3800</v>
      </c>
      <c r="C841" s="41">
        <v>44513</v>
      </c>
      <c r="D841" s="1">
        <v>173121.88</v>
      </c>
      <c r="E841" s="1" t="s">
        <v>6460</v>
      </c>
      <c r="F841" s="1" t="s">
        <v>6470</v>
      </c>
      <c r="G841" s="1" t="s">
        <v>17</v>
      </c>
      <c r="H841" s="1">
        <v>41</v>
      </c>
      <c r="I841" t="str">
        <f>IF(ISNA(_xlfn.XLOOKUP(B841, policy_details!$A$2:$A$2829, policy_details!$A$2:$A$2829)), "Invalid", "Ok")</f>
        <v>Ok</v>
      </c>
    </row>
    <row r="842" spans="1:9" x14ac:dyDescent="0.3">
      <c r="A842" s="1" t="s">
        <v>7304</v>
      </c>
      <c r="B842" s="1" t="s">
        <v>3675</v>
      </c>
      <c r="C842" s="41">
        <v>45216</v>
      </c>
      <c r="D842" s="1">
        <v>1013651.13</v>
      </c>
      <c r="E842" s="1" t="s">
        <v>6464</v>
      </c>
      <c r="F842" s="1" t="s">
        <v>6458</v>
      </c>
      <c r="G842" s="1" t="s">
        <v>17</v>
      </c>
      <c r="H842" s="1">
        <v>43</v>
      </c>
      <c r="I842" t="str">
        <f>IF(ISNA(_xlfn.XLOOKUP(B842, policy_details!$A$2:$A$2829, policy_details!$A$2:$A$2829)), "Invalid", "Ok")</f>
        <v>Ok</v>
      </c>
    </row>
    <row r="843" spans="1:9" x14ac:dyDescent="0.3">
      <c r="A843" s="1" t="s">
        <v>7305</v>
      </c>
      <c r="B843" s="1" t="s">
        <v>3995</v>
      </c>
      <c r="C843" s="41">
        <v>44753</v>
      </c>
      <c r="D843" s="1">
        <v>2140993.12</v>
      </c>
      <c r="E843" s="1" t="s">
        <v>6457</v>
      </c>
      <c r="F843" s="1" t="s">
        <v>6458</v>
      </c>
      <c r="G843" s="1" t="s">
        <v>17</v>
      </c>
      <c r="H843" s="1">
        <v>37</v>
      </c>
      <c r="I843" t="str">
        <f>IF(ISNA(_xlfn.XLOOKUP(B843, policy_details!$A$2:$A$2829, policy_details!$A$2:$A$2829)), "Invalid", "Ok")</f>
        <v>Ok</v>
      </c>
    </row>
    <row r="844" spans="1:9" x14ac:dyDescent="0.3">
      <c r="A844" s="1" t="s">
        <v>7306</v>
      </c>
      <c r="B844" s="1" t="s">
        <v>5473</v>
      </c>
      <c r="C844" s="41">
        <v>45909</v>
      </c>
      <c r="D844" s="1">
        <v>232472.77</v>
      </c>
      <c r="E844" s="1" t="s">
        <v>6460</v>
      </c>
      <c r="F844" s="1" t="s">
        <v>6461</v>
      </c>
      <c r="G844" s="1" t="s">
        <v>17</v>
      </c>
      <c r="H844" s="1">
        <v>12</v>
      </c>
      <c r="I844" t="str">
        <f>IF(ISNA(_xlfn.XLOOKUP(B844, policy_details!$A$2:$A$2829, policy_details!$A$2:$A$2829)), "Invalid", "Ok")</f>
        <v>Ok</v>
      </c>
    </row>
    <row r="845" spans="1:9" x14ac:dyDescent="0.3">
      <c r="A845" s="1" t="s">
        <v>7307</v>
      </c>
      <c r="B845" s="1" t="s">
        <v>4790</v>
      </c>
      <c r="C845" s="41">
        <v>45332</v>
      </c>
      <c r="D845" s="1">
        <v>98654.16</v>
      </c>
      <c r="E845" s="1" t="s">
        <v>6457</v>
      </c>
      <c r="F845" s="1" t="s">
        <v>6466</v>
      </c>
      <c r="G845" s="1" t="s">
        <v>17</v>
      </c>
      <c r="H845" s="1">
        <v>7</v>
      </c>
      <c r="I845" t="str">
        <f>IF(ISNA(_xlfn.XLOOKUP(B845, policy_details!$A$2:$A$2829, policy_details!$A$2:$A$2829)), "Invalid", "Ok")</f>
        <v>Ok</v>
      </c>
    </row>
    <row r="846" spans="1:9" x14ac:dyDescent="0.3">
      <c r="A846" s="1" t="s">
        <v>7308</v>
      </c>
      <c r="B846" s="1" t="s">
        <v>4595</v>
      </c>
      <c r="C846" s="41">
        <v>45810</v>
      </c>
      <c r="D846" s="1">
        <v>387546.78</v>
      </c>
      <c r="E846" s="1" t="s">
        <v>6460</v>
      </c>
      <c r="F846" s="1" t="s">
        <v>6470</v>
      </c>
      <c r="G846" s="1" t="s">
        <v>30</v>
      </c>
      <c r="H846" s="1">
        <v>39</v>
      </c>
      <c r="I846" t="str">
        <f>IF(ISNA(_xlfn.XLOOKUP(B846, policy_details!$A$2:$A$2829, policy_details!$A$2:$A$2829)), "Invalid", "Ok")</f>
        <v>Ok</v>
      </c>
    </row>
    <row r="847" spans="1:9" x14ac:dyDescent="0.3">
      <c r="A847" s="1" t="s">
        <v>7309</v>
      </c>
      <c r="B847" s="1" t="s">
        <v>6195</v>
      </c>
      <c r="C847" s="41">
        <v>45441</v>
      </c>
      <c r="D847" s="1">
        <v>467107.33</v>
      </c>
      <c r="E847" s="1" t="s">
        <v>6460</v>
      </c>
      <c r="F847" s="1" t="s">
        <v>6466</v>
      </c>
      <c r="G847" s="1" t="s">
        <v>17</v>
      </c>
      <c r="H847" s="1">
        <v>18</v>
      </c>
      <c r="I847" t="str">
        <f>IF(ISNA(_xlfn.XLOOKUP(B847, policy_details!$A$2:$A$2829, policy_details!$A$2:$A$2829)), "Invalid", "Ok")</f>
        <v>Ok</v>
      </c>
    </row>
    <row r="848" spans="1:9" x14ac:dyDescent="0.3">
      <c r="A848" s="1" t="s">
        <v>7310</v>
      </c>
      <c r="B848" s="1" t="s">
        <v>6166</v>
      </c>
      <c r="C848" s="41">
        <v>45171</v>
      </c>
      <c r="D848" s="1">
        <v>285145.11</v>
      </c>
      <c r="E848" s="1" t="s">
        <v>6457</v>
      </c>
      <c r="F848" s="1" t="s">
        <v>6481</v>
      </c>
      <c r="G848" s="1" t="s">
        <v>17</v>
      </c>
      <c r="H848" s="1">
        <v>21</v>
      </c>
      <c r="I848" t="str">
        <f>IF(ISNA(_xlfn.XLOOKUP(B848, policy_details!$A$2:$A$2829, policy_details!$A$2:$A$2829)), "Invalid", "Ok")</f>
        <v>Ok</v>
      </c>
    </row>
    <row r="849" spans="1:9" x14ac:dyDescent="0.3">
      <c r="A849" s="1" t="s">
        <v>7311</v>
      </c>
      <c r="B849" s="1" t="s">
        <v>5139</v>
      </c>
      <c r="C849" s="41">
        <v>44984</v>
      </c>
      <c r="D849" s="1">
        <v>80163.98</v>
      </c>
      <c r="E849" s="1" t="s">
        <v>6464</v>
      </c>
      <c r="F849" s="1" t="s">
        <v>6470</v>
      </c>
      <c r="G849" s="1" t="s">
        <v>17</v>
      </c>
      <c r="H849" s="1">
        <v>19</v>
      </c>
      <c r="I849" t="str">
        <f>IF(ISNA(_xlfn.XLOOKUP(B849, policy_details!$A$2:$A$2829, policy_details!$A$2:$A$2829)), "Invalid", "Ok")</f>
        <v>Ok</v>
      </c>
    </row>
    <row r="850" spans="1:9" x14ac:dyDescent="0.3">
      <c r="A850" s="1" t="s">
        <v>7312</v>
      </c>
      <c r="B850" s="1" t="s">
        <v>4909</v>
      </c>
      <c r="C850" s="41">
        <v>45237</v>
      </c>
      <c r="D850" s="1">
        <v>139048.92000000001</v>
      </c>
      <c r="E850" s="1" t="s">
        <v>6460</v>
      </c>
      <c r="F850" s="1" t="s">
        <v>6461</v>
      </c>
      <c r="G850" s="1" t="s">
        <v>17</v>
      </c>
      <c r="H850" s="1">
        <v>6</v>
      </c>
      <c r="I850" t="str">
        <f>IF(ISNA(_xlfn.XLOOKUP(B850, policy_details!$A$2:$A$2829, policy_details!$A$2:$A$2829)), "Invalid", "Ok")</f>
        <v>Ok</v>
      </c>
    </row>
    <row r="851" spans="1:9" x14ac:dyDescent="0.3">
      <c r="A851" s="1" t="s">
        <v>7313</v>
      </c>
      <c r="B851" s="1" t="s">
        <v>4359</v>
      </c>
      <c r="C851" s="41">
        <v>44979</v>
      </c>
      <c r="D851" s="1">
        <v>278103</v>
      </c>
      <c r="E851" s="1" t="s">
        <v>6457</v>
      </c>
      <c r="F851" s="1" t="s">
        <v>6466</v>
      </c>
      <c r="G851" s="1" t="s">
        <v>17</v>
      </c>
      <c r="H851" s="1">
        <v>32</v>
      </c>
      <c r="I851" t="str">
        <f>IF(ISNA(_xlfn.XLOOKUP(B851, policy_details!$A$2:$A$2829, policy_details!$A$2:$A$2829)), "Invalid", "Ok")</f>
        <v>Ok</v>
      </c>
    </row>
    <row r="852" spans="1:9" x14ac:dyDescent="0.3">
      <c r="A852" s="1" t="s">
        <v>7314</v>
      </c>
      <c r="B852" s="1" t="s">
        <v>4913</v>
      </c>
      <c r="C852" s="41">
        <v>46126</v>
      </c>
      <c r="D852" s="1">
        <v>411470.13</v>
      </c>
      <c r="E852" s="1" t="s">
        <v>6464</v>
      </c>
      <c r="F852" s="1" t="s">
        <v>6481</v>
      </c>
      <c r="G852" s="1" t="s">
        <v>17</v>
      </c>
      <c r="H852" s="1">
        <v>11</v>
      </c>
      <c r="I852" t="str">
        <f>IF(ISNA(_xlfn.XLOOKUP(B852, policy_details!$A$2:$A$2829, policy_details!$A$2:$A$2829)), "Invalid", "Ok")</f>
        <v>Ok</v>
      </c>
    </row>
    <row r="853" spans="1:9" x14ac:dyDescent="0.3">
      <c r="A853" s="1" t="s">
        <v>7315</v>
      </c>
      <c r="B853" s="1" t="s">
        <v>4775</v>
      </c>
      <c r="C853" s="41">
        <v>45678</v>
      </c>
      <c r="D853" s="1">
        <v>90776.79</v>
      </c>
      <c r="E853" s="1" t="s">
        <v>6464</v>
      </c>
      <c r="F853" s="1" t="s">
        <v>6466</v>
      </c>
      <c r="G853" s="1" t="s">
        <v>17</v>
      </c>
      <c r="H853" s="1">
        <v>11</v>
      </c>
      <c r="I853" t="str">
        <f>IF(ISNA(_xlfn.XLOOKUP(B853, policy_details!$A$2:$A$2829, policy_details!$A$2:$A$2829)), "Invalid", "Ok")</f>
        <v>Ok</v>
      </c>
    </row>
    <row r="854" spans="1:9" x14ac:dyDescent="0.3">
      <c r="A854" s="1" t="s">
        <v>7316</v>
      </c>
      <c r="B854" s="1" t="s">
        <v>3356</v>
      </c>
      <c r="C854" s="41">
        <v>45396</v>
      </c>
      <c r="D854" s="1">
        <v>612679.81999999995</v>
      </c>
      <c r="E854" s="1" t="s">
        <v>6460</v>
      </c>
      <c r="F854" s="1" t="s">
        <v>6458</v>
      </c>
      <c r="G854" s="1" t="s">
        <v>17</v>
      </c>
      <c r="H854" s="1">
        <v>34</v>
      </c>
      <c r="I854" t="str">
        <f>IF(ISNA(_xlfn.XLOOKUP(B854, policy_details!$A$2:$A$2829, policy_details!$A$2:$A$2829)), "Invalid", "Ok")</f>
        <v>Ok</v>
      </c>
    </row>
    <row r="855" spans="1:9" x14ac:dyDescent="0.3">
      <c r="A855" s="1" t="s">
        <v>7317</v>
      </c>
      <c r="B855" s="1" t="s">
        <v>5761</v>
      </c>
      <c r="C855" s="41">
        <v>45565</v>
      </c>
      <c r="D855" s="1">
        <v>311676.27</v>
      </c>
      <c r="E855" s="1" t="s">
        <v>6457</v>
      </c>
      <c r="F855" s="1" t="s">
        <v>6470</v>
      </c>
      <c r="G855" s="1" t="s">
        <v>17</v>
      </c>
      <c r="H855" s="1">
        <v>32</v>
      </c>
      <c r="I855" t="str">
        <f>IF(ISNA(_xlfn.XLOOKUP(B855, policy_details!$A$2:$A$2829, policy_details!$A$2:$A$2829)), "Invalid", "Ok")</f>
        <v>Ok</v>
      </c>
    </row>
    <row r="856" spans="1:9" x14ac:dyDescent="0.3">
      <c r="A856" s="1" t="s">
        <v>7318</v>
      </c>
      <c r="B856" s="1" t="s">
        <v>4853</v>
      </c>
      <c r="C856" s="41">
        <v>45120</v>
      </c>
      <c r="D856" s="1">
        <v>381396.45</v>
      </c>
      <c r="E856" s="1" t="s">
        <v>6460</v>
      </c>
      <c r="F856" s="1" t="s">
        <v>6470</v>
      </c>
      <c r="G856" s="1" t="s">
        <v>17</v>
      </c>
      <c r="H856" s="1">
        <v>37</v>
      </c>
      <c r="I856" t="str">
        <f>IF(ISNA(_xlfn.XLOOKUP(B856, policy_details!$A$2:$A$2829, policy_details!$A$2:$A$2829)), "Invalid", "Ok")</f>
        <v>Ok</v>
      </c>
    </row>
    <row r="857" spans="1:9" x14ac:dyDescent="0.3">
      <c r="A857" s="1" t="s">
        <v>7319</v>
      </c>
      <c r="B857" s="1" t="s">
        <v>4210</v>
      </c>
      <c r="C857" s="41">
        <v>45629</v>
      </c>
      <c r="D857" s="1">
        <v>272841.56</v>
      </c>
      <c r="E857" s="1" t="s">
        <v>6460</v>
      </c>
      <c r="F857" s="1" t="s">
        <v>6466</v>
      </c>
      <c r="G857" s="1" t="s">
        <v>17</v>
      </c>
      <c r="H857" s="1">
        <v>32</v>
      </c>
      <c r="I857" t="str">
        <f>IF(ISNA(_xlfn.XLOOKUP(B857, policy_details!$A$2:$A$2829, policy_details!$A$2:$A$2829)), "Invalid", "Ok")</f>
        <v>Ok</v>
      </c>
    </row>
    <row r="858" spans="1:9" x14ac:dyDescent="0.3">
      <c r="A858" s="1" t="s">
        <v>7320</v>
      </c>
      <c r="B858" s="1" t="s">
        <v>5502</v>
      </c>
      <c r="C858" s="41">
        <v>44700</v>
      </c>
      <c r="D858" s="1">
        <v>319645.62</v>
      </c>
      <c r="E858" s="1" t="s">
        <v>6457</v>
      </c>
      <c r="F858" s="1" t="s">
        <v>6470</v>
      </c>
      <c r="G858" s="1" t="s">
        <v>17</v>
      </c>
      <c r="H858" s="1">
        <v>2</v>
      </c>
      <c r="I858" t="str">
        <f>IF(ISNA(_xlfn.XLOOKUP(B858, policy_details!$A$2:$A$2829, policy_details!$A$2:$A$2829)), "Invalid", "Ok")</f>
        <v>Ok</v>
      </c>
    </row>
    <row r="859" spans="1:9" x14ac:dyDescent="0.3">
      <c r="A859" s="1" t="s">
        <v>7321</v>
      </c>
      <c r="B859" s="1" t="s">
        <v>4878</v>
      </c>
      <c r="C859" s="41">
        <v>45397</v>
      </c>
      <c r="D859" s="1">
        <v>226014.12</v>
      </c>
      <c r="E859" s="1" t="s">
        <v>6460</v>
      </c>
      <c r="F859" s="1" t="s">
        <v>6470</v>
      </c>
      <c r="G859" s="1" t="s">
        <v>17</v>
      </c>
      <c r="H859" s="1">
        <v>19</v>
      </c>
      <c r="I859" t="str">
        <f>IF(ISNA(_xlfn.XLOOKUP(B859, policy_details!$A$2:$A$2829, policy_details!$A$2:$A$2829)), "Invalid", "Ok")</f>
        <v>Ok</v>
      </c>
    </row>
    <row r="860" spans="1:9" x14ac:dyDescent="0.3">
      <c r="A860" s="1" t="s">
        <v>7322</v>
      </c>
      <c r="B860" s="1" t="s">
        <v>4488</v>
      </c>
      <c r="C860" s="41">
        <v>44815</v>
      </c>
      <c r="D860" s="1">
        <v>1456712.03</v>
      </c>
      <c r="E860" s="1" t="s">
        <v>6464</v>
      </c>
      <c r="F860" s="1" t="s">
        <v>6458</v>
      </c>
      <c r="G860" s="1" t="s">
        <v>17</v>
      </c>
      <c r="H860" s="1">
        <v>19</v>
      </c>
      <c r="I860" t="str">
        <f>IF(ISNA(_xlfn.XLOOKUP(B860, policy_details!$A$2:$A$2829, policy_details!$A$2:$A$2829)), "Invalid", "Ok")</f>
        <v>Ok</v>
      </c>
    </row>
    <row r="861" spans="1:9" x14ac:dyDescent="0.3">
      <c r="A861" s="1" t="s">
        <v>7323</v>
      </c>
      <c r="B861" s="1" t="s">
        <v>4235</v>
      </c>
      <c r="C861" s="41">
        <v>45563</v>
      </c>
      <c r="D861" s="1">
        <v>268814.64</v>
      </c>
      <c r="E861" s="1" t="s">
        <v>6457</v>
      </c>
      <c r="F861" s="1" t="s">
        <v>6481</v>
      </c>
      <c r="G861" s="1" t="s">
        <v>17</v>
      </c>
      <c r="H861" s="1">
        <v>15</v>
      </c>
      <c r="I861" t="str">
        <f>IF(ISNA(_xlfn.XLOOKUP(B861, policy_details!$A$2:$A$2829, policy_details!$A$2:$A$2829)), "Invalid", "Ok")</f>
        <v>Ok</v>
      </c>
    </row>
    <row r="862" spans="1:9" x14ac:dyDescent="0.3">
      <c r="A862" s="1" t="s">
        <v>7324</v>
      </c>
      <c r="B862" s="1" t="s">
        <v>3611</v>
      </c>
      <c r="C862" s="41">
        <v>45747</v>
      </c>
      <c r="D862" s="1">
        <v>1144094.8</v>
      </c>
      <c r="E862" s="1" t="s">
        <v>6464</v>
      </c>
      <c r="F862" s="1" t="s">
        <v>6458</v>
      </c>
      <c r="G862" s="1" t="s">
        <v>17</v>
      </c>
      <c r="H862" s="1">
        <v>22</v>
      </c>
      <c r="I862" t="str">
        <f>IF(ISNA(_xlfn.XLOOKUP(B862, policy_details!$A$2:$A$2829, policy_details!$A$2:$A$2829)), "Invalid", "Ok")</f>
        <v>Ok</v>
      </c>
    </row>
    <row r="863" spans="1:9" x14ac:dyDescent="0.3">
      <c r="A863" s="1" t="s">
        <v>7325</v>
      </c>
      <c r="B863" s="1" t="s">
        <v>5035</v>
      </c>
      <c r="C863" s="41">
        <v>45390</v>
      </c>
      <c r="D863" s="1">
        <v>135716.97</v>
      </c>
      <c r="E863" s="1" t="s">
        <v>6460</v>
      </c>
      <c r="F863" s="1" t="s">
        <v>6481</v>
      </c>
      <c r="G863" s="1" t="s">
        <v>30</v>
      </c>
      <c r="H863" s="1">
        <v>22</v>
      </c>
      <c r="I863" t="str">
        <f>IF(ISNA(_xlfn.XLOOKUP(B863, policy_details!$A$2:$A$2829, policy_details!$A$2:$A$2829)), "Invalid", "Ok")</f>
        <v>Ok</v>
      </c>
    </row>
    <row r="864" spans="1:9" x14ac:dyDescent="0.3">
      <c r="A864" s="1" t="s">
        <v>7326</v>
      </c>
      <c r="B864" s="1" t="s">
        <v>4672</v>
      </c>
      <c r="C864" s="41">
        <v>44901</v>
      </c>
      <c r="D864" s="1">
        <v>215229.29</v>
      </c>
      <c r="E864" s="1" t="s">
        <v>6460</v>
      </c>
      <c r="F864" s="1" t="s">
        <v>6461</v>
      </c>
      <c r="G864" s="1" t="s">
        <v>17</v>
      </c>
      <c r="H864" s="1">
        <v>28</v>
      </c>
      <c r="I864" t="str">
        <f>IF(ISNA(_xlfn.XLOOKUP(B864, policy_details!$A$2:$A$2829, policy_details!$A$2:$A$2829)), "Invalid", "Ok")</f>
        <v>Ok</v>
      </c>
    </row>
    <row r="865" spans="1:9" x14ac:dyDescent="0.3">
      <c r="A865" s="1" t="s">
        <v>7327</v>
      </c>
      <c r="B865" s="1" t="s">
        <v>3523</v>
      </c>
      <c r="C865" s="41">
        <v>45287</v>
      </c>
      <c r="D865" s="1">
        <v>481168.89</v>
      </c>
      <c r="E865" s="1" t="s">
        <v>6464</v>
      </c>
      <c r="F865" s="1" t="s">
        <v>6458</v>
      </c>
      <c r="G865" s="1" t="s">
        <v>17</v>
      </c>
      <c r="H865" s="1">
        <v>43</v>
      </c>
      <c r="I865" t="str">
        <f>IF(ISNA(_xlfn.XLOOKUP(B865, policy_details!$A$2:$A$2829, policy_details!$A$2:$A$2829)), "Invalid", "Ok")</f>
        <v>Ok</v>
      </c>
    </row>
    <row r="866" spans="1:9" x14ac:dyDescent="0.3">
      <c r="A866" s="1" t="s">
        <v>7328</v>
      </c>
      <c r="B866" s="1" t="s">
        <v>5916</v>
      </c>
      <c r="C866" s="41">
        <v>46152</v>
      </c>
      <c r="D866" s="1">
        <v>1290652</v>
      </c>
      <c r="E866" s="1" t="s">
        <v>6460</v>
      </c>
      <c r="F866" s="1" t="s">
        <v>6458</v>
      </c>
      <c r="G866" s="1" t="s">
        <v>17</v>
      </c>
      <c r="H866" s="1">
        <v>29</v>
      </c>
      <c r="I866" t="str">
        <f>IF(ISNA(_xlfn.XLOOKUP(B866, policy_details!$A$2:$A$2829, policy_details!$A$2:$A$2829)), "Invalid", "Ok")</f>
        <v>Ok</v>
      </c>
    </row>
    <row r="867" spans="1:9" x14ac:dyDescent="0.3">
      <c r="A867" s="1" t="s">
        <v>7329</v>
      </c>
      <c r="B867" s="1" t="s">
        <v>5905</v>
      </c>
      <c r="C867" s="41">
        <v>46135</v>
      </c>
      <c r="D867" s="1">
        <v>176643.93</v>
      </c>
      <c r="E867" s="1" t="s">
        <v>6460</v>
      </c>
      <c r="F867" s="1" t="s">
        <v>6466</v>
      </c>
      <c r="G867" s="1" t="s">
        <v>17</v>
      </c>
      <c r="H867" s="1">
        <v>42</v>
      </c>
      <c r="I867" t="str">
        <f>IF(ISNA(_xlfn.XLOOKUP(B867, policy_details!$A$2:$A$2829, policy_details!$A$2:$A$2829)), "Invalid", "Ok")</f>
        <v>Ok</v>
      </c>
    </row>
    <row r="868" spans="1:9" x14ac:dyDescent="0.3">
      <c r="A868" s="1" t="s">
        <v>7330</v>
      </c>
      <c r="B868" s="1" t="s">
        <v>4997</v>
      </c>
      <c r="C868" s="41">
        <v>45757</v>
      </c>
      <c r="D868" s="1">
        <v>264706.51</v>
      </c>
      <c r="E868" s="1" t="s">
        <v>6457</v>
      </c>
      <c r="F868" s="1" t="s">
        <v>6466</v>
      </c>
      <c r="G868" s="1" t="s">
        <v>17</v>
      </c>
      <c r="H868" s="1">
        <v>37</v>
      </c>
      <c r="I868" t="str">
        <f>IF(ISNA(_xlfn.XLOOKUP(B868, policy_details!$A$2:$A$2829, policy_details!$A$2:$A$2829)), "Invalid", "Ok")</f>
        <v>Ok</v>
      </c>
    </row>
    <row r="869" spans="1:9" x14ac:dyDescent="0.3">
      <c r="A869" s="1" t="s">
        <v>7331</v>
      </c>
      <c r="B869" s="1" t="s">
        <v>5992</v>
      </c>
      <c r="C869" s="41">
        <v>45999</v>
      </c>
      <c r="D869" s="1">
        <v>155254.01</v>
      </c>
      <c r="E869" s="1" t="s">
        <v>6457</v>
      </c>
      <c r="F869" s="1" t="s">
        <v>6481</v>
      </c>
      <c r="G869" s="1" t="s">
        <v>17</v>
      </c>
      <c r="H869" s="1">
        <v>33</v>
      </c>
      <c r="I869" t="str">
        <f>IF(ISNA(_xlfn.XLOOKUP(B869, policy_details!$A$2:$A$2829, policy_details!$A$2:$A$2829)), "Invalid", "Ok")</f>
        <v>Ok</v>
      </c>
    </row>
    <row r="870" spans="1:9" x14ac:dyDescent="0.3">
      <c r="A870" s="1" t="s">
        <v>7332</v>
      </c>
      <c r="B870" s="1" t="s">
        <v>4972</v>
      </c>
      <c r="C870" s="41">
        <v>44689</v>
      </c>
      <c r="D870" s="1">
        <v>171027.34</v>
      </c>
      <c r="E870" s="1" t="s">
        <v>6460</v>
      </c>
      <c r="F870" s="1" t="s">
        <v>6466</v>
      </c>
      <c r="G870" s="1" t="s">
        <v>17</v>
      </c>
      <c r="H870" s="1">
        <v>13</v>
      </c>
      <c r="I870" t="str">
        <f>IF(ISNA(_xlfn.XLOOKUP(B870, policy_details!$A$2:$A$2829, policy_details!$A$2:$A$2829)), "Invalid", "Ok")</f>
        <v>Ok</v>
      </c>
    </row>
    <row r="871" spans="1:9" x14ac:dyDescent="0.3">
      <c r="A871" s="1" t="s">
        <v>7333</v>
      </c>
      <c r="B871" s="1" t="s">
        <v>4036</v>
      </c>
      <c r="C871" s="41">
        <v>45400</v>
      </c>
      <c r="D871" s="1">
        <v>180299.75</v>
      </c>
      <c r="E871" s="1" t="s">
        <v>6464</v>
      </c>
      <c r="F871" s="1" t="s">
        <v>6461</v>
      </c>
      <c r="G871" s="1" t="s">
        <v>30</v>
      </c>
      <c r="H871" s="1">
        <v>26</v>
      </c>
      <c r="I871" t="str">
        <f>IF(ISNA(_xlfn.XLOOKUP(B871, policy_details!$A$2:$A$2829, policy_details!$A$2:$A$2829)), "Invalid", "Ok")</f>
        <v>Ok</v>
      </c>
    </row>
    <row r="872" spans="1:9" x14ac:dyDescent="0.3">
      <c r="A872" s="1" t="s">
        <v>7334</v>
      </c>
      <c r="B872" s="1" t="s">
        <v>5078</v>
      </c>
      <c r="C872" s="41">
        <v>45957</v>
      </c>
      <c r="D872" s="1">
        <v>218721.91</v>
      </c>
      <c r="E872" s="1" t="s">
        <v>6457</v>
      </c>
      <c r="F872" s="1" t="s">
        <v>6461</v>
      </c>
      <c r="G872" s="1" t="s">
        <v>17</v>
      </c>
      <c r="H872" s="1">
        <v>5</v>
      </c>
      <c r="I872" t="str">
        <f>IF(ISNA(_xlfn.XLOOKUP(B872, policy_details!$A$2:$A$2829, policy_details!$A$2:$A$2829)), "Invalid", "Ok")</f>
        <v>Ok</v>
      </c>
    </row>
    <row r="873" spans="1:9" x14ac:dyDescent="0.3">
      <c r="A873" s="1" t="s">
        <v>7335</v>
      </c>
      <c r="B873" s="1" t="s">
        <v>4485</v>
      </c>
      <c r="C873" s="41">
        <v>44459</v>
      </c>
      <c r="D873" s="1">
        <v>1555092.57</v>
      </c>
      <c r="E873" s="1" t="s">
        <v>6457</v>
      </c>
      <c r="F873" s="1" t="s">
        <v>6458</v>
      </c>
      <c r="G873" s="1" t="s">
        <v>17</v>
      </c>
      <c r="H873" s="1">
        <v>41</v>
      </c>
      <c r="I873" t="str">
        <f>IF(ISNA(_xlfn.XLOOKUP(B873, policy_details!$A$2:$A$2829, policy_details!$A$2:$A$2829)), "Invalid", "Ok")</f>
        <v>Ok</v>
      </c>
    </row>
    <row r="874" spans="1:9" x14ac:dyDescent="0.3">
      <c r="A874" s="1" t="s">
        <v>7336</v>
      </c>
      <c r="B874" s="1" t="s">
        <v>4891</v>
      </c>
      <c r="C874" s="41">
        <v>45202</v>
      </c>
      <c r="D874" s="1">
        <v>123790.51</v>
      </c>
      <c r="E874" s="1" t="s">
        <v>6457</v>
      </c>
      <c r="F874" s="1" t="s">
        <v>6466</v>
      </c>
      <c r="G874" s="1" t="s">
        <v>17</v>
      </c>
      <c r="H874" s="1">
        <v>9</v>
      </c>
      <c r="I874" t="str">
        <f>IF(ISNA(_xlfn.XLOOKUP(B874, policy_details!$A$2:$A$2829, policy_details!$A$2:$A$2829)), "Invalid", "Ok")</f>
        <v>Ok</v>
      </c>
    </row>
    <row r="875" spans="1:9" x14ac:dyDescent="0.3">
      <c r="A875" s="1" t="s">
        <v>7337</v>
      </c>
      <c r="B875" s="1" t="s">
        <v>6366</v>
      </c>
      <c r="C875" s="41">
        <v>44716</v>
      </c>
      <c r="D875" s="1">
        <v>103861.8</v>
      </c>
      <c r="E875" s="1" t="s">
        <v>6460</v>
      </c>
      <c r="F875" s="1" t="s">
        <v>6466</v>
      </c>
      <c r="G875" s="1" t="s">
        <v>17</v>
      </c>
      <c r="H875" s="1">
        <v>11</v>
      </c>
      <c r="I875" t="str">
        <f>IF(ISNA(_xlfn.XLOOKUP(B875, policy_details!$A$2:$A$2829, policy_details!$A$2:$A$2829)), "Invalid", "Ok")</f>
        <v>Ok</v>
      </c>
    </row>
    <row r="876" spans="1:9" x14ac:dyDescent="0.3">
      <c r="A876" s="1" t="s">
        <v>7338</v>
      </c>
      <c r="B876" s="1" t="s">
        <v>4613</v>
      </c>
      <c r="C876" s="41">
        <v>44564</v>
      </c>
      <c r="D876" s="1">
        <v>552659.23</v>
      </c>
      <c r="E876" s="1" t="s">
        <v>6457</v>
      </c>
      <c r="F876" s="1" t="s">
        <v>6458</v>
      </c>
      <c r="G876" s="1" t="s">
        <v>17</v>
      </c>
      <c r="H876" s="1">
        <v>42</v>
      </c>
      <c r="I876" t="str">
        <f>IF(ISNA(_xlfn.XLOOKUP(B876, policy_details!$A$2:$A$2829, policy_details!$A$2:$A$2829)), "Invalid", "Ok")</f>
        <v>Ok</v>
      </c>
    </row>
    <row r="877" spans="1:9" x14ac:dyDescent="0.3">
      <c r="A877" s="1" t="s">
        <v>7339</v>
      </c>
      <c r="B877" s="1" t="s">
        <v>4191</v>
      </c>
      <c r="C877" s="41">
        <v>46226</v>
      </c>
      <c r="D877" s="1">
        <v>528261.09</v>
      </c>
      <c r="E877" s="1" t="s">
        <v>6457</v>
      </c>
      <c r="F877" s="1" t="s">
        <v>6458</v>
      </c>
      <c r="G877" s="1" t="s">
        <v>17</v>
      </c>
      <c r="H877" s="1">
        <v>6</v>
      </c>
      <c r="I877" t="str">
        <f>IF(ISNA(_xlfn.XLOOKUP(B877, policy_details!$A$2:$A$2829, policy_details!$A$2:$A$2829)), "Invalid", "Ok")</f>
        <v>Ok</v>
      </c>
    </row>
    <row r="878" spans="1:9" x14ac:dyDescent="0.3">
      <c r="A878" s="1" t="s">
        <v>7340</v>
      </c>
      <c r="B878" s="1" t="s">
        <v>3895</v>
      </c>
      <c r="C878" s="41">
        <v>45011</v>
      </c>
      <c r="D878" s="1">
        <v>547233.39</v>
      </c>
      <c r="E878" s="1" t="s">
        <v>6457</v>
      </c>
      <c r="F878" s="1" t="s">
        <v>6481</v>
      </c>
      <c r="G878" s="1" t="s">
        <v>30</v>
      </c>
      <c r="H878" s="1">
        <v>25</v>
      </c>
      <c r="I878" t="str">
        <f>IF(ISNA(_xlfn.XLOOKUP(B878, policy_details!$A$2:$A$2829, policy_details!$A$2:$A$2829)), "Invalid", "Ok")</f>
        <v>Ok</v>
      </c>
    </row>
    <row r="879" spans="1:9" x14ac:dyDescent="0.3">
      <c r="A879" s="1" t="s">
        <v>7341</v>
      </c>
      <c r="B879" s="1" t="s">
        <v>6120</v>
      </c>
      <c r="C879" s="41">
        <v>44784</v>
      </c>
      <c r="D879" s="1">
        <v>1758996.6</v>
      </c>
      <c r="E879" s="1" t="s">
        <v>6460</v>
      </c>
      <c r="F879" s="1" t="s">
        <v>6458</v>
      </c>
      <c r="G879" s="1" t="s">
        <v>17</v>
      </c>
      <c r="H879" s="1">
        <v>26</v>
      </c>
      <c r="I879" t="str">
        <f>IF(ISNA(_xlfn.XLOOKUP(B879, policy_details!$A$2:$A$2829, policy_details!$A$2:$A$2829)), "Invalid", "Ok")</f>
        <v>Ok</v>
      </c>
    </row>
    <row r="880" spans="1:9" x14ac:dyDescent="0.3">
      <c r="A880" s="1" t="s">
        <v>7342</v>
      </c>
      <c r="B880" s="1" t="s">
        <v>3398</v>
      </c>
      <c r="C880" s="41">
        <v>45710</v>
      </c>
      <c r="D880" s="1">
        <v>109360.36</v>
      </c>
      <c r="E880" s="1" t="s">
        <v>6464</v>
      </c>
      <c r="F880" s="1" t="s">
        <v>6470</v>
      </c>
      <c r="G880" s="1" t="s">
        <v>17</v>
      </c>
      <c r="H880" s="1">
        <v>10</v>
      </c>
      <c r="I880" t="str">
        <f>IF(ISNA(_xlfn.XLOOKUP(B880, policy_details!$A$2:$A$2829, policy_details!$A$2:$A$2829)), "Invalid", "Ok")</f>
        <v>Ok</v>
      </c>
    </row>
    <row r="881" spans="1:9" x14ac:dyDescent="0.3">
      <c r="A881" s="1" t="s">
        <v>7343</v>
      </c>
      <c r="B881" s="1" t="s">
        <v>6188</v>
      </c>
      <c r="C881" s="41">
        <v>45424</v>
      </c>
      <c r="D881" s="1">
        <v>423312.8</v>
      </c>
      <c r="E881" s="1" t="s">
        <v>6464</v>
      </c>
      <c r="F881" s="1" t="s">
        <v>6470</v>
      </c>
      <c r="G881" s="1" t="s">
        <v>17</v>
      </c>
      <c r="H881" s="1">
        <v>18</v>
      </c>
      <c r="I881" t="str">
        <f>IF(ISNA(_xlfn.XLOOKUP(B881, policy_details!$A$2:$A$2829, policy_details!$A$2:$A$2829)), "Invalid", "Ok")</f>
        <v>Ok</v>
      </c>
    </row>
    <row r="882" spans="1:9" x14ac:dyDescent="0.3">
      <c r="A882" s="1" t="s">
        <v>7344</v>
      </c>
      <c r="B882" s="1" t="s">
        <v>3619</v>
      </c>
      <c r="C882" s="41">
        <v>45046</v>
      </c>
      <c r="D882" s="1">
        <v>1707258.39</v>
      </c>
      <c r="E882" s="1" t="s">
        <v>6464</v>
      </c>
      <c r="F882" s="1" t="s">
        <v>6458</v>
      </c>
      <c r="G882" s="1" t="s">
        <v>17</v>
      </c>
      <c r="H882" s="1">
        <v>35</v>
      </c>
      <c r="I882" t="str">
        <f>IF(ISNA(_xlfn.XLOOKUP(B882, policy_details!$A$2:$A$2829, policy_details!$A$2:$A$2829)), "Invalid", "Ok")</f>
        <v>Ok</v>
      </c>
    </row>
    <row r="883" spans="1:9" x14ac:dyDescent="0.3">
      <c r="A883" s="1" t="s">
        <v>7345</v>
      </c>
      <c r="B883" s="1" t="s">
        <v>5745</v>
      </c>
      <c r="C883" s="41">
        <v>44553</v>
      </c>
      <c r="D883" s="1">
        <v>110681.81</v>
      </c>
      <c r="E883" s="1" t="s">
        <v>6460</v>
      </c>
      <c r="F883" s="1" t="s">
        <v>6481</v>
      </c>
      <c r="G883" s="1" t="s">
        <v>30</v>
      </c>
      <c r="H883" s="1">
        <v>32</v>
      </c>
      <c r="I883" t="str">
        <f>IF(ISNA(_xlfn.XLOOKUP(B883, policy_details!$A$2:$A$2829, policy_details!$A$2:$A$2829)), "Invalid", "Ok")</f>
        <v>Ok</v>
      </c>
    </row>
    <row r="884" spans="1:9" x14ac:dyDescent="0.3">
      <c r="A884" s="1" t="s">
        <v>7346</v>
      </c>
      <c r="B884" s="1" t="s">
        <v>4428</v>
      </c>
      <c r="C884" s="41">
        <v>45298</v>
      </c>
      <c r="D884" s="1">
        <v>149357.79999999999</v>
      </c>
      <c r="E884" s="1" t="s">
        <v>6457</v>
      </c>
      <c r="F884" s="1" t="s">
        <v>6481</v>
      </c>
      <c r="G884" s="1" t="s">
        <v>17</v>
      </c>
      <c r="H884" s="1">
        <v>26</v>
      </c>
      <c r="I884" t="str">
        <f>IF(ISNA(_xlfn.XLOOKUP(B884, policy_details!$A$2:$A$2829, policy_details!$A$2:$A$2829)), "Invalid", "Ok")</f>
        <v>Ok</v>
      </c>
    </row>
    <row r="885" spans="1:9" x14ac:dyDescent="0.3">
      <c r="A885" s="1" t="s">
        <v>7347</v>
      </c>
      <c r="B885" s="1" t="s">
        <v>4293</v>
      </c>
      <c r="C885" s="41">
        <v>44727</v>
      </c>
      <c r="D885" s="1">
        <v>78517.919999999998</v>
      </c>
      <c r="E885" s="1" t="s">
        <v>6457</v>
      </c>
      <c r="F885" s="1" t="s">
        <v>6470</v>
      </c>
      <c r="G885" s="1" t="s">
        <v>17</v>
      </c>
      <c r="H885" s="1">
        <v>24</v>
      </c>
      <c r="I885" t="str">
        <f>IF(ISNA(_xlfn.XLOOKUP(B885, policy_details!$A$2:$A$2829, policy_details!$A$2:$A$2829)), "Invalid", "Ok")</f>
        <v>Ok</v>
      </c>
    </row>
    <row r="886" spans="1:9" x14ac:dyDescent="0.3">
      <c r="A886" s="1" t="s">
        <v>7348</v>
      </c>
      <c r="B886" s="1" t="s">
        <v>4075</v>
      </c>
      <c r="C886" s="41">
        <v>45082</v>
      </c>
      <c r="D886" s="1">
        <v>210679.23</v>
      </c>
      <c r="E886" s="1" t="s">
        <v>6464</v>
      </c>
      <c r="F886" s="1" t="s">
        <v>6466</v>
      </c>
      <c r="G886" s="1" t="s">
        <v>17</v>
      </c>
      <c r="H886" s="1">
        <v>17</v>
      </c>
      <c r="I886" t="str">
        <f>IF(ISNA(_xlfn.XLOOKUP(B886, policy_details!$A$2:$A$2829, policy_details!$A$2:$A$2829)), "Invalid", "Ok")</f>
        <v>Ok</v>
      </c>
    </row>
    <row r="887" spans="1:9" x14ac:dyDescent="0.3">
      <c r="A887" s="1" t="s">
        <v>7349</v>
      </c>
      <c r="B887" s="1" t="s">
        <v>3913</v>
      </c>
      <c r="C887" s="41">
        <v>45463</v>
      </c>
      <c r="D887" s="1">
        <v>181573.93</v>
      </c>
      <c r="E887" s="1" t="s">
        <v>6464</v>
      </c>
      <c r="F887" s="1" t="s">
        <v>6470</v>
      </c>
      <c r="G887" s="1" t="s">
        <v>30</v>
      </c>
      <c r="H887" s="1">
        <v>28</v>
      </c>
      <c r="I887" t="str">
        <f>IF(ISNA(_xlfn.XLOOKUP(B887, policy_details!$A$2:$A$2829, policy_details!$A$2:$A$2829)), "Invalid", "Ok")</f>
        <v>Ok</v>
      </c>
    </row>
    <row r="888" spans="1:9" x14ac:dyDescent="0.3">
      <c r="A888" s="1" t="s">
        <v>7350</v>
      </c>
      <c r="B888" s="1" t="s">
        <v>3639</v>
      </c>
      <c r="C888" s="41">
        <v>44854</v>
      </c>
      <c r="D888" s="1">
        <v>251950.05</v>
      </c>
      <c r="E888" s="1" t="s">
        <v>6460</v>
      </c>
      <c r="F888" s="1" t="s">
        <v>6481</v>
      </c>
      <c r="G888" s="1" t="s">
        <v>17</v>
      </c>
      <c r="H888" s="1">
        <v>1</v>
      </c>
      <c r="I888" t="str">
        <f>IF(ISNA(_xlfn.XLOOKUP(B888, policy_details!$A$2:$A$2829, policy_details!$A$2:$A$2829)), "Invalid", "Ok")</f>
        <v>Ok</v>
      </c>
    </row>
    <row r="889" spans="1:9" x14ac:dyDescent="0.3">
      <c r="A889" s="1" t="s">
        <v>7351</v>
      </c>
      <c r="B889" s="1" t="s">
        <v>3982</v>
      </c>
      <c r="C889" s="41">
        <v>45590</v>
      </c>
      <c r="D889" s="1">
        <v>326696.32000000001</v>
      </c>
      <c r="E889" s="1" t="s">
        <v>6460</v>
      </c>
      <c r="F889" s="1" t="s">
        <v>6458</v>
      </c>
      <c r="G889" s="1" t="s">
        <v>17</v>
      </c>
      <c r="H889" s="1">
        <v>4</v>
      </c>
      <c r="I889" t="str">
        <f>IF(ISNA(_xlfn.XLOOKUP(B889, policy_details!$A$2:$A$2829, policy_details!$A$2:$A$2829)), "Invalid", "Ok")</f>
        <v>Ok</v>
      </c>
    </row>
    <row r="890" spans="1:9" x14ac:dyDescent="0.3">
      <c r="A890" s="1" t="s">
        <v>7352</v>
      </c>
      <c r="B890" s="1" t="s">
        <v>5280</v>
      </c>
      <c r="C890" s="41">
        <v>46137</v>
      </c>
      <c r="D890" s="1">
        <v>73480.19</v>
      </c>
      <c r="E890" s="1" t="s">
        <v>6457</v>
      </c>
      <c r="F890" s="1" t="s">
        <v>6461</v>
      </c>
      <c r="G890" s="1" t="s">
        <v>17</v>
      </c>
      <c r="H890" s="1">
        <v>35</v>
      </c>
      <c r="I890" t="str">
        <f>IF(ISNA(_xlfn.XLOOKUP(B890, policy_details!$A$2:$A$2829, policy_details!$A$2:$A$2829)), "Invalid", "Ok")</f>
        <v>Ok</v>
      </c>
    </row>
    <row r="891" spans="1:9" x14ac:dyDescent="0.3">
      <c r="A891" s="1" t="s">
        <v>7353</v>
      </c>
      <c r="B891" s="1" t="s">
        <v>5226</v>
      </c>
      <c r="C891" s="41">
        <v>44943</v>
      </c>
      <c r="D891" s="1">
        <v>205004.98</v>
      </c>
      <c r="E891" s="1" t="s">
        <v>6457</v>
      </c>
      <c r="F891" s="1" t="s">
        <v>6470</v>
      </c>
      <c r="G891" s="1" t="s">
        <v>17</v>
      </c>
      <c r="H891" s="1">
        <v>8</v>
      </c>
      <c r="I891" t="str">
        <f>IF(ISNA(_xlfn.XLOOKUP(B891, policy_details!$A$2:$A$2829, policy_details!$A$2:$A$2829)), "Invalid", "Ok")</f>
        <v>Ok</v>
      </c>
    </row>
    <row r="892" spans="1:9" x14ac:dyDescent="0.3">
      <c r="A892" s="1" t="s">
        <v>7354</v>
      </c>
      <c r="B892" s="1" t="s">
        <v>4392</v>
      </c>
      <c r="C892" s="41">
        <v>45941</v>
      </c>
      <c r="D892" s="1">
        <v>245689.39</v>
      </c>
      <c r="E892" s="1" t="s">
        <v>6464</v>
      </c>
      <c r="F892" s="1" t="s">
        <v>6470</v>
      </c>
      <c r="G892" s="1" t="s">
        <v>17</v>
      </c>
      <c r="H892" s="1">
        <v>32</v>
      </c>
      <c r="I892" t="str">
        <f>IF(ISNA(_xlfn.XLOOKUP(B892, policy_details!$A$2:$A$2829, policy_details!$A$2:$A$2829)), "Invalid", "Ok")</f>
        <v>Ok</v>
      </c>
    </row>
    <row r="893" spans="1:9" x14ac:dyDescent="0.3">
      <c r="A893" s="1" t="s">
        <v>7355</v>
      </c>
      <c r="B893" s="1" t="s">
        <v>5539</v>
      </c>
      <c r="C893" s="41">
        <v>46028</v>
      </c>
      <c r="D893" s="1">
        <v>54638</v>
      </c>
      <c r="E893" s="1" t="s">
        <v>6457</v>
      </c>
      <c r="F893" s="1" t="s">
        <v>6461</v>
      </c>
      <c r="G893" s="1" t="s">
        <v>17</v>
      </c>
      <c r="H893" s="1">
        <v>1</v>
      </c>
      <c r="I893" t="str">
        <f>IF(ISNA(_xlfn.XLOOKUP(B893, policy_details!$A$2:$A$2829, policy_details!$A$2:$A$2829)), "Invalid", "Ok")</f>
        <v>Ok</v>
      </c>
    </row>
    <row r="894" spans="1:9" x14ac:dyDescent="0.3">
      <c r="A894" s="1" t="s">
        <v>7356</v>
      </c>
      <c r="B894" s="1" t="s">
        <v>5792</v>
      </c>
      <c r="C894" s="41">
        <v>45509</v>
      </c>
      <c r="D894" s="1">
        <v>131748.51</v>
      </c>
      <c r="E894" s="1" t="s">
        <v>6460</v>
      </c>
      <c r="F894" s="1" t="s">
        <v>6481</v>
      </c>
      <c r="G894" s="1" t="s">
        <v>17</v>
      </c>
      <c r="H894" s="1">
        <v>12</v>
      </c>
      <c r="I894" t="str">
        <f>IF(ISNA(_xlfn.XLOOKUP(B894, policy_details!$A$2:$A$2829, policy_details!$A$2:$A$2829)), "Invalid", "Ok")</f>
        <v>Ok</v>
      </c>
    </row>
    <row r="895" spans="1:9" x14ac:dyDescent="0.3">
      <c r="A895" s="1" t="s">
        <v>7357</v>
      </c>
      <c r="B895" s="1" t="s">
        <v>6393</v>
      </c>
      <c r="C895" s="41">
        <v>45000</v>
      </c>
      <c r="D895" s="1">
        <v>1500571.53</v>
      </c>
      <c r="E895" s="1" t="s">
        <v>6464</v>
      </c>
      <c r="F895" s="1" t="s">
        <v>6458</v>
      </c>
      <c r="G895" s="1" t="s">
        <v>30</v>
      </c>
      <c r="H895" s="1">
        <v>42</v>
      </c>
      <c r="I895" t="str">
        <f>IF(ISNA(_xlfn.XLOOKUP(B895, policy_details!$A$2:$A$2829, policy_details!$A$2:$A$2829)), "Invalid", "Ok")</f>
        <v>Ok</v>
      </c>
    </row>
    <row r="896" spans="1:9" x14ac:dyDescent="0.3">
      <c r="A896" s="1" t="s">
        <v>7358</v>
      </c>
      <c r="B896" s="1" t="s">
        <v>4856</v>
      </c>
      <c r="C896" s="41">
        <v>45582</v>
      </c>
      <c r="D896" s="1">
        <v>81325.42</v>
      </c>
      <c r="E896" s="1" t="s">
        <v>6464</v>
      </c>
      <c r="F896" s="1" t="s">
        <v>6461</v>
      </c>
      <c r="G896" s="1" t="s">
        <v>17</v>
      </c>
      <c r="H896" s="1">
        <v>12</v>
      </c>
      <c r="I896" t="str">
        <f>IF(ISNA(_xlfn.XLOOKUP(B896, policy_details!$A$2:$A$2829, policy_details!$A$2:$A$2829)), "Invalid", "Ok")</f>
        <v>Ok</v>
      </c>
    </row>
    <row r="897" spans="1:9" x14ac:dyDescent="0.3">
      <c r="A897" s="1" t="s">
        <v>7359</v>
      </c>
      <c r="B897" s="1" t="s">
        <v>4669</v>
      </c>
      <c r="C897" s="41">
        <v>45178</v>
      </c>
      <c r="D897" s="1">
        <v>148901.6</v>
      </c>
      <c r="E897" s="1" t="s">
        <v>6464</v>
      </c>
      <c r="F897" s="1" t="s">
        <v>6461</v>
      </c>
      <c r="G897" s="1" t="s">
        <v>17</v>
      </c>
      <c r="H897" s="1">
        <v>44</v>
      </c>
      <c r="I897" t="str">
        <f>IF(ISNA(_xlfn.XLOOKUP(B897, policy_details!$A$2:$A$2829, policy_details!$A$2:$A$2829)), "Invalid", "Ok")</f>
        <v>Ok</v>
      </c>
    </row>
    <row r="898" spans="1:9" x14ac:dyDescent="0.3">
      <c r="A898" s="1" t="s">
        <v>7360</v>
      </c>
      <c r="B898" s="1" t="s">
        <v>6373</v>
      </c>
      <c r="C898" s="41">
        <v>44907</v>
      </c>
      <c r="D898" s="1">
        <v>465272.42</v>
      </c>
      <c r="E898" s="1" t="s">
        <v>6457</v>
      </c>
      <c r="F898" s="1" t="s">
        <v>6458</v>
      </c>
      <c r="G898" s="1" t="s">
        <v>17</v>
      </c>
      <c r="H898" s="1">
        <v>12</v>
      </c>
      <c r="I898" t="str">
        <f>IF(ISNA(_xlfn.XLOOKUP(B898, policy_details!$A$2:$A$2829, policy_details!$A$2:$A$2829)), "Invalid", "Ok")</f>
        <v>Ok</v>
      </c>
    </row>
    <row r="899" spans="1:9" x14ac:dyDescent="0.3">
      <c r="A899" s="1" t="s">
        <v>7361</v>
      </c>
      <c r="B899" s="1" t="s">
        <v>6285</v>
      </c>
      <c r="C899" s="41">
        <v>45430</v>
      </c>
      <c r="D899" s="1">
        <v>272788.78999999998</v>
      </c>
      <c r="E899" s="1" t="s">
        <v>6460</v>
      </c>
      <c r="F899" s="1" t="s">
        <v>6470</v>
      </c>
      <c r="G899" s="1" t="s">
        <v>17</v>
      </c>
      <c r="H899" s="1">
        <v>28</v>
      </c>
      <c r="I899" t="str">
        <f>IF(ISNA(_xlfn.XLOOKUP(B899, policy_details!$A$2:$A$2829, policy_details!$A$2:$A$2829)), "Invalid", "Ok")</f>
        <v>Ok</v>
      </c>
    </row>
    <row r="900" spans="1:9" x14ac:dyDescent="0.3">
      <c r="A900" s="1" t="s">
        <v>7362</v>
      </c>
      <c r="B900" s="1" t="s">
        <v>6242</v>
      </c>
      <c r="C900" s="41">
        <v>45646</v>
      </c>
      <c r="D900" s="1">
        <v>80249.16</v>
      </c>
      <c r="E900" s="1" t="s">
        <v>6460</v>
      </c>
      <c r="F900" s="1" t="s">
        <v>6466</v>
      </c>
      <c r="G900" s="1" t="s">
        <v>17</v>
      </c>
      <c r="H900" s="1">
        <v>30</v>
      </c>
      <c r="I900" t="str">
        <f>IF(ISNA(_xlfn.XLOOKUP(B900, policy_details!$A$2:$A$2829, policy_details!$A$2:$A$2829)), "Invalid", "Ok")</f>
        <v>Ok</v>
      </c>
    </row>
    <row r="901" spans="1:9" x14ac:dyDescent="0.3">
      <c r="A901" s="1" t="s">
        <v>7363</v>
      </c>
      <c r="B901" s="1" t="s">
        <v>5338</v>
      </c>
      <c r="C901" s="41">
        <v>44583</v>
      </c>
      <c r="D901" s="1">
        <v>214697.79</v>
      </c>
      <c r="E901" s="1" t="s">
        <v>6460</v>
      </c>
      <c r="F901" s="1" t="s">
        <v>6481</v>
      </c>
      <c r="G901" s="1" t="s">
        <v>17</v>
      </c>
      <c r="H901" s="1">
        <v>28</v>
      </c>
      <c r="I901" t="str">
        <f>IF(ISNA(_xlfn.XLOOKUP(B901, policy_details!$A$2:$A$2829, policy_details!$A$2:$A$2829)), "Invalid", "Ok")</f>
        <v>Ok</v>
      </c>
    </row>
    <row r="902" spans="1:9" x14ac:dyDescent="0.3">
      <c r="A902" s="1" t="s">
        <v>7364</v>
      </c>
      <c r="B902" s="1" t="s">
        <v>5364</v>
      </c>
      <c r="C902" s="41">
        <v>44720</v>
      </c>
      <c r="D902" s="1">
        <v>400059.84</v>
      </c>
      <c r="E902" s="1" t="s">
        <v>6464</v>
      </c>
      <c r="F902" s="1" t="s">
        <v>6481</v>
      </c>
      <c r="G902" s="1" t="s">
        <v>17</v>
      </c>
      <c r="H902" s="1">
        <v>13</v>
      </c>
      <c r="I902" t="str">
        <f>IF(ISNA(_xlfn.XLOOKUP(B902, policy_details!$A$2:$A$2829, policy_details!$A$2:$A$2829)), "Invalid", "Ok")</f>
        <v>Ok</v>
      </c>
    </row>
    <row r="903" spans="1:9" x14ac:dyDescent="0.3">
      <c r="A903" s="1" t="s">
        <v>7365</v>
      </c>
      <c r="B903" s="1" t="s">
        <v>6245</v>
      </c>
      <c r="C903" s="41">
        <v>45776</v>
      </c>
      <c r="D903" s="1">
        <v>339161.1</v>
      </c>
      <c r="E903" s="1" t="s">
        <v>6457</v>
      </c>
      <c r="F903" s="1" t="s">
        <v>6481</v>
      </c>
      <c r="G903" s="1" t="s">
        <v>17</v>
      </c>
      <c r="H903" s="1">
        <v>34</v>
      </c>
      <c r="I903" t="str">
        <f>IF(ISNA(_xlfn.XLOOKUP(B903, policy_details!$A$2:$A$2829, policy_details!$A$2:$A$2829)), "Invalid", "Ok")</f>
        <v>Ok</v>
      </c>
    </row>
    <row r="904" spans="1:9" x14ac:dyDescent="0.3">
      <c r="A904" s="1" t="s">
        <v>7366</v>
      </c>
      <c r="B904" s="1" t="s">
        <v>4968</v>
      </c>
      <c r="C904" s="41">
        <v>44953</v>
      </c>
      <c r="D904" s="1">
        <v>142722.28</v>
      </c>
      <c r="E904" s="1" t="s">
        <v>6457</v>
      </c>
      <c r="F904" s="1" t="s">
        <v>6470</v>
      </c>
      <c r="G904" s="1" t="s">
        <v>17</v>
      </c>
      <c r="H904" s="1">
        <v>14</v>
      </c>
      <c r="I904" t="str">
        <f>IF(ISNA(_xlfn.XLOOKUP(B904, policy_details!$A$2:$A$2829, policy_details!$A$2:$A$2829)), "Invalid", "Ok")</f>
        <v>Ok</v>
      </c>
    </row>
    <row r="905" spans="1:9" x14ac:dyDescent="0.3">
      <c r="A905" s="1" t="s">
        <v>7367</v>
      </c>
      <c r="B905" s="1" t="s">
        <v>4183</v>
      </c>
      <c r="C905" s="41">
        <v>44922</v>
      </c>
      <c r="D905" s="1">
        <v>155133.57</v>
      </c>
      <c r="E905" s="1" t="s">
        <v>6460</v>
      </c>
      <c r="F905" s="1" t="s">
        <v>6466</v>
      </c>
      <c r="G905" s="1" t="s">
        <v>17</v>
      </c>
      <c r="H905" s="1">
        <v>36</v>
      </c>
      <c r="I905" t="str">
        <f>IF(ISNA(_xlfn.XLOOKUP(B905, policy_details!$A$2:$A$2829, policy_details!$A$2:$A$2829)), "Invalid", "Ok")</f>
        <v>Ok</v>
      </c>
    </row>
    <row r="906" spans="1:9" x14ac:dyDescent="0.3">
      <c r="A906" s="1" t="s">
        <v>7368</v>
      </c>
      <c r="B906" s="1" t="s">
        <v>6407</v>
      </c>
      <c r="C906" s="41">
        <v>44628</v>
      </c>
      <c r="D906" s="1">
        <v>801068.53</v>
      </c>
      <c r="E906" s="1" t="s">
        <v>6460</v>
      </c>
      <c r="F906" s="1" t="s">
        <v>6458</v>
      </c>
      <c r="G906" s="1" t="s">
        <v>17</v>
      </c>
      <c r="H906" s="1">
        <v>17</v>
      </c>
      <c r="I906" t="str">
        <f>IF(ISNA(_xlfn.XLOOKUP(B906, policy_details!$A$2:$A$2829, policy_details!$A$2:$A$2829)), "Invalid", "Ok")</f>
        <v>Ok</v>
      </c>
    </row>
    <row r="907" spans="1:9" x14ac:dyDescent="0.3">
      <c r="A907" s="1" t="s">
        <v>7369</v>
      </c>
      <c r="B907" s="1" t="s">
        <v>6001</v>
      </c>
      <c r="C907" s="41">
        <v>45897</v>
      </c>
      <c r="D907" s="1">
        <v>131208.20000000001</v>
      </c>
      <c r="E907" s="1" t="s">
        <v>6460</v>
      </c>
      <c r="F907" s="1" t="s">
        <v>6481</v>
      </c>
      <c r="G907" s="1" t="s">
        <v>17</v>
      </c>
      <c r="H907" s="1">
        <v>37</v>
      </c>
      <c r="I907" t="str">
        <f>IF(ISNA(_xlfn.XLOOKUP(B907, policy_details!$A$2:$A$2829, policy_details!$A$2:$A$2829)), "Invalid", "Ok")</f>
        <v>Ok</v>
      </c>
    </row>
    <row r="908" spans="1:9" x14ac:dyDescent="0.3">
      <c r="A908" s="1" t="s">
        <v>7370</v>
      </c>
      <c r="B908" s="1" t="s">
        <v>3597</v>
      </c>
      <c r="C908" s="41">
        <v>45515</v>
      </c>
      <c r="D908" s="1">
        <v>209269.7</v>
      </c>
      <c r="E908" s="1" t="s">
        <v>6457</v>
      </c>
      <c r="F908" s="1" t="s">
        <v>6466</v>
      </c>
      <c r="G908" s="1" t="s">
        <v>17</v>
      </c>
      <c r="H908" s="1">
        <v>44</v>
      </c>
      <c r="I908" t="str">
        <f>IF(ISNA(_xlfn.XLOOKUP(B908, policy_details!$A$2:$A$2829, policy_details!$A$2:$A$2829)), "Invalid", "Ok")</f>
        <v>Ok</v>
      </c>
    </row>
    <row r="909" spans="1:9" x14ac:dyDescent="0.3">
      <c r="A909" s="1" t="s">
        <v>7371</v>
      </c>
      <c r="B909" s="1" t="s">
        <v>3837</v>
      </c>
      <c r="C909" s="41">
        <v>45841</v>
      </c>
      <c r="D909" s="1">
        <v>239852.21</v>
      </c>
      <c r="E909" s="1" t="s">
        <v>6457</v>
      </c>
      <c r="F909" s="1" t="s">
        <v>6481</v>
      </c>
      <c r="G909" s="1" t="s">
        <v>30</v>
      </c>
      <c r="H909" s="1">
        <v>34</v>
      </c>
      <c r="I909" t="str">
        <f>IF(ISNA(_xlfn.XLOOKUP(B909, policy_details!$A$2:$A$2829, policy_details!$A$2:$A$2829)), "Invalid", "Ok")</f>
        <v>Ok</v>
      </c>
    </row>
    <row r="910" spans="1:9" x14ac:dyDescent="0.3">
      <c r="A910" s="1" t="s">
        <v>7372</v>
      </c>
      <c r="B910" s="1" t="s">
        <v>6116</v>
      </c>
      <c r="C910" s="41">
        <v>45045</v>
      </c>
      <c r="D910" s="1">
        <v>146054.85</v>
      </c>
      <c r="E910" s="1" t="s">
        <v>6460</v>
      </c>
      <c r="F910" s="1" t="s">
        <v>6470</v>
      </c>
      <c r="G910" s="1" t="s">
        <v>17</v>
      </c>
      <c r="H910" s="1">
        <v>21</v>
      </c>
      <c r="I910" t="str">
        <f>IF(ISNA(_xlfn.XLOOKUP(B910, policy_details!$A$2:$A$2829, policy_details!$A$2:$A$2829)), "Invalid", "Ok")</f>
        <v>Ok</v>
      </c>
    </row>
    <row r="911" spans="1:9" x14ac:dyDescent="0.3">
      <c r="A911" s="1" t="s">
        <v>7373</v>
      </c>
      <c r="B911" s="1" t="s">
        <v>4451</v>
      </c>
      <c r="C911" s="41">
        <v>45852</v>
      </c>
      <c r="D911" s="1">
        <v>247351.18</v>
      </c>
      <c r="E911" s="1" t="s">
        <v>6460</v>
      </c>
      <c r="F911" s="1" t="s">
        <v>6461</v>
      </c>
      <c r="G911" s="1" t="s">
        <v>30</v>
      </c>
      <c r="H911" s="1">
        <v>19</v>
      </c>
      <c r="I911" t="str">
        <f>IF(ISNA(_xlfn.XLOOKUP(B911, policy_details!$A$2:$A$2829, policy_details!$A$2:$A$2829)), "Invalid", "Ok")</f>
        <v>Ok</v>
      </c>
    </row>
    <row r="912" spans="1:9" x14ac:dyDescent="0.3">
      <c r="A912" s="1" t="s">
        <v>7374</v>
      </c>
      <c r="B912" s="1" t="s">
        <v>5587</v>
      </c>
      <c r="C912" s="41">
        <v>45523</v>
      </c>
      <c r="D912" s="1">
        <v>128816.09</v>
      </c>
      <c r="E912" s="1" t="s">
        <v>6457</v>
      </c>
      <c r="F912" s="1" t="s">
        <v>6466</v>
      </c>
      <c r="G912" s="1" t="s">
        <v>17</v>
      </c>
      <c r="H912" s="1">
        <v>17</v>
      </c>
      <c r="I912" t="str">
        <f>IF(ISNA(_xlfn.XLOOKUP(B912, policy_details!$A$2:$A$2829, policy_details!$A$2:$A$2829)), "Invalid", "Ok")</f>
        <v>Ok</v>
      </c>
    </row>
    <row r="913" spans="1:9" x14ac:dyDescent="0.3">
      <c r="A913" s="1" t="s">
        <v>7375</v>
      </c>
      <c r="B913" s="1" t="s">
        <v>3859</v>
      </c>
      <c r="C913" s="41">
        <v>44948</v>
      </c>
      <c r="D913" s="1">
        <v>63971.75</v>
      </c>
      <c r="E913" s="1" t="s">
        <v>6464</v>
      </c>
      <c r="F913" s="1" t="s">
        <v>6461</v>
      </c>
      <c r="G913" s="1" t="s">
        <v>17</v>
      </c>
      <c r="H913" s="1">
        <v>16</v>
      </c>
      <c r="I913" t="str">
        <f>IF(ISNA(_xlfn.XLOOKUP(B913, policy_details!$A$2:$A$2829, policy_details!$A$2:$A$2829)), "Invalid", "Ok")</f>
        <v>Ok</v>
      </c>
    </row>
    <row r="914" spans="1:9" x14ac:dyDescent="0.3">
      <c r="A914" s="1" t="s">
        <v>7376</v>
      </c>
      <c r="B914" s="1" t="s">
        <v>4042</v>
      </c>
      <c r="C914" s="41">
        <v>45916</v>
      </c>
      <c r="D914" s="1">
        <v>169180.78</v>
      </c>
      <c r="E914" s="1" t="s">
        <v>6460</v>
      </c>
      <c r="F914" s="1" t="s">
        <v>6466</v>
      </c>
      <c r="G914" s="1" t="s">
        <v>17</v>
      </c>
      <c r="H914" s="1">
        <v>21</v>
      </c>
      <c r="I914" t="str">
        <f>IF(ISNA(_xlfn.XLOOKUP(B914, policy_details!$A$2:$A$2829, policy_details!$A$2:$A$2829)), "Invalid", "Ok")</f>
        <v>Ok</v>
      </c>
    </row>
    <row r="915" spans="1:9" x14ac:dyDescent="0.3">
      <c r="A915" s="1" t="s">
        <v>7377</v>
      </c>
      <c r="B915" s="1" t="s">
        <v>5730</v>
      </c>
      <c r="C915" s="41">
        <v>46033</v>
      </c>
      <c r="D915" s="1">
        <v>159594.16</v>
      </c>
      <c r="E915" s="1" t="s">
        <v>6457</v>
      </c>
      <c r="F915" s="1" t="s">
        <v>6461</v>
      </c>
      <c r="G915" s="1" t="s">
        <v>17</v>
      </c>
      <c r="H915" s="1">
        <v>22</v>
      </c>
      <c r="I915" t="str">
        <f>IF(ISNA(_xlfn.XLOOKUP(B915, policy_details!$A$2:$A$2829, policy_details!$A$2:$A$2829)), "Invalid", "Ok")</f>
        <v>Ok</v>
      </c>
    </row>
    <row r="916" spans="1:9" x14ac:dyDescent="0.3">
      <c r="A916" s="1" t="s">
        <v>7378</v>
      </c>
      <c r="B916" s="1" t="s">
        <v>6390</v>
      </c>
      <c r="C916" s="41">
        <v>45663</v>
      </c>
      <c r="D916" s="1">
        <v>237008.69</v>
      </c>
      <c r="E916" s="1" t="s">
        <v>6457</v>
      </c>
      <c r="F916" s="1" t="s">
        <v>6481</v>
      </c>
      <c r="G916" s="1" t="s">
        <v>30</v>
      </c>
      <c r="H916" s="1">
        <v>32</v>
      </c>
      <c r="I916" t="str">
        <f>IF(ISNA(_xlfn.XLOOKUP(B916, policy_details!$A$2:$A$2829, policy_details!$A$2:$A$2829)), "Invalid", "Ok")</f>
        <v>Ok</v>
      </c>
    </row>
    <row r="917" spans="1:9" x14ac:dyDescent="0.3">
      <c r="A917" s="1" t="s">
        <v>7379</v>
      </c>
      <c r="B917" s="1" t="s">
        <v>5033</v>
      </c>
      <c r="C917" s="41">
        <v>45306</v>
      </c>
      <c r="D917" s="1">
        <v>166896.82999999999</v>
      </c>
      <c r="E917" s="1" t="s">
        <v>6457</v>
      </c>
      <c r="F917" s="1" t="s">
        <v>6470</v>
      </c>
      <c r="G917" s="1" t="s">
        <v>17</v>
      </c>
      <c r="H917" s="1">
        <v>40</v>
      </c>
      <c r="I917" t="str">
        <f>IF(ISNA(_xlfn.XLOOKUP(B917, policy_details!$A$2:$A$2829, policy_details!$A$2:$A$2829)), "Invalid", "Ok")</f>
        <v>Ok</v>
      </c>
    </row>
    <row r="918" spans="1:9" x14ac:dyDescent="0.3">
      <c r="A918" s="1" t="s">
        <v>7380</v>
      </c>
      <c r="B918" s="1" t="s">
        <v>3534</v>
      </c>
      <c r="C918" s="41">
        <v>44749</v>
      </c>
      <c r="D918" s="1">
        <v>85409.13</v>
      </c>
      <c r="E918" s="1" t="s">
        <v>6457</v>
      </c>
      <c r="F918" s="1" t="s">
        <v>6461</v>
      </c>
      <c r="G918" s="1" t="s">
        <v>17</v>
      </c>
      <c r="H918" s="1">
        <v>39</v>
      </c>
      <c r="I918" t="str">
        <f>IF(ISNA(_xlfn.XLOOKUP(B918, policy_details!$A$2:$A$2829, policy_details!$A$2:$A$2829)), "Invalid", "Ok")</f>
        <v>Ok</v>
      </c>
    </row>
    <row r="919" spans="1:9" x14ac:dyDescent="0.3">
      <c r="A919" s="1" t="s">
        <v>7381</v>
      </c>
      <c r="B919" s="1" t="s">
        <v>4247</v>
      </c>
      <c r="C919" s="41">
        <v>45873</v>
      </c>
      <c r="D919" s="1">
        <v>550663.97</v>
      </c>
      <c r="E919" s="1" t="s">
        <v>6457</v>
      </c>
      <c r="F919" s="1" t="s">
        <v>6458</v>
      </c>
      <c r="G919" s="1" t="s">
        <v>30</v>
      </c>
      <c r="H919" s="1">
        <v>27</v>
      </c>
      <c r="I919" t="str">
        <f>IF(ISNA(_xlfn.XLOOKUP(B919, policy_details!$A$2:$A$2829, policy_details!$A$2:$A$2829)), "Invalid", "Ok")</f>
        <v>Ok</v>
      </c>
    </row>
    <row r="920" spans="1:9" x14ac:dyDescent="0.3">
      <c r="A920" s="1" t="s">
        <v>7382</v>
      </c>
      <c r="B920" s="1" t="s">
        <v>4181</v>
      </c>
      <c r="C920" s="41">
        <v>46249</v>
      </c>
      <c r="D920" s="1">
        <v>195838.01</v>
      </c>
      <c r="E920" s="1" t="s">
        <v>6464</v>
      </c>
      <c r="F920" s="1" t="s">
        <v>6481</v>
      </c>
      <c r="G920" s="1" t="s">
        <v>17</v>
      </c>
      <c r="H920" s="1">
        <v>44</v>
      </c>
      <c r="I920" t="str">
        <f>IF(ISNA(_xlfn.XLOOKUP(B920, policy_details!$A$2:$A$2829, policy_details!$A$2:$A$2829)), "Invalid", "Ok")</f>
        <v>Ok</v>
      </c>
    </row>
    <row r="921" spans="1:9" x14ac:dyDescent="0.3">
      <c r="A921" s="1" t="s">
        <v>7383</v>
      </c>
      <c r="B921" s="1" t="s">
        <v>6266</v>
      </c>
      <c r="C921" s="41">
        <v>44608</v>
      </c>
      <c r="D921" s="1">
        <v>112960.32000000001</v>
      </c>
      <c r="E921" s="1" t="s">
        <v>6457</v>
      </c>
      <c r="F921" s="1" t="s">
        <v>6461</v>
      </c>
      <c r="G921" s="1" t="s">
        <v>17</v>
      </c>
      <c r="H921" s="1">
        <v>40</v>
      </c>
      <c r="I921" t="str">
        <f>IF(ISNA(_xlfn.XLOOKUP(B921, policy_details!$A$2:$A$2829, policy_details!$A$2:$A$2829)), "Invalid", "Ok")</f>
        <v>Ok</v>
      </c>
    </row>
    <row r="922" spans="1:9" x14ac:dyDescent="0.3">
      <c r="A922" s="1" t="s">
        <v>7384</v>
      </c>
      <c r="B922" s="1" t="s">
        <v>4797</v>
      </c>
      <c r="C922" s="41">
        <v>45909</v>
      </c>
      <c r="D922" s="1">
        <v>432898.68</v>
      </c>
      <c r="E922" s="1" t="s">
        <v>6457</v>
      </c>
      <c r="F922" s="1" t="s">
        <v>6481</v>
      </c>
      <c r="G922" s="1" t="s">
        <v>17</v>
      </c>
      <c r="H922" s="1">
        <v>22</v>
      </c>
      <c r="I922" t="str">
        <f>IF(ISNA(_xlfn.XLOOKUP(B922, policy_details!$A$2:$A$2829, policy_details!$A$2:$A$2829)), "Invalid", "Ok")</f>
        <v>Ok</v>
      </c>
    </row>
    <row r="923" spans="1:9" x14ac:dyDescent="0.3">
      <c r="A923" s="1" t="s">
        <v>7385</v>
      </c>
      <c r="B923" s="1" t="s">
        <v>6303</v>
      </c>
      <c r="C923" s="41">
        <v>44709</v>
      </c>
      <c r="D923" s="1">
        <v>205390.86</v>
      </c>
      <c r="E923" s="1" t="s">
        <v>6464</v>
      </c>
      <c r="F923" s="1" t="s">
        <v>6470</v>
      </c>
      <c r="G923" s="1" t="s">
        <v>17</v>
      </c>
      <c r="H923" s="1">
        <v>19</v>
      </c>
      <c r="I923" t="str">
        <f>IF(ISNA(_xlfn.XLOOKUP(B923, policy_details!$A$2:$A$2829, policy_details!$A$2:$A$2829)), "Invalid", "Ok")</f>
        <v>Ok</v>
      </c>
    </row>
    <row r="924" spans="1:9" x14ac:dyDescent="0.3">
      <c r="A924" s="1" t="s">
        <v>7386</v>
      </c>
      <c r="B924" s="1" t="s">
        <v>6052</v>
      </c>
      <c r="C924" s="41">
        <v>44743</v>
      </c>
      <c r="D924" s="1">
        <v>114933.48</v>
      </c>
      <c r="E924" s="1" t="s">
        <v>6460</v>
      </c>
      <c r="F924" s="1" t="s">
        <v>6461</v>
      </c>
      <c r="G924" s="1" t="s">
        <v>17</v>
      </c>
      <c r="H924" s="1">
        <v>21</v>
      </c>
      <c r="I924" t="str">
        <f>IF(ISNA(_xlfn.XLOOKUP(B924, policy_details!$A$2:$A$2829, policy_details!$A$2:$A$2829)), "Invalid", "Ok")</f>
        <v>Ok</v>
      </c>
    </row>
    <row r="925" spans="1:9" x14ac:dyDescent="0.3">
      <c r="A925" s="1" t="s">
        <v>7387</v>
      </c>
      <c r="B925" s="1" t="s">
        <v>4887</v>
      </c>
      <c r="C925" s="41">
        <v>46039</v>
      </c>
      <c r="D925" s="1">
        <v>432234.15</v>
      </c>
      <c r="E925" s="1" t="s">
        <v>6457</v>
      </c>
      <c r="F925" s="1" t="s">
        <v>6481</v>
      </c>
      <c r="G925" s="1" t="s">
        <v>30</v>
      </c>
      <c r="H925" s="1">
        <v>2</v>
      </c>
      <c r="I925" t="str">
        <f>IF(ISNA(_xlfn.XLOOKUP(B925, policy_details!$A$2:$A$2829, policy_details!$A$2:$A$2829)), "Invalid", "Ok")</f>
        <v>Ok</v>
      </c>
    </row>
    <row r="926" spans="1:9" x14ac:dyDescent="0.3">
      <c r="A926" s="1" t="s">
        <v>7388</v>
      </c>
      <c r="B926" s="1" t="s">
        <v>3450</v>
      </c>
      <c r="C926" s="41">
        <v>45032</v>
      </c>
      <c r="D926" s="1">
        <v>274998.83</v>
      </c>
      <c r="E926" s="1" t="s">
        <v>6460</v>
      </c>
      <c r="F926" s="1" t="s">
        <v>6466</v>
      </c>
      <c r="G926" s="1" t="s">
        <v>17</v>
      </c>
      <c r="H926" s="1">
        <v>15</v>
      </c>
      <c r="I926" t="str">
        <f>IF(ISNA(_xlfn.XLOOKUP(B926, policy_details!$A$2:$A$2829, policy_details!$A$2:$A$2829)), "Invalid", "Ok")</f>
        <v>Ok</v>
      </c>
    </row>
    <row r="927" spans="1:9" x14ac:dyDescent="0.3">
      <c r="A927" s="1" t="s">
        <v>7389</v>
      </c>
      <c r="B927" s="1" t="s">
        <v>6372</v>
      </c>
      <c r="C927" s="41">
        <v>46078</v>
      </c>
      <c r="D927" s="1">
        <v>111592.71</v>
      </c>
      <c r="E927" s="1" t="s">
        <v>6457</v>
      </c>
      <c r="F927" s="1" t="s">
        <v>6466</v>
      </c>
      <c r="G927" s="1" t="s">
        <v>17</v>
      </c>
      <c r="H927" s="1">
        <v>17</v>
      </c>
      <c r="I927" t="str">
        <f>IF(ISNA(_xlfn.XLOOKUP(B927, policy_details!$A$2:$A$2829, policy_details!$A$2:$A$2829)), "Invalid", "Ok")</f>
        <v>Ok</v>
      </c>
    </row>
    <row r="928" spans="1:9" x14ac:dyDescent="0.3">
      <c r="A928" s="1" t="s">
        <v>7390</v>
      </c>
      <c r="B928" s="1" t="s">
        <v>3372</v>
      </c>
      <c r="C928" s="41">
        <v>44537</v>
      </c>
      <c r="D928" s="1">
        <v>29659.99</v>
      </c>
      <c r="E928" s="1" t="s">
        <v>6457</v>
      </c>
      <c r="F928" s="1" t="s">
        <v>6461</v>
      </c>
      <c r="G928" s="1" t="s">
        <v>17</v>
      </c>
      <c r="H928" s="1">
        <v>35</v>
      </c>
      <c r="I928" t="str">
        <f>IF(ISNA(_xlfn.XLOOKUP(B928, policy_details!$A$2:$A$2829, policy_details!$A$2:$A$2829)), "Invalid", "Ok")</f>
        <v>Ok</v>
      </c>
    </row>
    <row r="929" spans="1:9" x14ac:dyDescent="0.3">
      <c r="A929" s="1" t="s">
        <v>7391</v>
      </c>
      <c r="B929" s="1" t="s">
        <v>6041</v>
      </c>
      <c r="C929" s="41">
        <v>45376</v>
      </c>
      <c r="D929" s="1">
        <v>92743.679999999993</v>
      </c>
      <c r="E929" s="1" t="s">
        <v>6464</v>
      </c>
      <c r="F929" s="1" t="s">
        <v>6470</v>
      </c>
      <c r="G929" s="1" t="s">
        <v>17</v>
      </c>
      <c r="H929" s="1">
        <v>12</v>
      </c>
      <c r="I929" t="str">
        <f>IF(ISNA(_xlfn.XLOOKUP(B929, policy_details!$A$2:$A$2829, policy_details!$A$2:$A$2829)), "Invalid", "Ok")</f>
        <v>Ok</v>
      </c>
    </row>
    <row r="930" spans="1:9" x14ac:dyDescent="0.3">
      <c r="A930" s="1" t="s">
        <v>7392</v>
      </c>
      <c r="B930" s="1" t="s">
        <v>4781</v>
      </c>
      <c r="C930" s="41">
        <v>45245</v>
      </c>
      <c r="D930" s="1">
        <v>242359.98</v>
      </c>
      <c r="E930" s="1" t="s">
        <v>6460</v>
      </c>
      <c r="F930" s="1" t="s">
        <v>6470</v>
      </c>
      <c r="G930" s="1" t="s">
        <v>17</v>
      </c>
      <c r="H930" s="1">
        <v>29</v>
      </c>
      <c r="I930" t="str">
        <f>IF(ISNA(_xlfn.XLOOKUP(B930, policy_details!$A$2:$A$2829, policy_details!$A$2:$A$2829)), "Invalid", "Ok")</f>
        <v>Ok</v>
      </c>
    </row>
    <row r="931" spans="1:9" x14ac:dyDescent="0.3">
      <c r="A931" s="1" t="s">
        <v>7393</v>
      </c>
      <c r="B931" s="1" t="s">
        <v>4451</v>
      </c>
      <c r="C931" s="41">
        <v>45656</v>
      </c>
      <c r="D931" s="1">
        <v>234247.4</v>
      </c>
      <c r="E931" s="1" t="s">
        <v>6464</v>
      </c>
      <c r="F931" s="1" t="s">
        <v>6461</v>
      </c>
      <c r="G931" s="1" t="s">
        <v>30</v>
      </c>
      <c r="H931" s="1">
        <v>15</v>
      </c>
      <c r="I931" t="str">
        <f>IF(ISNA(_xlfn.XLOOKUP(B931, policy_details!$A$2:$A$2829, policy_details!$A$2:$A$2829)), "Invalid", "Ok")</f>
        <v>Ok</v>
      </c>
    </row>
    <row r="932" spans="1:9" x14ac:dyDescent="0.3">
      <c r="A932" s="1" t="s">
        <v>7394</v>
      </c>
      <c r="B932" s="1" t="s">
        <v>4767</v>
      </c>
      <c r="C932" s="41">
        <v>45039</v>
      </c>
      <c r="D932" s="1">
        <v>95919.78</v>
      </c>
      <c r="E932" s="1" t="s">
        <v>6464</v>
      </c>
      <c r="F932" s="1" t="s">
        <v>6466</v>
      </c>
      <c r="G932" s="1" t="s">
        <v>17</v>
      </c>
      <c r="H932" s="1">
        <v>16</v>
      </c>
      <c r="I932" t="str">
        <f>IF(ISNA(_xlfn.XLOOKUP(B932, policy_details!$A$2:$A$2829, policy_details!$A$2:$A$2829)), "Invalid", "Ok")</f>
        <v>Ok</v>
      </c>
    </row>
    <row r="933" spans="1:9" x14ac:dyDescent="0.3">
      <c r="A933" s="1" t="s">
        <v>7395</v>
      </c>
      <c r="B933" s="1" t="s">
        <v>4617</v>
      </c>
      <c r="C933" s="41">
        <v>45356</v>
      </c>
      <c r="D933" s="1">
        <v>1251022.97</v>
      </c>
      <c r="E933" s="1" t="s">
        <v>6460</v>
      </c>
      <c r="F933" s="1" t="s">
        <v>6458</v>
      </c>
      <c r="G933" s="1" t="s">
        <v>17</v>
      </c>
      <c r="H933" s="1">
        <v>4</v>
      </c>
      <c r="I933" t="str">
        <f>IF(ISNA(_xlfn.XLOOKUP(B933, policy_details!$A$2:$A$2829, policy_details!$A$2:$A$2829)), "Invalid", "Ok")</f>
        <v>Ok</v>
      </c>
    </row>
    <row r="934" spans="1:9" x14ac:dyDescent="0.3">
      <c r="A934" s="1" t="s">
        <v>7396</v>
      </c>
      <c r="B934" s="1" t="s">
        <v>5566</v>
      </c>
      <c r="C934" s="41">
        <v>44656</v>
      </c>
      <c r="D934" s="1">
        <v>204589.44</v>
      </c>
      <c r="E934" s="1" t="s">
        <v>6464</v>
      </c>
      <c r="F934" s="1" t="s">
        <v>6461</v>
      </c>
      <c r="G934" s="1" t="s">
        <v>30</v>
      </c>
      <c r="H934" s="1">
        <v>23</v>
      </c>
      <c r="I934" t="str">
        <f>IF(ISNA(_xlfn.XLOOKUP(B934, policy_details!$A$2:$A$2829, policy_details!$A$2:$A$2829)), "Invalid", "Ok")</f>
        <v>Ok</v>
      </c>
    </row>
    <row r="935" spans="1:9" x14ac:dyDescent="0.3">
      <c r="A935" s="1" t="s">
        <v>7397</v>
      </c>
      <c r="B935" s="1" t="s">
        <v>5235</v>
      </c>
      <c r="C935" s="41">
        <v>45465</v>
      </c>
      <c r="D935" s="1">
        <v>301314.98</v>
      </c>
      <c r="E935" s="1" t="s">
        <v>6464</v>
      </c>
      <c r="F935" s="1" t="s">
        <v>6461</v>
      </c>
      <c r="G935" s="1" t="s">
        <v>17</v>
      </c>
      <c r="H935" s="1">
        <v>5</v>
      </c>
      <c r="I935" t="str">
        <f>IF(ISNA(_xlfn.XLOOKUP(B935, policy_details!$A$2:$A$2829, policy_details!$A$2:$A$2829)), "Invalid", "Ok")</f>
        <v>Ok</v>
      </c>
    </row>
    <row r="936" spans="1:9" x14ac:dyDescent="0.3">
      <c r="A936" s="1" t="s">
        <v>7398</v>
      </c>
      <c r="B936" s="1" t="s">
        <v>4318</v>
      </c>
      <c r="C936" s="41">
        <v>45131</v>
      </c>
      <c r="D936" s="1">
        <v>241249.67</v>
      </c>
      <c r="E936" s="1" t="s">
        <v>6460</v>
      </c>
      <c r="F936" s="1" t="s">
        <v>6461</v>
      </c>
      <c r="G936" s="1" t="s">
        <v>17</v>
      </c>
      <c r="H936" s="1">
        <v>10</v>
      </c>
      <c r="I936" t="str">
        <f>IF(ISNA(_xlfn.XLOOKUP(B936, policy_details!$A$2:$A$2829, policy_details!$A$2:$A$2829)), "Invalid", "Ok")</f>
        <v>Ok</v>
      </c>
    </row>
    <row r="937" spans="1:9" x14ac:dyDescent="0.3">
      <c r="A937" s="1" t="s">
        <v>7399</v>
      </c>
      <c r="B937" s="1" t="s">
        <v>5107</v>
      </c>
      <c r="C937" s="41">
        <v>45146</v>
      </c>
      <c r="D937" s="1">
        <v>353858.84</v>
      </c>
      <c r="E937" s="1" t="s">
        <v>6464</v>
      </c>
      <c r="F937" s="1" t="s">
        <v>6470</v>
      </c>
      <c r="G937" s="1" t="s">
        <v>17</v>
      </c>
      <c r="H937" s="1">
        <v>23</v>
      </c>
      <c r="I937" t="str">
        <f>IF(ISNA(_xlfn.XLOOKUP(B937, policy_details!$A$2:$A$2829, policy_details!$A$2:$A$2829)), "Invalid", "Ok")</f>
        <v>Ok</v>
      </c>
    </row>
    <row r="938" spans="1:9" x14ac:dyDescent="0.3">
      <c r="A938" s="1" t="s">
        <v>7400</v>
      </c>
      <c r="B938" s="1" t="s">
        <v>4758</v>
      </c>
      <c r="C938" s="41">
        <v>45308</v>
      </c>
      <c r="D938" s="1">
        <v>191486.68</v>
      </c>
      <c r="E938" s="1" t="s">
        <v>6457</v>
      </c>
      <c r="F938" s="1" t="s">
        <v>6461</v>
      </c>
      <c r="G938" s="1" t="s">
        <v>17</v>
      </c>
      <c r="H938" s="1">
        <v>31</v>
      </c>
      <c r="I938" t="str">
        <f>IF(ISNA(_xlfn.XLOOKUP(B938, policy_details!$A$2:$A$2829, policy_details!$A$2:$A$2829)), "Invalid", "Ok")</f>
        <v>Ok</v>
      </c>
    </row>
    <row r="939" spans="1:9" x14ac:dyDescent="0.3">
      <c r="A939" s="1" t="s">
        <v>7401</v>
      </c>
      <c r="B939" s="1" t="s">
        <v>6225</v>
      </c>
      <c r="C939" s="41">
        <v>45011</v>
      </c>
      <c r="D939" s="1">
        <v>188311.26</v>
      </c>
      <c r="E939" s="1" t="s">
        <v>6457</v>
      </c>
      <c r="F939" s="1" t="s">
        <v>6461</v>
      </c>
      <c r="G939" s="1" t="s">
        <v>17</v>
      </c>
      <c r="H939" s="1">
        <v>18</v>
      </c>
      <c r="I939" t="str">
        <f>IF(ISNA(_xlfn.XLOOKUP(B939, policy_details!$A$2:$A$2829, policy_details!$A$2:$A$2829)), "Invalid", "Ok")</f>
        <v>Ok</v>
      </c>
    </row>
    <row r="940" spans="1:9" x14ac:dyDescent="0.3">
      <c r="A940" s="1" t="s">
        <v>7402</v>
      </c>
      <c r="B940" s="1" t="s">
        <v>6145</v>
      </c>
      <c r="C940" s="41">
        <v>45395</v>
      </c>
      <c r="D940" s="1">
        <v>126721.66</v>
      </c>
      <c r="E940" s="1" t="s">
        <v>6464</v>
      </c>
      <c r="F940" s="1" t="s">
        <v>6461</v>
      </c>
      <c r="G940" s="1" t="s">
        <v>17</v>
      </c>
      <c r="H940" s="1">
        <v>12</v>
      </c>
      <c r="I940" t="str">
        <f>IF(ISNA(_xlfn.XLOOKUP(B940, policy_details!$A$2:$A$2829, policy_details!$A$2:$A$2829)), "Invalid", "Ok")</f>
        <v>Ok</v>
      </c>
    </row>
    <row r="941" spans="1:9" x14ac:dyDescent="0.3">
      <c r="A941" s="1" t="s">
        <v>7403</v>
      </c>
      <c r="B941" s="1" t="s">
        <v>5363</v>
      </c>
      <c r="C941" s="41">
        <v>45411</v>
      </c>
      <c r="D941" s="1">
        <v>331542.40999999997</v>
      </c>
      <c r="E941" s="1" t="s">
        <v>6457</v>
      </c>
      <c r="F941" s="1" t="s">
        <v>6466</v>
      </c>
      <c r="G941" s="1" t="s">
        <v>17</v>
      </c>
      <c r="H941" s="1">
        <v>40</v>
      </c>
      <c r="I941" t="str">
        <f>IF(ISNA(_xlfn.XLOOKUP(B941, policy_details!$A$2:$A$2829, policy_details!$A$2:$A$2829)), "Invalid", "Ok")</f>
        <v>Ok</v>
      </c>
    </row>
    <row r="942" spans="1:9" x14ac:dyDescent="0.3">
      <c r="A942" s="1" t="s">
        <v>7404</v>
      </c>
      <c r="B942" s="1" t="s">
        <v>6351</v>
      </c>
      <c r="C942" s="41">
        <v>46055</v>
      </c>
      <c r="D942" s="1">
        <v>128413.75999999999</v>
      </c>
      <c r="E942" s="1" t="s">
        <v>6464</v>
      </c>
      <c r="F942" s="1" t="s">
        <v>6481</v>
      </c>
      <c r="G942" s="1" t="s">
        <v>17</v>
      </c>
      <c r="H942" s="1">
        <v>16</v>
      </c>
      <c r="I942" t="str">
        <f>IF(ISNA(_xlfn.XLOOKUP(B942, policy_details!$A$2:$A$2829, policy_details!$A$2:$A$2829)), "Invalid", "Ok")</f>
        <v>Ok</v>
      </c>
    </row>
    <row r="943" spans="1:9" x14ac:dyDescent="0.3">
      <c r="A943" s="1" t="s">
        <v>7405</v>
      </c>
      <c r="B943" s="1" t="s">
        <v>4671</v>
      </c>
      <c r="C943" s="41">
        <v>45980</v>
      </c>
      <c r="D943" s="1">
        <v>233252.65</v>
      </c>
      <c r="E943" s="1" t="s">
        <v>6464</v>
      </c>
      <c r="F943" s="1" t="s">
        <v>6481</v>
      </c>
      <c r="G943" s="1" t="s">
        <v>17</v>
      </c>
      <c r="H943" s="1">
        <v>15</v>
      </c>
      <c r="I943" t="str">
        <f>IF(ISNA(_xlfn.XLOOKUP(B943, policy_details!$A$2:$A$2829, policy_details!$A$2:$A$2829)), "Invalid", "Ok")</f>
        <v>Ok</v>
      </c>
    </row>
    <row r="944" spans="1:9" x14ac:dyDescent="0.3">
      <c r="A944" s="1" t="s">
        <v>7406</v>
      </c>
      <c r="B944" s="1" t="s">
        <v>3731</v>
      </c>
      <c r="C944" s="41">
        <v>46187</v>
      </c>
      <c r="D944" s="1">
        <v>196483.23</v>
      </c>
      <c r="E944" s="1" t="s">
        <v>6460</v>
      </c>
      <c r="F944" s="1" t="s">
        <v>6461</v>
      </c>
      <c r="G944" s="1" t="s">
        <v>17</v>
      </c>
      <c r="H944" s="1">
        <v>3</v>
      </c>
      <c r="I944" t="str">
        <f>IF(ISNA(_xlfn.XLOOKUP(B944, policy_details!$A$2:$A$2829, policy_details!$A$2:$A$2829)), "Invalid", "Ok")</f>
        <v>Ok</v>
      </c>
    </row>
    <row r="945" spans="1:9" x14ac:dyDescent="0.3">
      <c r="A945" s="1" t="s">
        <v>7407</v>
      </c>
      <c r="B945" s="1" t="s">
        <v>3558</v>
      </c>
      <c r="C945" s="41">
        <v>46169</v>
      </c>
      <c r="D945" s="1">
        <v>505510.27</v>
      </c>
      <c r="E945" s="1" t="s">
        <v>6464</v>
      </c>
      <c r="F945" s="1" t="s">
        <v>6481</v>
      </c>
      <c r="G945" s="1" t="s">
        <v>17</v>
      </c>
      <c r="H945" s="1">
        <v>16</v>
      </c>
      <c r="I945" t="str">
        <f>IF(ISNA(_xlfn.XLOOKUP(B945, policy_details!$A$2:$A$2829, policy_details!$A$2:$A$2829)), "Invalid", "Ok")</f>
        <v>Ok</v>
      </c>
    </row>
    <row r="946" spans="1:9" x14ac:dyDescent="0.3">
      <c r="A946" s="1" t="s">
        <v>7408</v>
      </c>
      <c r="B946" s="1" t="s">
        <v>5976</v>
      </c>
      <c r="C946" s="41">
        <v>45964</v>
      </c>
      <c r="D946" s="1">
        <v>173236.63</v>
      </c>
      <c r="E946" s="1" t="s">
        <v>6464</v>
      </c>
      <c r="F946" s="1" t="s">
        <v>6466</v>
      </c>
      <c r="G946" s="1" t="s">
        <v>17</v>
      </c>
      <c r="H946" s="1">
        <v>10</v>
      </c>
      <c r="I946" t="str">
        <f>IF(ISNA(_xlfn.XLOOKUP(B946, policy_details!$A$2:$A$2829, policy_details!$A$2:$A$2829)), "Invalid", "Ok")</f>
        <v>Ok</v>
      </c>
    </row>
    <row r="947" spans="1:9" x14ac:dyDescent="0.3">
      <c r="A947" s="1" t="s">
        <v>7409</v>
      </c>
      <c r="B947" s="1" t="s">
        <v>4694</v>
      </c>
      <c r="C947" s="41">
        <v>45741</v>
      </c>
      <c r="D947" s="1">
        <v>291852.15999999997</v>
      </c>
      <c r="E947" s="1" t="s">
        <v>6464</v>
      </c>
      <c r="F947" s="1" t="s">
        <v>6470</v>
      </c>
      <c r="G947" s="1" t="s">
        <v>17</v>
      </c>
      <c r="H947" s="1">
        <v>16</v>
      </c>
      <c r="I947" t="str">
        <f>IF(ISNA(_xlfn.XLOOKUP(B947, policy_details!$A$2:$A$2829, policy_details!$A$2:$A$2829)), "Invalid", "Ok")</f>
        <v>Ok</v>
      </c>
    </row>
    <row r="948" spans="1:9" x14ac:dyDescent="0.3">
      <c r="A948" s="1" t="s">
        <v>7410</v>
      </c>
      <c r="B948" s="1" t="s">
        <v>6054</v>
      </c>
      <c r="C948" s="41">
        <v>45976</v>
      </c>
      <c r="D948" s="1">
        <v>226528.69</v>
      </c>
      <c r="E948" s="1" t="s">
        <v>6460</v>
      </c>
      <c r="F948" s="1" t="s">
        <v>6481</v>
      </c>
      <c r="G948" s="1" t="s">
        <v>17</v>
      </c>
      <c r="H948" s="1">
        <v>9</v>
      </c>
      <c r="I948" t="str">
        <f>IF(ISNA(_xlfn.XLOOKUP(B948, policy_details!$A$2:$A$2829, policy_details!$A$2:$A$2829)), "Invalid", "Ok")</f>
        <v>Ok</v>
      </c>
    </row>
    <row r="949" spans="1:9" x14ac:dyDescent="0.3">
      <c r="A949" s="1" t="s">
        <v>7411</v>
      </c>
      <c r="B949" s="1" t="s">
        <v>4910</v>
      </c>
      <c r="C949" s="41">
        <v>45466</v>
      </c>
      <c r="D949" s="1">
        <v>245713.14</v>
      </c>
      <c r="E949" s="1" t="s">
        <v>6460</v>
      </c>
      <c r="F949" s="1" t="s">
        <v>6461</v>
      </c>
      <c r="G949" s="1" t="s">
        <v>17</v>
      </c>
      <c r="H949" s="1">
        <v>9</v>
      </c>
      <c r="I949" t="str">
        <f>IF(ISNA(_xlfn.XLOOKUP(B949, policy_details!$A$2:$A$2829, policy_details!$A$2:$A$2829)), "Invalid", "Ok")</f>
        <v>Ok</v>
      </c>
    </row>
    <row r="950" spans="1:9" x14ac:dyDescent="0.3">
      <c r="A950" s="1" t="s">
        <v>7412</v>
      </c>
      <c r="B950" s="1" t="s">
        <v>3376</v>
      </c>
      <c r="C950" s="41">
        <v>45337</v>
      </c>
      <c r="D950" s="1">
        <v>167466.76</v>
      </c>
      <c r="E950" s="1" t="s">
        <v>6457</v>
      </c>
      <c r="F950" s="1" t="s">
        <v>6481</v>
      </c>
      <c r="G950" s="1" t="s">
        <v>17</v>
      </c>
      <c r="H950" s="1">
        <v>33</v>
      </c>
      <c r="I950" t="str">
        <f>IF(ISNA(_xlfn.XLOOKUP(B950, policy_details!$A$2:$A$2829, policy_details!$A$2:$A$2829)), "Invalid", "Ok")</f>
        <v>Ok</v>
      </c>
    </row>
    <row r="951" spans="1:9" x14ac:dyDescent="0.3">
      <c r="A951" s="1" t="s">
        <v>7413</v>
      </c>
      <c r="B951" s="1" t="s">
        <v>5110</v>
      </c>
      <c r="C951" s="41">
        <v>45883</v>
      </c>
      <c r="D951" s="1">
        <v>316275.39</v>
      </c>
      <c r="E951" s="1" t="s">
        <v>6457</v>
      </c>
      <c r="F951" s="1" t="s">
        <v>6466</v>
      </c>
      <c r="G951" s="1" t="s">
        <v>17</v>
      </c>
      <c r="H951" s="1">
        <v>21</v>
      </c>
      <c r="I951" t="str">
        <f>IF(ISNA(_xlfn.XLOOKUP(B951, policy_details!$A$2:$A$2829, policy_details!$A$2:$A$2829)), "Invalid", "Ok")</f>
        <v>Ok</v>
      </c>
    </row>
    <row r="952" spans="1:9" x14ac:dyDescent="0.3">
      <c r="A952" s="1" t="s">
        <v>7414</v>
      </c>
      <c r="B952" s="1" t="s">
        <v>5296</v>
      </c>
      <c r="C952" s="41">
        <v>45694</v>
      </c>
      <c r="D952" s="1">
        <v>238362.36</v>
      </c>
      <c r="E952" s="1" t="s">
        <v>6464</v>
      </c>
      <c r="F952" s="1" t="s">
        <v>6481</v>
      </c>
      <c r="G952" s="1" t="s">
        <v>17</v>
      </c>
      <c r="H952" s="1">
        <v>31</v>
      </c>
      <c r="I952" t="str">
        <f>IF(ISNA(_xlfn.XLOOKUP(B952, policy_details!$A$2:$A$2829, policy_details!$A$2:$A$2829)), "Invalid", "Ok")</f>
        <v>Ok</v>
      </c>
    </row>
    <row r="953" spans="1:9" x14ac:dyDescent="0.3">
      <c r="A953" s="1" t="s">
        <v>7415</v>
      </c>
      <c r="B953" s="1" t="s">
        <v>4889</v>
      </c>
      <c r="C953" s="41">
        <v>45461</v>
      </c>
      <c r="D953" s="1">
        <v>82937.279999999999</v>
      </c>
      <c r="E953" s="1" t="s">
        <v>6464</v>
      </c>
      <c r="F953" s="1" t="s">
        <v>6461</v>
      </c>
      <c r="G953" s="1" t="s">
        <v>17</v>
      </c>
      <c r="H953" s="1">
        <v>26</v>
      </c>
      <c r="I953" t="str">
        <f>IF(ISNA(_xlfn.XLOOKUP(B953, policy_details!$A$2:$A$2829, policy_details!$A$2:$A$2829)), "Invalid", "Ok")</f>
        <v>Ok</v>
      </c>
    </row>
    <row r="954" spans="1:9" x14ac:dyDescent="0.3">
      <c r="A954" s="1" t="s">
        <v>7416</v>
      </c>
      <c r="B954" s="1" t="s">
        <v>5989</v>
      </c>
      <c r="C954" s="41">
        <v>45237</v>
      </c>
      <c r="D954" s="1">
        <v>231553.77</v>
      </c>
      <c r="E954" s="1" t="s">
        <v>6457</v>
      </c>
      <c r="F954" s="1" t="s">
        <v>6481</v>
      </c>
      <c r="G954" s="1" t="s">
        <v>17</v>
      </c>
      <c r="H954" s="1">
        <v>24</v>
      </c>
      <c r="I954" t="str">
        <f>IF(ISNA(_xlfn.XLOOKUP(B954, policy_details!$A$2:$A$2829, policy_details!$A$2:$A$2829)), "Invalid", "Ok")</f>
        <v>Ok</v>
      </c>
    </row>
    <row r="955" spans="1:9" x14ac:dyDescent="0.3">
      <c r="A955" s="1" t="s">
        <v>7417</v>
      </c>
      <c r="B955" s="1" t="s">
        <v>5439</v>
      </c>
      <c r="C955" s="41">
        <v>45078</v>
      </c>
      <c r="D955" s="1">
        <v>426018.66</v>
      </c>
      <c r="E955" s="1" t="s">
        <v>6460</v>
      </c>
      <c r="F955" s="1" t="s">
        <v>6466</v>
      </c>
      <c r="G955" s="1" t="s">
        <v>17</v>
      </c>
      <c r="H955" s="1">
        <v>21</v>
      </c>
      <c r="I955" t="str">
        <f>IF(ISNA(_xlfn.XLOOKUP(B955, policy_details!$A$2:$A$2829, policy_details!$A$2:$A$2829)), "Invalid", "Ok")</f>
        <v>Ok</v>
      </c>
    </row>
    <row r="956" spans="1:9" x14ac:dyDescent="0.3">
      <c r="A956" s="1" t="s">
        <v>7418</v>
      </c>
      <c r="B956" s="1" t="s">
        <v>4642</v>
      </c>
      <c r="C956" s="41">
        <v>44488</v>
      </c>
      <c r="D956" s="1">
        <v>150183.59</v>
      </c>
      <c r="E956" s="1" t="s">
        <v>6464</v>
      </c>
      <c r="F956" s="1" t="s">
        <v>6481</v>
      </c>
      <c r="G956" s="1" t="s">
        <v>17</v>
      </c>
      <c r="H956" s="1">
        <v>18</v>
      </c>
      <c r="I956" t="str">
        <f>IF(ISNA(_xlfn.XLOOKUP(B956, policy_details!$A$2:$A$2829, policy_details!$A$2:$A$2829)), "Invalid", "Ok")</f>
        <v>Ok</v>
      </c>
    </row>
    <row r="957" spans="1:9" x14ac:dyDescent="0.3">
      <c r="A957" s="1" t="s">
        <v>7419</v>
      </c>
      <c r="B957" s="1" t="s">
        <v>5650</v>
      </c>
      <c r="C957" s="41">
        <v>45110</v>
      </c>
      <c r="D957" s="1">
        <v>119021.27</v>
      </c>
      <c r="E957" s="1" t="s">
        <v>6460</v>
      </c>
      <c r="F957" s="1" t="s">
        <v>6481</v>
      </c>
      <c r="G957" s="1" t="s">
        <v>17</v>
      </c>
      <c r="H957" s="1">
        <v>12</v>
      </c>
      <c r="I957" t="str">
        <f>IF(ISNA(_xlfn.XLOOKUP(B957, policy_details!$A$2:$A$2829, policy_details!$A$2:$A$2829)), "Invalid", "Ok")</f>
        <v>Ok</v>
      </c>
    </row>
    <row r="958" spans="1:9" x14ac:dyDescent="0.3">
      <c r="A958" s="1" t="s">
        <v>7420</v>
      </c>
      <c r="B958" s="1" t="s">
        <v>4506</v>
      </c>
      <c r="C958" s="41">
        <v>45293</v>
      </c>
      <c r="D958" s="1">
        <v>268539.71000000002</v>
      </c>
      <c r="E958" s="1" t="s">
        <v>6457</v>
      </c>
      <c r="F958" s="1" t="s">
        <v>6466</v>
      </c>
      <c r="G958" s="1" t="s">
        <v>17</v>
      </c>
      <c r="H958" s="1">
        <v>40</v>
      </c>
      <c r="I958" t="str">
        <f>IF(ISNA(_xlfn.XLOOKUP(B958, policy_details!$A$2:$A$2829, policy_details!$A$2:$A$2829)), "Invalid", "Ok")</f>
        <v>Ok</v>
      </c>
    </row>
    <row r="959" spans="1:9" x14ac:dyDescent="0.3">
      <c r="A959" s="1" t="s">
        <v>7421</v>
      </c>
      <c r="B959" s="1" t="s">
        <v>5991</v>
      </c>
      <c r="C959" s="41">
        <v>45666</v>
      </c>
      <c r="D959" s="1">
        <v>64827.91</v>
      </c>
      <c r="E959" s="1" t="s">
        <v>6457</v>
      </c>
      <c r="F959" s="1" t="s">
        <v>6461</v>
      </c>
      <c r="G959" s="1" t="s">
        <v>17</v>
      </c>
      <c r="H959" s="1">
        <v>19</v>
      </c>
      <c r="I959" t="str">
        <f>IF(ISNA(_xlfn.XLOOKUP(B959, policy_details!$A$2:$A$2829, policy_details!$A$2:$A$2829)), "Invalid", "Ok")</f>
        <v>Ok</v>
      </c>
    </row>
    <row r="960" spans="1:9" x14ac:dyDescent="0.3">
      <c r="A960" s="1" t="s">
        <v>7422</v>
      </c>
      <c r="B960" s="1" t="s">
        <v>4387</v>
      </c>
      <c r="C960" s="41">
        <v>45772</v>
      </c>
      <c r="D960" s="1">
        <v>480729.64</v>
      </c>
      <c r="E960" s="1" t="s">
        <v>6460</v>
      </c>
      <c r="F960" s="1" t="s">
        <v>6466</v>
      </c>
      <c r="G960" s="1" t="s">
        <v>17</v>
      </c>
      <c r="H960" s="1">
        <v>39</v>
      </c>
      <c r="I960" t="str">
        <f>IF(ISNA(_xlfn.XLOOKUP(B960, policy_details!$A$2:$A$2829, policy_details!$A$2:$A$2829)), "Invalid", "Ok")</f>
        <v>Ok</v>
      </c>
    </row>
    <row r="961" spans="1:9" x14ac:dyDescent="0.3">
      <c r="A961" s="1" t="s">
        <v>7423</v>
      </c>
      <c r="B961" s="1" t="s">
        <v>5502</v>
      </c>
      <c r="C961" s="41">
        <v>44832</v>
      </c>
      <c r="D961" s="1">
        <v>474711.73</v>
      </c>
      <c r="E961" s="1" t="s">
        <v>6464</v>
      </c>
      <c r="F961" s="1" t="s">
        <v>6466</v>
      </c>
      <c r="G961" s="1" t="s">
        <v>17</v>
      </c>
      <c r="H961" s="1">
        <v>34</v>
      </c>
      <c r="I961" t="str">
        <f>IF(ISNA(_xlfn.XLOOKUP(B961, policy_details!$A$2:$A$2829, policy_details!$A$2:$A$2829)), "Invalid", "Ok")</f>
        <v>Ok</v>
      </c>
    </row>
    <row r="962" spans="1:9" x14ac:dyDescent="0.3">
      <c r="A962" s="1" t="s">
        <v>7424</v>
      </c>
      <c r="B962" s="1" t="s">
        <v>4786</v>
      </c>
      <c r="C962" s="41">
        <v>45464</v>
      </c>
      <c r="D962" s="1">
        <v>420145.5</v>
      </c>
      <c r="E962" s="1" t="s">
        <v>6457</v>
      </c>
      <c r="F962" s="1" t="s">
        <v>6481</v>
      </c>
      <c r="G962" s="1" t="s">
        <v>17</v>
      </c>
      <c r="H962" s="1">
        <v>27</v>
      </c>
      <c r="I962" t="str">
        <f>IF(ISNA(_xlfn.XLOOKUP(B962, policy_details!$A$2:$A$2829, policy_details!$A$2:$A$2829)), "Invalid", "Ok")</f>
        <v>Ok</v>
      </c>
    </row>
    <row r="963" spans="1:9" x14ac:dyDescent="0.3">
      <c r="A963" s="1" t="s">
        <v>7425</v>
      </c>
      <c r="B963" s="1" t="s">
        <v>3784</v>
      </c>
      <c r="C963" s="41">
        <v>46265</v>
      </c>
      <c r="D963" s="1">
        <v>248599.94</v>
      </c>
      <c r="E963" s="1" t="s">
        <v>6460</v>
      </c>
      <c r="F963" s="1" t="s">
        <v>6481</v>
      </c>
      <c r="G963" s="1" t="s">
        <v>17</v>
      </c>
      <c r="H963" s="1">
        <v>38</v>
      </c>
      <c r="I963" t="str">
        <f>IF(ISNA(_xlfn.XLOOKUP(B963, policy_details!$A$2:$A$2829, policy_details!$A$2:$A$2829)), "Invalid", "Ok")</f>
        <v>Ok</v>
      </c>
    </row>
    <row r="964" spans="1:9" x14ac:dyDescent="0.3">
      <c r="A964" s="1" t="s">
        <v>7426</v>
      </c>
      <c r="B964" s="1" t="s">
        <v>5398</v>
      </c>
      <c r="C964" s="41">
        <v>46158</v>
      </c>
      <c r="D964" s="1">
        <v>413760.66</v>
      </c>
      <c r="E964" s="1" t="s">
        <v>6464</v>
      </c>
      <c r="F964" s="1" t="s">
        <v>6470</v>
      </c>
      <c r="G964" s="1" t="s">
        <v>17</v>
      </c>
      <c r="H964" s="1">
        <v>29</v>
      </c>
      <c r="I964" t="str">
        <f>IF(ISNA(_xlfn.XLOOKUP(B964, policy_details!$A$2:$A$2829, policy_details!$A$2:$A$2829)), "Invalid", "Ok")</f>
        <v>Ok</v>
      </c>
    </row>
    <row r="965" spans="1:9" x14ac:dyDescent="0.3">
      <c r="A965" s="1" t="s">
        <v>7427</v>
      </c>
      <c r="B965" s="1" t="s">
        <v>4693</v>
      </c>
      <c r="C965" s="41">
        <v>45140</v>
      </c>
      <c r="D965" s="1">
        <v>1763610.66</v>
      </c>
      <c r="E965" s="1" t="s">
        <v>6464</v>
      </c>
      <c r="F965" s="1" t="s">
        <v>6458</v>
      </c>
      <c r="G965" s="1" t="s">
        <v>17</v>
      </c>
      <c r="H965" s="1">
        <v>36</v>
      </c>
      <c r="I965" t="str">
        <f>IF(ISNA(_xlfn.XLOOKUP(B965, policy_details!$A$2:$A$2829, policy_details!$A$2:$A$2829)), "Invalid", "Ok")</f>
        <v>Ok</v>
      </c>
    </row>
    <row r="966" spans="1:9" x14ac:dyDescent="0.3">
      <c r="A966" s="1" t="s">
        <v>7428</v>
      </c>
      <c r="B966" s="1" t="s">
        <v>5411</v>
      </c>
      <c r="C966" s="41">
        <v>44769</v>
      </c>
      <c r="D966" s="1">
        <v>168556.01</v>
      </c>
      <c r="E966" s="1" t="s">
        <v>6464</v>
      </c>
      <c r="F966" s="1" t="s">
        <v>6466</v>
      </c>
      <c r="G966" s="1" t="s">
        <v>17</v>
      </c>
      <c r="H966" s="1">
        <v>36</v>
      </c>
      <c r="I966" t="str">
        <f>IF(ISNA(_xlfn.XLOOKUP(B966, policy_details!$A$2:$A$2829, policy_details!$A$2:$A$2829)), "Invalid", "Ok")</f>
        <v>Ok</v>
      </c>
    </row>
    <row r="967" spans="1:9" x14ac:dyDescent="0.3">
      <c r="A967" s="1" t="s">
        <v>7429</v>
      </c>
      <c r="B967" s="1" t="s">
        <v>5142</v>
      </c>
      <c r="C967" s="41">
        <v>45807</v>
      </c>
      <c r="D967" s="1">
        <v>513309.48</v>
      </c>
      <c r="E967" s="1" t="s">
        <v>6464</v>
      </c>
      <c r="F967" s="1" t="s">
        <v>6481</v>
      </c>
      <c r="G967" s="1" t="s">
        <v>17</v>
      </c>
      <c r="H967" s="1">
        <v>29</v>
      </c>
      <c r="I967" t="str">
        <f>IF(ISNA(_xlfn.XLOOKUP(B967, policy_details!$A$2:$A$2829, policy_details!$A$2:$A$2829)), "Invalid", "Ok")</f>
        <v>Ok</v>
      </c>
    </row>
    <row r="968" spans="1:9" x14ac:dyDescent="0.3">
      <c r="A968" s="1" t="s">
        <v>7430</v>
      </c>
      <c r="B968" s="1" t="s">
        <v>3529</v>
      </c>
      <c r="C968" s="41">
        <v>44461</v>
      </c>
      <c r="D968" s="1">
        <v>570525.57999999996</v>
      </c>
      <c r="E968" s="1" t="s">
        <v>6460</v>
      </c>
      <c r="F968" s="1" t="s">
        <v>6458</v>
      </c>
      <c r="G968" s="1" t="s">
        <v>17</v>
      </c>
      <c r="H968" s="1">
        <v>32</v>
      </c>
      <c r="I968" t="str">
        <f>IF(ISNA(_xlfn.XLOOKUP(B968, policy_details!$A$2:$A$2829, policy_details!$A$2:$A$2829)), "Invalid", "Ok")</f>
        <v>Ok</v>
      </c>
    </row>
    <row r="969" spans="1:9" x14ac:dyDescent="0.3">
      <c r="A969" s="1" t="s">
        <v>7431</v>
      </c>
      <c r="B969" s="1" t="s">
        <v>4155</v>
      </c>
      <c r="C969" s="41">
        <v>45249</v>
      </c>
      <c r="D969" s="1">
        <v>163112.54</v>
      </c>
      <c r="E969" s="1" t="s">
        <v>6464</v>
      </c>
      <c r="F969" s="1" t="s">
        <v>6470</v>
      </c>
      <c r="G969" s="1" t="s">
        <v>17</v>
      </c>
      <c r="H969" s="1">
        <v>36</v>
      </c>
      <c r="I969" t="str">
        <f>IF(ISNA(_xlfn.XLOOKUP(B969, policy_details!$A$2:$A$2829, policy_details!$A$2:$A$2829)), "Invalid", "Ok")</f>
        <v>Ok</v>
      </c>
    </row>
    <row r="970" spans="1:9" x14ac:dyDescent="0.3">
      <c r="A970" s="1" t="s">
        <v>7432</v>
      </c>
      <c r="B970" s="1" t="s">
        <v>5599</v>
      </c>
      <c r="C970" s="41">
        <v>45403</v>
      </c>
      <c r="D970" s="1">
        <v>73422.09</v>
      </c>
      <c r="E970" s="1" t="s">
        <v>6460</v>
      </c>
      <c r="F970" s="1" t="s">
        <v>6470</v>
      </c>
      <c r="G970" s="1" t="s">
        <v>17</v>
      </c>
      <c r="H970" s="1">
        <v>10</v>
      </c>
      <c r="I970" t="str">
        <f>IF(ISNA(_xlfn.XLOOKUP(B970, policy_details!$A$2:$A$2829, policy_details!$A$2:$A$2829)), "Invalid", "Ok")</f>
        <v>Ok</v>
      </c>
    </row>
    <row r="971" spans="1:9" x14ac:dyDescent="0.3">
      <c r="A971" s="1" t="s">
        <v>7433</v>
      </c>
      <c r="B971" s="1" t="s">
        <v>4935</v>
      </c>
      <c r="C971" s="41">
        <v>44452</v>
      </c>
      <c r="D971" s="1">
        <v>268922.38</v>
      </c>
      <c r="E971" s="1" t="s">
        <v>6460</v>
      </c>
      <c r="F971" s="1" t="s">
        <v>6481</v>
      </c>
      <c r="G971" s="1" t="s">
        <v>17</v>
      </c>
      <c r="H971" s="1">
        <v>39</v>
      </c>
      <c r="I971" t="str">
        <f>IF(ISNA(_xlfn.XLOOKUP(B971, policy_details!$A$2:$A$2829, policy_details!$A$2:$A$2829)), "Invalid", "Ok")</f>
        <v>Ok</v>
      </c>
    </row>
    <row r="972" spans="1:9" x14ac:dyDescent="0.3">
      <c r="A972" s="1" t="s">
        <v>7434</v>
      </c>
      <c r="B972" s="1" t="s">
        <v>4932</v>
      </c>
      <c r="C972" s="41">
        <v>45009</v>
      </c>
      <c r="D972" s="1">
        <v>189876.39</v>
      </c>
      <c r="E972" s="1" t="s">
        <v>6457</v>
      </c>
      <c r="F972" s="1" t="s">
        <v>6466</v>
      </c>
      <c r="G972" s="1" t="s">
        <v>17</v>
      </c>
      <c r="H972" s="1">
        <v>23</v>
      </c>
      <c r="I972" t="str">
        <f>IF(ISNA(_xlfn.XLOOKUP(B972, policy_details!$A$2:$A$2829, policy_details!$A$2:$A$2829)), "Invalid", "Ok")</f>
        <v>Ok</v>
      </c>
    </row>
    <row r="973" spans="1:9" x14ac:dyDescent="0.3">
      <c r="A973" s="1" t="s">
        <v>7435</v>
      </c>
      <c r="B973" s="1" t="s">
        <v>3330</v>
      </c>
      <c r="C973" s="41">
        <v>44613</v>
      </c>
      <c r="D973" s="1">
        <v>175480.44</v>
      </c>
      <c r="E973" s="1" t="s">
        <v>6460</v>
      </c>
      <c r="F973" s="1" t="s">
        <v>6466</v>
      </c>
      <c r="G973" s="1" t="s">
        <v>17</v>
      </c>
      <c r="H973" s="1">
        <v>6</v>
      </c>
      <c r="I973" t="str">
        <f>IF(ISNA(_xlfn.XLOOKUP(B973, policy_details!$A$2:$A$2829, policy_details!$A$2:$A$2829)), "Invalid", "Ok")</f>
        <v>Ok</v>
      </c>
    </row>
    <row r="974" spans="1:9" x14ac:dyDescent="0.3">
      <c r="A974" s="1" t="s">
        <v>7436</v>
      </c>
      <c r="B974" s="1" t="s">
        <v>4456</v>
      </c>
      <c r="C974" s="41">
        <v>45115</v>
      </c>
      <c r="D974" s="1">
        <v>138076.54999999999</v>
      </c>
      <c r="E974" s="1" t="s">
        <v>6457</v>
      </c>
      <c r="F974" s="1" t="s">
        <v>6461</v>
      </c>
      <c r="G974" s="1" t="s">
        <v>17</v>
      </c>
      <c r="H974" s="1">
        <v>7</v>
      </c>
      <c r="I974" t="str">
        <f>IF(ISNA(_xlfn.XLOOKUP(B974, policy_details!$A$2:$A$2829, policy_details!$A$2:$A$2829)), "Invalid", "Ok")</f>
        <v>Ok</v>
      </c>
    </row>
    <row r="975" spans="1:9" x14ac:dyDescent="0.3">
      <c r="A975" s="1" t="s">
        <v>7437</v>
      </c>
      <c r="B975" s="1" t="s">
        <v>5510</v>
      </c>
      <c r="C975" s="41">
        <v>44905</v>
      </c>
      <c r="D975" s="1">
        <v>134718.07</v>
      </c>
      <c r="E975" s="1" t="s">
        <v>6457</v>
      </c>
      <c r="F975" s="1" t="s">
        <v>6470</v>
      </c>
      <c r="G975" s="1" t="s">
        <v>30</v>
      </c>
      <c r="H975" s="1">
        <v>34</v>
      </c>
      <c r="I975" t="str">
        <f>IF(ISNA(_xlfn.XLOOKUP(B975, policy_details!$A$2:$A$2829, policy_details!$A$2:$A$2829)), "Invalid", "Ok")</f>
        <v>Ok</v>
      </c>
    </row>
    <row r="976" spans="1:9" x14ac:dyDescent="0.3">
      <c r="A976" s="1" t="s">
        <v>7438</v>
      </c>
      <c r="B976" s="1" t="s">
        <v>6129</v>
      </c>
      <c r="C976" s="41">
        <v>46125</v>
      </c>
      <c r="D976" s="1">
        <v>255263.92</v>
      </c>
      <c r="E976" s="1" t="s">
        <v>6457</v>
      </c>
      <c r="F976" s="1" t="s">
        <v>6481</v>
      </c>
      <c r="G976" s="1" t="s">
        <v>17</v>
      </c>
      <c r="H976" s="1">
        <v>36</v>
      </c>
      <c r="I976" t="str">
        <f>IF(ISNA(_xlfn.XLOOKUP(B976, policy_details!$A$2:$A$2829, policy_details!$A$2:$A$2829)), "Invalid", "Ok")</f>
        <v>Ok</v>
      </c>
    </row>
    <row r="977" spans="1:9" x14ac:dyDescent="0.3">
      <c r="A977" s="1" t="s">
        <v>7439</v>
      </c>
      <c r="B977" s="1" t="s">
        <v>5238</v>
      </c>
      <c r="C977" s="41">
        <v>45550</v>
      </c>
      <c r="D977" s="1">
        <v>1709881.43</v>
      </c>
      <c r="E977" s="1" t="s">
        <v>6457</v>
      </c>
      <c r="F977" s="1" t="s">
        <v>6458</v>
      </c>
      <c r="G977" s="1" t="s">
        <v>17</v>
      </c>
      <c r="H977" s="1">
        <v>29</v>
      </c>
      <c r="I977" t="str">
        <f>IF(ISNA(_xlfn.XLOOKUP(B977, policy_details!$A$2:$A$2829, policy_details!$A$2:$A$2829)), "Invalid", "Ok")</f>
        <v>Ok</v>
      </c>
    </row>
    <row r="978" spans="1:9" x14ac:dyDescent="0.3">
      <c r="A978" s="1" t="s">
        <v>7440</v>
      </c>
      <c r="B978" s="1" t="s">
        <v>5144</v>
      </c>
      <c r="C978" s="41">
        <v>44503</v>
      </c>
      <c r="D978" s="1">
        <v>105850.79</v>
      </c>
      <c r="E978" s="1" t="s">
        <v>6464</v>
      </c>
      <c r="F978" s="1" t="s">
        <v>6470</v>
      </c>
      <c r="G978" s="1" t="s">
        <v>17</v>
      </c>
      <c r="H978" s="1">
        <v>29</v>
      </c>
      <c r="I978" t="str">
        <f>IF(ISNA(_xlfn.XLOOKUP(B978, policy_details!$A$2:$A$2829, policy_details!$A$2:$A$2829)), "Invalid", "Ok")</f>
        <v>Ok</v>
      </c>
    </row>
    <row r="979" spans="1:9" x14ac:dyDescent="0.3">
      <c r="A979" s="1" t="s">
        <v>7441</v>
      </c>
      <c r="B979" s="1" t="s">
        <v>4943</v>
      </c>
      <c r="C979" s="41">
        <v>44944</v>
      </c>
      <c r="D979" s="1">
        <v>384800.35</v>
      </c>
      <c r="E979" s="1" t="s">
        <v>6464</v>
      </c>
      <c r="F979" s="1" t="s">
        <v>6481</v>
      </c>
      <c r="G979" s="1" t="s">
        <v>17</v>
      </c>
      <c r="H979" s="1">
        <v>39</v>
      </c>
      <c r="I979" t="str">
        <f>IF(ISNA(_xlfn.XLOOKUP(B979, policy_details!$A$2:$A$2829, policy_details!$A$2:$A$2829)), "Invalid", "Ok")</f>
        <v>Ok</v>
      </c>
    </row>
    <row r="980" spans="1:9" x14ac:dyDescent="0.3">
      <c r="A980" s="1" t="s">
        <v>7442</v>
      </c>
      <c r="B980" s="1" t="s">
        <v>5535</v>
      </c>
      <c r="C980" s="41">
        <v>45316</v>
      </c>
      <c r="D980" s="1">
        <v>1002263.15</v>
      </c>
      <c r="E980" s="1" t="s">
        <v>6464</v>
      </c>
      <c r="F980" s="1" t="s">
        <v>6458</v>
      </c>
      <c r="G980" s="1" t="s">
        <v>17</v>
      </c>
      <c r="H980" s="1">
        <v>44</v>
      </c>
      <c r="I980" t="str">
        <f>IF(ISNA(_xlfn.XLOOKUP(B980, policy_details!$A$2:$A$2829, policy_details!$A$2:$A$2829)), "Invalid", "Ok")</f>
        <v>Ok</v>
      </c>
    </row>
    <row r="981" spans="1:9" x14ac:dyDescent="0.3">
      <c r="A981" s="1" t="s">
        <v>7443</v>
      </c>
      <c r="B981" s="1" t="s">
        <v>5875</v>
      </c>
      <c r="C981" s="41">
        <v>44522</v>
      </c>
      <c r="D981" s="1">
        <v>217026.63</v>
      </c>
      <c r="E981" s="1" t="s">
        <v>6460</v>
      </c>
      <c r="F981" s="1" t="s">
        <v>6470</v>
      </c>
      <c r="G981" s="1" t="s">
        <v>17</v>
      </c>
      <c r="H981" s="1">
        <v>37</v>
      </c>
      <c r="I981" t="str">
        <f>IF(ISNA(_xlfn.XLOOKUP(B981, policy_details!$A$2:$A$2829, policy_details!$A$2:$A$2829)), "Invalid", "Ok")</f>
        <v>Ok</v>
      </c>
    </row>
    <row r="982" spans="1:9" x14ac:dyDescent="0.3">
      <c r="A982" s="1" t="s">
        <v>7444</v>
      </c>
      <c r="B982" s="1" t="s">
        <v>4204</v>
      </c>
      <c r="C982" s="41">
        <v>45712</v>
      </c>
      <c r="D982" s="1">
        <v>147714.43</v>
      </c>
      <c r="E982" s="1" t="s">
        <v>6457</v>
      </c>
      <c r="F982" s="1" t="s">
        <v>6461</v>
      </c>
      <c r="G982" s="1" t="s">
        <v>17</v>
      </c>
      <c r="H982" s="1">
        <v>7</v>
      </c>
      <c r="I982" t="str">
        <f>IF(ISNA(_xlfn.XLOOKUP(B982, policy_details!$A$2:$A$2829, policy_details!$A$2:$A$2829)), "Invalid", "Ok")</f>
        <v>Ok</v>
      </c>
    </row>
    <row r="983" spans="1:9" x14ac:dyDescent="0.3">
      <c r="A983" s="1" t="s">
        <v>7445</v>
      </c>
      <c r="B983" s="1" t="s">
        <v>5635</v>
      </c>
      <c r="C983" s="41">
        <v>44904</v>
      </c>
      <c r="D983" s="1">
        <v>125745.09</v>
      </c>
      <c r="E983" s="1" t="s">
        <v>6457</v>
      </c>
      <c r="F983" s="1" t="s">
        <v>6470</v>
      </c>
      <c r="G983" s="1" t="s">
        <v>30</v>
      </c>
      <c r="H983" s="1">
        <v>36</v>
      </c>
      <c r="I983" t="str">
        <f>IF(ISNA(_xlfn.XLOOKUP(B983, policy_details!$A$2:$A$2829, policy_details!$A$2:$A$2829)), "Invalid", "Ok")</f>
        <v>Ok</v>
      </c>
    </row>
    <row r="984" spans="1:9" x14ac:dyDescent="0.3">
      <c r="A984" s="1" t="s">
        <v>7446</v>
      </c>
      <c r="B984" s="1" t="s">
        <v>4275</v>
      </c>
      <c r="C984" s="41">
        <v>45584</v>
      </c>
      <c r="D984" s="1">
        <v>224839.92</v>
      </c>
      <c r="E984" s="1" t="s">
        <v>6464</v>
      </c>
      <c r="F984" s="1" t="s">
        <v>6470</v>
      </c>
      <c r="G984" s="1" t="s">
        <v>17</v>
      </c>
      <c r="H984" s="1">
        <v>23</v>
      </c>
      <c r="I984" t="str">
        <f>IF(ISNA(_xlfn.XLOOKUP(B984, policy_details!$A$2:$A$2829, policy_details!$A$2:$A$2829)), "Invalid", "Ok")</f>
        <v>Ok</v>
      </c>
    </row>
    <row r="985" spans="1:9" x14ac:dyDescent="0.3">
      <c r="A985" s="1" t="s">
        <v>7447</v>
      </c>
      <c r="B985" s="1" t="s">
        <v>3482</v>
      </c>
      <c r="C985" s="41">
        <v>46216</v>
      </c>
      <c r="D985" s="1">
        <v>324044.40999999997</v>
      </c>
      <c r="E985" s="1" t="s">
        <v>6464</v>
      </c>
      <c r="F985" s="1" t="s">
        <v>6481</v>
      </c>
      <c r="G985" s="1" t="s">
        <v>17</v>
      </c>
      <c r="H985" s="1">
        <v>36</v>
      </c>
      <c r="I985" t="str">
        <f>IF(ISNA(_xlfn.XLOOKUP(B985, policy_details!$A$2:$A$2829, policy_details!$A$2:$A$2829)), "Invalid", "Ok")</f>
        <v>Ok</v>
      </c>
    </row>
    <row r="986" spans="1:9" x14ac:dyDescent="0.3">
      <c r="A986" s="1" t="s">
        <v>7448</v>
      </c>
      <c r="B986" s="1" t="s">
        <v>3677</v>
      </c>
      <c r="C986" s="41">
        <v>45946</v>
      </c>
      <c r="D986" s="1">
        <v>120629.3</v>
      </c>
      <c r="E986" s="1" t="s">
        <v>6460</v>
      </c>
      <c r="F986" s="1" t="s">
        <v>6470</v>
      </c>
      <c r="G986" s="1" t="s">
        <v>17</v>
      </c>
      <c r="H986" s="1">
        <v>32</v>
      </c>
      <c r="I986" t="str">
        <f>IF(ISNA(_xlfn.XLOOKUP(B986, policy_details!$A$2:$A$2829, policy_details!$A$2:$A$2829)), "Invalid", "Ok")</f>
        <v>Ok</v>
      </c>
    </row>
    <row r="987" spans="1:9" x14ac:dyDescent="0.3">
      <c r="A987" s="1" t="s">
        <v>7449</v>
      </c>
      <c r="B987" s="1" t="s">
        <v>3552</v>
      </c>
      <c r="C987" s="41">
        <v>46019</v>
      </c>
      <c r="D987" s="1">
        <v>76813.320000000007</v>
      </c>
      <c r="E987" s="1" t="s">
        <v>6457</v>
      </c>
      <c r="F987" s="1" t="s">
        <v>6461</v>
      </c>
      <c r="G987" s="1" t="s">
        <v>17</v>
      </c>
      <c r="H987" s="1">
        <v>30</v>
      </c>
      <c r="I987" t="str">
        <f>IF(ISNA(_xlfn.XLOOKUP(B987, policy_details!$A$2:$A$2829, policy_details!$A$2:$A$2829)), "Invalid", "Ok")</f>
        <v>Ok</v>
      </c>
    </row>
    <row r="988" spans="1:9" x14ac:dyDescent="0.3">
      <c r="A988" s="1" t="s">
        <v>7450</v>
      </c>
      <c r="B988" s="1" t="s">
        <v>4387</v>
      </c>
      <c r="C988" s="41">
        <v>46136</v>
      </c>
      <c r="D988" s="1">
        <v>229586.88</v>
      </c>
      <c r="E988" s="1" t="s">
        <v>6457</v>
      </c>
      <c r="F988" s="1" t="s">
        <v>6466</v>
      </c>
      <c r="G988" s="1" t="s">
        <v>17</v>
      </c>
      <c r="H988" s="1">
        <v>39</v>
      </c>
      <c r="I988" t="str">
        <f>IF(ISNA(_xlfn.XLOOKUP(B988, policy_details!$A$2:$A$2829, policy_details!$A$2:$A$2829)), "Invalid", "Ok")</f>
        <v>Ok</v>
      </c>
    </row>
    <row r="989" spans="1:9" x14ac:dyDescent="0.3">
      <c r="A989" s="1" t="s">
        <v>7451</v>
      </c>
      <c r="B989" s="1" t="s">
        <v>3890</v>
      </c>
      <c r="C989" s="41">
        <v>46263</v>
      </c>
      <c r="D989" s="1">
        <v>364607.47</v>
      </c>
      <c r="E989" s="1" t="s">
        <v>6460</v>
      </c>
      <c r="F989" s="1" t="s">
        <v>6481</v>
      </c>
      <c r="G989" s="1" t="s">
        <v>17</v>
      </c>
      <c r="H989" s="1">
        <v>7</v>
      </c>
      <c r="I989" t="str">
        <f>IF(ISNA(_xlfn.XLOOKUP(B989, policy_details!$A$2:$A$2829, policy_details!$A$2:$A$2829)), "Invalid", "Ok")</f>
        <v>Ok</v>
      </c>
    </row>
    <row r="990" spans="1:9" x14ac:dyDescent="0.3">
      <c r="A990" s="1" t="s">
        <v>7452</v>
      </c>
      <c r="B990" s="1" t="s">
        <v>3720</v>
      </c>
      <c r="C990" s="41">
        <v>45597</v>
      </c>
      <c r="D990" s="1">
        <v>1487630.39</v>
      </c>
      <c r="E990" s="1" t="s">
        <v>6457</v>
      </c>
      <c r="F990" s="1" t="s">
        <v>6458</v>
      </c>
      <c r="G990" s="1" t="s">
        <v>17</v>
      </c>
      <c r="H990" s="1">
        <v>38</v>
      </c>
      <c r="I990" t="str">
        <f>IF(ISNA(_xlfn.XLOOKUP(B990, policy_details!$A$2:$A$2829, policy_details!$A$2:$A$2829)), "Invalid", "Ok")</f>
        <v>Ok</v>
      </c>
    </row>
    <row r="991" spans="1:9" x14ac:dyDescent="0.3">
      <c r="A991" s="1" t="s">
        <v>7453</v>
      </c>
      <c r="B991" s="1" t="s">
        <v>3958</v>
      </c>
      <c r="C991" s="41">
        <v>45337</v>
      </c>
      <c r="D991" s="1">
        <v>1642634.07</v>
      </c>
      <c r="E991" s="1" t="s">
        <v>6457</v>
      </c>
      <c r="F991" s="1" t="s">
        <v>6458</v>
      </c>
      <c r="G991" s="1" t="s">
        <v>17</v>
      </c>
      <c r="H991" s="1">
        <v>16</v>
      </c>
      <c r="I991" t="str">
        <f>IF(ISNA(_xlfn.XLOOKUP(B991, policy_details!$A$2:$A$2829, policy_details!$A$2:$A$2829)), "Invalid", "Ok")</f>
        <v>Ok</v>
      </c>
    </row>
    <row r="992" spans="1:9" x14ac:dyDescent="0.3">
      <c r="A992" s="1" t="s">
        <v>7454</v>
      </c>
      <c r="B992" s="1" t="s">
        <v>3514</v>
      </c>
      <c r="C992" s="41">
        <v>45306</v>
      </c>
      <c r="D992" s="1">
        <v>301013.87</v>
      </c>
      <c r="E992" s="1" t="s">
        <v>6460</v>
      </c>
      <c r="F992" s="1" t="s">
        <v>6481</v>
      </c>
      <c r="G992" s="1" t="s">
        <v>17</v>
      </c>
      <c r="H992" s="1">
        <v>9</v>
      </c>
      <c r="I992" t="str">
        <f>IF(ISNA(_xlfn.XLOOKUP(B992, policy_details!$A$2:$A$2829, policy_details!$A$2:$A$2829)), "Invalid", "Ok")</f>
        <v>Ok</v>
      </c>
    </row>
    <row r="993" spans="1:9" x14ac:dyDescent="0.3">
      <c r="A993" s="1" t="s">
        <v>7455</v>
      </c>
      <c r="B993" s="1" t="s">
        <v>4577</v>
      </c>
      <c r="C993" s="41">
        <v>46040</v>
      </c>
      <c r="D993" s="1">
        <v>131502.91</v>
      </c>
      <c r="E993" s="1" t="s">
        <v>6460</v>
      </c>
      <c r="F993" s="1" t="s">
        <v>6461</v>
      </c>
      <c r="G993" s="1" t="s">
        <v>17</v>
      </c>
      <c r="H993" s="1">
        <v>32</v>
      </c>
      <c r="I993" t="str">
        <f>IF(ISNA(_xlfn.XLOOKUP(B993, policy_details!$A$2:$A$2829, policy_details!$A$2:$A$2829)), "Invalid", "Ok")</f>
        <v>Ok</v>
      </c>
    </row>
    <row r="994" spans="1:9" x14ac:dyDescent="0.3">
      <c r="A994" s="1" t="s">
        <v>7456</v>
      </c>
      <c r="B994" s="1" t="s">
        <v>5946</v>
      </c>
      <c r="C994" s="41">
        <v>45813</v>
      </c>
      <c r="D994" s="1">
        <v>179806.2</v>
      </c>
      <c r="E994" s="1" t="s">
        <v>6460</v>
      </c>
      <c r="F994" s="1" t="s">
        <v>6470</v>
      </c>
      <c r="G994" s="1" t="s">
        <v>17</v>
      </c>
      <c r="H994" s="1">
        <v>44</v>
      </c>
      <c r="I994" t="str">
        <f>IF(ISNA(_xlfn.XLOOKUP(B994, policy_details!$A$2:$A$2829, policy_details!$A$2:$A$2829)), "Invalid", "Ok")</f>
        <v>Ok</v>
      </c>
    </row>
    <row r="995" spans="1:9" x14ac:dyDescent="0.3">
      <c r="A995" s="1" t="s">
        <v>7457</v>
      </c>
      <c r="B995" s="1" t="s">
        <v>5182</v>
      </c>
      <c r="C995" s="41">
        <v>45917</v>
      </c>
      <c r="D995" s="1">
        <v>483381.59</v>
      </c>
      <c r="E995" s="1" t="s">
        <v>6460</v>
      </c>
      <c r="F995" s="1" t="s">
        <v>6458</v>
      </c>
      <c r="G995" s="1" t="s">
        <v>17</v>
      </c>
      <c r="H995" s="1">
        <v>4</v>
      </c>
      <c r="I995" t="str">
        <f>IF(ISNA(_xlfn.XLOOKUP(B995, policy_details!$A$2:$A$2829, policy_details!$A$2:$A$2829)), "Invalid", "Ok")</f>
        <v>Ok</v>
      </c>
    </row>
    <row r="996" spans="1:9" x14ac:dyDescent="0.3">
      <c r="A996" s="1" t="s">
        <v>7458</v>
      </c>
      <c r="B996" s="1" t="s">
        <v>3633</v>
      </c>
      <c r="C996" s="41">
        <v>44511</v>
      </c>
      <c r="D996" s="1">
        <v>156382.48000000001</v>
      </c>
      <c r="E996" s="1" t="s">
        <v>6457</v>
      </c>
      <c r="F996" s="1" t="s">
        <v>6466</v>
      </c>
      <c r="G996" s="1" t="s">
        <v>30</v>
      </c>
      <c r="H996" s="1">
        <v>44</v>
      </c>
      <c r="I996" t="str">
        <f>IF(ISNA(_xlfn.XLOOKUP(B996, policy_details!$A$2:$A$2829, policy_details!$A$2:$A$2829)), "Invalid", "Ok")</f>
        <v>Ok</v>
      </c>
    </row>
    <row r="997" spans="1:9" x14ac:dyDescent="0.3">
      <c r="A997" s="1" t="s">
        <v>7459</v>
      </c>
      <c r="B997" s="1" t="s">
        <v>4670</v>
      </c>
      <c r="C997" s="41">
        <v>44494</v>
      </c>
      <c r="D997" s="1">
        <v>214220.26</v>
      </c>
      <c r="E997" s="1" t="s">
        <v>6457</v>
      </c>
      <c r="F997" s="1" t="s">
        <v>6466</v>
      </c>
      <c r="G997" s="1" t="s">
        <v>30</v>
      </c>
      <c r="H997" s="1">
        <v>16</v>
      </c>
      <c r="I997" t="str">
        <f>IF(ISNA(_xlfn.XLOOKUP(B997, policy_details!$A$2:$A$2829, policy_details!$A$2:$A$2829)), "Invalid", "Ok")</f>
        <v>Ok</v>
      </c>
    </row>
    <row r="998" spans="1:9" x14ac:dyDescent="0.3">
      <c r="A998" s="1" t="s">
        <v>7460</v>
      </c>
      <c r="B998" s="1" t="s">
        <v>4828</v>
      </c>
      <c r="C998" s="41">
        <v>46075</v>
      </c>
      <c r="D998" s="1">
        <v>157533.38</v>
      </c>
      <c r="E998" s="1" t="s">
        <v>6460</v>
      </c>
      <c r="F998" s="1" t="s">
        <v>6470</v>
      </c>
      <c r="G998" s="1" t="s">
        <v>17</v>
      </c>
      <c r="H998" s="1">
        <v>43</v>
      </c>
      <c r="I998" t="str">
        <f>IF(ISNA(_xlfn.XLOOKUP(B998, policy_details!$A$2:$A$2829, policy_details!$A$2:$A$2829)), "Invalid", "Ok")</f>
        <v>Ok</v>
      </c>
    </row>
    <row r="999" spans="1:9" x14ac:dyDescent="0.3">
      <c r="A999" s="1" t="s">
        <v>7461</v>
      </c>
      <c r="B999" s="1" t="s">
        <v>4048</v>
      </c>
      <c r="C999" s="41">
        <v>44721</v>
      </c>
      <c r="D999" s="1">
        <v>188474.27</v>
      </c>
      <c r="E999" s="1" t="s">
        <v>6457</v>
      </c>
      <c r="F999" s="1" t="s">
        <v>6470</v>
      </c>
      <c r="G999" s="1" t="s">
        <v>17</v>
      </c>
      <c r="H999" s="1">
        <v>3</v>
      </c>
      <c r="I999" t="str">
        <f>IF(ISNA(_xlfn.XLOOKUP(B999, policy_details!$A$2:$A$2829, policy_details!$A$2:$A$2829)), "Invalid", "Ok")</f>
        <v>Ok</v>
      </c>
    </row>
    <row r="1000" spans="1:9" x14ac:dyDescent="0.3">
      <c r="A1000" s="1" t="s">
        <v>7462</v>
      </c>
      <c r="B1000" s="1" t="s">
        <v>4665</v>
      </c>
      <c r="C1000" s="41">
        <v>45787</v>
      </c>
      <c r="D1000" s="1">
        <v>452585.25</v>
      </c>
      <c r="E1000" s="1" t="s">
        <v>6464</v>
      </c>
      <c r="F1000" s="1" t="s">
        <v>6458</v>
      </c>
      <c r="G1000" s="1" t="s">
        <v>17</v>
      </c>
      <c r="H1000" s="1">
        <v>27</v>
      </c>
      <c r="I1000" t="str">
        <f>IF(ISNA(_xlfn.XLOOKUP(B1000, policy_details!$A$2:$A$2829, policy_details!$A$2:$A$2829)), "Invalid", "Ok")</f>
        <v>Ok</v>
      </c>
    </row>
    <row r="1001" spans="1:9" x14ac:dyDescent="0.3">
      <c r="A1001" s="1" t="s">
        <v>7463</v>
      </c>
      <c r="B1001" s="1" t="s">
        <v>4558</v>
      </c>
      <c r="C1001" s="41">
        <v>46033</v>
      </c>
      <c r="D1001" s="1">
        <v>140572.91</v>
      </c>
      <c r="E1001" s="1" t="s">
        <v>6457</v>
      </c>
      <c r="F1001" s="1" t="s">
        <v>6481</v>
      </c>
      <c r="G1001" s="1" t="s">
        <v>17</v>
      </c>
      <c r="H1001" s="1">
        <v>24</v>
      </c>
      <c r="I1001" t="str">
        <f>IF(ISNA(_xlfn.XLOOKUP(B1001, policy_details!$A$2:$A$2829, policy_details!$A$2:$A$2829)), "Invalid", "Ok")</f>
        <v>Ok</v>
      </c>
    </row>
    <row r="1002" spans="1:9" x14ac:dyDescent="0.3">
      <c r="A1002" s="1" t="s">
        <v>7464</v>
      </c>
      <c r="B1002" s="1" t="s">
        <v>5008</v>
      </c>
      <c r="C1002" s="41">
        <v>44682</v>
      </c>
      <c r="D1002" s="1">
        <v>265271.46000000002</v>
      </c>
      <c r="E1002" s="1" t="s">
        <v>6464</v>
      </c>
      <c r="F1002" s="1" t="s">
        <v>6470</v>
      </c>
      <c r="G1002" s="1" t="s">
        <v>17</v>
      </c>
      <c r="H1002" s="1">
        <v>37</v>
      </c>
      <c r="I1002" t="str">
        <f>IF(ISNA(_xlfn.XLOOKUP(B1002, policy_details!$A$2:$A$2829, policy_details!$A$2:$A$2829)), "Invalid", "Ok")</f>
        <v>Ok</v>
      </c>
    </row>
    <row r="1003" spans="1:9" x14ac:dyDescent="0.3">
      <c r="A1003" s="1" t="s">
        <v>7465</v>
      </c>
      <c r="B1003" s="1" t="s">
        <v>5590</v>
      </c>
      <c r="C1003" s="41">
        <v>45208</v>
      </c>
      <c r="D1003" s="1">
        <v>145032.12</v>
      </c>
      <c r="E1003" s="1" t="s">
        <v>6464</v>
      </c>
      <c r="F1003" s="1" t="s">
        <v>6466</v>
      </c>
      <c r="G1003" s="1" t="s">
        <v>30</v>
      </c>
      <c r="H1003" s="1">
        <v>21</v>
      </c>
      <c r="I1003" t="str">
        <f>IF(ISNA(_xlfn.XLOOKUP(B1003, policy_details!$A$2:$A$2829, policy_details!$A$2:$A$2829)), "Invalid", "Ok")</f>
        <v>Ok</v>
      </c>
    </row>
    <row r="1004" spans="1:9" x14ac:dyDescent="0.3">
      <c r="A1004" s="1" t="s">
        <v>7466</v>
      </c>
      <c r="B1004" s="1" t="s">
        <v>4965</v>
      </c>
      <c r="C1004" s="41">
        <v>45987</v>
      </c>
      <c r="D1004" s="1">
        <v>178282.6</v>
      </c>
      <c r="E1004" s="1" t="s">
        <v>6460</v>
      </c>
      <c r="F1004" s="1" t="s">
        <v>6481</v>
      </c>
      <c r="G1004" s="1" t="s">
        <v>17</v>
      </c>
      <c r="H1004" s="1">
        <v>4</v>
      </c>
      <c r="I1004" t="str">
        <f>IF(ISNA(_xlfn.XLOOKUP(B1004, policy_details!$A$2:$A$2829, policy_details!$A$2:$A$2829)), "Invalid", "Ok")</f>
        <v>Ok</v>
      </c>
    </row>
    <row r="1005" spans="1:9" x14ac:dyDescent="0.3">
      <c r="A1005" s="1" t="s">
        <v>7467</v>
      </c>
      <c r="B1005" s="1" t="s">
        <v>3675</v>
      </c>
      <c r="C1005" s="41">
        <v>44544</v>
      </c>
      <c r="D1005" s="1">
        <v>188759.69</v>
      </c>
      <c r="E1005" s="1" t="s">
        <v>6460</v>
      </c>
      <c r="F1005" s="1" t="s">
        <v>6470</v>
      </c>
      <c r="G1005" s="1" t="s">
        <v>17</v>
      </c>
      <c r="H1005" s="1">
        <v>9</v>
      </c>
      <c r="I1005" t="str">
        <f>IF(ISNA(_xlfn.XLOOKUP(B1005, policy_details!$A$2:$A$2829, policy_details!$A$2:$A$2829)), "Invalid", "Ok")</f>
        <v>Ok</v>
      </c>
    </row>
    <row r="1006" spans="1:9" x14ac:dyDescent="0.3">
      <c r="A1006" s="1" t="s">
        <v>7468</v>
      </c>
      <c r="B1006" s="1" t="s">
        <v>3594</v>
      </c>
      <c r="C1006" s="41">
        <v>45606</v>
      </c>
      <c r="D1006" s="1">
        <v>156940.59</v>
      </c>
      <c r="E1006" s="1" t="s">
        <v>6457</v>
      </c>
      <c r="F1006" s="1" t="s">
        <v>6481</v>
      </c>
      <c r="G1006" s="1" t="s">
        <v>17</v>
      </c>
      <c r="H1006" s="1">
        <v>12</v>
      </c>
      <c r="I1006" t="str">
        <f>IF(ISNA(_xlfn.XLOOKUP(B1006, policy_details!$A$2:$A$2829, policy_details!$A$2:$A$2829)), "Invalid", "Ok")</f>
        <v>Ok</v>
      </c>
    </row>
    <row r="1007" spans="1:9" x14ac:dyDescent="0.3">
      <c r="A1007" s="1" t="s">
        <v>7469</v>
      </c>
      <c r="B1007" s="1" t="s">
        <v>6132</v>
      </c>
      <c r="C1007" s="41">
        <v>44555</v>
      </c>
      <c r="D1007" s="1">
        <v>434686.85</v>
      </c>
      <c r="E1007" s="1" t="s">
        <v>6457</v>
      </c>
      <c r="F1007" s="1" t="s">
        <v>6481</v>
      </c>
      <c r="G1007" s="1" t="s">
        <v>30</v>
      </c>
      <c r="H1007" s="1">
        <v>39</v>
      </c>
      <c r="I1007" t="str">
        <f>IF(ISNA(_xlfn.XLOOKUP(B1007, policy_details!$A$2:$A$2829, policy_details!$A$2:$A$2829)), "Invalid", "Ok")</f>
        <v>Ok</v>
      </c>
    </row>
    <row r="1008" spans="1:9" x14ac:dyDescent="0.3">
      <c r="A1008" s="1" t="s">
        <v>7470</v>
      </c>
      <c r="B1008" s="1" t="s">
        <v>5582</v>
      </c>
      <c r="C1008" s="41">
        <v>44620</v>
      </c>
      <c r="D1008" s="1">
        <v>96018.59</v>
      </c>
      <c r="E1008" s="1" t="s">
        <v>6457</v>
      </c>
      <c r="F1008" s="1" t="s">
        <v>6470</v>
      </c>
      <c r="G1008" s="1" t="s">
        <v>17</v>
      </c>
      <c r="H1008" s="1">
        <v>5</v>
      </c>
      <c r="I1008" t="str">
        <f>IF(ISNA(_xlfn.XLOOKUP(B1008, policy_details!$A$2:$A$2829, policy_details!$A$2:$A$2829)), "Invalid", "Ok")</f>
        <v>Ok</v>
      </c>
    </row>
    <row r="1009" spans="1:9" x14ac:dyDescent="0.3">
      <c r="A1009" s="1" t="s">
        <v>7471</v>
      </c>
      <c r="B1009" s="1" t="s">
        <v>5476</v>
      </c>
      <c r="C1009" s="41">
        <v>45436</v>
      </c>
      <c r="D1009" s="1">
        <v>180137.21</v>
      </c>
      <c r="E1009" s="1" t="s">
        <v>6460</v>
      </c>
      <c r="F1009" s="1" t="s">
        <v>6470</v>
      </c>
      <c r="G1009" s="1" t="s">
        <v>17</v>
      </c>
      <c r="H1009" s="1">
        <v>37</v>
      </c>
      <c r="I1009" t="str">
        <f>IF(ISNA(_xlfn.XLOOKUP(B1009, policy_details!$A$2:$A$2829, policy_details!$A$2:$A$2829)), "Invalid", "Ok")</f>
        <v>Ok</v>
      </c>
    </row>
    <row r="1010" spans="1:9" x14ac:dyDescent="0.3">
      <c r="A1010" s="1" t="s">
        <v>7472</v>
      </c>
      <c r="B1010" s="1" t="s">
        <v>6204</v>
      </c>
      <c r="C1010" s="41">
        <v>46238</v>
      </c>
      <c r="D1010" s="1">
        <v>103166.35</v>
      </c>
      <c r="E1010" s="1" t="s">
        <v>6464</v>
      </c>
      <c r="F1010" s="1" t="s">
        <v>6461</v>
      </c>
      <c r="G1010" s="1" t="s">
        <v>17</v>
      </c>
      <c r="H1010" s="1">
        <v>23</v>
      </c>
      <c r="I1010" t="str">
        <f>IF(ISNA(_xlfn.XLOOKUP(B1010, policy_details!$A$2:$A$2829, policy_details!$A$2:$A$2829)), "Invalid", "Ok")</f>
        <v>Ok</v>
      </c>
    </row>
    <row r="1011" spans="1:9" x14ac:dyDescent="0.3">
      <c r="A1011" s="1" t="s">
        <v>7473</v>
      </c>
      <c r="B1011" s="1" t="s">
        <v>5146</v>
      </c>
      <c r="C1011" s="41">
        <v>44796</v>
      </c>
      <c r="D1011" s="1">
        <v>237869.28</v>
      </c>
      <c r="E1011" s="1" t="s">
        <v>6460</v>
      </c>
      <c r="F1011" s="1" t="s">
        <v>6466</v>
      </c>
      <c r="G1011" s="1" t="s">
        <v>17</v>
      </c>
      <c r="H1011" s="1">
        <v>25</v>
      </c>
      <c r="I1011" t="str">
        <f>IF(ISNA(_xlfn.XLOOKUP(B1011, policy_details!$A$2:$A$2829, policy_details!$A$2:$A$2829)), "Invalid", "Ok")</f>
        <v>Ok</v>
      </c>
    </row>
    <row r="1012" spans="1:9" x14ac:dyDescent="0.3">
      <c r="A1012" s="1" t="s">
        <v>7474</v>
      </c>
      <c r="B1012" s="1" t="s">
        <v>3675</v>
      </c>
      <c r="C1012" s="41">
        <v>45563</v>
      </c>
      <c r="D1012" s="1">
        <v>171553.53</v>
      </c>
      <c r="E1012" s="1" t="s">
        <v>6460</v>
      </c>
      <c r="F1012" s="1" t="s">
        <v>6466</v>
      </c>
      <c r="G1012" s="1" t="s">
        <v>17</v>
      </c>
      <c r="H1012" s="1">
        <v>43</v>
      </c>
      <c r="I1012" t="str">
        <f>IF(ISNA(_xlfn.XLOOKUP(B1012, policy_details!$A$2:$A$2829, policy_details!$A$2:$A$2829)), "Invalid", "Ok")</f>
        <v>Ok</v>
      </c>
    </row>
    <row r="1013" spans="1:9" x14ac:dyDescent="0.3">
      <c r="A1013" s="1" t="s">
        <v>7475</v>
      </c>
      <c r="B1013" s="1" t="s">
        <v>5636</v>
      </c>
      <c r="C1013" s="41">
        <v>44472</v>
      </c>
      <c r="D1013" s="1">
        <v>247060.93</v>
      </c>
      <c r="E1013" s="1" t="s">
        <v>6457</v>
      </c>
      <c r="F1013" s="1" t="s">
        <v>6481</v>
      </c>
      <c r="G1013" s="1" t="s">
        <v>17</v>
      </c>
      <c r="H1013" s="1">
        <v>34</v>
      </c>
      <c r="I1013" t="str">
        <f>IF(ISNA(_xlfn.XLOOKUP(B1013, policy_details!$A$2:$A$2829, policy_details!$A$2:$A$2829)), "Invalid", "Ok")</f>
        <v>Ok</v>
      </c>
    </row>
    <row r="1014" spans="1:9" x14ac:dyDescent="0.3">
      <c r="A1014" s="1" t="s">
        <v>7476</v>
      </c>
      <c r="B1014" s="1" t="s">
        <v>4010</v>
      </c>
      <c r="C1014" s="41">
        <v>45971</v>
      </c>
      <c r="D1014" s="1">
        <v>276241.57</v>
      </c>
      <c r="E1014" s="1" t="s">
        <v>6460</v>
      </c>
      <c r="F1014" s="1" t="s">
        <v>6461</v>
      </c>
      <c r="G1014" s="1" t="s">
        <v>17</v>
      </c>
      <c r="H1014" s="1">
        <v>29</v>
      </c>
      <c r="I1014" t="str">
        <f>IF(ISNA(_xlfn.XLOOKUP(B1014, policy_details!$A$2:$A$2829, policy_details!$A$2:$A$2829)), "Invalid", "Ok")</f>
        <v>Ok</v>
      </c>
    </row>
    <row r="1015" spans="1:9" x14ac:dyDescent="0.3">
      <c r="A1015" s="1" t="s">
        <v>7477</v>
      </c>
      <c r="B1015" s="1" t="s">
        <v>5501</v>
      </c>
      <c r="C1015" s="41">
        <v>45991</v>
      </c>
      <c r="D1015" s="1">
        <v>638212.65</v>
      </c>
      <c r="E1015" s="1" t="s">
        <v>6464</v>
      </c>
      <c r="F1015" s="1" t="s">
        <v>6458</v>
      </c>
      <c r="G1015" s="1" t="s">
        <v>17</v>
      </c>
      <c r="H1015" s="1">
        <v>37</v>
      </c>
      <c r="I1015" t="str">
        <f>IF(ISNA(_xlfn.XLOOKUP(B1015, policy_details!$A$2:$A$2829, policy_details!$A$2:$A$2829)), "Invalid", "Ok")</f>
        <v>Ok</v>
      </c>
    </row>
    <row r="1016" spans="1:9" x14ac:dyDescent="0.3">
      <c r="A1016" s="1" t="s">
        <v>7478</v>
      </c>
      <c r="B1016" s="1" t="s">
        <v>4746</v>
      </c>
      <c r="C1016" s="41">
        <v>45020</v>
      </c>
      <c r="D1016" s="1">
        <v>127112.39</v>
      </c>
      <c r="E1016" s="1" t="s">
        <v>6464</v>
      </c>
      <c r="F1016" s="1" t="s">
        <v>6470</v>
      </c>
      <c r="G1016" s="1" t="s">
        <v>30</v>
      </c>
      <c r="H1016" s="1">
        <v>21</v>
      </c>
      <c r="I1016" t="str">
        <f>IF(ISNA(_xlfn.XLOOKUP(B1016, policy_details!$A$2:$A$2829, policy_details!$A$2:$A$2829)), "Invalid", "Ok")</f>
        <v>Ok</v>
      </c>
    </row>
    <row r="1017" spans="1:9" x14ac:dyDescent="0.3">
      <c r="A1017" s="1" t="s">
        <v>7479</v>
      </c>
      <c r="B1017" s="1" t="s">
        <v>3467</v>
      </c>
      <c r="C1017" s="41">
        <v>45737</v>
      </c>
      <c r="D1017" s="1">
        <v>153700.57999999999</v>
      </c>
      <c r="E1017" s="1" t="s">
        <v>6457</v>
      </c>
      <c r="F1017" s="1" t="s">
        <v>6470</v>
      </c>
      <c r="G1017" s="1" t="s">
        <v>30</v>
      </c>
      <c r="H1017" s="1">
        <v>41</v>
      </c>
      <c r="I1017" t="str">
        <f>IF(ISNA(_xlfn.XLOOKUP(B1017, policy_details!$A$2:$A$2829, policy_details!$A$2:$A$2829)), "Invalid", "Ok")</f>
        <v>Ok</v>
      </c>
    </row>
    <row r="1018" spans="1:9" x14ac:dyDescent="0.3">
      <c r="A1018" s="1" t="s">
        <v>7480</v>
      </c>
      <c r="B1018" s="1" t="s">
        <v>3596</v>
      </c>
      <c r="C1018" s="41">
        <v>46096</v>
      </c>
      <c r="D1018" s="1">
        <v>1880709.64</v>
      </c>
      <c r="E1018" s="1" t="s">
        <v>6457</v>
      </c>
      <c r="F1018" s="1" t="s">
        <v>6458</v>
      </c>
      <c r="G1018" s="1" t="s">
        <v>30</v>
      </c>
      <c r="H1018" s="1">
        <v>35</v>
      </c>
      <c r="I1018" t="str">
        <f>IF(ISNA(_xlfn.XLOOKUP(B1018, policy_details!$A$2:$A$2829, policy_details!$A$2:$A$2829)), "Invalid", "Ok")</f>
        <v>Ok</v>
      </c>
    </row>
    <row r="1019" spans="1:9" x14ac:dyDescent="0.3">
      <c r="A1019" s="1" t="s">
        <v>7481</v>
      </c>
      <c r="B1019" s="1" t="s">
        <v>4723</v>
      </c>
      <c r="C1019" s="41">
        <v>45514</v>
      </c>
      <c r="D1019" s="1">
        <v>210346.51</v>
      </c>
      <c r="E1019" s="1" t="s">
        <v>6457</v>
      </c>
      <c r="F1019" s="1" t="s">
        <v>6466</v>
      </c>
      <c r="G1019" s="1" t="s">
        <v>17</v>
      </c>
      <c r="H1019" s="1">
        <v>43</v>
      </c>
      <c r="I1019" t="str">
        <f>IF(ISNA(_xlfn.XLOOKUP(B1019, policy_details!$A$2:$A$2829, policy_details!$A$2:$A$2829)), "Invalid", "Ok")</f>
        <v>Ok</v>
      </c>
    </row>
    <row r="1020" spans="1:9" x14ac:dyDescent="0.3">
      <c r="A1020" s="1" t="s">
        <v>7482</v>
      </c>
      <c r="B1020" s="1" t="s">
        <v>5296</v>
      </c>
      <c r="C1020" s="41">
        <v>46167</v>
      </c>
      <c r="D1020" s="1">
        <v>1668192.64</v>
      </c>
      <c r="E1020" s="1" t="s">
        <v>6464</v>
      </c>
      <c r="F1020" s="1" t="s">
        <v>6458</v>
      </c>
      <c r="G1020" s="1" t="s">
        <v>17</v>
      </c>
      <c r="H1020" s="1">
        <v>25</v>
      </c>
      <c r="I1020" t="str">
        <f>IF(ISNA(_xlfn.XLOOKUP(B1020, policy_details!$A$2:$A$2829, policy_details!$A$2:$A$2829)), "Invalid", "Ok")</f>
        <v>Ok</v>
      </c>
    </row>
    <row r="1021" spans="1:9" x14ac:dyDescent="0.3">
      <c r="A1021" s="1" t="s">
        <v>7483</v>
      </c>
      <c r="B1021" s="1" t="s">
        <v>4043</v>
      </c>
      <c r="C1021" s="41">
        <v>45385</v>
      </c>
      <c r="D1021" s="1">
        <v>823809.28</v>
      </c>
      <c r="E1021" s="1" t="s">
        <v>6457</v>
      </c>
      <c r="F1021" s="1" t="s">
        <v>6458</v>
      </c>
      <c r="G1021" s="1" t="s">
        <v>17</v>
      </c>
      <c r="H1021" s="1">
        <v>29</v>
      </c>
      <c r="I1021" t="str">
        <f>IF(ISNA(_xlfn.XLOOKUP(B1021, policy_details!$A$2:$A$2829, policy_details!$A$2:$A$2829)), "Invalid", "Ok")</f>
        <v>Ok</v>
      </c>
    </row>
    <row r="1022" spans="1:9" x14ac:dyDescent="0.3">
      <c r="A1022" s="1" t="s">
        <v>7484</v>
      </c>
      <c r="B1022" s="1" t="s">
        <v>3812</v>
      </c>
      <c r="C1022" s="41">
        <v>46160</v>
      </c>
      <c r="D1022" s="1">
        <v>398794.42</v>
      </c>
      <c r="E1022" s="1" t="s">
        <v>6457</v>
      </c>
      <c r="F1022" s="1" t="s">
        <v>6466</v>
      </c>
      <c r="G1022" s="1" t="s">
        <v>17</v>
      </c>
      <c r="H1022" s="1">
        <v>21</v>
      </c>
      <c r="I1022" t="str">
        <f>IF(ISNA(_xlfn.XLOOKUP(B1022, policy_details!$A$2:$A$2829, policy_details!$A$2:$A$2829)), "Invalid", "Ok")</f>
        <v>Ok</v>
      </c>
    </row>
    <row r="1023" spans="1:9" x14ac:dyDescent="0.3">
      <c r="A1023" s="1" t="s">
        <v>7485</v>
      </c>
      <c r="B1023" s="1" t="s">
        <v>4674</v>
      </c>
      <c r="C1023" s="41">
        <v>45178</v>
      </c>
      <c r="D1023" s="1">
        <v>269703.53000000003</v>
      </c>
      <c r="E1023" s="1" t="s">
        <v>6457</v>
      </c>
      <c r="F1023" s="1" t="s">
        <v>6466</v>
      </c>
      <c r="G1023" s="1" t="s">
        <v>17</v>
      </c>
      <c r="H1023" s="1">
        <v>41</v>
      </c>
      <c r="I1023" t="str">
        <f>IF(ISNA(_xlfn.XLOOKUP(B1023, policy_details!$A$2:$A$2829, policy_details!$A$2:$A$2829)), "Invalid", "Ok")</f>
        <v>Ok</v>
      </c>
    </row>
    <row r="1024" spans="1:9" x14ac:dyDescent="0.3">
      <c r="A1024" s="1" t="s">
        <v>7486</v>
      </c>
      <c r="B1024" s="1" t="s">
        <v>5893</v>
      </c>
      <c r="C1024" s="41">
        <v>45972</v>
      </c>
      <c r="D1024" s="1">
        <v>237517.21</v>
      </c>
      <c r="E1024" s="1" t="s">
        <v>6457</v>
      </c>
      <c r="F1024" s="1" t="s">
        <v>6470</v>
      </c>
      <c r="G1024" s="1" t="s">
        <v>17</v>
      </c>
      <c r="H1024" s="1">
        <v>28</v>
      </c>
      <c r="I1024" t="str">
        <f>IF(ISNA(_xlfn.XLOOKUP(B1024, policy_details!$A$2:$A$2829, policy_details!$A$2:$A$2829)), "Invalid", "Ok")</f>
        <v>Ok</v>
      </c>
    </row>
    <row r="1025" spans="1:9" x14ac:dyDescent="0.3">
      <c r="A1025" s="1" t="s">
        <v>7487</v>
      </c>
      <c r="B1025" s="1" t="s">
        <v>5834</v>
      </c>
      <c r="C1025" s="41">
        <v>45665</v>
      </c>
      <c r="D1025" s="1">
        <v>121945.82</v>
      </c>
      <c r="E1025" s="1" t="s">
        <v>6460</v>
      </c>
      <c r="F1025" s="1" t="s">
        <v>6481</v>
      </c>
      <c r="G1025" s="1" t="s">
        <v>17</v>
      </c>
      <c r="H1025" s="1">
        <v>7</v>
      </c>
      <c r="I1025" t="str">
        <f>IF(ISNA(_xlfn.XLOOKUP(B1025, policy_details!$A$2:$A$2829, policy_details!$A$2:$A$2829)), "Invalid", "Ok")</f>
        <v>Ok</v>
      </c>
    </row>
    <row r="1026" spans="1:9" x14ac:dyDescent="0.3">
      <c r="A1026" s="1" t="s">
        <v>7488</v>
      </c>
      <c r="B1026" s="1" t="s">
        <v>5552</v>
      </c>
      <c r="C1026" s="41">
        <v>44560</v>
      </c>
      <c r="D1026" s="1">
        <v>81522.83</v>
      </c>
      <c r="E1026" s="1" t="s">
        <v>6457</v>
      </c>
      <c r="F1026" s="1" t="s">
        <v>6470</v>
      </c>
      <c r="G1026" s="1" t="s">
        <v>17</v>
      </c>
      <c r="H1026" s="1">
        <v>23</v>
      </c>
      <c r="I1026" t="str">
        <f>IF(ISNA(_xlfn.XLOOKUP(B1026, policy_details!$A$2:$A$2829, policy_details!$A$2:$A$2829)), "Invalid", "Ok")</f>
        <v>Ok</v>
      </c>
    </row>
    <row r="1027" spans="1:9" x14ac:dyDescent="0.3">
      <c r="A1027" s="1" t="s">
        <v>7489</v>
      </c>
      <c r="B1027" s="1" t="s">
        <v>4814</v>
      </c>
      <c r="C1027" s="41">
        <v>45949</v>
      </c>
      <c r="D1027" s="1">
        <v>256143.04</v>
      </c>
      <c r="E1027" s="1" t="s">
        <v>6457</v>
      </c>
      <c r="F1027" s="1" t="s">
        <v>6461</v>
      </c>
      <c r="G1027" s="1" t="s">
        <v>17</v>
      </c>
      <c r="H1027" s="1">
        <v>6</v>
      </c>
      <c r="I1027" t="str">
        <f>IF(ISNA(_xlfn.XLOOKUP(B1027, policy_details!$A$2:$A$2829, policy_details!$A$2:$A$2829)), "Invalid", "Ok")</f>
        <v>Ok</v>
      </c>
    </row>
    <row r="1028" spans="1:9" x14ac:dyDescent="0.3">
      <c r="A1028" s="1" t="s">
        <v>7490</v>
      </c>
      <c r="B1028" s="1" t="s">
        <v>4862</v>
      </c>
      <c r="C1028" s="41">
        <v>45358</v>
      </c>
      <c r="D1028" s="1">
        <v>424260.06</v>
      </c>
      <c r="E1028" s="1" t="s">
        <v>6457</v>
      </c>
      <c r="F1028" s="1" t="s">
        <v>6481</v>
      </c>
      <c r="G1028" s="1" t="s">
        <v>17</v>
      </c>
      <c r="H1028" s="1">
        <v>29</v>
      </c>
      <c r="I1028" t="str">
        <f>IF(ISNA(_xlfn.XLOOKUP(B1028, policy_details!$A$2:$A$2829, policy_details!$A$2:$A$2829)), "Invalid", "Ok")</f>
        <v>Ok</v>
      </c>
    </row>
    <row r="1029" spans="1:9" x14ac:dyDescent="0.3">
      <c r="A1029" s="1" t="s">
        <v>7491</v>
      </c>
      <c r="B1029" s="1" t="s">
        <v>4219</v>
      </c>
      <c r="C1029" s="41">
        <v>45773</v>
      </c>
      <c r="D1029" s="1">
        <v>838981.4</v>
      </c>
      <c r="E1029" s="1" t="s">
        <v>6464</v>
      </c>
      <c r="F1029" s="1" t="s">
        <v>6481</v>
      </c>
      <c r="G1029" s="1" t="s">
        <v>30</v>
      </c>
      <c r="H1029" s="1">
        <v>31</v>
      </c>
      <c r="I1029" t="str">
        <f>IF(ISNA(_xlfn.XLOOKUP(B1029, policy_details!$A$2:$A$2829, policy_details!$A$2:$A$2829)), "Invalid", "Ok")</f>
        <v>Ok</v>
      </c>
    </row>
    <row r="1030" spans="1:9" x14ac:dyDescent="0.3">
      <c r="A1030" s="1" t="s">
        <v>7492</v>
      </c>
      <c r="B1030" s="1" t="s">
        <v>3923</v>
      </c>
      <c r="C1030" s="41">
        <v>44595</v>
      </c>
      <c r="D1030" s="1">
        <v>104653.1</v>
      </c>
      <c r="E1030" s="1" t="s">
        <v>6460</v>
      </c>
      <c r="F1030" s="1" t="s">
        <v>6466</v>
      </c>
      <c r="G1030" s="1" t="s">
        <v>17</v>
      </c>
      <c r="H1030" s="1">
        <v>36</v>
      </c>
      <c r="I1030" t="str">
        <f>IF(ISNA(_xlfn.XLOOKUP(B1030, policy_details!$A$2:$A$2829, policy_details!$A$2:$A$2829)), "Invalid", "Ok")</f>
        <v>Ok</v>
      </c>
    </row>
    <row r="1031" spans="1:9" x14ac:dyDescent="0.3">
      <c r="A1031" s="1" t="s">
        <v>7493</v>
      </c>
      <c r="B1031" s="1" t="s">
        <v>3401</v>
      </c>
      <c r="C1031" s="41">
        <v>45252</v>
      </c>
      <c r="D1031" s="1">
        <v>318735.19</v>
      </c>
      <c r="E1031" s="1" t="s">
        <v>6464</v>
      </c>
      <c r="F1031" s="1" t="s">
        <v>6481</v>
      </c>
      <c r="G1031" s="1" t="s">
        <v>17</v>
      </c>
      <c r="H1031" s="1">
        <v>7</v>
      </c>
      <c r="I1031" t="str">
        <f>IF(ISNA(_xlfn.XLOOKUP(B1031, policy_details!$A$2:$A$2829, policy_details!$A$2:$A$2829)), "Invalid", "Ok")</f>
        <v>Ok</v>
      </c>
    </row>
    <row r="1032" spans="1:9" x14ac:dyDescent="0.3">
      <c r="A1032" s="1" t="s">
        <v>7494</v>
      </c>
      <c r="B1032" s="1" t="s">
        <v>6053</v>
      </c>
      <c r="C1032" s="41">
        <v>44945</v>
      </c>
      <c r="D1032" s="1">
        <v>149837.35999999999</v>
      </c>
      <c r="E1032" s="1" t="s">
        <v>6457</v>
      </c>
      <c r="F1032" s="1" t="s">
        <v>6481</v>
      </c>
      <c r="G1032" s="1" t="s">
        <v>17</v>
      </c>
      <c r="H1032" s="1">
        <v>21</v>
      </c>
      <c r="I1032" t="str">
        <f>IF(ISNA(_xlfn.XLOOKUP(B1032, policy_details!$A$2:$A$2829, policy_details!$A$2:$A$2829)), "Invalid", "Ok")</f>
        <v>Ok</v>
      </c>
    </row>
    <row r="1033" spans="1:9" x14ac:dyDescent="0.3">
      <c r="A1033" s="1" t="s">
        <v>7495</v>
      </c>
      <c r="B1033" s="1" t="s">
        <v>5015</v>
      </c>
      <c r="C1033" s="41">
        <v>44804</v>
      </c>
      <c r="D1033" s="1">
        <v>172631.69</v>
      </c>
      <c r="E1033" s="1" t="s">
        <v>6457</v>
      </c>
      <c r="F1033" s="1" t="s">
        <v>6481</v>
      </c>
      <c r="G1033" s="1" t="s">
        <v>17</v>
      </c>
      <c r="H1033" s="1">
        <v>16</v>
      </c>
      <c r="I1033" t="str">
        <f>IF(ISNA(_xlfn.XLOOKUP(B1033, policy_details!$A$2:$A$2829, policy_details!$A$2:$A$2829)), "Invalid", "Ok")</f>
        <v>Ok</v>
      </c>
    </row>
    <row r="1034" spans="1:9" x14ac:dyDescent="0.3">
      <c r="A1034" s="1" t="s">
        <v>7496</v>
      </c>
      <c r="B1034" s="1" t="s">
        <v>3333</v>
      </c>
      <c r="C1034" s="41">
        <v>45365</v>
      </c>
      <c r="D1034" s="1">
        <v>194481.65</v>
      </c>
      <c r="E1034" s="1" t="s">
        <v>6464</v>
      </c>
      <c r="F1034" s="1" t="s">
        <v>6481</v>
      </c>
      <c r="G1034" s="1" t="s">
        <v>17</v>
      </c>
      <c r="H1034" s="1">
        <v>19</v>
      </c>
      <c r="I1034" t="str">
        <f>IF(ISNA(_xlfn.XLOOKUP(B1034, policy_details!$A$2:$A$2829, policy_details!$A$2:$A$2829)), "Invalid", "Ok")</f>
        <v>Ok</v>
      </c>
    </row>
    <row r="1035" spans="1:9" x14ac:dyDescent="0.3">
      <c r="A1035" s="1" t="s">
        <v>7497</v>
      </c>
      <c r="B1035" s="1" t="s">
        <v>5112</v>
      </c>
      <c r="C1035" s="41">
        <v>44758</v>
      </c>
      <c r="D1035" s="1">
        <v>302668.59000000003</v>
      </c>
      <c r="E1035" s="1" t="s">
        <v>6457</v>
      </c>
      <c r="F1035" s="1" t="s">
        <v>6481</v>
      </c>
      <c r="G1035" s="1" t="s">
        <v>17</v>
      </c>
      <c r="H1035" s="1">
        <v>42</v>
      </c>
      <c r="I1035" t="str">
        <f>IF(ISNA(_xlfn.XLOOKUP(B1035, policy_details!$A$2:$A$2829, policy_details!$A$2:$A$2829)), "Invalid", "Ok")</f>
        <v>Ok</v>
      </c>
    </row>
    <row r="1036" spans="1:9" x14ac:dyDescent="0.3">
      <c r="A1036" s="1" t="s">
        <v>7498</v>
      </c>
      <c r="B1036" s="1" t="s">
        <v>4322</v>
      </c>
      <c r="C1036" s="41">
        <v>45806</v>
      </c>
      <c r="D1036" s="1">
        <v>645730.17000000004</v>
      </c>
      <c r="E1036" s="1" t="s">
        <v>6460</v>
      </c>
      <c r="F1036" s="1" t="s">
        <v>6458</v>
      </c>
      <c r="G1036" s="1" t="s">
        <v>17</v>
      </c>
      <c r="H1036" s="1">
        <v>25</v>
      </c>
      <c r="I1036" t="str">
        <f>IF(ISNA(_xlfn.XLOOKUP(B1036, policy_details!$A$2:$A$2829, policy_details!$A$2:$A$2829)), "Invalid", "Ok")</f>
        <v>Ok</v>
      </c>
    </row>
    <row r="1037" spans="1:9" x14ac:dyDescent="0.3">
      <c r="A1037" s="1" t="s">
        <v>7499</v>
      </c>
      <c r="B1037" s="1" t="s">
        <v>4820</v>
      </c>
      <c r="C1037" s="41">
        <v>45972</v>
      </c>
      <c r="D1037" s="1">
        <v>183054.69</v>
      </c>
      <c r="E1037" s="1" t="s">
        <v>6457</v>
      </c>
      <c r="F1037" s="1" t="s">
        <v>6470</v>
      </c>
      <c r="G1037" s="1" t="s">
        <v>17</v>
      </c>
      <c r="H1037" s="1">
        <v>20</v>
      </c>
      <c r="I1037" t="str">
        <f>IF(ISNA(_xlfn.XLOOKUP(B1037, policy_details!$A$2:$A$2829, policy_details!$A$2:$A$2829)), "Invalid", "Ok")</f>
        <v>Ok</v>
      </c>
    </row>
    <row r="1038" spans="1:9" x14ac:dyDescent="0.3">
      <c r="A1038" s="1" t="s">
        <v>7500</v>
      </c>
      <c r="B1038" s="1" t="s">
        <v>5518</v>
      </c>
      <c r="C1038" s="41">
        <v>44447</v>
      </c>
      <c r="D1038" s="1">
        <v>378977.95</v>
      </c>
      <c r="E1038" s="1" t="s">
        <v>6457</v>
      </c>
      <c r="F1038" s="1" t="s">
        <v>6481</v>
      </c>
      <c r="G1038" s="1" t="s">
        <v>17</v>
      </c>
      <c r="H1038" s="1">
        <v>40</v>
      </c>
      <c r="I1038" t="str">
        <f>IF(ISNA(_xlfn.XLOOKUP(B1038, policy_details!$A$2:$A$2829, policy_details!$A$2:$A$2829)), "Invalid", "Ok")</f>
        <v>Ok</v>
      </c>
    </row>
    <row r="1039" spans="1:9" x14ac:dyDescent="0.3">
      <c r="A1039" s="1" t="s">
        <v>7501</v>
      </c>
      <c r="B1039" s="1" t="s">
        <v>5908</v>
      </c>
      <c r="C1039" s="41">
        <v>44942</v>
      </c>
      <c r="D1039" s="1">
        <v>263649.86</v>
      </c>
      <c r="E1039" s="1" t="s">
        <v>6460</v>
      </c>
      <c r="F1039" s="1" t="s">
        <v>6461</v>
      </c>
      <c r="G1039" s="1" t="s">
        <v>17</v>
      </c>
      <c r="H1039" s="1">
        <v>24</v>
      </c>
      <c r="I1039" t="str">
        <f>IF(ISNA(_xlfn.XLOOKUP(B1039, policy_details!$A$2:$A$2829, policy_details!$A$2:$A$2829)), "Invalid", "Ok")</f>
        <v>Ok</v>
      </c>
    </row>
    <row r="1040" spans="1:9" x14ac:dyDescent="0.3">
      <c r="A1040" s="1" t="s">
        <v>7502</v>
      </c>
      <c r="B1040" s="1" t="s">
        <v>5599</v>
      </c>
      <c r="C1040" s="41">
        <v>45082</v>
      </c>
      <c r="D1040" s="1">
        <v>1272437.24</v>
      </c>
      <c r="E1040" s="1" t="s">
        <v>6460</v>
      </c>
      <c r="F1040" s="1" t="s">
        <v>6458</v>
      </c>
      <c r="G1040" s="1" t="s">
        <v>17</v>
      </c>
      <c r="H1040" s="1">
        <v>19</v>
      </c>
      <c r="I1040" t="str">
        <f>IF(ISNA(_xlfn.XLOOKUP(B1040, policy_details!$A$2:$A$2829, policy_details!$A$2:$A$2829)), "Invalid", "Ok")</f>
        <v>Ok</v>
      </c>
    </row>
    <row r="1041" spans="1:9" x14ac:dyDescent="0.3">
      <c r="A1041" s="1" t="s">
        <v>7503</v>
      </c>
      <c r="B1041" s="1" t="s">
        <v>6155</v>
      </c>
      <c r="C1041" s="41">
        <v>45065</v>
      </c>
      <c r="D1041" s="1">
        <v>188023.95</v>
      </c>
      <c r="E1041" s="1" t="s">
        <v>6457</v>
      </c>
      <c r="F1041" s="1" t="s">
        <v>6461</v>
      </c>
      <c r="G1041" s="1" t="s">
        <v>30</v>
      </c>
      <c r="H1041" s="1">
        <v>24</v>
      </c>
      <c r="I1041" t="str">
        <f>IF(ISNA(_xlfn.XLOOKUP(B1041, policy_details!$A$2:$A$2829, policy_details!$A$2:$A$2829)), "Invalid", "Ok")</f>
        <v>Ok</v>
      </c>
    </row>
    <row r="1042" spans="1:9" x14ac:dyDescent="0.3">
      <c r="A1042" s="1" t="s">
        <v>7504</v>
      </c>
      <c r="B1042" s="1" t="s">
        <v>4248</v>
      </c>
      <c r="C1042" s="41">
        <v>45480</v>
      </c>
      <c r="D1042" s="1">
        <v>232908.13</v>
      </c>
      <c r="E1042" s="1" t="s">
        <v>6460</v>
      </c>
      <c r="F1042" s="1" t="s">
        <v>6481</v>
      </c>
      <c r="G1042" s="1" t="s">
        <v>17</v>
      </c>
      <c r="H1042" s="1">
        <v>38</v>
      </c>
      <c r="I1042" t="str">
        <f>IF(ISNA(_xlfn.XLOOKUP(B1042, policy_details!$A$2:$A$2829, policy_details!$A$2:$A$2829)), "Invalid", "Ok")</f>
        <v>Ok</v>
      </c>
    </row>
    <row r="1043" spans="1:9" x14ac:dyDescent="0.3">
      <c r="A1043" s="1" t="s">
        <v>7505</v>
      </c>
      <c r="B1043" s="1" t="s">
        <v>5488</v>
      </c>
      <c r="C1043" s="41">
        <v>45714</v>
      </c>
      <c r="D1043" s="1">
        <v>677174.38</v>
      </c>
      <c r="E1043" s="1" t="s">
        <v>6460</v>
      </c>
      <c r="F1043" s="1" t="s">
        <v>6458</v>
      </c>
      <c r="G1043" s="1" t="s">
        <v>17</v>
      </c>
      <c r="H1043" s="1">
        <v>20</v>
      </c>
      <c r="I1043" t="str">
        <f>IF(ISNA(_xlfn.XLOOKUP(B1043, policy_details!$A$2:$A$2829, policy_details!$A$2:$A$2829)), "Invalid", "Ok")</f>
        <v>Ok</v>
      </c>
    </row>
    <row r="1044" spans="1:9" x14ac:dyDescent="0.3">
      <c r="A1044" s="1" t="s">
        <v>7506</v>
      </c>
      <c r="B1044" s="1" t="s">
        <v>6138</v>
      </c>
      <c r="C1044" s="41">
        <v>45476</v>
      </c>
      <c r="D1044" s="1">
        <v>327329.3</v>
      </c>
      <c r="E1044" s="1" t="s">
        <v>6460</v>
      </c>
      <c r="F1044" s="1" t="s">
        <v>6481</v>
      </c>
      <c r="G1044" s="1" t="s">
        <v>17</v>
      </c>
      <c r="H1044" s="1">
        <v>28</v>
      </c>
      <c r="I1044" t="str">
        <f>IF(ISNA(_xlfn.XLOOKUP(B1044, policy_details!$A$2:$A$2829, policy_details!$A$2:$A$2829)), "Invalid", "Ok")</f>
        <v>Ok</v>
      </c>
    </row>
    <row r="1045" spans="1:9" x14ac:dyDescent="0.3">
      <c r="A1045" s="1" t="s">
        <v>7507</v>
      </c>
      <c r="B1045" s="1" t="s">
        <v>4474</v>
      </c>
      <c r="C1045" s="41">
        <v>45287</v>
      </c>
      <c r="D1045" s="1">
        <v>106431.58</v>
      </c>
      <c r="E1045" s="1" t="s">
        <v>6464</v>
      </c>
      <c r="F1045" s="1" t="s">
        <v>6470</v>
      </c>
      <c r="G1045" s="1" t="s">
        <v>17</v>
      </c>
      <c r="H1045" s="1">
        <v>8</v>
      </c>
      <c r="I1045" t="str">
        <f>IF(ISNA(_xlfn.XLOOKUP(B1045, policy_details!$A$2:$A$2829, policy_details!$A$2:$A$2829)), "Invalid", "Ok")</f>
        <v>Ok</v>
      </c>
    </row>
    <row r="1046" spans="1:9" x14ac:dyDescent="0.3">
      <c r="A1046" s="1" t="s">
        <v>7508</v>
      </c>
      <c r="B1046" s="1" t="s">
        <v>5879</v>
      </c>
      <c r="C1046" s="41">
        <v>44654</v>
      </c>
      <c r="D1046" s="1">
        <v>191047.33</v>
      </c>
      <c r="E1046" s="1" t="s">
        <v>6460</v>
      </c>
      <c r="F1046" s="1" t="s">
        <v>6470</v>
      </c>
      <c r="G1046" s="1" t="s">
        <v>17</v>
      </c>
      <c r="H1046" s="1">
        <v>1</v>
      </c>
      <c r="I1046" t="str">
        <f>IF(ISNA(_xlfn.XLOOKUP(B1046, policy_details!$A$2:$A$2829, policy_details!$A$2:$A$2829)), "Invalid", "Ok")</f>
        <v>Ok</v>
      </c>
    </row>
    <row r="1047" spans="1:9" x14ac:dyDescent="0.3">
      <c r="A1047" s="1" t="s">
        <v>7509</v>
      </c>
      <c r="B1047" s="1" t="s">
        <v>6280</v>
      </c>
      <c r="C1047" s="41">
        <v>44607</v>
      </c>
      <c r="D1047" s="1">
        <v>128482.01</v>
      </c>
      <c r="E1047" s="1" t="s">
        <v>6457</v>
      </c>
      <c r="F1047" s="1" t="s">
        <v>6466</v>
      </c>
      <c r="G1047" s="1" t="s">
        <v>17</v>
      </c>
      <c r="H1047" s="1">
        <v>3</v>
      </c>
      <c r="I1047" t="str">
        <f>IF(ISNA(_xlfn.XLOOKUP(B1047, policy_details!$A$2:$A$2829, policy_details!$A$2:$A$2829)), "Invalid", "Ok")</f>
        <v>Ok</v>
      </c>
    </row>
    <row r="1048" spans="1:9" x14ac:dyDescent="0.3">
      <c r="A1048" s="1" t="s">
        <v>7510</v>
      </c>
      <c r="B1048" s="1" t="s">
        <v>5439</v>
      </c>
      <c r="C1048" s="41">
        <v>45774</v>
      </c>
      <c r="D1048" s="1">
        <v>244893.11</v>
      </c>
      <c r="E1048" s="1" t="s">
        <v>6457</v>
      </c>
      <c r="F1048" s="1" t="s">
        <v>6481</v>
      </c>
      <c r="G1048" s="1" t="s">
        <v>17</v>
      </c>
      <c r="H1048" s="1">
        <v>21</v>
      </c>
      <c r="I1048" t="str">
        <f>IF(ISNA(_xlfn.XLOOKUP(B1048, policy_details!$A$2:$A$2829, policy_details!$A$2:$A$2829)), "Invalid", "Ok")</f>
        <v>Ok</v>
      </c>
    </row>
    <row r="1049" spans="1:9" x14ac:dyDescent="0.3">
      <c r="A1049" s="1" t="s">
        <v>7511</v>
      </c>
      <c r="B1049" s="1" t="s">
        <v>4018</v>
      </c>
      <c r="C1049" s="41">
        <v>44781</v>
      </c>
      <c r="D1049" s="1">
        <v>129900.97</v>
      </c>
      <c r="E1049" s="1" t="s">
        <v>6464</v>
      </c>
      <c r="F1049" s="1" t="s">
        <v>6466</v>
      </c>
      <c r="G1049" s="1" t="s">
        <v>17</v>
      </c>
      <c r="H1049" s="1">
        <v>32</v>
      </c>
      <c r="I1049" t="str">
        <f>IF(ISNA(_xlfn.XLOOKUP(B1049, policy_details!$A$2:$A$2829, policy_details!$A$2:$A$2829)), "Invalid", "Ok")</f>
        <v>Ok</v>
      </c>
    </row>
    <row r="1050" spans="1:9" x14ac:dyDescent="0.3">
      <c r="A1050" s="1" t="s">
        <v>7512</v>
      </c>
      <c r="B1050" s="1" t="s">
        <v>4330</v>
      </c>
      <c r="C1050" s="41">
        <v>45522</v>
      </c>
      <c r="D1050" s="1">
        <v>147330.01999999999</v>
      </c>
      <c r="E1050" s="1" t="s">
        <v>6457</v>
      </c>
      <c r="F1050" s="1" t="s">
        <v>6470</v>
      </c>
      <c r="G1050" s="1" t="s">
        <v>17</v>
      </c>
      <c r="H1050" s="1">
        <v>10</v>
      </c>
      <c r="I1050" t="str">
        <f>IF(ISNA(_xlfn.XLOOKUP(B1050, policy_details!$A$2:$A$2829, policy_details!$A$2:$A$2829)), "Invalid", "Ok")</f>
        <v>Ok</v>
      </c>
    </row>
    <row r="1051" spans="1:9" x14ac:dyDescent="0.3">
      <c r="A1051" s="1" t="s">
        <v>7513</v>
      </c>
      <c r="B1051" s="1" t="s">
        <v>5540</v>
      </c>
      <c r="C1051" s="41">
        <v>46206</v>
      </c>
      <c r="D1051" s="1">
        <v>156906.65</v>
      </c>
      <c r="E1051" s="1" t="s">
        <v>6464</v>
      </c>
      <c r="F1051" s="1" t="s">
        <v>6466</v>
      </c>
      <c r="G1051" s="1" t="s">
        <v>17</v>
      </c>
      <c r="H1051" s="1">
        <v>42</v>
      </c>
      <c r="I1051" t="str">
        <f>IF(ISNA(_xlfn.XLOOKUP(B1051, policy_details!$A$2:$A$2829, policy_details!$A$2:$A$2829)), "Invalid", "Ok")</f>
        <v>Ok</v>
      </c>
    </row>
    <row r="1052" spans="1:9" x14ac:dyDescent="0.3">
      <c r="A1052" s="1" t="s">
        <v>7514</v>
      </c>
      <c r="B1052" s="1" t="s">
        <v>6070</v>
      </c>
      <c r="C1052" s="41">
        <v>45842</v>
      </c>
      <c r="D1052" s="1">
        <v>120865.44</v>
      </c>
      <c r="E1052" s="1" t="s">
        <v>6464</v>
      </c>
      <c r="F1052" s="1" t="s">
        <v>6470</v>
      </c>
      <c r="G1052" s="1" t="s">
        <v>17</v>
      </c>
      <c r="H1052" s="1">
        <v>7</v>
      </c>
      <c r="I1052" t="str">
        <f>IF(ISNA(_xlfn.XLOOKUP(B1052, policy_details!$A$2:$A$2829, policy_details!$A$2:$A$2829)), "Invalid", "Ok")</f>
        <v>Ok</v>
      </c>
    </row>
    <row r="1053" spans="1:9" x14ac:dyDescent="0.3">
      <c r="A1053" s="1" t="s">
        <v>7515</v>
      </c>
      <c r="B1053" s="1" t="s">
        <v>3442</v>
      </c>
      <c r="C1053" s="41">
        <v>45883</v>
      </c>
      <c r="D1053" s="1">
        <v>239315.41</v>
      </c>
      <c r="E1053" s="1" t="s">
        <v>6457</v>
      </c>
      <c r="F1053" s="1" t="s">
        <v>6481</v>
      </c>
      <c r="G1053" s="1" t="s">
        <v>17</v>
      </c>
      <c r="H1053" s="1">
        <v>31</v>
      </c>
      <c r="I1053" t="str">
        <f>IF(ISNA(_xlfn.XLOOKUP(B1053, policy_details!$A$2:$A$2829, policy_details!$A$2:$A$2829)), "Invalid", "Ok")</f>
        <v>Ok</v>
      </c>
    </row>
    <row r="1054" spans="1:9" x14ac:dyDescent="0.3">
      <c r="A1054" s="1" t="s">
        <v>7516</v>
      </c>
      <c r="B1054" s="1" t="s">
        <v>4528</v>
      </c>
      <c r="C1054" s="41">
        <v>44839</v>
      </c>
      <c r="D1054" s="1">
        <v>44644.65</v>
      </c>
      <c r="E1054" s="1" t="s">
        <v>6464</v>
      </c>
      <c r="F1054" s="1" t="s">
        <v>6461</v>
      </c>
      <c r="G1054" s="1" t="s">
        <v>17</v>
      </c>
      <c r="H1054" s="1">
        <v>11</v>
      </c>
      <c r="I1054" t="str">
        <f>IF(ISNA(_xlfn.XLOOKUP(B1054, policy_details!$A$2:$A$2829, policy_details!$A$2:$A$2829)), "Invalid", "Ok")</f>
        <v>Ok</v>
      </c>
    </row>
    <row r="1055" spans="1:9" x14ac:dyDescent="0.3">
      <c r="A1055" s="1" t="s">
        <v>7517</v>
      </c>
      <c r="B1055" s="1" t="s">
        <v>4245</v>
      </c>
      <c r="C1055" s="41">
        <v>45126</v>
      </c>
      <c r="D1055" s="1">
        <v>101516.52</v>
      </c>
      <c r="E1055" s="1" t="s">
        <v>6457</v>
      </c>
      <c r="F1055" s="1" t="s">
        <v>6481</v>
      </c>
      <c r="G1055" s="1" t="s">
        <v>17</v>
      </c>
      <c r="H1055" s="1">
        <v>3</v>
      </c>
      <c r="I1055" t="str">
        <f>IF(ISNA(_xlfn.XLOOKUP(B1055, policy_details!$A$2:$A$2829, policy_details!$A$2:$A$2829)), "Invalid", "Ok")</f>
        <v>Ok</v>
      </c>
    </row>
    <row r="1056" spans="1:9" x14ac:dyDescent="0.3">
      <c r="A1056" s="1" t="s">
        <v>7518</v>
      </c>
      <c r="B1056" s="1" t="s">
        <v>4805</v>
      </c>
      <c r="C1056" s="41">
        <v>44590</v>
      </c>
      <c r="D1056" s="1">
        <v>328811.25</v>
      </c>
      <c r="E1056" s="1" t="s">
        <v>6457</v>
      </c>
      <c r="F1056" s="1" t="s">
        <v>6466</v>
      </c>
      <c r="G1056" s="1" t="s">
        <v>17</v>
      </c>
      <c r="H1056" s="1">
        <v>32</v>
      </c>
      <c r="I1056" t="str">
        <f>IF(ISNA(_xlfn.XLOOKUP(B1056, policy_details!$A$2:$A$2829, policy_details!$A$2:$A$2829)), "Invalid", "Ok")</f>
        <v>Ok</v>
      </c>
    </row>
    <row r="1057" spans="1:9" x14ac:dyDescent="0.3">
      <c r="A1057" s="1" t="s">
        <v>7519</v>
      </c>
      <c r="B1057" s="1" t="s">
        <v>5788</v>
      </c>
      <c r="C1057" s="41">
        <v>45765</v>
      </c>
      <c r="D1057" s="1">
        <v>968873.6</v>
      </c>
      <c r="E1057" s="1" t="s">
        <v>6464</v>
      </c>
      <c r="F1057" s="1" t="s">
        <v>6458</v>
      </c>
      <c r="G1057" s="1" t="s">
        <v>17</v>
      </c>
      <c r="H1057" s="1">
        <v>23</v>
      </c>
      <c r="I1057" t="str">
        <f>IF(ISNA(_xlfn.XLOOKUP(B1057, policy_details!$A$2:$A$2829, policy_details!$A$2:$A$2829)), "Invalid", "Ok")</f>
        <v>Ok</v>
      </c>
    </row>
    <row r="1058" spans="1:9" x14ac:dyDescent="0.3">
      <c r="A1058" s="1" t="s">
        <v>7520</v>
      </c>
      <c r="B1058" s="1" t="s">
        <v>5034</v>
      </c>
      <c r="C1058" s="41">
        <v>44892</v>
      </c>
      <c r="D1058" s="1">
        <v>174125.73</v>
      </c>
      <c r="E1058" s="1" t="s">
        <v>6464</v>
      </c>
      <c r="F1058" s="1" t="s">
        <v>6481</v>
      </c>
      <c r="G1058" s="1" t="s">
        <v>17</v>
      </c>
      <c r="H1058" s="1">
        <v>28</v>
      </c>
      <c r="I1058" t="str">
        <f>IF(ISNA(_xlfn.XLOOKUP(B1058, policy_details!$A$2:$A$2829, policy_details!$A$2:$A$2829)), "Invalid", "Ok")</f>
        <v>Ok</v>
      </c>
    </row>
    <row r="1059" spans="1:9" x14ac:dyDescent="0.3">
      <c r="A1059" s="1" t="s">
        <v>7521</v>
      </c>
      <c r="B1059" s="1" t="s">
        <v>5080</v>
      </c>
      <c r="C1059" s="41">
        <v>45971</v>
      </c>
      <c r="D1059" s="1">
        <v>358016.55</v>
      </c>
      <c r="E1059" s="1" t="s">
        <v>6460</v>
      </c>
      <c r="F1059" s="1" t="s">
        <v>6466</v>
      </c>
      <c r="G1059" s="1" t="s">
        <v>17</v>
      </c>
      <c r="H1059" s="1">
        <v>42</v>
      </c>
      <c r="I1059" t="str">
        <f>IF(ISNA(_xlfn.XLOOKUP(B1059, policy_details!$A$2:$A$2829, policy_details!$A$2:$A$2829)), "Invalid", "Ok")</f>
        <v>Ok</v>
      </c>
    </row>
    <row r="1060" spans="1:9" x14ac:dyDescent="0.3">
      <c r="A1060" s="1" t="s">
        <v>7522</v>
      </c>
      <c r="B1060" s="1" t="s">
        <v>5339</v>
      </c>
      <c r="C1060" s="41">
        <v>45615</v>
      </c>
      <c r="D1060" s="1">
        <v>653802.96</v>
      </c>
      <c r="E1060" s="1" t="s">
        <v>6464</v>
      </c>
      <c r="F1060" s="1" t="s">
        <v>6458</v>
      </c>
      <c r="G1060" s="1" t="s">
        <v>17</v>
      </c>
      <c r="H1060" s="1">
        <v>24</v>
      </c>
      <c r="I1060" t="str">
        <f>IF(ISNA(_xlfn.XLOOKUP(B1060, policy_details!$A$2:$A$2829, policy_details!$A$2:$A$2829)), "Invalid", "Ok")</f>
        <v>Ok</v>
      </c>
    </row>
    <row r="1061" spans="1:9" x14ac:dyDescent="0.3">
      <c r="A1061" s="1" t="s">
        <v>7523</v>
      </c>
      <c r="B1061" s="1" t="s">
        <v>5072</v>
      </c>
      <c r="C1061" s="41">
        <v>46089</v>
      </c>
      <c r="D1061" s="1">
        <v>187094.58</v>
      </c>
      <c r="E1061" s="1" t="s">
        <v>6457</v>
      </c>
      <c r="F1061" s="1" t="s">
        <v>6481</v>
      </c>
      <c r="G1061" s="1" t="s">
        <v>17</v>
      </c>
      <c r="H1061" s="1">
        <v>38</v>
      </c>
      <c r="I1061" t="str">
        <f>IF(ISNA(_xlfn.XLOOKUP(B1061, policy_details!$A$2:$A$2829, policy_details!$A$2:$A$2829)), "Invalid", "Ok")</f>
        <v>Ok</v>
      </c>
    </row>
    <row r="1062" spans="1:9" x14ac:dyDescent="0.3">
      <c r="A1062" s="1" t="s">
        <v>7524</v>
      </c>
      <c r="B1062" s="1" t="s">
        <v>5563</v>
      </c>
      <c r="C1062" s="41">
        <v>44791</v>
      </c>
      <c r="D1062" s="1">
        <v>148700.6</v>
      </c>
      <c r="E1062" s="1" t="s">
        <v>6464</v>
      </c>
      <c r="F1062" s="1" t="s">
        <v>6466</v>
      </c>
      <c r="G1062" s="1" t="s">
        <v>17</v>
      </c>
      <c r="H1062" s="1">
        <v>22</v>
      </c>
      <c r="I1062" t="str">
        <f>IF(ISNA(_xlfn.XLOOKUP(B1062, policy_details!$A$2:$A$2829, policy_details!$A$2:$A$2829)), "Invalid", "Ok")</f>
        <v>Ok</v>
      </c>
    </row>
    <row r="1063" spans="1:9" x14ac:dyDescent="0.3">
      <c r="A1063" s="1" t="s">
        <v>7525</v>
      </c>
      <c r="B1063" s="1" t="s">
        <v>3814</v>
      </c>
      <c r="C1063" s="41">
        <v>45822</v>
      </c>
      <c r="D1063" s="1">
        <v>648570.24</v>
      </c>
      <c r="E1063" s="1" t="s">
        <v>6464</v>
      </c>
      <c r="F1063" s="1" t="s">
        <v>6481</v>
      </c>
      <c r="G1063" s="1" t="s">
        <v>17</v>
      </c>
      <c r="H1063" s="1">
        <v>16</v>
      </c>
      <c r="I1063" t="str">
        <f>IF(ISNA(_xlfn.XLOOKUP(B1063, policy_details!$A$2:$A$2829, policy_details!$A$2:$A$2829)), "Invalid", "Ok")</f>
        <v>Ok</v>
      </c>
    </row>
    <row r="1064" spans="1:9" x14ac:dyDescent="0.3">
      <c r="A1064" s="1" t="s">
        <v>7526</v>
      </c>
      <c r="B1064" s="1" t="s">
        <v>3438</v>
      </c>
      <c r="C1064" s="41">
        <v>44684</v>
      </c>
      <c r="D1064" s="1">
        <v>247442.54</v>
      </c>
      <c r="E1064" s="1" t="s">
        <v>6464</v>
      </c>
      <c r="F1064" s="1" t="s">
        <v>6466</v>
      </c>
      <c r="G1064" s="1" t="s">
        <v>17</v>
      </c>
      <c r="H1064" s="1">
        <v>18</v>
      </c>
      <c r="I1064" t="str">
        <f>IF(ISNA(_xlfn.XLOOKUP(B1064, policy_details!$A$2:$A$2829, policy_details!$A$2:$A$2829)), "Invalid", "Ok")</f>
        <v>Ok</v>
      </c>
    </row>
    <row r="1065" spans="1:9" x14ac:dyDescent="0.3">
      <c r="A1065" s="1" t="s">
        <v>7527</v>
      </c>
      <c r="B1065" s="1" t="s">
        <v>5957</v>
      </c>
      <c r="C1065" s="41">
        <v>44539</v>
      </c>
      <c r="D1065" s="1">
        <v>165420.5</v>
      </c>
      <c r="E1065" s="1" t="s">
        <v>6460</v>
      </c>
      <c r="F1065" s="1" t="s">
        <v>6461</v>
      </c>
      <c r="G1065" s="1" t="s">
        <v>17</v>
      </c>
      <c r="H1065" s="1">
        <v>16</v>
      </c>
      <c r="I1065" t="str">
        <f>IF(ISNA(_xlfn.XLOOKUP(B1065, policy_details!$A$2:$A$2829, policy_details!$A$2:$A$2829)), "Invalid", "Ok")</f>
        <v>Ok</v>
      </c>
    </row>
    <row r="1066" spans="1:9" x14ac:dyDescent="0.3">
      <c r="A1066" s="1" t="s">
        <v>7528</v>
      </c>
      <c r="B1066" s="1" t="s">
        <v>4966</v>
      </c>
      <c r="C1066" s="41">
        <v>45731</v>
      </c>
      <c r="D1066" s="1">
        <v>189395.19</v>
      </c>
      <c r="E1066" s="1" t="s">
        <v>6460</v>
      </c>
      <c r="F1066" s="1" t="s">
        <v>6461</v>
      </c>
      <c r="G1066" s="1" t="s">
        <v>17</v>
      </c>
      <c r="H1066" s="1">
        <v>40</v>
      </c>
      <c r="I1066" t="str">
        <f>IF(ISNA(_xlfn.XLOOKUP(B1066, policy_details!$A$2:$A$2829, policy_details!$A$2:$A$2829)), "Invalid", "Ok")</f>
        <v>Ok</v>
      </c>
    </row>
    <row r="1067" spans="1:9" x14ac:dyDescent="0.3">
      <c r="A1067" s="1" t="s">
        <v>7529</v>
      </c>
      <c r="B1067" s="1" t="s">
        <v>4443</v>
      </c>
      <c r="C1067" s="41">
        <v>44767</v>
      </c>
      <c r="D1067" s="1">
        <v>98998.65</v>
      </c>
      <c r="E1067" s="1" t="s">
        <v>6464</v>
      </c>
      <c r="F1067" s="1" t="s">
        <v>6481</v>
      </c>
      <c r="G1067" s="1" t="s">
        <v>17</v>
      </c>
      <c r="H1067" s="1">
        <v>23</v>
      </c>
      <c r="I1067" t="str">
        <f>IF(ISNA(_xlfn.XLOOKUP(B1067, policy_details!$A$2:$A$2829, policy_details!$A$2:$A$2829)), "Invalid", "Ok")</f>
        <v>Ok</v>
      </c>
    </row>
    <row r="1068" spans="1:9" x14ac:dyDescent="0.3">
      <c r="A1068" s="1" t="s">
        <v>7530</v>
      </c>
      <c r="B1068" s="1" t="s">
        <v>4897</v>
      </c>
      <c r="C1068" s="41">
        <v>44698</v>
      </c>
      <c r="D1068" s="1">
        <v>133747.35999999999</v>
      </c>
      <c r="E1068" s="1" t="s">
        <v>6457</v>
      </c>
      <c r="F1068" s="1" t="s">
        <v>6470</v>
      </c>
      <c r="G1068" s="1" t="s">
        <v>17</v>
      </c>
      <c r="H1068" s="1">
        <v>42</v>
      </c>
      <c r="I1068" t="str">
        <f>IF(ISNA(_xlfn.XLOOKUP(B1068, policy_details!$A$2:$A$2829, policy_details!$A$2:$A$2829)), "Invalid", "Ok")</f>
        <v>Ok</v>
      </c>
    </row>
    <row r="1069" spans="1:9" x14ac:dyDescent="0.3">
      <c r="A1069" s="1" t="s">
        <v>7531</v>
      </c>
      <c r="B1069" s="1" t="s">
        <v>5456</v>
      </c>
      <c r="C1069" s="41">
        <v>45018</v>
      </c>
      <c r="D1069" s="1">
        <v>276198.82</v>
      </c>
      <c r="E1069" s="1" t="s">
        <v>6464</v>
      </c>
      <c r="F1069" s="1" t="s">
        <v>6466</v>
      </c>
      <c r="G1069" s="1" t="s">
        <v>17</v>
      </c>
      <c r="H1069" s="1">
        <v>12</v>
      </c>
      <c r="I1069" t="str">
        <f>IF(ISNA(_xlfn.XLOOKUP(B1069, policy_details!$A$2:$A$2829, policy_details!$A$2:$A$2829)), "Invalid", "Ok")</f>
        <v>Ok</v>
      </c>
    </row>
    <row r="1070" spans="1:9" x14ac:dyDescent="0.3">
      <c r="A1070" s="1" t="s">
        <v>7532</v>
      </c>
      <c r="B1070" s="1" t="s">
        <v>3871</v>
      </c>
      <c r="C1070" s="41">
        <v>44854</v>
      </c>
      <c r="D1070" s="1">
        <v>219548.53</v>
      </c>
      <c r="E1070" s="1" t="s">
        <v>6457</v>
      </c>
      <c r="F1070" s="1" t="s">
        <v>6466</v>
      </c>
      <c r="G1070" s="1" t="s">
        <v>17</v>
      </c>
      <c r="H1070" s="1">
        <v>34</v>
      </c>
      <c r="I1070" t="str">
        <f>IF(ISNA(_xlfn.XLOOKUP(B1070, policy_details!$A$2:$A$2829, policy_details!$A$2:$A$2829)), "Invalid", "Ok")</f>
        <v>Ok</v>
      </c>
    </row>
    <row r="1071" spans="1:9" x14ac:dyDescent="0.3">
      <c r="A1071" s="1" t="s">
        <v>7533</v>
      </c>
      <c r="B1071" s="1" t="s">
        <v>5096</v>
      </c>
      <c r="C1071" s="41">
        <v>44785</v>
      </c>
      <c r="D1071" s="1">
        <v>662709.61</v>
      </c>
      <c r="E1071" s="1" t="s">
        <v>6457</v>
      </c>
      <c r="F1071" s="1" t="s">
        <v>6466</v>
      </c>
      <c r="G1071" s="1" t="s">
        <v>17</v>
      </c>
      <c r="H1071" s="1">
        <v>6</v>
      </c>
      <c r="I1071" t="str">
        <f>IF(ISNA(_xlfn.XLOOKUP(B1071, policy_details!$A$2:$A$2829, policy_details!$A$2:$A$2829)), "Invalid", "Ok")</f>
        <v>Ok</v>
      </c>
    </row>
    <row r="1072" spans="1:9" x14ac:dyDescent="0.3">
      <c r="A1072" s="1" t="s">
        <v>7534</v>
      </c>
      <c r="B1072" s="1" t="s">
        <v>3831</v>
      </c>
      <c r="C1072" s="41">
        <v>46056</v>
      </c>
      <c r="D1072" s="1">
        <v>114782.55</v>
      </c>
      <c r="E1072" s="1" t="s">
        <v>6457</v>
      </c>
      <c r="F1072" s="1" t="s">
        <v>6461</v>
      </c>
      <c r="G1072" s="1" t="s">
        <v>17</v>
      </c>
      <c r="H1072" s="1">
        <v>13</v>
      </c>
      <c r="I1072" t="str">
        <f>IF(ISNA(_xlfn.XLOOKUP(B1072, policy_details!$A$2:$A$2829, policy_details!$A$2:$A$2829)), "Invalid", "Ok")</f>
        <v>Ok</v>
      </c>
    </row>
    <row r="1073" spans="1:9" x14ac:dyDescent="0.3">
      <c r="A1073" s="1" t="s">
        <v>7535</v>
      </c>
      <c r="B1073" s="1" t="s">
        <v>6052</v>
      </c>
      <c r="C1073" s="41">
        <v>44765</v>
      </c>
      <c r="D1073" s="1">
        <v>1442288.38</v>
      </c>
      <c r="E1073" s="1" t="s">
        <v>6457</v>
      </c>
      <c r="F1073" s="1" t="s">
        <v>6458</v>
      </c>
      <c r="G1073" s="1" t="s">
        <v>30</v>
      </c>
      <c r="H1073" s="1">
        <v>2</v>
      </c>
      <c r="I1073" t="str">
        <f>IF(ISNA(_xlfn.XLOOKUP(B1073, policy_details!$A$2:$A$2829, policy_details!$A$2:$A$2829)), "Invalid", "Ok")</f>
        <v>Ok</v>
      </c>
    </row>
    <row r="1074" spans="1:9" x14ac:dyDescent="0.3">
      <c r="A1074" s="1" t="s">
        <v>7536</v>
      </c>
      <c r="B1074" s="1" t="s">
        <v>5205</v>
      </c>
      <c r="C1074" s="41">
        <v>44980</v>
      </c>
      <c r="D1074" s="1">
        <v>1346679.09</v>
      </c>
      <c r="E1074" s="1" t="s">
        <v>6457</v>
      </c>
      <c r="F1074" s="1" t="s">
        <v>6458</v>
      </c>
      <c r="G1074" s="1" t="s">
        <v>17</v>
      </c>
      <c r="H1074" s="1">
        <v>41</v>
      </c>
      <c r="I1074" t="str">
        <f>IF(ISNA(_xlfn.XLOOKUP(B1074, policy_details!$A$2:$A$2829, policy_details!$A$2:$A$2829)), "Invalid", "Ok")</f>
        <v>Ok</v>
      </c>
    </row>
    <row r="1075" spans="1:9" x14ac:dyDescent="0.3">
      <c r="A1075" s="1" t="s">
        <v>7537</v>
      </c>
      <c r="B1075" s="1" t="s">
        <v>5912</v>
      </c>
      <c r="C1075" s="41">
        <v>45716</v>
      </c>
      <c r="D1075" s="1">
        <v>161103.29999999999</v>
      </c>
      <c r="E1075" s="1" t="s">
        <v>6460</v>
      </c>
      <c r="F1075" s="1" t="s">
        <v>6461</v>
      </c>
      <c r="G1075" s="1" t="s">
        <v>17</v>
      </c>
      <c r="H1075" s="1">
        <v>14</v>
      </c>
      <c r="I1075" t="str">
        <f>IF(ISNA(_xlfn.XLOOKUP(B1075, policy_details!$A$2:$A$2829, policy_details!$A$2:$A$2829)), "Invalid", "Ok")</f>
        <v>Ok</v>
      </c>
    </row>
    <row r="1076" spans="1:9" x14ac:dyDescent="0.3">
      <c r="A1076" s="1" t="s">
        <v>7538</v>
      </c>
      <c r="B1076" s="1" t="s">
        <v>5655</v>
      </c>
      <c r="C1076" s="41">
        <v>44925</v>
      </c>
      <c r="D1076" s="1">
        <v>211697.54</v>
      </c>
      <c r="E1076" s="1" t="s">
        <v>6464</v>
      </c>
      <c r="F1076" s="1" t="s">
        <v>6470</v>
      </c>
      <c r="G1076" s="1" t="s">
        <v>17</v>
      </c>
      <c r="H1076" s="1">
        <v>37</v>
      </c>
      <c r="I1076" t="str">
        <f>IF(ISNA(_xlfn.XLOOKUP(B1076, policy_details!$A$2:$A$2829, policy_details!$A$2:$A$2829)), "Invalid", "Ok")</f>
        <v>Ok</v>
      </c>
    </row>
    <row r="1077" spans="1:9" x14ac:dyDescent="0.3">
      <c r="A1077" s="1" t="s">
        <v>7539</v>
      </c>
      <c r="B1077" s="1" t="s">
        <v>5924</v>
      </c>
      <c r="C1077" s="41">
        <v>45337</v>
      </c>
      <c r="D1077" s="1">
        <v>129740.34</v>
      </c>
      <c r="E1077" s="1" t="s">
        <v>6457</v>
      </c>
      <c r="F1077" s="1" t="s">
        <v>6461</v>
      </c>
      <c r="G1077" s="1" t="s">
        <v>17</v>
      </c>
      <c r="H1077" s="1">
        <v>19</v>
      </c>
      <c r="I1077" t="str">
        <f>IF(ISNA(_xlfn.XLOOKUP(B1077, policy_details!$A$2:$A$2829, policy_details!$A$2:$A$2829)), "Invalid", "Ok")</f>
        <v>Ok</v>
      </c>
    </row>
    <row r="1078" spans="1:9" x14ac:dyDescent="0.3">
      <c r="A1078" s="1" t="s">
        <v>7540</v>
      </c>
      <c r="B1078" s="1" t="s">
        <v>4573</v>
      </c>
      <c r="C1078" s="41">
        <v>45499</v>
      </c>
      <c r="D1078" s="1">
        <v>67112.66</v>
      </c>
      <c r="E1078" s="1" t="s">
        <v>6460</v>
      </c>
      <c r="F1078" s="1" t="s">
        <v>6470</v>
      </c>
      <c r="G1078" s="1" t="s">
        <v>17</v>
      </c>
      <c r="H1078" s="1">
        <v>6</v>
      </c>
      <c r="I1078" t="str">
        <f>IF(ISNA(_xlfn.XLOOKUP(B1078, policy_details!$A$2:$A$2829, policy_details!$A$2:$A$2829)), "Invalid", "Ok")</f>
        <v>Ok</v>
      </c>
    </row>
    <row r="1079" spans="1:9" x14ac:dyDescent="0.3">
      <c r="A1079" s="1" t="s">
        <v>7541</v>
      </c>
      <c r="B1079" s="1" t="s">
        <v>3930</v>
      </c>
      <c r="C1079" s="41">
        <v>45079</v>
      </c>
      <c r="D1079" s="1">
        <v>178614.01</v>
      </c>
      <c r="E1079" s="1" t="s">
        <v>6460</v>
      </c>
      <c r="F1079" s="1" t="s">
        <v>6461</v>
      </c>
      <c r="G1079" s="1" t="s">
        <v>17</v>
      </c>
      <c r="H1079" s="1">
        <v>16</v>
      </c>
      <c r="I1079" t="str">
        <f>IF(ISNA(_xlfn.XLOOKUP(B1079, policy_details!$A$2:$A$2829, policy_details!$A$2:$A$2829)), "Invalid", "Ok")</f>
        <v>Ok</v>
      </c>
    </row>
    <row r="1080" spans="1:9" x14ac:dyDescent="0.3">
      <c r="A1080" s="1" t="s">
        <v>7542</v>
      </c>
      <c r="B1080" s="1" t="s">
        <v>6143</v>
      </c>
      <c r="C1080" s="41">
        <v>45614</v>
      </c>
      <c r="D1080" s="1">
        <v>272555.36</v>
      </c>
      <c r="E1080" s="1" t="s">
        <v>6460</v>
      </c>
      <c r="F1080" s="1" t="s">
        <v>6466</v>
      </c>
      <c r="G1080" s="1" t="s">
        <v>17</v>
      </c>
      <c r="H1080" s="1">
        <v>16</v>
      </c>
      <c r="I1080" t="str">
        <f>IF(ISNA(_xlfn.XLOOKUP(B1080, policy_details!$A$2:$A$2829, policy_details!$A$2:$A$2829)), "Invalid", "Ok")</f>
        <v>Ok</v>
      </c>
    </row>
    <row r="1081" spans="1:9" x14ac:dyDescent="0.3">
      <c r="A1081" s="1" t="s">
        <v>7543</v>
      </c>
      <c r="B1081" s="1" t="s">
        <v>6123</v>
      </c>
      <c r="C1081" s="41">
        <v>45263</v>
      </c>
      <c r="D1081" s="1">
        <v>1206184.76</v>
      </c>
      <c r="E1081" s="1" t="s">
        <v>6460</v>
      </c>
      <c r="F1081" s="1" t="s">
        <v>6458</v>
      </c>
      <c r="G1081" s="1" t="s">
        <v>17</v>
      </c>
      <c r="H1081" s="1">
        <v>23</v>
      </c>
      <c r="I1081" t="str">
        <f>IF(ISNA(_xlfn.XLOOKUP(B1081, policy_details!$A$2:$A$2829, policy_details!$A$2:$A$2829)), "Invalid", "Ok")</f>
        <v>Ok</v>
      </c>
    </row>
    <row r="1082" spans="1:9" x14ac:dyDescent="0.3">
      <c r="A1082" s="1" t="s">
        <v>7544</v>
      </c>
      <c r="B1082" s="1" t="s">
        <v>6119</v>
      </c>
      <c r="C1082" s="41">
        <v>45594</v>
      </c>
      <c r="D1082" s="1">
        <v>227051.24</v>
      </c>
      <c r="E1082" s="1" t="s">
        <v>6464</v>
      </c>
      <c r="F1082" s="1" t="s">
        <v>6466</v>
      </c>
      <c r="G1082" s="1" t="s">
        <v>17</v>
      </c>
      <c r="H1082" s="1">
        <v>15</v>
      </c>
      <c r="I1082" t="str">
        <f>IF(ISNA(_xlfn.XLOOKUP(B1082, policy_details!$A$2:$A$2829, policy_details!$A$2:$A$2829)), "Invalid", "Ok")</f>
        <v>Ok</v>
      </c>
    </row>
    <row r="1083" spans="1:9" x14ac:dyDescent="0.3">
      <c r="A1083" s="1" t="s">
        <v>7545</v>
      </c>
      <c r="B1083" s="1" t="s">
        <v>6418</v>
      </c>
      <c r="C1083" s="41">
        <v>45961</v>
      </c>
      <c r="D1083" s="1">
        <v>292410.14</v>
      </c>
      <c r="E1083" s="1" t="s">
        <v>6460</v>
      </c>
      <c r="F1083" s="1" t="s">
        <v>6470</v>
      </c>
      <c r="G1083" s="1" t="s">
        <v>17</v>
      </c>
      <c r="H1083" s="1">
        <v>30</v>
      </c>
      <c r="I1083" t="str">
        <f>IF(ISNA(_xlfn.XLOOKUP(B1083, policy_details!$A$2:$A$2829, policy_details!$A$2:$A$2829)), "Invalid", "Ok")</f>
        <v>Ok</v>
      </c>
    </row>
    <row r="1084" spans="1:9" x14ac:dyDescent="0.3">
      <c r="A1084" s="1" t="s">
        <v>7546</v>
      </c>
      <c r="B1084" s="1" t="s">
        <v>5301</v>
      </c>
      <c r="C1084" s="41">
        <v>44509</v>
      </c>
      <c r="D1084" s="1">
        <v>97284.56</v>
      </c>
      <c r="E1084" s="1" t="s">
        <v>6460</v>
      </c>
      <c r="F1084" s="1" t="s">
        <v>6461</v>
      </c>
      <c r="G1084" s="1" t="s">
        <v>17</v>
      </c>
      <c r="H1084" s="1">
        <v>33</v>
      </c>
      <c r="I1084" t="str">
        <f>IF(ISNA(_xlfn.XLOOKUP(B1084, policy_details!$A$2:$A$2829, policy_details!$A$2:$A$2829)), "Invalid", "Ok")</f>
        <v>Ok</v>
      </c>
    </row>
    <row r="1085" spans="1:9" x14ac:dyDescent="0.3">
      <c r="A1085" s="1" t="s">
        <v>7547</v>
      </c>
      <c r="B1085" s="1" t="s">
        <v>5063</v>
      </c>
      <c r="C1085" s="41">
        <v>45967</v>
      </c>
      <c r="D1085" s="1">
        <v>375084.25</v>
      </c>
      <c r="E1085" s="1" t="s">
        <v>6457</v>
      </c>
      <c r="F1085" s="1" t="s">
        <v>6470</v>
      </c>
      <c r="G1085" s="1" t="s">
        <v>17</v>
      </c>
      <c r="H1085" s="1">
        <v>7</v>
      </c>
      <c r="I1085" t="str">
        <f>IF(ISNA(_xlfn.XLOOKUP(B1085, policy_details!$A$2:$A$2829, policy_details!$A$2:$A$2829)), "Invalid", "Ok")</f>
        <v>Ok</v>
      </c>
    </row>
    <row r="1086" spans="1:9" x14ac:dyDescent="0.3">
      <c r="A1086" s="1" t="s">
        <v>7548</v>
      </c>
      <c r="B1086" s="1" t="s">
        <v>5873</v>
      </c>
      <c r="C1086" s="41">
        <v>45146</v>
      </c>
      <c r="D1086" s="1">
        <v>152551.67000000001</v>
      </c>
      <c r="E1086" s="1" t="s">
        <v>6460</v>
      </c>
      <c r="F1086" s="1" t="s">
        <v>6481</v>
      </c>
      <c r="G1086" s="1" t="s">
        <v>17</v>
      </c>
      <c r="H1086" s="1">
        <v>24</v>
      </c>
      <c r="I1086" t="str">
        <f>IF(ISNA(_xlfn.XLOOKUP(B1086, policy_details!$A$2:$A$2829, policy_details!$A$2:$A$2829)), "Invalid", "Ok")</f>
        <v>Ok</v>
      </c>
    </row>
    <row r="1087" spans="1:9" x14ac:dyDescent="0.3">
      <c r="A1087" s="1" t="s">
        <v>7549</v>
      </c>
      <c r="B1087" s="1" t="s">
        <v>3828</v>
      </c>
      <c r="C1087" s="41">
        <v>45424</v>
      </c>
      <c r="D1087" s="1">
        <v>142126.24</v>
      </c>
      <c r="E1087" s="1" t="s">
        <v>6457</v>
      </c>
      <c r="F1087" s="1" t="s">
        <v>6461</v>
      </c>
      <c r="G1087" s="1" t="s">
        <v>17</v>
      </c>
      <c r="H1087" s="1">
        <v>26</v>
      </c>
      <c r="I1087" t="str">
        <f>IF(ISNA(_xlfn.XLOOKUP(B1087, policy_details!$A$2:$A$2829, policy_details!$A$2:$A$2829)), "Invalid", "Ok")</f>
        <v>Ok</v>
      </c>
    </row>
    <row r="1088" spans="1:9" x14ac:dyDescent="0.3">
      <c r="A1088" s="1" t="s">
        <v>7550</v>
      </c>
      <c r="B1088" s="1" t="s">
        <v>5832</v>
      </c>
      <c r="C1088" s="41">
        <v>44826</v>
      </c>
      <c r="D1088" s="1">
        <v>253001.07</v>
      </c>
      <c r="E1088" s="1" t="s">
        <v>6460</v>
      </c>
      <c r="F1088" s="1" t="s">
        <v>6470</v>
      </c>
      <c r="G1088" s="1" t="s">
        <v>17</v>
      </c>
      <c r="H1088" s="1">
        <v>12</v>
      </c>
      <c r="I1088" t="str">
        <f>IF(ISNA(_xlfn.XLOOKUP(B1088, policy_details!$A$2:$A$2829, policy_details!$A$2:$A$2829)), "Invalid", "Ok")</f>
        <v>Ok</v>
      </c>
    </row>
    <row r="1089" spans="1:9" x14ac:dyDescent="0.3">
      <c r="A1089" s="1" t="s">
        <v>7551</v>
      </c>
      <c r="B1089" s="1" t="s">
        <v>5916</v>
      </c>
      <c r="C1089" s="41">
        <v>45724</v>
      </c>
      <c r="D1089" s="1">
        <v>170059.95</v>
      </c>
      <c r="E1089" s="1" t="s">
        <v>6460</v>
      </c>
      <c r="F1089" s="1" t="s">
        <v>6466</v>
      </c>
      <c r="G1089" s="1" t="s">
        <v>17</v>
      </c>
      <c r="H1089" s="1">
        <v>34</v>
      </c>
      <c r="I1089" t="str">
        <f>IF(ISNA(_xlfn.XLOOKUP(B1089, policy_details!$A$2:$A$2829, policy_details!$A$2:$A$2829)), "Invalid", "Ok")</f>
        <v>Ok</v>
      </c>
    </row>
    <row r="1090" spans="1:9" x14ac:dyDescent="0.3">
      <c r="A1090" s="1" t="s">
        <v>7552</v>
      </c>
      <c r="B1090" s="1" t="s">
        <v>5247</v>
      </c>
      <c r="C1090" s="41">
        <v>45075</v>
      </c>
      <c r="D1090" s="1">
        <v>319938.92</v>
      </c>
      <c r="E1090" s="1" t="s">
        <v>6464</v>
      </c>
      <c r="F1090" s="1" t="s">
        <v>6466</v>
      </c>
      <c r="G1090" s="1" t="s">
        <v>17</v>
      </c>
      <c r="H1090" s="1">
        <v>11</v>
      </c>
      <c r="I1090" t="str">
        <f>IF(ISNA(_xlfn.XLOOKUP(B1090, policy_details!$A$2:$A$2829, policy_details!$A$2:$A$2829)), "Invalid", "Ok")</f>
        <v>Ok</v>
      </c>
    </row>
    <row r="1091" spans="1:9" x14ac:dyDescent="0.3">
      <c r="A1091" s="1" t="s">
        <v>7553</v>
      </c>
      <c r="B1091" s="1" t="s">
        <v>4709</v>
      </c>
      <c r="C1091" s="41">
        <v>45923</v>
      </c>
      <c r="D1091" s="1">
        <v>126373.6</v>
      </c>
      <c r="E1091" s="1" t="s">
        <v>6460</v>
      </c>
      <c r="F1091" s="1" t="s">
        <v>6461</v>
      </c>
      <c r="G1091" s="1" t="s">
        <v>17</v>
      </c>
      <c r="H1091" s="1">
        <v>39</v>
      </c>
      <c r="I1091" t="str">
        <f>IF(ISNA(_xlfn.XLOOKUP(B1091, policy_details!$A$2:$A$2829, policy_details!$A$2:$A$2829)), "Invalid", "Ok")</f>
        <v>Ok</v>
      </c>
    </row>
    <row r="1092" spans="1:9" x14ac:dyDescent="0.3">
      <c r="A1092" s="1" t="s">
        <v>7554</v>
      </c>
      <c r="B1092" s="1" t="s">
        <v>5474</v>
      </c>
      <c r="C1092" s="41">
        <v>45896</v>
      </c>
      <c r="D1092" s="1">
        <v>159126.87</v>
      </c>
      <c r="E1092" s="1" t="s">
        <v>6460</v>
      </c>
      <c r="F1092" s="1" t="s">
        <v>6461</v>
      </c>
      <c r="G1092" s="1" t="s">
        <v>17</v>
      </c>
      <c r="H1092" s="1">
        <v>21</v>
      </c>
      <c r="I1092" t="str">
        <f>IF(ISNA(_xlfn.XLOOKUP(B1092, policy_details!$A$2:$A$2829, policy_details!$A$2:$A$2829)), "Invalid", "Ok")</f>
        <v>Ok</v>
      </c>
    </row>
    <row r="1093" spans="1:9" x14ac:dyDescent="0.3">
      <c r="A1093" s="1" t="s">
        <v>7555</v>
      </c>
      <c r="B1093" s="1" t="s">
        <v>6209</v>
      </c>
      <c r="C1093" s="41">
        <v>44821</v>
      </c>
      <c r="D1093" s="1">
        <v>228353.9</v>
      </c>
      <c r="E1093" s="1" t="s">
        <v>6457</v>
      </c>
      <c r="F1093" s="1" t="s">
        <v>6481</v>
      </c>
      <c r="G1093" s="1" t="s">
        <v>17</v>
      </c>
      <c r="H1093" s="1">
        <v>17</v>
      </c>
      <c r="I1093" t="str">
        <f>IF(ISNA(_xlfn.XLOOKUP(B1093, policy_details!$A$2:$A$2829, policy_details!$A$2:$A$2829)), "Invalid", "Ok")</f>
        <v>Ok</v>
      </c>
    </row>
    <row r="1094" spans="1:9" x14ac:dyDescent="0.3">
      <c r="A1094" s="1" t="s">
        <v>7556</v>
      </c>
      <c r="B1094" s="1" t="s">
        <v>3994</v>
      </c>
      <c r="C1094" s="41">
        <v>45720</v>
      </c>
      <c r="D1094" s="1">
        <v>164880.26999999999</v>
      </c>
      <c r="E1094" s="1" t="s">
        <v>6460</v>
      </c>
      <c r="F1094" s="1" t="s">
        <v>6466</v>
      </c>
      <c r="G1094" s="1" t="s">
        <v>17</v>
      </c>
      <c r="H1094" s="1">
        <v>30</v>
      </c>
      <c r="I1094" t="str">
        <f>IF(ISNA(_xlfn.XLOOKUP(B1094, policy_details!$A$2:$A$2829, policy_details!$A$2:$A$2829)), "Invalid", "Ok")</f>
        <v>Ok</v>
      </c>
    </row>
    <row r="1095" spans="1:9" x14ac:dyDescent="0.3">
      <c r="A1095" s="1" t="s">
        <v>7557</v>
      </c>
      <c r="B1095" s="1" t="s">
        <v>4481</v>
      </c>
      <c r="C1095" s="41">
        <v>45362</v>
      </c>
      <c r="D1095" s="1">
        <v>2773685.82</v>
      </c>
      <c r="E1095" s="1" t="s">
        <v>6464</v>
      </c>
      <c r="F1095" s="1" t="s">
        <v>6458</v>
      </c>
      <c r="G1095" s="1" t="s">
        <v>17</v>
      </c>
      <c r="H1095" s="1">
        <v>28</v>
      </c>
      <c r="I1095" t="str">
        <f>IF(ISNA(_xlfn.XLOOKUP(B1095, policy_details!$A$2:$A$2829, policy_details!$A$2:$A$2829)), "Invalid", "Ok")</f>
        <v>Ok</v>
      </c>
    </row>
    <row r="1096" spans="1:9" x14ac:dyDescent="0.3">
      <c r="A1096" s="1" t="s">
        <v>7558</v>
      </c>
      <c r="B1096" s="1" t="s">
        <v>5515</v>
      </c>
      <c r="C1096" s="41">
        <v>45958</v>
      </c>
      <c r="D1096" s="1">
        <v>98569.46</v>
      </c>
      <c r="E1096" s="1" t="s">
        <v>6460</v>
      </c>
      <c r="F1096" s="1" t="s">
        <v>6461</v>
      </c>
      <c r="G1096" s="1" t="s">
        <v>17</v>
      </c>
      <c r="H1096" s="1">
        <v>23</v>
      </c>
      <c r="I1096" t="str">
        <f>IF(ISNA(_xlfn.XLOOKUP(B1096, policy_details!$A$2:$A$2829, policy_details!$A$2:$A$2829)), "Invalid", "Ok")</f>
        <v>Ok</v>
      </c>
    </row>
    <row r="1097" spans="1:9" x14ac:dyDescent="0.3">
      <c r="A1097" s="1" t="s">
        <v>7559</v>
      </c>
      <c r="B1097" s="1" t="s">
        <v>5976</v>
      </c>
      <c r="C1097" s="41">
        <v>45893</v>
      </c>
      <c r="D1097" s="1">
        <v>57391.76</v>
      </c>
      <c r="E1097" s="1" t="s">
        <v>6457</v>
      </c>
      <c r="F1097" s="1" t="s">
        <v>6470</v>
      </c>
      <c r="G1097" s="1" t="s">
        <v>17</v>
      </c>
      <c r="H1097" s="1">
        <v>31</v>
      </c>
      <c r="I1097" t="str">
        <f>IF(ISNA(_xlfn.XLOOKUP(B1097, policy_details!$A$2:$A$2829, policy_details!$A$2:$A$2829)), "Invalid", "Ok")</f>
        <v>Ok</v>
      </c>
    </row>
    <row r="1098" spans="1:9" x14ac:dyDescent="0.3">
      <c r="A1098" s="1" t="s">
        <v>7560</v>
      </c>
      <c r="B1098" s="1" t="s">
        <v>5461</v>
      </c>
      <c r="C1098" s="41">
        <v>44607</v>
      </c>
      <c r="D1098" s="1">
        <v>602192.18000000005</v>
      </c>
      <c r="E1098" s="1" t="s">
        <v>6464</v>
      </c>
      <c r="F1098" s="1" t="s">
        <v>6458</v>
      </c>
      <c r="G1098" s="1" t="s">
        <v>30</v>
      </c>
      <c r="H1098" s="1">
        <v>12</v>
      </c>
      <c r="I1098" t="str">
        <f>IF(ISNA(_xlfn.XLOOKUP(B1098, policy_details!$A$2:$A$2829, policy_details!$A$2:$A$2829)), "Invalid", "Ok")</f>
        <v>Ok</v>
      </c>
    </row>
    <row r="1099" spans="1:9" x14ac:dyDescent="0.3">
      <c r="A1099" s="1" t="s">
        <v>7561</v>
      </c>
      <c r="B1099" s="1" t="s">
        <v>5286</v>
      </c>
      <c r="C1099" s="41">
        <v>45855</v>
      </c>
      <c r="D1099" s="1">
        <v>160177.60999999999</v>
      </c>
      <c r="E1099" s="1" t="s">
        <v>6457</v>
      </c>
      <c r="F1099" s="1" t="s">
        <v>6461</v>
      </c>
      <c r="G1099" s="1" t="s">
        <v>17</v>
      </c>
      <c r="H1099" s="1">
        <v>36</v>
      </c>
      <c r="I1099" t="str">
        <f>IF(ISNA(_xlfn.XLOOKUP(B1099, policy_details!$A$2:$A$2829, policy_details!$A$2:$A$2829)), "Invalid", "Ok")</f>
        <v>Ok</v>
      </c>
    </row>
    <row r="1100" spans="1:9" x14ac:dyDescent="0.3">
      <c r="A1100" s="1" t="s">
        <v>7562</v>
      </c>
      <c r="B1100" s="1" t="s">
        <v>3721</v>
      </c>
      <c r="C1100" s="41">
        <v>44913</v>
      </c>
      <c r="D1100" s="1">
        <v>182217.49</v>
      </c>
      <c r="E1100" s="1" t="s">
        <v>6460</v>
      </c>
      <c r="F1100" s="1" t="s">
        <v>6466</v>
      </c>
      <c r="G1100" s="1" t="s">
        <v>17</v>
      </c>
      <c r="H1100" s="1">
        <v>28</v>
      </c>
      <c r="I1100" t="str">
        <f>IF(ISNA(_xlfn.XLOOKUP(B1100, policy_details!$A$2:$A$2829, policy_details!$A$2:$A$2829)), "Invalid", "Ok")</f>
        <v>Ok</v>
      </c>
    </row>
    <row r="1101" spans="1:9" x14ac:dyDescent="0.3">
      <c r="A1101" s="1" t="s">
        <v>7563</v>
      </c>
      <c r="B1101" s="1" t="s">
        <v>4840</v>
      </c>
      <c r="C1101" s="41">
        <v>45296</v>
      </c>
      <c r="D1101" s="1">
        <v>1497695.08</v>
      </c>
      <c r="E1101" s="1" t="s">
        <v>6457</v>
      </c>
      <c r="F1101" s="1" t="s">
        <v>6458</v>
      </c>
      <c r="G1101" s="1" t="s">
        <v>17</v>
      </c>
      <c r="H1101" s="1">
        <v>10</v>
      </c>
      <c r="I1101" t="str">
        <f>IF(ISNA(_xlfn.XLOOKUP(B1101, policy_details!$A$2:$A$2829, policy_details!$A$2:$A$2829)), "Invalid", "Ok")</f>
        <v>Ok</v>
      </c>
    </row>
    <row r="1102" spans="1:9" x14ac:dyDescent="0.3">
      <c r="A1102" s="1" t="s">
        <v>7564</v>
      </c>
      <c r="B1102" s="1" t="s">
        <v>6139</v>
      </c>
      <c r="C1102" s="41">
        <v>44499</v>
      </c>
      <c r="D1102" s="1">
        <v>1470689.57</v>
      </c>
      <c r="E1102" s="1" t="s">
        <v>6460</v>
      </c>
      <c r="F1102" s="1" t="s">
        <v>6458</v>
      </c>
      <c r="G1102" s="1" t="s">
        <v>17</v>
      </c>
      <c r="H1102" s="1">
        <v>44</v>
      </c>
      <c r="I1102" t="str">
        <f>IF(ISNA(_xlfn.XLOOKUP(B1102, policy_details!$A$2:$A$2829, policy_details!$A$2:$A$2829)), "Invalid", "Ok")</f>
        <v>Ok</v>
      </c>
    </row>
    <row r="1103" spans="1:9" x14ac:dyDescent="0.3">
      <c r="A1103" s="1" t="s">
        <v>7565</v>
      </c>
      <c r="B1103" s="1" t="s">
        <v>4631</v>
      </c>
      <c r="C1103" s="41">
        <v>44652</v>
      </c>
      <c r="D1103" s="1">
        <v>767546.61</v>
      </c>
      <c r="E1103" s="1" t="s">
        <v>6464</v>
      </c>
      <c r="F1103" s="1" t="s">
        <v>6458</v>
      </c>
      <c r="G1103" s="1" t="s">
        <v>17</v>
      </c>
      <c r="H1103" s="1">
        <v>39</v>
      </c>
      <c r="I1103" t="str">
        <f>IF(ISNA(_xlfn.XLOOKUP(B1103, policy_details!$A$2:$A$2829, policy_details!$A$2:$A$2829)), "Invalid", "Ok")</f>
        <v>Ok</v>
      </c>
    </row>
    <row r="1104" spans="1:9" x14ac:dyDescent="0.3">
      <c r="A1104" s="1" t="s">
        <v>7566</v>
      </c>
      <c r="B1104" s="1" t="s">
        <v>4688</v>
      </c>
      <c r="C1104" s="41">
        <v>45644</v>
      </c>
      <c r="D1104" s="1">
        <v>107807.47</v>
      </c>
      <c r="E1104" s="1" t="s">
        <v>6457</v>
      </c>
      <c r="F1104" s="1" t="s">
        <v>6481</v>
      </c>
      <c r="G1104" s="1" t="s">
        <v>17</v>
      </c>
      <c r="H1104" s="1">
        <v>8</v>
      </c>
      <c r="I1104" t="str">
        <f>IF(ISNA(_xlfn.XLOOKUP(B1104, policy_details!$A$2:$A$2829, policy_details!$A$2:$A$2829)), "Invalid", "Ok")</f>
        <v>Ok</v>
      </c>
    </row>
    <row r="1105" spans="1:9" x14ac:dyDescent="0.3">
      <c r="A1105" s="1" t="s">
        <v>7567</v>
      </c>
      <c r="B1105" s="1" t="s">
        <v>4619</v>
      </c>
      <c r="C1105" s="41">
        <v>44782</v>
      </c>
      <c r="D1105" s="1">
        <v>94763.31</v>
      </c>
      <c r="E1105" s="1" t="s">
        <v>6460</v>
      </c>
      <c r="F1105" s="1" t="s">
        <v>6470</v>
      </c>
      <c r="G1105" s="1" t="s">
        <v>30</v>
      </c>
      <c r="H1105" s="1">
        <v>35</v>
      </c>
      <c r="I1105" t="str">
        <f>IF(ISNA(_xlfn.XLOOKUP(B1105, policy_details!$A$2:$A$2829, policy_details!$A$2:$A$2829)), "Invalid", "Ok")</f>
        <v>Ok</v>
      </c>
    </row>
    <row r="1106" spans="1:9" x14ac:dyDescent="0.3">
      <c r="A1106" s="1" t="s">
        <v>7568</v>
      </c>
      <c r="B1106" s="1" t="s">
        <v>4635</v>
      </c>
      <c r="C1106" s="41">
        <v>44697</v>
      </c>
      <c r="D1106" s="1">
        <v>885624.97</v>
      </c>
      <c r="E1106" s="1" t="s">
        <v>6457</v>
      </c>
      <c r="F1106" s="1" t="s">
        <v>6458</v>
      </c>
      <c r="G1106" s="1" t="s">
        <v>17</v>
      </c>
      <c r="H1106" s="1">
        <v>24</v>
      </c>
      <c r="I1106" t="str">
        <f>IF(ISNA(_xlfn.XLOOKUP(B1106, policy_details!$A$2:$A$2829, policy_details!$A$2:$A$2829)), "Invalid", "Ok")</f>
        <v>Ok</v>
      </c>
    </row>
    <row r="1107" spans="1:9" x14ac:dyDescent="0.3">
      <c r="A1107" s="1" t="s">
        <v>7569</v>
      </c>
      <c r="B1107" s="1" t="s">
        <v>4757</v>
      </c>
      <c r="C1107" s="41">
        <v>45514</v>
      </c>
      <c r="D1107" s="1">
        <v>100622.18</v>
      </c>
      <c r="E1107" s="1" t="s">
        <v>6457</v>
      </c>
      <c r="F1107" s="1" t="s">
        <v>6466</v>
      </c>
      <c r="G1107" s="1" t="s">
        <v>17</v>
      </c>
      <c r="H1107" s="1">
        <v>34</v>
      </c>
      <c r="I1107" t="str">
        <f>IF(ISNA(_xlfn.XLOOKUP(B1107, policy_details!$A$2:$A$2829, policy_details!$A$2:$A$2829)), "Invalid", "Ok")</f>
        <v>Ok</v>
      </c>
    </row>
    <row r="1108" spans="1:9" x14ac:dyDescent="0.3">
      <c r="A1108" s="1" t="s">
        <v>7570</v>
      </c>
      <c r="B1108" s="1" t="s">
        <v>5802</v>
      </c>
      <c r="C1108" s="41">
        <v>45122</v>
      </c>
      <c r="D1108" s="1">
        <v>208005.98</v>
      </c>
      <c r="E1108" s="1" t="s">
        <v>6460</v>
      </c>
      <c r="F1108" s="1" t="s">
        <v>6481</v>
      </c>
      <c r="G1108" s="1" t="s">
        <v>17</v>
      </c>
      <c r="H1108" s="1">
        <v>17</v>
      </c>
      <c r="I1108" t="str">
        <f>IF(ISNA(_xlfn.XLOOKUP(B1108, policy_details!$A$2:$A$2829, policy_details!$A$2:$A$2829)), "Invalid", "Ok")</f>
        <v>Ok</v>
      </c>
    </row>
    <row r="1109" spans="1:9" x14ac:dyDescent="0.3">
      <c r="A1109" s="1" t="s">
        <v>7571</v>
      </c>
      <c r="B1109" s="1" t="s">
        <v>4899</v>
      </c>
      <c r="C1109" s="41">
        <v>45132</v>
      </c>
      <c r="D1109" s="1">
        <v>305297.49</v>
      </c>
      <c r="E1109" s="1" t="s">
        <v>6464</v>
      </c>
      <c r="F1109" s="1" t="s">
        <v>6461</v>
      </c>
      <c r="G1109" s="1" t="s">
        <v>17</v>
      </c>
      <c r="H1109" s="1">
        <v>11</v>
      </c>
      <c r="I1109" t="str">
        <f>IF(ISNA(_xlfn.XLOOKUP(B1109, policy_details!$A$2:$A$2829, policy_details!$A$2:$A$2829)), "Invalid", "Ok")</f>
        <v>Ok</v>
      </c>
    </row>
    <row r="1110" spans="1:9" x14ac:dyDescent="0.3">
      <c r="A1110" s="1" t="s">
        <v>7572</v>
      </c>
      <c r="B1110" s="1" t="s">
        <v>5333</v>
      </c>
      <c r="C1110" s="41">
        <v>45516</v>
      </c>
      <c r="D1110" s="1">
        <v>213657.32</v>
      </c>
      <c r="E1110" s="1" t="s">
        <v>6464</v>
      </c>
      <c r="F1110" s="1" t="s">
        <v>6470</v>
      </c>
      <c r="G1110" s="1" t="s">
        <v>17</v>
      </c>
      <c r="H1110" s="1">
        <v>10</v>
      </c>
      <c r="I1110" t="str">
        <f>IF(ISNA(_xlfn.XLOOKUP(B1110, policy_details!$A$2:$A$2829, policy_details!$A$2:$A$2829)), "Invalid", "Ok")</f>
        <v>Ok</v>
      </c>
    </row>
    <row r="1111" spans="1:9" x14ac:dyDescent="0.3">
      <c r="A1111" s="1" t="s">
        <v>7573</v>
      </c>
      <c r="B1111" s="1" t="s">
        <v>4863</v>
      </c>
      <c r="C1111" s="41">
        <v>44503</v>
      </c>
      <c r="D1111" s="1">
        <v>184157.4</v>
      </c>
      <c r="E1111" s="1" t="s">
        <v>6457</v>
      </c>
      <c r="F1111" s="1" t="s">
        <v>6470</v>
      </c>
      <c r="G1111" s="1" t="s">
        <v>17</v>
      </c>
      <c r="H1111" s="1">
        <v>3</v>
      </c>
      <c r="I1111" t="str">
        <f>IF(ISNA(_xlfn.XLOOKUP(B1111, policy_details!$A$2:$A$2829, policy_details!$A$2:$A$2829)), "Invalid", "Ok")</f>
        <v>Ok</v>
      </c>
    </row>
    <row r="1112" spans="1:9" x14ac:dyDescent="0.3">
      <c r="A1112" s="1" t="s">
        <v>7574</v>
      </c>
      <c r="B1112" s="1" t="s">
        <v>6093</v>
      </c>
      <c r="C1112" s="41">
        <v>45723</v>
      </c>
      <c r="D1112" s="1">
        <v>534861.82999999996</v>
      </c>
      <c r="E1112" s="1" t="s">
        <v>6457</v>
      </c>
      <c r="F1112" s="1" t="s">
        <v>6458</v>
      </c>
      <c r="G1112" s="1" t="s">
        <v>17</v>
      </c>
      <c r="H1112" s="1">
        <v>39</v>
      </c>
      <c r="I1112" t="str">
        <f>IF(ISNA(_xlfn.XLOOKUP(B1112, policy_details!$A$2:$A$2829, policy_details!$A$2:$A$2829)), "Invalid", "Ok")</f>
        <v>Ok</v>
      </c>
    </row>
    <row r="1113" spans="1:9" x14ac:dyDescent="0.3">
      <c r="A1113" s="1" t="s">
        <v>7575</v>
      </c>
      <c r="B1113" s="1" t="s">
        <v>4071</v>
      </c>
      <c r="C1113" s="41">
        <v>45592</v>
      </c>
      <c r="D1113" s="1">
        <v>985612.81</v>
      </c>
      <c r="E1113" s="1" t="s">
        <v>6460</v>
      </c>
      <c r="F1113" s="1" t="s">
        <v>6458</v>
      </c>
      <c r="G1113" s="1" t="s">
        <v>17</v>
      </c>
      <c r="H1113" s="1">
        <v>14</v>
      </c>
      <c r="I1113" t="str">
        <f>IF(ISNA(_xlfn.XLOOKUP(B1113, policy_details!$A$2:$A$2829, policy_details!$A$2:$A$2829)), "Invalid", "Ok")</f>
        <v>Ok</v>
      </c>
    </row>
    <row r="1114" spans="1:9" x14ac:dyDescent="0.3">
      <c r="A1114" s="1" t="s">
        <v>7576</v>
      </c>
      <c r="B1114" s="1" t="s">
        <v>3876</v>
      </c>
      <c r="C1114" s="41">
        <v>46030</v>
      </c>
      <c r="D1114" s="1">
        <v>219685.91</v>
      </c>
      <c r="E1114" s="1" t="s">
        <v>6460</v>
      </c>
      <c r="F1114" s="1" t="s">
        <v>6481</v>
      </c>
      <c r="G1114" s="1" t="s">
        <v>17</v>
      </c>
      <c r="H1114" s="1">
        <v>43</v>
      </c>
      <c r="I1114" t="str">
        <f>IF(ISNA(_xlfn.XLOOKUP(B1114, policy_details!$A$2:$A$2829, policy_details!$A$2:$A$2829)), "Invalid", "Ok")</f>
        <v>Ok</v>
      </c>
    </row>
    <row r="1115" spans="1:9" x14ac:dyDescent="0.3">
      <c r="A1115" s="1" t="s">
        <v>7577</v>
      </c>
      <c r="B1115" s="1" t="s">
        <v>4765</v>
      </c>
      <c r="C1115" s="41">
        <v>44456</v>
      </c>
      <c r="D1115" s="1">
        <v>202811.14</v>
      </c>
      <c r="E1115" s="1" t="s">
        <v>6464</v>
      </c>
      <c r="F1115" s="1" t="s">
        <v>6470</v>
      </c>
      <c r="G1115" s="1" t="s">
        <v>17</v>
      </c>
      <c r="H1115" s="1">
        <v>10</v>
      </c>
      <c r="I1115" t="str">
        <f>IF(ISNA(_xlfn.XLOOKUP(B1115, policy_details!$A$2:$A$2829, policy_details!$A$2:$A$2829)), "Invalid", "Ok")</f>
        <v>Ok</v>
      </c>
    </row>
    <row r="1116" spans="1:9" x14ac:dyDescent="0.3">
      <c r="A1116" s="1" t="s">
        <v>7578</v>
      </c>
      <c r="B1116" s="1" t="s">
        <v>6376</v>
      </c>
      <c r="C1116" s="41">
        <v>45211</v>
      </c>
      <c r="D1116" s="1">
        <v>316453.55</v>
      </c>
      <c r="E1116" s="1" t="s">
        <v>6464</v>
      </c>
      <c r="F1116" s="1" t="s">
        <v>6466</v>
      </c>
      <c r="G1116" s="1" t="s">
        <v>17</v>
      </c>
      <c r="H1116" s="1">
        <v>16</v>
      </c>
      <c r="I1116" t="str">
        <f>IF(ISNA(_xlfn.XLOOKUP(B1116, policy_details!$A$2:$A$2829, policy_details!$A$2:$A$2829)), "Invalid", "Ok")</f>
        <v>Ok</v>
      </c>
    </row>
    <row r="1117" spans="1:9" x14ac:dyDescent="0.3">
      <c r="A1117" s="1" t="s">
        <v>7579</v>
      </c>
      <c r="B1117" s="1" t="s">
        <v>5597</v>
      </c>
      <c r="C1117" s="41">
        <v>45053</v>
      </c>
      <c r="D1117" s="1">
        <v>344705.14</v>
      </c>
      <c r="E1117" s="1" t="s">
        <v>6464</v>
      </c>
      <c r="F1117" s="1" t="s">
        <v>6466</v>
      </c>
      <c r="G1117" s="1" t="s">
        <v>17</v>
      </c>
      <c r="H1117" s="1">
        <v>39</v>
      </c>
      <c r="I1117" t="str">
        <f>IF(ISNA(_xlfn.XLOOKUP(B1117, policy_details!$A$2:$A$2829, policy_details!$A$2:$A$2829)), "Invalid", "Ok")</f>
        <v>Ok</v>
      </c>
    </row>
    <row r="1118" spans="1:9" x14ac:dyDescent="0.3">
      <c r="A1118" s="1" t="s">
        <v>7580</v>
      </c>
      <c r="B1118" s="1" t="s">
        <v>5360</v>
      </c>
      <c r="C1118" s="41">
        <v>45625</v>
      </c>
      <c r="D1118" s="1">
        <v>191982.1</v>
      </c>
      <c r="E1118" s="1" t="s">
        <v>6457</v>
      </c>
      <c r="F1118" s="1" t="s">
        <v>6470</v>
      </c>
      <c r="G1118" s="1" t="s">
        <v>17</v>
      </c>
      <c r="H1118" s="1">
        <v>16</v>
      </c>
      <c r="I1118" t="str">
        <f>IF(ISNA(_xlfn.XLOOKUP(B1118, policy_details!$A$2:$A$2829, policy_details!$A$2:$A$2829)), "Invalid", "Ok")</f>
        <v>Ok</v>
      </c>
    </row>
    <row r="1119" spans="1:9" x14ac:dyDescent="0.3">
      <c r="A1119" s="1" t="s">
        <v>7581</v>
      </c>
      <c r="B1119" s="1" t="s">
        <v>4716</v>
      </c>
      <c r="C1119" s="41">
        <v>44625</v>
      </c>
      <c r="D1119" s="1">
        <v>1162532.6599999999</v>
      </c>
      <c r="E1119" s="1" t="s">
        <v>6464</v>
      </c>
      <c r="F1119" s="1" t="s">
        <v>6458</v>
      </c>
      <c r="G1119" s="1" t="s">
        <v>17</v>
      </c>
      <c r="H1119" s="1">
        <v>34</v>
      </c>
      <c r="I1119" t="str">
        <f>IF(ISNA(_xlfn.XLOOKUP(B1119, policy_details!$A$2:$A$2829, policy_details!$A$2:$A$2829)), "Invalid", "Ok")</f>
        <v>Ok</v>
      </c>
    </row>
    <row r="1120" spans="1:9" x14ac:dyDescent="0.3">
      <c r="A1120" s="1" t="s">
        <v>7582</v>
      </c>
      <c r="B1120" s="1" t="s">
        <v>4433</v>
      </c>
      <c r="C1120" s="41">
        <v>46110</v>
      </c>
      <c r="D1120" s="1">
        <v>170312.88</v>
      </c>
      <c r="E1120" s="1" t="s">
        <v>6464</v>
      </c>
      <c r="F1120" s="1" t="s">
        <v>6466</v>
      </c>
      <c r="G1120" s="1" t="s">
        <v>17</v>
      </c>
      <c r="H1120" s="1">
        <v>5</v>
      </c>
      <c r="I1120" t="str">
        <f>IF(ISNA(_xlfn.XLOOKUP(B1120, policy_details!$A$2:$A$2829, policy_details!$A$2:$A$2829)), "Invalid", "Ok")</f>
        <v>Ok</v>
      </c>
    </row>
    <row r="1121" spans="1:9" x14ac:dyDescent="0.3">
      <c r="A1121" s="1" t="s">
        <v>7583</v>
      </c>
      <c r="B1121" s="1" t="s">
        <v>6327</v>
      </c>
      <c r="C1121" s="41">
        <v>45001</v>
      </c>
      <c r="D1121" s="1">
        <v>317107.71000000002</v>
      </c>
      <c r="E1121" s="1" t="s">
        <v>6457</v>
      </c>
      <c r="F1121" s="1" t="s">
        <v>6470</v>
      </c>
      <c r="G1121" s="1" t="s">
        <v>30</v>
      </c>
      <c r="H1121" s="1">
        <v>42</v>
      </c>
      <c r="I1121" t="str">
        <f>IF(ISNA(_xlfn.XLOOKUP(B1121, policy_details!$A$2:$A$2829, policy_details!$A$2:$A$2829)), "Invalid", "Ok")</f>
        <v>Ok</v>
      </c>
    </row>
    <row r="1122" spans="1:9" x14ac:dyDescent="0.3">
      <c r="A1122" s="1" t="s">
        <v>7584</v>
      </c>
      <c r="B1122" s="1" t="s">
        <v>4819</v>
      </c>
      <c r="C1122" s="41">
        <v>45294</v>
      </c>
      <c r="D1122" s="1">
        <v>115514.37</v>
      </c>
      <c r="E1122" s="1" t="s">
        <v>6457</v>
      </c>
      <c r="F1122" s="1" t="s">
        <v>6470</v>
      </c>
      <c r="G1122" s="1" t="s">
        <v>17</v>
      </c>
      <c r="H1122" s="1">
        <v>28</v>
      </c>
      <c r="I1122" t="str">
        <f>IF(ISNA(_xlfn.XLOOKUP(B1122, policy_details!$A$2:$A$2829, policy_details!$A$2:$A$2829)), "Invalid", "Ok")</f>
        <v>Ok</v>
      </c>
    </row>
    <row r="1123" spans="1:9" x14ac:dyDescent="0.3">
      <c r="A1123" s="1" t="s">
        <v>7585</v>
      </c>
      <c r="B1123" s="1" t="s">
        <v>5627</v>
      </c>
      <c r="C1123" s="41">
        <v>44782</v>
      </c>
      <c r="D1123" s="1">
        <v>198322.28</v>
      </c>
      <c r="E1123" s="1" t="s">
        <v>6464</v>
      </c>
      <c r="F1123" s="1" t="s">
        <v>6466</v>
      </c>
      <c r="G1123" s="1" t="s">
        <v>17</v>
      </c>
      <c r="H1123" s="1">
        <v>34</v>
      </c>
      <c r="I1123" t="str">
        <f>IF(ISNA(_xlfn.XLOOKUP(B1123, policy_details!$A$2:$A$2829, policy_details!$A$2:$A$2829)), "Invalid", "Ok")</f>
        <v>Ok</v>
      </c>
    </row>
    <row r="1124" spans="1:9" x14ac:dyDescent="0.3">
      <c r="A1124" s="1" t="s">
        <v>7586</v>
      </c>
      <c r="B1124" s="1" t="s">
        <v>5910</v>
      </c>
      <c r="C1124" s="41">
        <v>44481</v>
      </c>
      <c r="D1124" s="1">
        <v>408273.14</v>
      </c>
      <c r="E1124" s="1" t="s">
        <v>6460</v>
      </c>
      <c r="F1124" s="1" t="s">
        <v>6466</v>
      </c>
      <c r="G1124" s="1" t="s">
        <v>30</v>
      </c>
      <c r="H1124" s="1">
        <v>2</v>
      </c>
      <c r="I1124" t="str">
        <f>IF(ISNA(_xlfn.XLOOKUP(B1124, policy_details!$A$2:$A$2829, policy_details!$A$2:$A$2829)), "Invalid", "Ok")</f>
        <v>Ok</v>
      </c>
    </row>
    <row r="1125" spans="1:9" x14ac:dyDescent="0.3">
      <c r="A1125" s="1" t="s">
        <v>7587</v>
      </c>
      <c r="B1125" s="1" t="s">
        <v>5477</v>
      </c>
      <c r="C1125" s="41">
        <v>45920</v>
      </c>
      <c r="D1125" s="1">
        <v>196493.57</v>
      </c>
      <c r="E1125" s="1" t="s">
        <v>6457</v>
      </c>
      <c r="F1125" s="1" t="s">
        <v>6481</v>
      </c>
      <c r="G1125" s="1" t="s">
        <v>17</v>
      </c>
      <c r="H1125" s="1">
        <v>43</v>
      </c>
      <c r="I1125" t="str">
        <f>IF(ISNA(_xlfn.XLOOKUP(B1125, policy_details!$A$2:$A$2829, policy_details!$A$2:$A$2829)), "Invalid", "Ok")</f>
        <v>Ok</v>
      </c>
    </row>
    <row r="1126" spans="1:9" x14ac:dyDescent="0.3">
      <c r="A1126" s="1" t="s">
        <v>7588</v>
      </c>
      <c r="B1126" s="1" t="s">
        <v>4241</v>
      </c>
      <c r="C1126" s="41">
        <v>45275</v>
      </c>
      <c r="D1126" s="1">
        <v>112531.67</v>
      </c>
      <c r="E1126" s="1" t="s">
        <v>6460</v>
      </c>
      <c r="F1126" s="1" t="s">
        <v>6466</v>
      </c>
      <c r="G1126" s="1" t="s">
        <v>17</v>
      </c>
      <c r="H1126" s="1">
        <v>22</v>
      </c>
      <c r="I1126" t="str">
        <f>IF(ISNA(_xlfn.XLOOKUP(B1126, policy_details!$A$2:$A$2829, policy_details!$A$2:$A$2829)), "Invalid", "Ok")</f>
        <v>Ok</v>
      </c>
    </row>
    <row r="1127" spans="1:9" x14ac:dyDescent="0.3">
      <c r="A1127" s="1" t="s">
        <v>7589</v>
      </c>
      <c r="B1127" s="1" t="s">
        <v>4412</v>
      </c>
      <c r="C1127" s="41">
        <v>45494</v>
      </c>
      <c r="D1127" s="1">
        <v>203585.44</v>
      </c>
      <c r="E1127" s="1" t="s">
        <v>6460</v>
      </c>
      <c r="F1127" s="1" t="s">
        <v>6481</v>
      </c>
      <c r="G1127" s="1" t="s">
        <v>17</v>
      </c>
      <c r="H1127" s="1">
        <v>10</v>
      </c>
      <c r="I1127" t="str">
        <f>IF(ISNA(_xlfn.XLOOKUP(B1127, policy_details!$A$2:$A$2829, policy_details!$A$2:$A$2829)), "Invalid", "Ok")</f>
        <v>Ok</v>
      </c>
    </row>
    <row r="1128" spans="1:9" x14ac:dyDescent="0.3">
      <c r="A1128" s="1" t="s">
        <v>7590</v>
      </c>
      <c r="B1128" s="1" t="s">
        <v>3438</v>
      </c>
      <c r="C1128" s="41">
        <v>45236</v>
      </c>
      <c r="D1128" s="1">
        <v>300817.09999999998</v>
      </c>
      <c r="E1128" s="1" t="s">
        <v>6464</v>
      </c>
      <c r="F1128" s="1" t="s">
        <v>6461</v>
      </c>
      <c r="G1128" s="1" t="s">
        <v>17</v>
      </c>
      <c r="H1128" s="1">
        <v>7</v>
      </c>
      <c r="I1128" t="str">
        <f>IF(ISNA(_xlfn.XLOOKUP(B1128, policy_details!$A$2:$A$2829, policy_details!$A$2:$A$2829)), "Invalid", "Ok")</f>
        <v>Ok</v>
      </c>
    </row>
    <row r="1129" spans="1:9" x14ac:dyDescent="0.3">
      <c r="A1129" s="1" t="s">
        <v>7591</v>
      </c>
      <c r="B1129" s="1" t="s">
        <v>6362</v>
      </c>
      <c r="C1129" s="41">
        <v>45171</v>
      </c>
      <c r="D1129" s="1">
        <v>289173.44</v>
      </c>
      <c r="E1129" s="1" t="s">
        <v>6464</v>
      </c>
      <c r="F1129" s="1" t="s">
        <v>6458</v>
      </c>
      <c r="G1129" s="1" t="s">
        <v>17</v>
      </c>
      <c r="H1129" s="1">
        <v>4</v>
      </c>
      <c r="I1129" t="str">
        <f>IF(ISNA(_xlfn.XLOOKUP(B1129, policy_details!$A$2:$A$2829, policy_details!$A$2:$A$2829)), "Invalid", "Ok")</f>
        <v>Ok</v>
      </c>
    </row>
    <row r="1130" spans="1:9" x14ac:dyDescent="0.3">
      <c r="A1130" s="1" t="s">
        <v>7592</v>
      </c>
      <c r="B1130" s="1" t="s">
        <v>5980</v>
      </c>
      <c r="C1130" s="41">
        <v>45965</v>
      </c>
      <c r="D1130" s="1">
        <v>263132.45</v>
      </c>
      <c r="E1130" s="1" t="s">
        <v>6464</v>
      </c>
      <c r="F1130" s="1" t="s">
        <v>6481</v>
      </c>
      <c r="G1130" s="1" t="s">
        <v>17</v>
      </c>
      <c r="H1130" s="1">
        <v>30</v>
      </c>
      <c r="I1130" t="str">
        <f>IF(ISNA(_xlfn.XLOOKUP(B1130, policy_details!$A$2:$A$2829, policy_details!$A$2:$A$2829)), "Invalid", "Ok")</f>
        <v>Ok</v>
      </c>
    </row>
    <row r="1131" spans="1:9" x14ac:dyDescent="0.3">
      <c r="A1131" s="1" t="s">
        <v>7593</v>
      </c>
      <c r="B1131" s="1" t="s">
        <v>4755</v>
      </c>
      <c r="C1131" s="41">
        <v>44903</v>
      </c>
      <c r="D1131" s="1">
        <v>655496.52</v>
      </c>
      <c r="E1131" s="1" t="s">
        <v>6460</v>
      </c>
      <c r="F1131" s="1" t="s">
        <v>6458</v>
      </c>
      <c r="G1131" s="1" t="s">
        <v>17</v>
      </c>
      <c r="H1131" s="1">
        <v>10</v>
      </c>
      <c r="I1131" t="str">
        <f>IF(ISNA(_xlfn.XLOOKUP(B1131, policy_details!$A$2:$A$2829, policy_details!$A$2:$A$2829)), "Invalid", "Ok")</f>
        <v>Ok</v>
      </c>
    </row>
    <row r="1132" spans="1:9" x14ac:dyDescent="0.3">
      <c r="A1132" s="1" t="s">
        <v>7594</v>
      </c>
      <c r="B1132" s="1" t="s">
        <v>6145</v>
      </c>
      <c r="C1132" s="41">
        <v>45123</v>
      </c>
      <c r="D1132" s="1">
        <v>137939.92000000001</v>
      </c>
      <c r="E1132" s="1" t="s">
        <v>6464</v>
      </c>
      <c r="F1132" s="1" t="s">
        <v>6461</v>
      </c>
      <c r="G1132" s="1" t="s">
        <v>17</v>
      </c>
      <c r="H1132" s="1">
        <v>41</v>
      </c>
      <c r="I1132" t="str">
        <f>IF(ISNA(_xlfn.XLOOKUP(B1132, policy_details!$A$2:$A$2829, policy_details!$A$2:$A$2829)), "Invalid", "Ok")</f>
        <v>Ok</v>
      </c>
    </row>
    <row r="1133" spans="1:9" x14ac:dyDescent="0.3">
      <c r="A1133" s="1" t="s">
        <v>7595</v>
      </c>
      <c r="B1133" s="1" t="s">
        <v>3979</v>
      </c>
      <c r="C1133" s="41">
        <v>45059</v>
      </c>
      <c r="D1133" s="1">
        <v>756061.52</v>
      </c>
      <c r="E1133" s="1" t="s">
        <v>6457</v>
      </c>
      <c r="F1133" s="1" t="s">
        <v>6458</v>
      </c>
      <c r="G1133" s="1" t="s">
        <v>17</v>
      </c>
      <c r="H1133" s="1">
        <v>11</v>
      </c>
      <c r="I1133" t="str">
        <f>IF(ISNA(_xlfn.XLOOKUP(B1133, policy_details!$A$2:$A$2829, policy_details!$A$2:$A$2829)), "Invalid", "Ok")</f>
        <v>Ok</v>
      </c>
    </row>
    <row r="1134" spans="1:9" x14ac:dyDescent="0.3">
      <c r="A1134" s="1" t="s">
        <v>7596</v>
      </c>
      <c r="B1134" s="1" t="s">
        <v>3531</v>
      </c>
      <c r="C1134" s="41">
        <v>45681</v>
      </c>
      <c r="D1134" s="1">
        <v>355622.29</v>
      </c>
      <c r="E1134" s="1" t="s">
        <v>6460</v>
      </c>
      <c r="F1134" s="1" t="s">
        <v>6466</v>
      </c>
      <c r="G1134" s="1" t="s">
        <v>17</v>
      </c>
      <c r="H1134" s="1">
        <v>4</v>
      </c>
      <c r="I1134" t="str">
        <f>IF(ISNA(_xlfn.XLOOKUP(B1134, policy_details!$A$2:$A$2829, policy_details!$A$2:$A$2829)), "Invalid", "Ok")</f>
        <v>Ok</v>
      </c>
    </row>
    <row r="1135" spans="1:9" x14ac:dyDescent="0.3">
      <c r="A1135" s="1" t="s">
        <v>7597</v>
      </c>
      <c r="B1135" s="1" t="s">
        <v>3916</v>
      </c>
      <c r="C1135" s="41">
        <v>44990</v>
      </c>
      <c r="D1135" s="1">
        <v>225999.23</v>
      </c>
      <c r="E1135" s="1" t="s">
        <v>6464</v>
      </c>
      <c r="F1135" s="1" t="s">
        <v>6466</v>
      </c>
      <c r="G1135" s="1" t="s">
        <v>17</v>
      </c>
      <c r="H1135" s="1">
        <v>38</v>
      </c>
      <c r="I1135" t="str">
        <f>IF(ISNA(_xlfn.XLOOKUP(B1135, policy_details!$A$2:$A$2829, policy_details!$A$2:$A$2829)), "Invalid", "Ok")</f>
        <v>Ok</v>
      </c>
    </row>
    <row r="1136" spans="1:9" x14ac:dyDescent="0.3">
      <c r="A1136" s="1" t="s">
        <v>7598</v>
      </c>
      <c r="B1136" s="1" t="s">
        <v>6119</v>
      </c>
      <c r="C1136" s="41">
        <v>46215</v>
      </c>
      <c r="D1136" s="1">
        <v>364634.3</v>
      </c>
      <c r="E1136" s="1" t="s">
        <v>6464</v>
      </c>
      <c r="F1136" s="1" t="s">
        <v>6466</v>
      </c>
      <c r="G1136" s="1" t="s">
        <v>17</v>
      </c>
      <c r="H1136" s="1">
        <v>35</v>
      </c>
      <c r="I1136" t="str">
        <f>IF(ISNA(_xlfn.XLOOKUP(B1136, policy_details!$A$2:$A$2829, policy_details!$A$2:$A$2829)), "Invalid", "Ok")</f>
        <v>Ok</v>
      </c>
    </row>
    <row r="1137" spans="1:9" x14ac:dyDescent="0.3">
      <c r="A1137" s="1" t="s">
        <v>7599</v>
      </c>
      <c r="B1137" s="1" t="s">
        <v>4003</v>
      </c>
      <c r="C1137" s="41">
        <v>46045</v>
      </c>
      <c r="D1137" s="1">
        <v>418088.56</v>
      </c>
      <c r="E1137" s="1" t="s">
        <v>6460</v>
      </c>
      <c r="F1137" s="1" t="s">
        <v>6466</v>
      </c>
      <c r="G1137" s="1" t="s">
        <v>17</v>
      </c>
      <c r="H1137" s="1">
        <v>23</v>
      </c>
      <c r="I1137" t="str">
        <f>IF(ISNA(_xlfn.XLOOKUP(B1137, policy_details!$A$2:$A$2829, policy_details!$A$2:$A$2829)), "Invalid", "Ok")</f>
        <v>Ok</v>
      </c>
    </row>
    <row r="1138" spans="1:9" x14ac:dyDescent="0.3">
      <c r="A1138" s="1" t="s">
        <v>7600</v>
      </c>
      <c r="B1138" s="1" t="s">
        <v>3648</v>
      </c>
      <c r="C1138" s="41">
        <v>45836</v>
      </c>
      <c r="D1138" s="1">
        <v>223313.37</v>
      </c>
      <c r="E1138" s="1" t="s">
        <v>6457</v>
      </c>
      <c r="F1138" s="1" t="s">
        <v>6466</v>
      </c>
      <c r="G1138" s="1" t="s">
        <v>17</v>
      </c>
      <c r="H1138" s="1">
        <v>37</v>
      </c>
      <c r="I1138" t="str">
        <f>IF(ISNA(_xlfn.XLOOKUP(B1138, policy_details!$A$2:$A$2829, policy_details!$A$2:$A$2829)), "Invalid", "Ok")</f>
        <v>Ok</v>
      </c>
    </row>
    <row r="1139" spans="1:9" x14ac:dyDescent="0.3">
      <c r="A1139" s="1" t="s">
        <v>7601</v>
      </c>
      <c r="B1139" s="1" t="s">
        <v>4096</v>
      </c>
      <c r="C1139" s="41">
        <v>46087</v>
      </c>
      <c r="D1139" s="1">
        <v>183805.59</v>
      </c>
      <c r="E1139" s="1" t="s">
        <v>6457</v>
      </c>
      <c r="F1139" s="1" t="s">
        <v>6466</v>
      </c>
      <c r="G1139" s="1" t="s">
        <v>17</v>
      </c>
      <c r="H1139" s="1">
        <v>32</v>
      </c>
      <c r="I1139" t="str">
        <f>IF(ISNA(_xlfn.XLOOKUP(B1139, policy_details!$A$2:$A$2829, policy_details!$A$2:$A$2829)), "Invalid", "Ok")</f>
        <v>Ok</v>
      </c>
    </row>
    <row r="1140" spans="1:9" x14ac:dyDescent="0.3">
      <c r="A1140" s="1" t="s">
        <v>7602</v>
      </c>
      <c r="B1140" s="1" t="s">
        <v>4786</v>
      </c>
      <c r="C1140" s="41">
        <v>45368</v>
      </c>
      <c r="D1140" s="1">
        <v>265660.58</v>
      </c>
      <c r="E1140" s="1" t="s">
        <v>6460</v>
      </c>
      <c r="F1140" s="1" t="s">
        <v>6466</v>
      </c>
      <c r="G1140" s="1" t="s">
        <v>17</v>
      </c>
      <c r="H1140" s="1">
        <v>8</v>
      </c>
      <c r="I1140" t="str">
        <f>IF(ISNA(_xlfn.XLOOKUP(B1140, policy_details!$A$2:$A$2829, policy_details!$A$2:$A$2829)), "Invalid", "Ok")</f>
        <v>Ok</v>
      </c>
    </row>
    <row r="1141" spans="1:9" x14ac:dyDescent="0.3">
      <c r="A1141" s="1" t="s">
        <v>7603</v>
      </c>
      <c r="B1141" s="1" t="s">
        <v>5016</v>
      </c>
      <c r="C1141" s="41">
        <v>45211</v>
      </c>
      <c r="D1141" s="1">
        <v>1196897.7</v>
      </c>
      <c r="E1141" s="1" t="s">
        <v>6460</v>
      </c>
      <c r="F1141" s="1" t="s">
        <v>6458</v>
      </c>
      <c r="G1141" s="1" t="s">
        <v>17</v>
      </c>
      <c r="H1141" s="1">
        <v>19</v>
      </c>
      <c r="I1141" t="str">
        <f>IF(ISNA(_xlfn.XLOOKUP(B1141, policy_details!$A$2:$A$2829, policy_details!$A$2:$A$2829)), "Invalid", "Ok")</f>
        <v>Ok</v>
      </c>
    </row>
    <row r="1142" spans="1:9" x14ac:dyDescent="0.3">
      <c r="A1142" s="1" t="s">
        <v>7604</v>
      </c>
      <c r="B1142" s="1" t="s">
        <v>4251</v>
      </c>
      <c r="C1142" s="41">
        <v>45856</v>
      </c>
      <c r="D1142" s="1">
        <v>123591.55</v>
      </c>
      <c r="E1142" s="1" t="s">
        <v>6460</v>
      </c>
      <c r="F1142" s="1" t="s">
        <v>6466</v>
      </c>
      <c r="G1142" s="1" t="s">
        <v>17</v>
      </c>
      <c r="H1142" s="1">
        <v>41</v>
      </c>
      <c r="I1142" t="str">
        <f>IF(ISNA(_xlfn.XLOOKUP(B1142, policy_details!$A$2:$A$2829, policy_details!$A$2:$A$2829)), "Invalid", "Ok")</f>
        <v>Ok</v>
      </c>
    </row>
    <row r="1143" spans="1:9" x14ac:dyDescent="0.3">
      <c r="A1143" s="1" t="s">
        <v>7605</v>
      </c>
      <c r="B1143" s="1" t="s">
        <v>5897</v>
      </c>
      <c r="C1143" s="41">
        <v>46184</v>
      </c>
      <c r="D1143" s="1">
        <v>168792</v>
      </c>
      <c r="E1143" s="1" t="s">
        <v>6464</v>
      </c>
      <c r="F1143" s="1" t="s">
        <v>6461</v>
      </c>
      <c r="G1143" s="1" t="s">
        <v>17</v>
      </c>
      <c r="H1143" s="1">
        <v>30</v>
      </c>
      <c r="I1143" t="str">
        <f>IF(ISNA(_xlfn.XLOOKUP(B1143, policy_details!$A$2:$A$2829, policy_details!$A$2:$A$2829)), "Invalid", "Ok")</f>
        <v>Ok</v>
      </c>
    </row>
    <row r="1144" spans="1:9" x14ac:dyDescent="0.3">
      <c r="A1144" s="1" t="s">
        <v>7606</v>
      </c>
      <c r="B1144" s="1" t="s">
        <v>6336</v>
      </c>
      <c r="C1144" s="41">
        <v>45174</v>
      </c>
      <c r="D1144" s="1">
        <v>792834.86</v>
      </c>
      <c r="E1144" s="1" t="s">
        <v>6457</v>
      </c>
      <c r="F1144" s="1" t="s">
        <v>6458</v>
      </c>
      <c r="G1144" s="1" t="s">
        <v>17</v>
      </c>
      <c r="H1144" s="1">
        <v>28</v>
      </c>
      <c r="I1144" t="str">
        <f>IF(ISNA(_xlfn.XLOOKUP(B1144, policy_details!$A$2:$A$2829, policy_details!$A$2:$A$2829)), "Invalid", "Ok")</f>
        <v>Ok</v>
      </c>
    </row>
    <row r="1145" spans="1:9" x14ac:dyDescent="0.3">
      <c r="A1145" s="1" t="s">
        <v>7607</v>
      </c>
      <c r="B1145" s="1" t="s">
        <v>4420</v>
      </c>
      <c r="C1145" s="41">
        <v>44494</v>
      </c>
      <c r="D1145" s="1">
        <v>121566.45</v>
      </c>
      <c r="E1145" s="1" t="s">
        <v>6460</v>
      </c>
      <c r="F1145" s="1" t="s">
        <v>6461</v>
      </c>
      <c r="G1145" s="1" t="s">
        <v>17</v>
      </c>
      <c r="H1145" s="1">
        <v>8</v>
      </c>
      <c r="I1145" t="str">
        <f>IF(ISNA(_xlfn.XLOOKUP(B1145, policy_details!$A$2:$A$2829, policy_details!$A$2:$A$2829)), "Invalid", "Ok")</f>
        <v>Ok</v>
      </c>
    </row>
    <row r="1146" spans="1:9" x14ac:dyDescent="0.3">
      <c r="A1146" s="1" t="s">
        <v>7608</v>
      </c>
      <c r="B1146" s="1" t="s">
        <v>6254</v>
      </c>
      <c r="C1146" s="41">
        <v>45377</v>
      </c>
      <c r="D1146" s="1">
        <v>176971.45</v>
      </c>
      <c r="E1146" s="1" t="s">
        <v>6457</v>
      </c>
      <c r="F1146" s="1" t="s">
        <v>6481</v>
      </c>
      <c r="G1146" s="1" t="s">
        <v>17</v>
      </c>
      <c r="H1146" s="1">
        <v>24</v>
      </c>
      <c r="I1146" t="str">
        <f>IF(ISNA(_xlfn.XLOOKUP(B1146, policy_details!$A$2:$A$2829, policy_details!$A$2:$A$2829)), "Invalid", "Ok")</f>
        <v>Ok</v>
      </c>
    </row>
    <row r="1147" spans="1:9" x14ac:dyDescent="0.3">
      <c r="A1147" s="1" t="s">
        <v>7609</v>
      </c>
      <c r="B1147" s="1" t="s">
        <v>5931</v>
      </c>
      <c r="C1147" s="41">
        <v>46127</v>
      </c>
      <c r="D1147" s="1">
        <v>658217.01</v>
      </c>
      <c r="E1147" s="1" t="s">
        <v>6457</v>
      </c>
      <c r="F1147" s="1" t="s">
        <v>6458</v>
      </c>
      <c r="G1147" s="1" t="s">
        <v>17</v>
      </c>
      <c r="H1147" s="1">
        <v>8</v>
      </c>
      <c r="I1147" t="str">
        <f>IF(ISNA(_xlfn.XLOOKUP(B1147, policy_details!$A$2:$A$2829, policy_details!$A$2:$A$2829)), "Invalid", "Ok")</f>
        <v>Ok</v>
      </c>
    </row>
    <row r="1148" spans="1:9" x14ac:dyDescent="0.3">
      <c r="A1148" s="1" t="s">
        <v>7610</v>
      </c>
      <c r="B1148" s="1" t="s">
        <v>6126</v>
      </c>
      <c r="C1148" s="41">
        <v>46061</v>
      </c>
      <c r="D1148" s="1">
        <v>281028.40000000002</v>
      </c>
      <c r="E1148" s="1" t="s">
        <v>6457</v>
      </c>
      <c r="F1148" s="1" t="s">
        <v>6461</v>
      </c>
      <c r="G1148" s="1" t="s">
        <v>17</v>
      </c>
      <c r="H1148" s="1">
        <v>30</v>
      </c>
      <c r="I1148" t="str">
        <f>IF(ISNA(_xlfn.XLOOKUP(B1148, policy_details!$A$2:$A$2829, policy_details!$A$2:$A$2829)), "Invalid", "Ok")</f>
        <v>Ok</v>
      </c>
    </row>
    <row r="1149" spans="1:9" x14ac:dyDescent="0.3">
      <c r="A1149" s="1" t="s">
        <v>7611</v>
      </c>
      <c r="B1149" s="1" t="s">
        <v>3613</v>
      </c>
      <c r="C1149" s="41">
        <v>46205</v>
      </c>
      <c r="D1149" s="1">
        <v>150048.79999999999</v>
      </c>
      <c r="E1149" s="1" t="s">
        <v>6457</v>
      </c>
      <c r="F1149" s="1" t="s">
        <v>6470</v>
      </c>
      <c r="G1149" s="1" t="s">
        <v>17</v>
      </c>
      <c r="H1149" s="1">
        <v>10</v>
      </c>
      <c r="I1149" t="str">
        <f>IF(ISNA(_xlfn.XLOOKUP(B1149, policy_details!$A$2:$A$2829, policy_details!$A$2:$A$2829)), "Invalid", "Ok")</f>
        <v>Ok</v>
      </c>
    </row>
    <row r="1150" spans="1:9" x14ac:dyDescent="0.3">
      <c r="A1150" s="1" t="s">
        <v>7612</v>
      </c>
      <c r="B1150" s="1" t="s">
        <v>5978</v>
      </c>
      <c r="C1150" s="41">
        <v>46164</v>
      </c>
      <c r="D1150" s="1">
        <v>1594433.88</v>
      </c>
      <c r="E1150" s="1" t="s">
        <v>6457</v>
      </c>
      <c r="F1150" s="1" t="s">
        <v>6458</v>
      </c>
      <c r="G1150" s="1" t="s">
        <v>30</v>
      </c>
      <c r="H1150" s="1">
        <v>13</v>
      </c>
      <c r="I1150" t="str">
        <f>IF(ISNA(_xlfn.XLOOKUP(B1150, policy_details!$A$2:$A$2829, policy_details!$A$2:$A$2829)), "Invalid", "Ok")</f>
        <v>Ok</v>
      </c>
    </row>
    <row r="1151" spans="1:9" x14ac:dyDescent="0.3">
      <c r="A1151" s="1" t="s">
        <v>7613</v>
      </c>
      <c r="B1151" s="1" t="s">
        <v>5272</v>
      </c>
      <c r="C1151" s="41">
        <v>44804</v>
      </c>
      <c r="D1151" s="1">
        <v>960936.24</v>
      </c>
      <c r="E1151" s="1" t="s">
        <v>6460</v>
      </c>
      <c r="F1151" s="1" t="s">
        <v>6458</v>
      </c>
      <c r="G1151" s="1" t="s">
        <v>17</v>
      </c>
      <c r="H1151" s="1">
        <v>26</v>
      </c>
      <c r="I1151" t="str">
        <f>IF(ISNA(_xlfn.XLOOKUP(B1151, policy_details!$A$2:$A$2829, policy_details!$A$2:$A$2829)), "Invalid", "Ok")</f>
        <v>Ok</v>
      </c>
    </row>
    <row r="1152" spans="1:9" x14ac:dyDescent="0.3">
      <c r="A1152" s="1" t="s">
        <v>7614</v>
      </c>
      <c r="B1152" s="1" t="s">
        <v>3514</v>
      </c>
      <c r="C1152" s="41">
        <v>46218</v>
      </c>
      <c r="D1152" s="1">
        <v>102166.06</v>
      </c>
      <c r="E1152" s="1" t="s">
        <v>6460</v>
      </c>
      <c r="F1152" s="1" t="s">
        <v>6470</v>
      </c>
      <c r="G1152" s="1" t="s">
        <v>17</v>
      </c>
      <c r="H1152" s="1">
        <v>2</v>
      </c>
      <c r="I1152" t="str">
        <f>IF(ISNA(_xlfn.XLOOKUP(B1152, policy_details!$A$2:$A$2829, policy_details!$A$2:$A$2829)), "Invalid", "Ok")</f>
        <v>Ok</v>
      </c>
    </row>
    <row r="1153" spans="1:9" x14ac:dyDescent="0.3">
      <c r="A1153" s="1" t="s">
        <v>7615</v>
      </c>
      <c r="B1153" s="1" t="s">
        <v>5747</v>
      </c>
      <c r="C1153" s="41">
        <v>45815</v>
      </c>
      <c r="D1153" s="1">
        <v>242017.87</v>
      </c>
      <c r="E1153" s="1" t="s">
        <v>6464</v>
      </c>
      <c r="F1153" s="1" t="s">
        <v>6466</v>
      </c>
      <c r="G1153" s="1" t="s">
        <v>17</v>
      </c>
      <c r="H1153" s="1">
        <v>31</v>
      </c>
      <c r="I1153" t="str">
        <f>IF(ISNA(_xlfn.XLOOKUP(B1153, policy_details!$A$2:$A$2829, policy_details!$A$2:$A$2829)), "Invalid", "Ok")</f>
        <v>Ok</v>
      </c>
    </row>
    <row r="1154" spans="1:9" x14ac:dyDescent="0.3">
      <c r="A1154" s="1" t="s">
        <v>7616</v>
      </c>
      <c r="B1154" s="1" t="s">
        <v>4268</v>
      </c>
      <c r="C1154" s="41">
        <v>44679</v>
      </c>
      <c r="D1154" s="1">
        <v>138034.15</v>
      </c>
      <c r="E1154" s="1" t="s">
        <v>6460</v>
      </c>
      <c r="F1154" s="1" t="s">
        <v>6481</v>
      </c>
      <c r="G1154" s="1" t="s">
        <v>17</v>
      </c>
      <c r="H1154" s="1">
        <v>20</v>
      </c>
      <c r="I1154" t="str">
        <f>IF(ISNA(_xlfn.XLOOKUP(B1154, policy_details!$A$2:$A$2829, policy_details!$A$2:$A$2829)), "Invalid", "Ok")</f>
        <v>Ok</v>
      </c>
    </row>
    <row r="1155" spans="1:9" x14ac:dyDescent="0.3">
      <c r="A1155" s="1" t="s">
        <v>7617</v>
      </c>
      <c r="B1155" s="1" t="s">
        <v>5872</v>
      </c>
      <c r="C1155" s="41">
        <v>45050</v>
      </c>
      <c r="D1155" s="1">
        <v>338672.56</v>
      </c>
      <c r="E1155" s="1" t="s">
        <v>6460</v>
      </c>
      <c r="F1155" s="1" t="s">
        <v>6481</v>
      </c>
      <c r="G1155" s="1" t="s">
        <v>17</v>
      </c>
      <c r="H1155" s="1">
        <v>23</v>
      </c>
      <c r="I1155" t="str">
        <f>IF(ISNA(_xlfn.XLOOKUP(B1155, policy_details!$A$2:$A$2829, policy_details!$A$2:$A$2829)), "Invalid", "Ok")</f>
        <v>Ok</v>
      </c>
    </row>
    <row r="1156" spans="1:9" x14ac:dyDescent="0.3">
      <c r="A1156" s="1" t="s">
        <v>7618</v>
      </c>
      <c r="B1156" s="1" t="s">
        <v>5386</v>
      </c>
      <c r="C1156" s="41">
        <v>46195</v>
      </c>
      <c r="D1156" s="1">
        <v>811194.69</v>
      </c>
      <c r="E1156" s="1" t="s">
        <v>6460</v>
      </c>
      <c r="F1156" s="1" t="s">
        <v>6458</v>
      </c>
      <c r="G1156" s="1" t="s">
        <v>17</v>
      </c>
      <c r="H1156" s="1">
        <v>33</v>
      </c>
      <c r="I1156" t="str">
        <f>IF(ISNA(_xlfn.XLOOKUP(B1156, policy_details!$A$2:$A$2829, policy_details!$A$2:$A$2829)), "Invalid", "Ok")</f>
        <v>Ok</v>
      </c>
    </row>
    <row r="1157" spans="1:9" x14ac:dyDescent="0.3">
      <c r="A1157" s="1" t="s">
        <v>7619</v>
      </c>
      <c r="B1157" s="1" t="s">
        <v>5004</v>
      </c>
      <c r="C1157" s="41">
        <v>46214</v>
      </c>
      <c r="D1157" s="1">
        <v>276040.55</v>
      </c>
      <c r="E1157" s="1" t="s">
        <v>6460</v>
      </c>
      <c r="F1157" s="1" t="s">
        <v>6470</v>
      </c>
      <c r="G1157" s="1" t="s">
        <v>17</v>
      </c>
      <c r="H1157" s="1">
        <v>34</v>
      </c>
      <c r="I1157" t="str">
        <f>IF(ISNA(_xlfn.XLOOKUP(B1157, policy_details!$A$2:$A$2829, policy_details!$A$2:$A$2829)), "Invalid", "Ok")</f>
        <v>Ok</v>
      </c>
    </row>
    <row r="1158" spans="1:9" x14ac:dyDescent="0.3">
      <c r="A1158" s="1" t="s">
        <v>7620</v>
      </c>
      <c r="B1158" s="1" t="s">
        <v>3442</v>
      </c>
      <c r="C1158" s="41">
        <v>45007</v>
      </c>
      <c r="D1158" s="1">
        <v>450519.1</v>
      </c>
      <c r="E1158" s="1" t="s">
        <v>6457</v>
      </c>
      <c r="F1158" s="1" t="s">
        <v>6466</v>
      </c>
      <c r="G1158" s="1" t="s">
        <v>17</v>
      </c>
      <c r="H1158" s="1">
        <v>41</v>
      </c>
      <c r="I1158" t="str">
        <f>IF(ISNA(_xlfn.XLOOKUP(B1158, policy_details!$A$2:$A$2829, policy_details!$A$2:$A$2829)), "Invalid", "Ok")</f>
        <v>Ok</v>
      </c>
    </row>
    <row r="1159" spans="1:9" x14ac:dyDescent="0.3">
      <c r="A1159" s="1" t="s">
        <v>7621</v>
      </c>
      <c r="B1159" s="1" t="s">
        <v>6137</v>
      </c>
      <c r="C1159" s="41">
        <v>45841</v>
      </c>
      <c r="D1159" s="1">
        <v>104981.94</v>
      </c>
      <c r="E1159" s="1" t="s">
        <v>6464</v>
      </c>
      <c r="F1159" s="1" t="s">
        <v>6481</v>
      </c>
      <c r="G1159" s="1" t="s">
        <v>17</v>
      </c>
      <c r="H1159" s="1">
        <v>8</v>
      </c>
      <c r="I1159" t="str">
        <f>IF(ISNA(_xlfn.XLOOKUP(B1159, policy_details!$A$2:$A$2829, policy_details!$A$2:$A$2829)), "Invalid", "Ok")</f>
        <v>Ok</v>
      </c>
    </row>
    <row r="1160" spans="1:9" x14ac:dyDescent="0.3">
      <c r="A1160" s="1" t="s">
        <v>7622</v>
      </c>
      <c r="B1160" s="1" t="s">
        <v>3958</v>
      </c>
      <c r="C1160" s="41">
        <v>45906</v>
      </c>
      <c r="D1160" s="1">
        <v>714670.77</v>
      </c>
      <c r="E1160" s="1" t="s">
        <v>6460</v>
      </c>
      <c r="F1160" s="1" t="s">
        <v>6458</v>
      </c>
      <c r="G1160" s="1" t="s">
        <v>17</v>
      </c>
      <c r="H1160" s="1">
        <v>19</v>
      </c>
      <c r="I1160" t="str">
        <f>IF(ISNA(_xlfn.XLOOKUP(B1160, policy_details!$A$2:$A$2829, policy_details!$A$2:$A$2829)), "Invalid", "Ok")</f>
        <v>Ok</v>
      </c>
    </row>
    <row r="1161" spans="1:9" x14ac:dyDescent="0.3">
      <c r="A1161" s="1" t="s">
        <v>7623</v>
      </c>
      <c r="B1161" s="1" t="s">
        <v>5966</v>
      </c>
      <c r="C1161" s="41">
        <v>45280</v>
      </c>
      <c r="D1161" s="1">
        <v>120168.81</v>
      </c>
      <c r="E1161" s="1" t="s">
        <v>6460</v>
      </c>
      <c r="F1161" s="1" t="s">
        <v>6466</v>
      </c>
      <c r="G1161" s="1" t="s">
        <v>17</v>
      </c>
      <c r="H1161" s="1">
        <v>5</v>
      </c>
      <c r="I1161" t="str">
        <f>IF(ISNA(_xlfn.XLOOKUP(B1161, policy_details!$A$2:$A$2829, policy_details!$A$2:$A$2829)), "Invalid", "Ok")</f>
        <v>Ok</v>
      </c>
    </row>
    <row r="1162" spans="1:9" x14ac:dyDescent="0.3">
      <c r="A1162" s="1" t="s">
        <v>7624</v>
      </c>
      <c r="B1162" s="1" t="s">
        <v>5563</v>
      </c>
      <c r="C1162" s="41">
        <v>44744</v>
      </c>
      <c r="D1162" s="1">
        <v>441318.09</v>
      </c>
      <c r="E1162" s="1" t="s">
        <v>6460</v>
      </c>
      <c r="F1162" s="1" t="s">
        <v>6461</v>
      </c>
      <c r="G1162" s="1" t="s">
        <v>17</v>
      </c>
      <c r="H1162" s="1">
        <v>12</v>
      </c>
      <c r="I1162" t="str">
        <f>IF(ISNA(_xlfn.XLOOKUP(B1162, policy_details!$A$2:$A$2829, policy_details!$A$2:$A$2829)), "Invalid", "Ok")</f>
        <v>Ok</v>
      </c>
    </row>
    <row r="1163" spans="1:9" x14ac:dyDescent="0.3">
      <c r="A1163" s="1" t="s">
        <v>7625</v>
      </c>
      <c r="B1163" s="1" t="s">
        <v>3654</v>
      </c>
      <c r="C1163" s="41">
        <v>44443</v>
      </c>
      <c r="D1163" s="1">
        <v>176526.56</v>
      </c>
      <c r="E1163" s="1" t="s">
        <v>6464</v>
      </c>
      <c r="F1163" s="1" t="s">
        <v>6466</v>
      </c>
      <c r="G1163" s="1" t="s">
        <v>17</v>
      </c>
      <c r="H1163" s="1">
        <v>25</v>
      </c>
      <c r="I1163" t="str">
        <f>IF(ISNA(_xlfn.XLOOKUP(B1163, policy_details!$A$2:$A$2829, policy_details!$A$2:$A$2829)), "Invalid", "Ok")</f>
        <v>Ok</v>
      </c>
    </row>
    <row r="1164" spans="1:9" x14ac:dyDescent="0.3">
      <c r="A1164" s="1" t="s">
        <v>7626</v>
      </c>
      <c r="B1164" s="1" t="s">
        <v>5149</v>
      </c>
      <c r="C1164" s="41">
        <v>44711</v>
      </c>
      <c r="D1164" s="1">
        <v>129529</v>
      </c>
      <c r="E1164" s="1" t="s">
        <v>6460</v>
      </c>
      <c r="F1164" s="1" t="s">
        <v>6481</v>
      </c>
      <c r="G1164" s="1" t="s">
        <v>17</v>
      </c>
      <c r="H1164" s="1">
        <v>6</v>
      </c>
      <c r="I1164" t="str">
        <f>IF(ISNA(_xlfn.XLOOKUP(B1164, policy_details!$A$2:$A$2829, policy_details!$A$2:$A$2829)), "Invalid", "Ok")</f>
        <v>Ok</v>
      </c>
    </row>
    <row r="1165" spans="1:9" x14ac:dyDescent="0.3">
      <c r="A1165" s="1" t="s">
        <v>7627</v>
      </c>
      <c r="B1165" s="1" t="s">
        <v>6341</v>
      </c>
      <c r="C1165" s="41">
        <v>46055</v>
      </c>
      <c r="D1165" s="1">
        <v>551767.17000000004</v>
      </c>
      <c r="E1165" s="1" t="s">
        <v>6460</v>
      </c>
      <c r="F1165" s="1" t="s">
        <v>6470</v>
      </c>
      <c r="G1165" s="1" t="s">
        <v>17</v>
      </c>
      <c r="H1165" s="1">
        <v>20</v>
      </c>
      <c r="I1165" t="str">
        <f>IF(ISNA(_xlfn.XLOOKUP(B1165, policy_details!$A$2:$A$2829, policy_details!$A$2:$A$2829)), "Invalid", "Ok")</f>
        <v>Ok</v>
      </c>
    </row>
    <row r="1166" spans="1:9" x14ac:dyDescent="0.3">
      <c r="A1166" s="1" t="s">
        <v>7628</v>
      </c>
      <c r="B1166" s="1" t="s">
        <v>6230</v>
      </c>
      <c r="C1166" s="41">
        <v>44992</v>
      </c>
      <c r="D1166" s="1">
        <v>626004.99</v>
      </c>
      <c r="E1166" s="1" t="s">
        <v>6460</v>
      </c>
      <c r="F1166" s="1" t="s">
        <v>6458</v>
      </c>
      <c r="G1166" s="1" t="s">
        <v>17</v>
      </c>
      <c r="H1166" s="1">
        <v>42</v>
      </c>
      <c r="I1166" t="str">
        <f>IF(ISNA(_xlfn.XLOOKUP(B1166, policy_details!$A$2:$A$2829, policy_details!$A$2:$A$2829)), "Invalid", "Ok")</f>
        <v>Ok</v>
      </c>
    </row>
    <row r="1167" spans="1:9" x14ac:dyDescent="0.3">
      <c r="A1167" s="1" t="s">
        <v>7629</v>
      </c>
      <c r="B1167" s="1" t="s">
        <v>3955</v>
      </c>
      <c r="C1167" s="41">
        <v>44588</v>
      </c>
      <c r="D1167" s="1">
        <v>399999.95</v>
      </c>
      <c r="E1167" s="1" t="s">
        <v>6464</v>
      </c>
      <c r="F1167" s="1" t="s">
        <v>6458</v>
      </c>
      <c r="G1167" s="1" t="s">
        <v>17</v>
      </c>
      <c r="H1167" s="1">
        <v>4</v>
      </c>
      <c r="I1167" t="str">
        <f>IF(ISNA(_xlfn.XLOOKUP(B1167, policy_details!$A$2:$A$2829, policy_details!$A$2:$A$2829)), "Invalid", "Ok")</f>
        <v>Ok</v>
      </c>
    </row>
    <row r="1168" spans="1:9" x14ac:dyDescent="0.3">
      <c r="A1168" s="1" t="s">
        <v>7630</v>
      </c>
      <c r="B1168" s="1" t="s">
        <v>4050</v>
      </c>
      <c r="C1168" s="41">
        <v>44873</v>
      </c>
      <c r="D1168" s="1">
        <v>123276.27</v>
      </c>
      <c r="E1168" s="1" t="s">
        <v>6460</v>
      </c>
      <c r="F1168" s="1" t="s">
        <v>6466</v>
      </c>
      <c r="G1168" s="1" t="s">
        <v>17</v>
      </c>
      <c r="H1168" s="1">
        <v>11</v>
      </c>
      <c r="I1168" t="str">
        <f>IF(ISNA(_xlfn.XLOOKUP(B1168, policy_details!$A$2:$A$2829, policy_details!$A$2:$A$2829)), "Invalid", "Ok")</f>
        <v>Ok</v>
      </c>
    </row>
    <row r="1169" spans="1:9" x14ac:dyDescent="0.3">
      <c r="A1169" s="1" t="s">
        <v>7631</v>
      </c>
      <c r="B1169" s="1" t="s">
        <v>3978</v>
      </c>
      <c r="C1169" s="41">
        <v>44813</v>
      </c>
      <c r="D1169" s="1">
        <v>161133.13</v>
      </c>
      <c r="E1169" s="1" t="s">
        <v>6464</v>
      </c>
      <c r="F1169" s="1" t="s">
        <v>6461</v>
      </c>
      <c r="G1169" s="1" t="s">
        <v>17</v>
      </c>
      <c r="H1169" s="1">
        <v>13</v>
      </c>
      <c r="I1169" t="str">
        <f>IF(ISNA(_xlfn.XLOOKUP(B1169, policy_details!$A$2:$A$2829, policy_details!$A$2:$A$2829)), "Invalid", "Ok")</f>
        <v>Ok</v>
      </c>
    </row>
    <row r="1170" spans="1:9" x14ac:dyDescent="0.3">
      <c r="A1170" s="1" t="s">
        <v>7632</v>
      </c>
      <c r="B1170" s="1" t="s">
        <v>5755</v>
      </c>
      <c r="C1170" s="41">
        <v>44606</v>
      </c>
      <c r="D1170" s="1">
        <v>255784.33</v>
      </c>
      <c r="E1170" s="1" t="s">
        <v>6464</v>
      </c>
      <c r="F1170" s="1" t="s">
        <v>6481</v>
      </c>
      <c r="G1170" s="1" t="s">
        <v>17</v>
      </c>
      <c r="H1170" s="1">
        <v>41</v>
      </c>
      <c r="I1170" t="str">
        <f>IF(ISNA(_xlfn.XLOOKUP(B1170, policy_details!$A$2:$A$2829, policy_details!$A$2:$A$2829)), "Invalid", "Ok")</f>
        <v>Ok</v>
      </c>
    </row>
    <row r="1171" spans="1:9" x14ac:dyDescent="0.3">
      <c r="A1171" s="1" t="s">
        <v>7633</v>
      </c>
      <c r="B1171" s="1" t="s">
        <v>4005</v>
      </c>
      <c r="C1171" s="41">
        <v>44889</v>
      </c>
      <c r="D1171" s="1">
        <v>144839.5</v>
      </c>
      <c r="E1171" s="1" t="s">
        <v>6457</v>
      </c>
      <c r="F1171" s="1" t="s">
        <v>6466</v>
      </c>
      <c r="G1171" s="1" t="s">
        <v>30</v>
      </c>
      <c r="H1171" s="1">
        <v>33</v>
      </c>
      <c r="I1171" t="str">
        <f>IF(ISNA(_xlfn.XLOOKUP(B1171, policy_details!$A$2:$A$2829, policy_details!$A$2:$A$2829)), "Invalid", "Ok")</f>
        <v>Ok</v>
      </c>
    </row>
    <row r="1172" spans="1:9" x14ac:dyDescent="0.3">
      <c r="A1172" s="1" t="s">
        <v>7634</v>
      </c>
      <c r="B1172" s="1" t="s">
        <v>3632</v>
      </c>
      <c r="C1172" s="41">
        <v>45692</v>
      </c>
      <c r="D1172" s="1">
        <v>117696.75</v>
      </c>
      <c r="E1172" s="1" t="s">
        <v>6457</v>
      </c>
      <c r="F1172" s="1" t="s">
        <v>6461</v>
      </c>
      <c r="G1172" s="1" t="s">
        <v>17</v>
      </c>
      <c r="H1172" s="1">
        <v>9</v>
      </c>
      <c r="I1172" t="str">
        <f>IF(ISNA(_xlfn.XLOOKUP(B1172, policy_details!$A$2:$A$2829, policy_details!$A$2:$A$2829)), "Invalid", "Ok")</f>
        <v>Ok</v>
      </c>
    </row>
    <row r="1173" spans="1:9" x14ac:dyDescent="0.3">
      <c r="A1173" s="1" t="s">
        <v>7635</v>
      </c>
      <c r="B1173" s="1" t="s">
        <v>4716</v>
      </c>
      <c r="C1173" s="41">
        <v>45987</v>
      </c>
      <c r="D1173" s="1">
        <v>154034.38</v>
      </c>
      <c r="E1173" s="1" t="s">
        <v>6464</v>
      </c>
      <c r="F1173" s="1" t="s">
        <v>6461</v>
      </c>
      <c r="G1173" s="1" t="s">
        <v>17</v>
      </c>
      <c r="H1173" s="1">
        <v>31</v>
      </c>
      <c r="I1173" t="str">
        <f>IF(ISNA(_xlfn.XLOOKUP(B1173, policy_details!$A$2:$A$2829, policy_details!$A$2:$A$2829)), "Invalid", "Ok")</f>
        <v>Ok</v>
      </c>
    </row>
    <row r="1174" spans="1:9" x14ac:dyDescent="0.3">
      <c r="A1174" s="1" t="s">
        <v>7636</v>
      </c>
      <c r="B1174" s="1" t="s">
        <v>6355</v>
      </c>
      <c r="C1174" s="41">
        <v>45125</v>
      </c>
      <c r="D1174" s="1">
        <v>484645.3</v>
      </c>
      <c r="E1174" s="1" t="s">
        <v>6457</v>
      </c>
      <c r="F1174" s="1" t="s">
        <v>6481</v>
      </c>
      <c r="G1174" s="1" t="s">
        <v>30</v>
      </c>
      <c r="H1174" s="1">
        <v>1</v>
      </c>
      <c r="I1174" t="str">
        <f>IF(ISNA(_xlfn.XLOOKUP(B1174, policy_details!$A$2:$A$2829, policy_details!$A$2:$A$2829)), "Invalid", "Ok")</f>
        <v>Ok</v>
      </c>
    </row>
    <row r="1175" spans="1:9" x14ac:dyDescent="0.3">
      <c r="A1175" s="1" t="s">
        <v>7637</v>
      </c>
      <c r="B1175" s="1" t="s">
        <v>4474</v>
      </c>
      <c r="C1175" s="41">
        <v>45314</v>
      </c>
      <c r="D1175" s="1">
        <v>259892.22</v>
      </c>
      <c r="E1175" s="1" t="s">
        <v>6457</v>
      </c>
      <c r="F1175" s="1" t="s">
        <v>6466</v>
      </c>
      <c r="G1175" s="1" t="s">
        <v>17</v>
      </c>
      <c r="H1175" s="1">
        <v>36</v>
      </c>
      <c r="I1175" t="str">
        <f>IF(ISNA(_xlfn.XLOOKUP(B1175, policy_details!$A$2:$A$2829, policy_details!$A$2:$A$2829)), "Invalid", "Ok")</f>
        <v>Ok</v>
      </c>
    </row>
    <row r="1176" spans="1:9" x14ac:dyDescent="0.3">
      <c r="A1176" s="1" t="s">
        <v>7638</v>
      </c>
      <c r="B1176" s="1" t="s">
        <v>5665</v>
      </c>
      <c r="C1176" s="41">
        <v>45071</v>
      </c>
      <c r="D1176" s="1">
        <v>113188.25</v>
      </c>
      <c r="E1176" s="1" t="s">
        <v>6457</v>
      </c>
      <c r="F1176" s="1" t="s">
        <v>6461</v>
      </c>
      <c r="G1176" s="1" t="s">
        <v>17</v>
      </c>
      <c r="H1176" s="1">
        <v>10</v>
      </c>
      <c r="I1176" t="str">
        <f>IF(ISNA(_xlfn.XLOOKUP(B1176, policy_details!$A$2:$A$2829, policy_details!$A$2:$A$2829)), "Invalid", "Ok")</f>
        <v>Ok</v>
      </c>
    </row>
    <row r="1177" spans="1:9" x14ac:dyDescent="0.3">
      <c r="A1177" s="1" t="s">
        <v>7639</v>
      </c>
      <c r="B1177" s="1" t="s">
        <v>3946</v>
      </c>
      <c r="C1177" s="41">
        <v>45302</v>
      </c>
      <c r="D1177" s="1">
        <v>160572.29999999999</v>
      </c>
      <c r="E1177" s="1" t="s">
        <v>6457</v>
      </c>
      <c r="F1177" s="1" t="s">
        <v>6470</v>
      </c>
      <c r="G1177" s="1" t="s">
        <v>30</v>
      </c>
      <c r="H1177" s="1">
        <v>32</v>
      </c>
      <c r="I1177" t="str">
        <f>IF(ISNA(_xlfn.XLOOKUP(B1177, policy_details!$A$2:$A$2829, policy_details!$A$2:$A$2829)), "Invalid", "Ok")</f>
        <v>Ok</v>
      </c>
    </row>
    <row r="1178" spans="1:9" x14ac:dyDescent="0.3">
      <c r="A1178" s="1" t="s">
        <v>7640</v>
      </c>
      <c r="B1178" s="1" t="s">
        <v>5373</v>
      </c>
      <c r="C1178" s="41">
        <v>45696</v>
      </c>
      <c r="D1178" s="1">
        <v>220410.18</v>
      </c>
      <c r="E1178" s="1" t="s">
        <v>6460</v>
      </c>
      <c r="F1178" s="1" t="s">
        <v>6461</v>
      </c>
      <c r="G1178" s="1" t="s">
        <v>17</v>
      </c>
      <c r="H1178" s="1">
        <v>22</v>
      </c>
      <c r="I1178" t="str">
        <f>IF(ISNA(_xlfn.XLOOKUP(B1178, policy_details!$A$2:$A$2829, policy_details!$A$2:$A$2829)), "Invalid", "Ok")</f>
        <v>Ok</v>
      </c>
    </row>
    <row r="1179" spans="1:9" x14ac:dyDescent="0.3">
      <c r="A1179" s="1" t="s">
        <v>7641</v>
      </c>
      <c r="B1179" s="1" t="s">
        <v>5259</v>
      </c>
      <c r="C1179" s="41">
        <v>45718</v>
      </c>
      <c r="D1179" s="1">
        <v>579111.11</v>
      </c>
      <c r="E1179" s="1" t="s">
        <v>6464</v>
      </c>
      <c r="F1179" s="1" t="s">
        <v>6481</v>
      </c>
      <c r="G1179" s="1" t="s">
        <v>17</v>
      </c>
      <c r="H1179" s="1">
        <v>33</v>
      </c>
      <c r="I1179" t="str">
        <f>IF(ISNA(_xlfn.XLOOKUP(B1179, policy_details!$A$2:$A$2829, policy_details!$A$2:$A$2829)), "Invalid", "Ok")</f>
        <v>Ok</v>
      </c>
    </row>
    <row r="1180" spans="1:9" x14ac:dyDescent="0.3">
      <c r="A1180" s="1" t="s">
        <v>7642</v>
      </c>
      <c r="B1180" s="1" t="s">
        <v>6178</v>
      </c>
      <c r="C1180" s="41">
        <v>46109</v>
      </c>
      <c r="D1180" s="1">
        <v>518059.69</v>
      </c>
      <c r="E1180" s="1" t="s">
        <v>6460</v>
      </c>
      <c r="F1180" s="1" t="s">
        <v>6458</v>
      </c>
      <c r="G1180" s="1" t="s">
        <v>17</v>
      </c>
      <c r="H1180" s="1">
        <v>16</v>
      </c>
      <c r="I1180" t="str">
        <f>IF(ISNA(_xlfn.XLOOKUP(B1180, policy_details!$A$2:$A$2829, policy_details!$A$2:$A$2829)), "Invalid", "Ok")</f>
        <v>Ok</v>
      </c>
    </row>
    <row r="1181" spans="1:9" x14ac:dyDescent="0.3">
      <c r="A1181" s="1" t="s">
        <v>7643</v>
      </c>
      <c r="B1181" s="1" t="s">
        <v>5642</v>
      </c>
      <c r="C1181" s="41">
        <v>45663</v>
      </c>
      <c r="D1181" s="1">
        <v>436380.99</v>
      </c>
      <c r="E1181" s="1" t="s">
        <v>6457</v>
      </c>
      <c r="F1181" s="1" t="s">
        <v>6481</v>
      </c>
      <c r="G1181" s="1" t="s">
        <v>17</v>
      </c>
      <c r="H1181" s="1">
        <v>24</v>
      </c>
      <c r="I1181" t="str">
        <f>IF(ISNA(_xlfn.XLOOKUP(B1181, policy_details!$A$2:$A$2829, policy_details!$A$2:$A$2829)), "Invalid", "Ok")</f>
        <v>Ok</v>
      </c>
    </row>
    <row r="1182" spans="1:9" x14ac:dyDescent="0.3">
      <c r="A1182" s="1" t="s">
        <v>7644</v>
      </c>
      <c r="B1182" s="1" t="s">
        <v>3868</v>
      </c>
      <c r="C1182" s="41">
        <v>45960</v>
      </c>
      <c r="D1182" s="1">
        <v>188149.79</v>
      </c>
      <c r="E1182" s="1" t="s">
        <v>6460</v>
      </c>
      <c r="F1182" s="1" t="s">
        <v>6466</v>
      </c>
      <c r="G1182" s="1" t="s">
        <v>17</v>
      </c>
      <c r="H1182" s="1">
        <v>40</v>
      </c>
      <c r="I1182" t="str">
        <f>IF(ISNA(_xlfn.XLOOKUP(B1182, policy_details!$A$2:$A$2829, policy_details!$A$2:$A$2829)), "Invalid", "Ok")</f>
        <v>Ok</v>
      </c>
    </row>
    <row r="1183" spans="1:9" x14ac:dyDescent="0.3">
      <c r="A1183" s="1" t="s">
        <v>7645</v>
      </c>
      <c r="B1183" s="1" t="s">
        <v>4757</v>
      </c>
      <c r="C1183" s="41">
        <v>45732</v>
      </c>
      <c r="D1183" s="1">
        <v>110979.72</v>
      </c>
      <c r="E1183" s="1" t="s">
        <v>6460</v>
      </c>
      <c r="F1183" s="1" t="s">
        <v>6481</v>
      </c>
      <c r="G1183" s="1" t="s">
        <v>17</v>
      </c>
      <c r="H1183" s="1">
        <v>36</v>
      </c>
      <c r="I1183" t="str">
        <f>IF(ISNA(_xlfn.XLOOKUP(B1183, policy_details!$A$2:$A$2829, policy_details!$A$2:$A$2829)), "Invalid", "Ok")</f>
        <v>Ok</v>
      </c>
    </row>
    <row r="1184" spans="1:9" x14ac:dyDescent="0.3">
      <c r="A1184" s="1" t="s">
        <v>7646</v>
      </c>
      <c r="B1184" s="1" t="s">
        <v>3317</v>
      </c>
      <c r="C1184" s="41">
        <v>45836</v>
      </c>
      <c r="D1184" s="1">
        <v>60311.21</v>
      </c>
      <c r="E1184" s="1" t="s">
        <v>6460</v>
      </c>
      <c r="F1184" s="1" t="s">
        <v>6461</v>
      </c>
      <c r="G1184" s="1" t="s">
        <v>17</v>
      </c>
      <c r="H1184" s="1">
        <v>24</v>
      </c>
      <c r="I1184" t="str">
        <f>IF(ISNA(_xlfn.XLOOKUP(B1184, policy_details!$A$2:$A$2829, policy_details!$A$2:$A$2829)), "Invalid", "Ok")</f>
        <v>Ok</v>
      </c>
    </row>
    <row r="1185" spans="1:9" x14ac:dyDescent="0.3">
      <c r="A1185" s="1" t="s">
        <v>7647</v>
      </c>
      <c r="B1185" s="1" t="s">
        <v>4266</v>
      </c>
      <c r="C1185" s="41">
        <v>44617</v>
      </c>
      <c r="D1185" s="1">
        <v>487138.38</v>
      </c>
      <c r="E1185" s="1" t="s">
        <v>6460</v>
      </c>
      <c r="F1185" s="1" t="s">
        <v>6481</v>
      </c>
      <c r="G1185" s="1" t="s">
        <v>17</v>
      </c>
      <c r="H1185" s="1">
        <v>41</v>
      </c>
      <c r="I1185" t="str">
        <f>IF(ISNA(_xlfn.XLOOKUP(B1185, policy_details!$A$2:$A$2829, policy_details!$A$2:$A$2829)), "Invalid", "Ok")</f>
        <v>Ok</v>
      </c>
    </row>
    <row r="1186" spans="1:9" x14ac:dyDescent="0.3">
      <c r="A1186" s="1" t="s">
        <v>7648</v>
      </c>
      <c r="B1186" s="1" t="s">
        <v>6368</v>
      </c>
      <c r="C1186" s="41">
        <v>44676</v>
      </c>
      <c r="D1186" s="1">
        <v>372276</v>
      </c>
      <c r="E1186" s="1" t="s">
        <v>6464</v>
      </c>
      <c r="F1186" s="1" t="s">
        <v>6470</v>
      </c>
      <c r="G1186" s="1" t="s">
        <v>17</v>
      </c>
      <c r="H1186" s="1">
        <v>6</v>
      </c>
      <c r="I1186" t="str">
        <f>IF(ISNA(_xlfn.XLOOKUP(B1186, policy_details!$A$2:$A$2829, policy_details!$A$2:$A$2829)), "Invalid", "Ok")</f>
        <v>Ok</v>
      </c>
    </row>
    <row r="1187" spans="1:9" x14ac:dyDescent="0.3">
      <c r="A1187" s="1" t="s">
        <v>7649</v>
      </c>
      <c r="B1187" s="1" t="s">
        <v>4902</v>
      </c>
      <c r="C1187" s="41">
        <v>45836</v>
      </c>
      <c r="D1187" s="1">
        <v>135424.68</v>
      </c>
      <c r="E1187" s="1" t="s">
        <v>6464</v>
      </c>
      <c r="F1187" s="1" t="s">
        <v>6470</v>
      </c>
      <c r="G1187" s="1" t="s">
        <v>30</v>
      </c>
      <c r="H1187" s="1">
        <v>31</v>
      </c>
      <c r="I1187" t="str">
        <f>IF(ISNA(_xlfn.XLOOKUP(B1187, policy_details!$A$2:$A$2829, policy_details!$A$2:$A$2829)), "Invalid", "Ok")</f>
        <v>Ok</v>
      </c>
    </row>
    <row r="1188" spans="1:9" x14ac:dyDescent="0.3">
      <c r="A1188" s="1" t="s">
        <v>7650</v>
      </c>
      <c r="B1188" s="1" t="s">
        <v>6074</v>
      </c>
      <c r="C1188" s="41">
        <v>44685</v>
      </c>
      <c r="D1188" s="1">
        <v>161884.73000000001</v>
      </c>
      <c r="E1188" s="1" t="s">
        <v>6460</v>
      </c>
      <c r="F1188" s="1" t="s">
        <v>6470</v>
      </c>
      <c r="G1188" s="1" t="s">
        <v>30</v>
      </c>
      <c r="H1188" s="1">
        <v>28</v>
      </c>
      <c r="I1188" t="str">
        <f>IF(ISNA(_xlfn.XLOOKUP(B1188, policy_details!$A$2:$A$2829, policy_details!$A$2:$A$2829)), "Invalid", "Ok")</f>
        <v>Ok</v>
      </c>
    </row>
    <row r="1189" spans="1:9" x14ac:dyDescent="0.3">
      <c r="A1189" s="1" t="s">
        <v>7651</v>
      </c>
      <c r="B1189" s="1" t="s">
        <v>3442</v>
      </c>
      <c r="C1189" s="41">
        <v>45854</v>
      </c>
      <c r="D1189" s="1">
        <v>90237.77</v>
      </c>
      <c r="E1189" s="1" t="s">
        <v>6460</v>
      </c>
      <c r="F1189" s="1" t="s">
        <v>6466</v>
      </c>
      <c r="G1189" s="1" t="s">
        <v>17</v>
      </c>
      <c r="H1189" s="1">
        <v>12</v>
      </c>
      <c r="I1189" t="str">
        <f>IF(ISNA(_xlfn.XLOOKUP(B1189, policy_details!$A$2:$A$2829, policy_details!$A$2:$A$2829)), "Invalid", "Ok")</f>
        <v>Ok</v>
      </c>
    </row>
    <row r="1190" spans="1:9" x14ac:dyDescent="0.3">
      <c r="A1190" s="1" t="s">
        <v>7652</v>
      </c>
      <c r="B1190" s="1" t="s">
        <v>6110</v>
      </c>
      <c r="C1190" s="41">
        <v>46082</v>
      </c>
      <c r="D1190" s="1">
        <v>219566.64</v>
      </c>
      <c r="E1190" s="1" t="s">
        <v>6460</v>
      </c>
      <c r="F1190" s="1" t="s">
        <v>6461</v>
      </c>
      <c r="G1190" s="1" t="s">
        <v>17</v>
      </c>
      <c r="H1190" s="1">
        <v>18</v>
      </c>
      <c r="I1190" t="str">
        <f>IF(ISNA(_xlfn.XLOOKUP(B1190, policy_details!$A$2:$A$2829, policy_details!$A$2:$A$2829)), "Invalid", "Ok")</f>
        <v>Ok</v>
      </c>
    </row>
    <row r="1191" spans="1:9" x14ac:dyDescent="0.3">
      <c r="A1191" s="1" t="s">
        <v>7653</v>
      </c>
      <c r="B1191" s="1" t="s">
        <v>6136</v>
      </c>
      <c r="C1191" s="41">
        <v>45939</v>
      </c>
      <c r="D1191" s="1">
        <v>887318.97</v>
      </c>
      <c r="E1191" s="1" t="s">
        <v>6460</v>
      </c>
      <c r="F1191" s="1" t="s">
        <v>6458</v>
      </c>
      <c r="G1191" s="1" t="s">
        <v>17</v>
      </c>
      <c r="H1191" s="1">
        <v>18</v>
      </c>
      <c r="I1191" t="str">
        <f>IF(ISNA(_xlfn.XLOOKUP(B1191, policy_details!$A$2:$A$2829, policy_details!$A$2:$A$2829)), "Invalid", "Ok")</f>
        <v>Ok</v>
      </c>
    </row>
    <row r="1192" spans="1:9" x14ac:dyDescent="0.3">
      <c r="A1192" s="1" t="s">
        <v>7654</v>
      </c>
      <c r="B1192" s="1" t="s">
        <v>5465</v>
      </c>
      <c r="C1192" s="41">
        <v>45776</v>
      </c>
      <c r="D1192" s="1">
        <v>414161.56</v>
      </c>
      <c r="E1192" s="1" t="s">
        <v>6464</v>
      </c>
      <c r="F1192" s="1" t="s">
        <v>6458</v>
      </c>
      <c r="G1192" s="1" t="s">
        <v>17</v>
      </c>
      <c r="H1192" s="1">
        <v>30</v>
      </c>
      <c r="I1192" t="str">
        <f>IF(ISNA(_xlfn.XLOOKUP(B1192, policy_details!$A$2:$A$2829, policy_details!$A$2:$A$2829)), "Invalid", "Ok")</f>
        <v>Ok</v>
      </c>
    </row>
    <row r="1193" spans="1:9" x14ac:dyDescent="0.3">
      <c r="A1193" s="1" t="s">
        <v>7655</v>
      </c>
      <c r="B1193" s="1" t="s">
        <v>3853</v>
      </c>
      <c r="C1193" s="41">
        <v>45217</v>
      </c>
      <c r="D1193" s="1">
        <v>166169.04999999999</v>
      </c>
      <c r="E1193" s="1" t="s">
        <v>6464</v>
      </c>
      <c r="F1193" s="1" t="s">
        <v>6461</v>
      </c>
      <c r="G1193" s="1" t="s">
        <v>17</v>
      </c>
      <c r="H1193" s="1">
        <v>28</v>
      </c>
      <c r="I1193" t="str">
        <f>IF(ISNA(_xlfn.XLOOKUP(B1193, policy_details!$A$2:$A$2829, policy_details!$A$2:$A$2829)), "Invalid", "Ok")</f>
        <v>Ok</v>
      </c>
    </row>
    <row r="1194" spans="1:9" x14ac:dyDescent="0.3">
      <c r="A1194" s="1" t="s">
        <v>7656</v>
      </c>
      <c r="B1194" s="1" t="s">
        <v>6099</v>
      </c>
      <c r="C1194" s="41">
        <v>45161</v>
      </c>
      <c r="D1194" s="1">
        <v>109827.36</v>
      </c>
      <c r="E1194" s="1" t="s">
        <v>6464</v>
      </c>
      <c r="F1194" s="1" t="s">
        <v>6466</v>
      </c>
      <c r="G1194" s="1" t="s">
        <v>17</v>
      </c>
      <c r="H1194" s="1">
        <v>35</v>
      </c>
      <c r="I1194" t="str">
        <f>IF(ISNA(_xlfn.XLOOKUP(B1194, policy_details!$A$2:$A$2829, policy_details!$A$2:$A$2829)), "Invalid", "Ok")</f>
        <v>Ok</v>
      </c>
    </row>
    <row r="1195" spans="1:9" x14ac:dyDescent="0.3">
      <c r="A1195" s="1" t="s">
        <v>7657</v>
      </c>
      <c r="B1195" s="1" t="s">
        <v>6165</v>
      </c>
      <c r="C1195" s="41">
        <v>44572</v>
      </c>
      <c r="D1195" s="1">
        <v>1189327.27</v>
      </c>
      <c r="E1195" s="1" t="s">
        <v>6460</v>
      </c>
      <c r="F1195" s="1" t="s">
        <v>6458</v>
      </c>
      <c r="G1195" s="1" t="s">
        <v>17</v>
      </c>
      <c r="H1195" s="1">
        <v>29</v>
      </c>
      <c r="I1195" t="str">
        <f>IF(ISNA(_xlfn.XLOOKUP(B1195, policy_details!$A$2:$A$2829, policy_details!$A$2:$A$2829)), "Invalid", "Ok")</f>
        <v>Ok</v>
      </c>
    </row>
    <row r="1196" spans="1:9" x14ac:dyDescent="0.3">
      <c r="A1196" s="1" t="s">
        <v>7658</v>
      </c>
      <c r="B1196" s="1" t="s">
        <v>4143</v>
      </c>
      <c r="C1196" s="41">
        <v>45334</v>
      </c>
      <c r="D1196" s="1">
        <v>87289.67</v>
      </c>
      <c r="E1196" s="1" t="s">
        <v>6460</v>
      </c>
      <c r="F1196" s="1" t="s">
        <v>6461</v>
      </c>
      <c r="G1196" s="1" t="s">
        <v>17</v>
      </c>
      <c r="H1196" s="1">
        <v>44</v>
      </c>
      <c r="I1196" t="str">
        <f>IF(ISNA(_xlfn.XLOOKUP(B1196, policy_details!$A$2:$A$2829, policy_details!$A$2:$A$2829)), "Invalid", "Ok")</f>
        <v>Ok</v>
      </c>
    </row>
    <row r="1197" spans="1:9" x14ac:dyDescent="0.3">
      <c r="A1197" s="1" t="s">
        <v>7659</v>
      </c>
      <c r="B1197" s="1" t="s">
        <v>6280</v>
      </c>
      <c r="C1197" s="41">
        <v>45794</v>
      </c>
      <c r="D1197" s="1">
        <v>213042.45</v>
      </c>
      <c r="E1197" s="1" t="s">
        <v>6460</v>
      </c>
      <c r="F1197" s="1" t="s">
        <v>6470</v>
      </c>
      <c r="G1197" s="1" t="s">
        <v>17</v>
      </c>
      <c r="H1197" s="1">
        <v>37</v>
      </c>
      <c r="I1197" t="str">
        <f>IF(ISNA(_xlfn.XLOOKUP(B1197, policy_details!$A$2:$A$2829, policy_details!$A$2:$A$2829)), "Invalid", "Ok")</f>
        <v>Ok</v>
      </c>
    </row>
    <row r="1198" spans="1:9" x14ac:dyDescent="0.3">
      <c r="A1198" s="1" t="s">
        <v>7660</v>
      </c>
      <c r="B1198" s="1" t="s">
        <v>6113</v>
      </c>
      <c r="C1198" s="41">
        <v>45513</v>
      </c>
      <c r="D1198" s="1">
        <v>129857.88</v>
      </c>
      <c r="E1198" s="1" t="s">
        <v>6457</v>
      </c>
      <c r="F1198" s="1" t="s">
        <v>6470</v>
      </c>
      <c r="G1198" s="1" t="s">
        <v>17</v>
      </c>
      <c r="H1198" s="1">
        <v>26</v>
      </c>
      <c r="I1198" t="str">
        <f>IF(ISNA(_xlfn.XLOOKUP(B1198, policy_details!$A$2:$A$2829, policy_details!$A$2:$A$2829)), "Invalid", "Ok")</f>
        <v>Ok</v>
      </c>
    </row>
    <row r="1199" spans="1:9" x14ac:dyDescent="0.3">
      <c r="A1199" s="1" t="s">
        <v>7661</v>
      </c>
      <c r="B1199" s="1" t="s">
        <v>4155</v>
      </c>
      <c r="C1199" s="41">
        <v>44847</v>
      </c>
      <c r="D1199" s="1">
        <v>45960.65</v>
      </c>
      <c r="E1199" s="1" t="s">
        <v>6460</v>
      </c>
      <c r="F1199" s="1" t="s">
        <v>6461</v>
      </c>
      <c r="G1199" s="1" t="s">
        <v>30</v>
      </c>
      <c r="H1199" s="1">
        <v>1</v>
      </c>
      <c r="I1199" t="str">
        <f>IF(ISNA(_xlfn.XLOOKUP(B1199, policy_details!$A$2:$A$2829, policy_details!$A$2:$A$2829)), "Invalid", "Ok")</f>
        <v>Ok</v>
      </c>
    </row>
    <row r="1200" spans="1:9" x14ac:dyDescent="0.3">
      <c r="A1200" s="1" t="s">
        <v>7662</v>
      </c>
      <c r="B1200" s="1" t="s">
        <v>4726</v>
      </c>
      <c r="C1200" s="41">
        <v>45553</v>
      </c>
      <c r="D1200" s="1">
        <v>246833.98</v>
      </c>
      <c r="E1200" s="1" t="s">
        <v>6464</v>
      </c>
      <c r="F1200" s="1" t="s">
        <v>6461</v>
      </c>
      <c r="G1200" s="1" t="s">
        <v>17</v>
      </c>
      <c r="H1200" s="1">
        <v>17</v>
      </c>
      <c r="I1200" t="str">
        <f>IF(ISNA(_xlfn.XLOOKUP(B1200, policy_details!$A$2:$A$2829, policy_details!$A$2:$A$2829)), "Invalid", "Ok")</f>
        <v>Ok</v>
      </c>
    </row>
    <row r="1201" spans="1:9" x14ac:dyDescent="0.3">
      <c r="A1201" s="1" t="s">
        <v>7663</v>
      </c>
      <c r="B1201" s="1" t="s">
        <v>4558</v>
      </c>
      <c r="C1201" s="41">
        <v>45844</v>
      </c>
      <c r="D1201" s="1">
        <v>1522123.93</v>
      </c>
      <c r="E1201" s="1" t="s">
        <v>6464</v>
      </c>
      <c r="F1201" s="1" t="s">
        <v>6458</v>
      </c>
      <c r="G1201" s="1" t="s">
        <v>17</v>
      </c>
      <c r="H1201" s="1">
        <v>6</v>
      </c>
      <c r="I1201" t="str">
        <f>IF(ISNA(_xlfn.XLOOKUP(B1201, policy_details!$A$2:$A$2829, policy_details!$A$2:$A$2829)), "Invalid", "Ok")</f>
        <v>Ok</v>
      </c>
    </row>
    <row r="1202" spans="1:9" x14ac:dyDescent="0.3">
      <c r="A1202" s="1" t="s">
        <v>7664</v>
      </c>
      <c r="B1202" s="1" t="s">
        <v>5021</v>
      </c>
      <c r="C1202" s="41">
        <v>45116</v>
      </c>
      <c r="D1202" s="1">
        <v>693327.92</v>
      </c>
      <c r="E1202" s="1" t="s">
        <v>6464</v>
      </c>
      <c r="F1202" s="1" t="s">
        <v>6458</v>
      </c>
      <c r="G1202" s="1" t="s">
        <v>17</v>
      </c>
      <c r="H1202" s="1">
        <v>20</v>
      </c>
      <c r="I1202" t="str">
        <f>IF(ISNA(_xlfn.XLOOKUP(B1202, policy_details!$A$2:$A$2829, policy_details!$A$2:$A$2829)), "Invalid", "Ok")</f>
        <v>Ok</v>
      </c>
    </row>
    <row r="1203" spans="1:9" x14ac:dyDescent="0.3">
      <c r="A1203" s="1" t="s">
        <v>7665</v>
      </c>
      <c r="B1203" s="1" t="s">
        <v>6135</v>
      </c>
      <c r="C1203" s="41">
        <v>45062</v>
      </c>
      <c r="D1203" s="1">
        <v>286767.98</v>
      </c>
      <c r="E1203" s="1" t="s">
        <v>6460</v>
      </c>
      <c r="F1203" s="1" t="s">
        <v>6481</v>
      </c>
      <c r="G1203" s="1" t="s">
        <v>17</v>
      </c>
      <c r="H1203" s="1">
        <v>44</v>
      </c>
      <c r="I1203" t="str">
        <f>IF(ISNA(_xlfn.XLOOKUP(B1203, policy_details!$A$2:$A$2829, policy_details!$A$2:$A$2829)), "Invalid", "Ok")</f>
        <v>Ok</v>
      </c>
    </row>
    <row r="1204" spans="1:9" x14ac:dyDescent="0.3">
      <c r="A1204" s="1" t="s">
        <v>7666</v>
      </c>
      <c r="B1204" s="1" t="s">
        <v>6094</v>
      </c>
      <c r="C1204" s="41">
        <v>45946</v>
      </c>
      <c r="D1204" s="1">
        <v>224089.57</v>
      </c>
      <c r="E1204" s="1" t="s">
        <v>6460</v>
      </c>
      <c r="F1204" s="1" t="s">
        <v>6470</v>
      </c>
      <c r="G1204" s="1" t="s">
        <v>17</v>
      </c>
      <c r="H1204" s="1">
        <v>18</v>
      </c>
      <c r="I1204" t="str">
        <f>IF(ISNA(_xlfn.XLOOKUP(B1204, policy_details!$A$2:$A$2829, policy_details!$A$2:$A$2829)), "Invalid", "Ok")</f>
        <v>Ok</v>
      </c>
    </row>
    <row r="1205" spans="1:9" x14ac:dyDescent="0.3">
      <c r="A1205" s="1" t="s">
        <v>7667</v>
      </c>
      <c r="B1205" s="1" t="s">
        <v>4060</v>
      </c>
      <c r="C1205" s="41">
        <v>45557</v>
      </c>
      <c r="D1205" s="1">
        <v>1138696.53</v>
      </c>
      <c r="E1205" s="1" t="s">
        <v>6460</v>
      </c>
      <c r="F1205" s="1" t="s">
        <v>6458</v>
      </c>
      <c r="G1205" s="1" t="s">
        <v>17</v>
      </c>
      <c r="H1205" s="1">
        <v>36</v>
      </c>
      <c r="I1205" t="str">
        <f>IF(ISNA(_xlfn.XLOOKUP(B1205, policy_details!$A$2:$A$2829, policy_details!$A$2:$A$2829)), "Invalid", "Ok")</f>
        <v>Ok</v>
      </c>
    </row>
    <row r="1206" spans="1:9" x14ac:dyDescent="0.3">
      <c r="A1206" s="1" t="s">
        <v>7668</v>
      </c>
      <c r="B1206" s="1" t="s">
        <v>5174</v>
      </c>
      <c r="C1206" s="41">
        <v>45815</v>
      </c>
      <c r="D1206" s="1">
        <v>521352.71</v>
      </c>
      <c r="E1206" s="1" t="s">
        <v>6460</v>
      </c>
      <c r="F1206" s="1" t="s">
        <v>6466</v>
      </c>
      <c r="G1206" s="1" t="s">
        <v>17</v>
      </c>
      <c r="H1206" s="1">
        <v>20</v>
      </c>
      <c r="I1206" t="str">
        <f>IF(ISNA(_xlfn.XLOOKUP(B1206, policy_details!$A$2:$A$2829, policy_details!$A$2:$A$2829)), "Invalid", "Ok")</f>
        <v>Ok</v>
      </c>
    </row>
    <row r="1207" spans="1:9" x14ac:dyDescent="0.3">
      <c r="A1207" s="1" t="s">
        <v>7669</v>
      </c>
      <c r="B1207" s="1" t="s">
        <v>5125</v>
      </c>
      <c r="C1207" s="41">
        <v>46112</v>
      </c>
      <c r="D1207" s="1">
        <v>307926.15000000002</v>
      </c>
      <c r="E1207" s="1" t="s">
        <v>6457</v>
      </c>
      <c r="F1207" s="1" t="s">
        <v>6481</v>
      </c>
      <c r="G1207" s="1" t="s">
        <v>17</v>
      </c>
      <c r="H1207" s="1">
        <v>26</v>
      </c>
      <c r="I1207" t="str">
        <f>IF(ISNA(_xlfn.XLOOKUP(B1207, policy_details!$A$2:$A$2829, policy_details!$A$2:$A$2829)), "Invalid", "Ok")</f>
        <v>Ok</v>
      </c>
    </row>
    <row r="1208" spans="1:9" x14ac:dyDescent="0.3">
      <c r="A1208" s="1" t="s">
        <v>7670</v>
      </c>
      <c r="B1208" s="1" t="s">
        <v>4886</v>
      </c>
      <c r="C1208" s="41">
        <v>45621</v>
      </c>
      <c r="D1208" s="1">
        <v>752624.33</v>
      </c>
      <c r="E1208" s="1" t="s">
        <v>6460</v>
      </c>
      <c r="F1208" s="1" t="s">
        <v>6458</v>
      </c>
      <c r="G1208" s="1" t="s">
        <v>17</v>
      </c>
      <c r="H1208" s="1">
        <v>2</v>
      </c>
      <c r="I1208" t="str">
        <f>IF(ISNA(_xlfn.XLOOKUP(B1208, policy_details!$A$2:$A$2829, policy_details!$A$2:$A$2829)), "Invalid", "Ok")</f>
        <v>Ok</v>
      </c>
    </row>
    <row r="1209" spans="1:9" x14ac:dyDescent="0.3">
      <c r="A1209" s="1" t="s">
        <v>7671</v>
      </c>
      <c r="B1209" s="1" t="s">
        <v>5637</v>
      </c>
      <c r="C1209" s="41">
        <v>44694</v>
      </c>
      <c r="D1209" s="1">
        <v>1114713.6599999999</v>
      </c>
      <c r="E1209" s="1" t="s">
        <v>6457</v>
      </c>
      <c r="F1209" s="1" t="s">
        <v>6458</v>
      </c>
      <c r="G1209" s="1" t="s">
        <v>30</v>
      </c>
      <c r="H1209" s="1">
        <v>31</v>
      </c>
      <c r="I1209" t="str">
        <f>IF(ISNA(_xlfn.XLOOKUP(B1209, policy_details!$A$2:$A$2829, policy_details!$A$2:$A$2829)), "Invalid", "Ok")</f>
        <v>Ok</v>
      </c>
    </row>
    <row r="1210" spans="1:9" x14ac:dyDescent="0.3">
      <c r="A1210" s="1" t="s">
        <v>7672</v>
      </c>
      <c r="B1210" s="1" t="s">
        <v>5444</v>
      </c>
      <c r="C1210" s="41">
        <v>44785</v>
      </c>
      <c r="D1210" s="1">
        <v>177443.73</v>
      </c>
      <c r="E1210" s="1" t="s">
        <v>6460</v>
      </c>
      <c r="F1210" s="1" t="s">
        <v>6466</v>
      </c>
      <c r="G1210" s="1" t="s">
        <v>17</v>
      </c>
      <c r="H1210" s="1">
        <v>11</v>
      </c>
      <c r="I1210" t="str">
        <f>IF(ISNA(_xlfn.XLOOKUP(B1210, policy_details!$A$2:$A$2829, policy_details!$A$2:$A$2829)), "Invalid", "Ok")</f>
        <v>Ok</v>
      </c>
    </row>
    <row r="1211" spans="1:9" x14ac:dyDescent="0.3">
      <c r="A1211" s="1" t="s">
        <v>7673</v>
      </c>
      <c r="B1211" s="1" t="s">
        <v>4373</v>
      </c>
      <c r="C1211" s="41">
        <v>44827</v>
      </c>
      <c r="D1211" s="1">
        <v>528275.41</v>
      </c>
      <c r="E1211" s="1" t="s">
        <v>6464</v>
      </c>
      <c r="F1211" s="1" t="s">
        <v>6458</v>
      </c>
      <c r="G1211" s="1" t="s">
        <v>30</v>
      </c>
      <c r="H1211" s="1">
        <v>21</v>
      </c>
      <c r="I1211" t="str">
        <f>IF(ISNA(_xlfn.XLOOKUP(B1211, policy_details!$A$2:$A$2829, policy_details!$A$2:$A$2829)), "Invalid", "Ok")</f>
        <v>Ok</v>
      </c>
    </row>
    <row r="1212" spans="1:9" x14ac:dyDescent="0.3">
      <c r="A1212" s="1" t="s">
        <v>7674</v>
      </c>
      <c r="B1212" s="1" t="s">
        <v>4592</v>
      </c>
      <c r="C1212" s="41">
        <v>45237</v>
      </c>
      <c r="D1212" s="1">
        <v>276028.87</v>
      </c>
      <c r="E1212" s="1" t="s">
        <v>6464</v>
      </c>
      <c r="F1212" s="1" t="s">
        <v>6461</v>
      </c>
      <c r="G1212" s="1" t="s">
        <v>17</v>
      </c>
      <c r="H1212" s="1">
        <v>44</v>
      </c>
      <c r="I1212" t="str">
        <f>IF(ISNA(_xlfn.XLOOKUP(B1212, policy_details!$A$2:$A$2829, policy_details!$A$2:$A$2829)), "Invalid", "Ok")</f>
        <v>Ok</v>
      </c>
    </row>
    <row r="1213" spans="1:9" x14ac:dyDescent="0.3">
      <c r="A1213" s="1" t="s">
        <v>7675</v>
      </c>
      <c r="B1213" s="1" t="s">
        <v>6133</v>
      </c>
      <c r="C1213" s="41">
        <v>45062</v>
      </c>
      <c r="D1213" s="1">
        <v>235106.15</v>
      </c>
      <c r="E1213" s="1" t="s">
        <v>6457</v>
      </c>
      <c r="F1213" s="1" t="s">
        <v>6470</v>
      </c>
      <c r="G1213" s="1" t="s">
        <v>17</v>
      </c>
      <c r="H1213" s="1">
        <v>10</v>
      </c>
      <c r="I1213" t="str">
        <f>IF(ISNA(_xlfn.XLOOKUP(B1213, policy_details!$A$2:$A$2829, policy_details!$A$2:$A$2829)), "Invalid", "Ok")</f>
        <v>Ok</v>
      </c>
    </row>
    <row r="1214" spans="1:9" x14ac:dyDescent="0.3">
      <c r="A1214" s="1" t="s">
        <v>7676</v>
      </c>
      <c r="B1214" s="1" t="s">
        <v>4526</v>
      </c>
      <c r="C1214" s="41">
        <v>45636</v>
      </c>
      <c r="D1214" s="1">
        <v>59135.15</v>
      </c>
      <c r="E1214" s="1" t="s">
        <v>6460</v>
      </c>
      <c r="F1214" s="1" t="s">
        <v>6461</v>
      </c>
      <c r="G1214" s="1" t="s">
        <v>17</v>
      </c>
      <c r="H1214" s="1">
        <v>41</v>
      </c>
      <c r="I1214" t="str">
        <f>IF(ISNA(_xlfn.XLOOKUP(B1214, policy_details!$A$2:$A$2829, policy_details!$A$2:$A$2829)), "Invalid", "Ok")</f>
        <v>Ok</v>
      </c>
    </row>
    <row r="1215" spans="1:9" x14ac:dyDescent="0.3">
      <c r="A1215" s="1" t="s">
        <v>7677</v>
      </c>
      <c r="B1215" s="1" t="s">
        <v>4868</v>
      </c>
      <c r="C1215" s="41">
        <v>45219</v>
      </c>
      <c r="D1215" s="1">
        <v>177616.76</v>
      </c>
      <c r="E1215" s="1" t="s">
        <v>6460</v>
      </c>
      <c r="F1215" s="1" t="s">
        <v>6481</v>
      </c>
      <c r="G1215" s="1" t="s">
        <v>17</v>
      </c>
      <c r="H1215" s="1">
        <v>37</v>
      </c>
      <c r="I1215" t="str">
        <f>IF(ISNA(_xlfn.XLOOKUP(B1215, policy_details!$A$2:$A$2829, policy_details!$A$2:$A$2829)), "Invalid", "Ok")</f>
        <v>Ok</v>
      </c>
    </row>
    <row r="1216" spans="1:9" x14ac:dyDescent="0.3">
      <c r="A1216" s="1" t="s">
        <v>7678</v>
      </c>
      <c r="B1216" s="1" t="s">
        <v>6372</v>
      </c>
      <c r="C1216" s="41">
        <v>44962</v>
      </c>
      <c r="D1216" s="1">
        <v>262900.95</v>
      </c>
      <c r="E1216" s="1" t="s">
        <v>6464</v>
      </c>
      <c r="F1216" s="1" t="s">
        <v>6470</v>
      </c>
      <c r="G1216" s="1" t="s">
        <v>17</v>
      </c>
      <c r="H1216" s="1">
        <v>3</v>
      </c>
      <c r="I1216" t="str">
        <f>IF(ISNA(_xlfn.XLOOKUP(B1216, policy_details!$A$2:$A$2829, policy_details!$A$2:$A$2829)), "Invalid", "Ok")</f>
        <v>Ok</v>
      </c>
    </row>
    <row r="1217" spans="1:9" x14ac:dyDescent="0.3">
      <c r="A1217" s="1" t="s">
        <v>7679</v>
      </c>
      <c r="B1217" s="1" t="s">
        <v>6045</v>
      </c>
      <c r="C1217" s="41">
        <v>45148</v>
      </c>
      <c r="D1217" s="1">
        <v>411777.22</v>
      </c>
      <c r="E1217" s="1" t="s">
        <v>6457</v>
      </c>
      <c r="F1217" s="1" t="s">
        <v>6458</v>
      </c>
      <c r="G1217" s="1" t="s">
        <v>30</v>
      </c>
      <c r="H1217" s="1">
        <v>17</v>
      </c>
      <c r="I1217" t="str">
        <f>IF(ISNA(_xlfn.XLOOKUP(B1217, policy_details!$A$2:$A$2829, policy_details!$A$2:$A$2829)), "Invalid", "Ok")</f>
        <v>Ok</v>
      </c>
    </row>
    <row r="1218" spans="1:9" x14ac:dyDescent="0.3">
      <c r="A1218" s="1" t="s">
        <v>7680</v>
      </c>
      <c r="B1218" s="1" t="s">
        <v>5594</v>
      </c>
      <c r="C1218" s="41">
        <v>45942</v>
      </c>
      <c r="D1218" s="1">
        <v>171570.51</v>
      </c>
      <c r="E1218" s="1" t="s">
        <v>6460</v>
      </c>
      <c r="F1218" s="1" t="s">
        <v>6481</v>
      </c>
      <c r="G1218" s="1" t="s">
        <v>17</v>
      </c>
      <c r="H1218" s="1">
        <v>44</v>
      </c>
      <c r="I1218" t="str">
        <f>IF(ISNA(_xlfn.XLOOKUP(B1218, policy_details!$A$2:$A$2829, policy_details!$A$2:$A$2829)), "Invalid", "Ok")</f>
        <v>Ok</v>
      </c>
    </row>
    <row r="1219" spans="1:9" x14ac:dyDescent="0.3">
      <c r="A1219" s="1" t="s">
        <v>7681</v>
      </c>
      <c r="B1219" s="1" t="s">
        <v>4460</v>
      </c>
      <c r="C1219" s="41">
        <v>44505</v>
      </c>
      <c r="D1219" s="1">
        <v>3405508.59</v>
      </c>
      <c r="E1219" s="1" t="s">
        <v>6464</v>
      </c>
      <c r="F1219" s="1" t="s">
        <v>6458</v>
      </c>
      <c r="G1219" s="1" t="s">
        <v>30</v>
      </c>
      <c r="H1219" s="1">
        <v>20</v>
      </c>
      <c r="I1219" t="str">
        <f>IF(ISNA(_xlfn.XLOOKUP(B1219, policy_details!$A$2:$A$2829, policy_details!$A$2:$A$2829)), "Invalid", "Ok")</f>
        <v>Ok</v>
      </c>
    </row>
    <row r="1220" spans="1:9" x14ac:dyDescent="0.3">
      <c r="A1220" s="1" t="s">
        <v>7682</v>
      </c>
      <c r="B1220" s="1" t="s">
        <v>5394</v>
      </c>
      <c r="C1220" s="41">
        <v>46193</v>
      </c>
      <c r="D1220" s="1">
        <v>762690.89</v>
      </c>
      <c r="E1220" s="1" t="s">
        <v>6457</v>
      </c>
      <c r="F1220" s="1" t="s">
        <v>6458</v>
      </c>
      <c r="G1220" s="1" t="s">
        <v>17</v>
      </c>
      <c r="H1220" s="1">
        <v>35</v>
      </c>
      <c r="I1220" t="str">
        <f>IF(ISNA(_xlfn.XLOOKUP(B1220, policy_details!$A$2:$A$2829, policy_details!$A$2:$A$2829)), "Invalid", "Ok")</f>
        <v>Ok</v>
      </c>
    </row>
    <row r="1221" spans="1:9" x14ac:dyDescent="0.3">
      <c r="A1221" s="1" t="s">
        <v>7683</v>
      </c>
      <c r="B1221" s="1" t="s">
        <v>5433</v>
      </c>
      <c r="C1221" s="41">
        <v>45212</v>
      </c>
      <c r="D1221" s="1">
        <v>309297.55</v>
      </c>
      <c r="E1221" s="1" t="s">
        <v>6464</v>
      </c>
      <c r="F1221" s="1" t="s">
        <v>6470</v>
      </c>
      <c r="G1221" s="1" t="s">
        <v>17</v>
      </c>
      <c r="H1221" s="1">
        <v>41</v>
      </c>
      <c r="I1221" t="str">
        <f>IF(ISNA(_xlfn.XLOOKUP(B1221, policy_details!$A$2:$A$2829, policy_details!$A$2:$A$2829)), "Invalid", "Ok")</f>
        <v>Ok</v>
      </c>
    </row>
    <row r="1222" spans="1:9" x14ac:dyDescent="0.3">
      <c r="A1222" s="1" t="s">
        <v>7684</v>
      </c>
      <c r="B1222" s="1" t="s">
        <v>4777</v>
      </c>
      <c r="C1222" s="41">
        <v>44740</v>
      </c>
      <c r="D1222" s="1">
        <v>529373.6</v>
      </c>
      <c r="E1222" s="1" t="s">
        <v>6464</v>
      </c>
      <c r="F1222" s="1" t="s">
        <v>6481</v>
      </c>
      <c r="G1222" s="1" t="s">
        <v>17</v>
      </c>
      <c r="H1222" s="1">
        <v>1</v>
      </c>
      <c r="I1222" t="str">
        <f>IF(ISNA(_xlfn.XLOOKUP(B1222, policy_details!$A$2:$A$2829, policy_details!$A$2:$A$2829)), "Invalid", "Ok")</f>
        <v>Ok</v>
      </c>
    </row>
    <row r="1223" spans="1:9" x14ac:dyDescent="0.3">
      <c r="A1223" s="1" t="s">
        <v>7685</v>
      </c>
      <c r="B1223" s="1" t="s">
        <v>3505</v>
      </c>
      <c r="C1223" s="41">
        <v>45688</v>
      </c>
      <c r="D1223" s="1">
        <v>571432.31999999995</v>
      </c>
      <c r="E1223" s="1" t="s">
        <v>6464</v>
      </c>
      <c r="F1223" s="1" t="s">
        <v>6458</v>
      </c>
      <c r="G1223" s="1" t="s">
        <v>17</v>
      </c>
      <c r="H1223" s="1">
        <v>33</v>
      </c>
      <c r="I1223" t="str">
        <f>IF(ISNA(_xlfn.XLOOKUP(B1223, policy_details!$A$2:$A$2829, policy_details!$A$2:$A$2829)), "Invalid", "Ok")</f>
        <v>Ok</v>
      </c>
    </row>
    <row r="1224" spans="1:9" x14ac:dyDescent="0.3">
      <c r="A1224" s="1" t="s">
        <v>7686</v>
      </c>
      <c r="B1224" s="1" t="s">
        <v>4647</v>
      </c>
      <c r="C1224" s="41">
        <v>45966</v>
      </c>
      <c r="D1224" s="1">
        <v>205642.56</v>
      </c>
      <c r="E1224" s="1" t="s">
        <v>6464</v>
      </c>
      <c r="F1224" s="1" t="s">
        <v>6470</v>
      </c>
      <c r="G1224" s="1" t="s">
        <v>30</v>
      </c>
      <c r="H1224" s="1">
        <v>41</v>
      </c>
      <c r="I1224" t="str">
        <f>IF(ISNA(_xlfn.XLOOKUP(B1224, policy_details!$A$2:$A$2829, policy_details!$A$2:$A$2829)), "Invalid", "Ok")</f>
        <v>Ok</v>
      </c>
    </row>
    <row r="1225" spans="1:9" x14ac:dyDescent="0.3">
      <c r="A1225" s="1" t="s">
        <v>7687</v>
      </c>
      <c r="B1225" s="1" t="s">
        <v>5051</v>
      </c>
      <c r="C1225" s="41">
        <v>45291</v>
      </c>
      <c r="D1225" s="1">
        <v>503894.57</v>
      </c>
      <c r="E1225" s="1" t="s">
        <v>6457</v>
      </c>
      <c r="F1225" s="1" t="s">
        <v>6470</v>
      </c>
      <c r="G1225" s="1" t="s">
        <v>30</v>
      </c>
      <c r="H1225" s="1">
        <v>26</v>
      </c>
      <c r="I1225" t="str">
        <f>IF(ISNA(_xlfn.XLOOKUP(B1225, policy_details!$A$2:$A$2829, policy_details!$A$2:$A$2829)), "Invalid", "Ok")</f>
        <v>Ok</v>
      </c>
    </row>
    <row r="1226" spans="1:9" x14ac:dyDescent="0.3">
      <c r="A1226" s="1" t="s">
        <v>7688</v>
      </c>
      <c r="B1226" s="1" t="s">
        <v>6310</v>
      </c>
      <c r="C1226" s="41">
        <v>44592</v>
      </c>
      <c r="D1226" s="1">
        <v>314575.24</v>
      </c>
      <c r="E1226" s="1" t="s">
        <v>6460</v>
      </c>
      <c r="F1226" s="1" t="s">
        <v>6481</v>
      </c>
      <c r="G1226" s="1" t="s">
        <v>17</v>
      </c>
      <c r="H1226" s="1">
        <v>43</v>
      </c>
      <c r="I1226" t="str">
        <f>IF(ISNA(_xlfn.XLOOKUP(B1226, policy_details!$A$2:$A$2829, policy_details!$A$2:$A$2829)), "Invalid", "Ok")</f>
        <v>Ok</v>
      </c>
    </row>
    <row r="1227" spans="1:9" x14ac:dyDescent="0.3">
      <c r="A1227" s="1" t="s">
        <v>7689</v>
      </c>
      <c r="B1227" s="1" t="s">
        <v>5674</v>
      </c>
      <c r="C1227" s="41">
        <v>45695</v>
      </c>
      <c r="D1227" s="1">
        <v>489504.98</v>
      </c>
      <c r="E1227" s="1" t="s">
        <v>6460</v>
      </c>
      <c r="F1227" s="1" t="s">
        <v>6461</v>
      </c>
      <c r="G1227" s="1" t="s">
        <v>17</v>
      </c>
      <c r="H1227" s="1">
        <v>31</v>
      </c>
      <c r="I1227" t="str">
        <f>IF(ISNA(_xlfn.XLOOKUP(B1227, policy_details!$A$2:$A$2829, policy_details!$A$2:$A$2829)), "Invalid", "Ok")</f>
        <v>Ok</v>
      </c>
    </row>
    <row r="1228" spans="1:9" x14ac:dyDescent="0.3">
      <c r="A1228" s="1" t="s">
        <v>7690</v>
      </c>
      <c r="B1228" s="1" t="s">
        <v>3818</v>
      </c>
      <c r="C1228" s="41">
        <v>44627</v>
      </c>
      <c r="D1228" s="1">
        <v>160001.26999999999</v>
      </c>
      <c r="E1228" s="1" t="s">
        <v>6457</v>
      </c>
      <c r="F1228" s="1" t="s">
        <v>6466</v>
      </c>
      <c r="G1228" s="1" t="s">
        <v>17</v>
      </c>
      <c r="H1228" s="1">
        <v>28</v>
      </c>
      <c r="I1228" t="str">
        <f>IF(ISNA(_xlfn.XLOOKUP(B1228, policy_details!$A$2:$A$2829, policy_details!$A$2:$A$2829)), "Invalid", "Ok")</f>
        <v>Ok</v>
      </c>
    </row>
    <row r="1229" spans="1:9" x14ac:dyDescent="0.3">
      <c r="A1229" s="1" t="s">
        <v>7691</v>
      </c>
      <c r="B1229" s="1" t="s">
        <v>4451</v>
      </c>
      <c r="C1229" s="41">
        <v>46017</v>
      </c>
      <c r="D1229" s="1">
        <v>368405.35</v>
      </c>
      <c r="E1229" s="1" t="s">
        <v>6457</v>
      </c>
      <c r="F1229" s="1" t="s">
        <v>6461</v>
      </c>
      <c r="G1229" s="1" t="s">
        <v>30</v>
      </c>
      <c r="H1229" s="1">
        <v>6</v>
      </c>
      <c r="I1229" t="str">
        <f>IF(ISNA(_xlfn.XLOOKUP(B1229, policy_details!$A$2:$A$2829, policy_details!$A$2:$A$2829)), "Invalid", "Ok")</f>
        <v>Ok</v>
      </c>
    </row>
    <row r="1230" spans="1:9" x14ac:dyDescent="0.3">
      <c r="A1230" s="1" t="s">
        <v>7692</v>
      </c>
      <c r="B1230" s="1" t="s">
        <v>5090</v>
      </c>
      <c r="C1230" s="41">
        <v>45910</v>
      </c>
      <c r="D1230" s="1">
        <v>221841.81</v>
      </c>
      <c r="E1230" s="1" t="s">
        <v>6460</v>
      </c>
      <c r="F1230" s="1" t="s">
        <v>6466</v>
      </c>
      <c r="G1230" s="1" t="s">
        <v>17</v>
      </c>
      <c r="H1230" s="1">
        <v>35</v>
      </c>
      <c r="I1230" t="str">
        <f>IF(ISNA(_xlfn.XLOOKUP(B1230, policy_details!$A$2:$A$2829, policy_details!$A$2:$A$2829)), "Invalid", "Ok")</f>
        <v>Ok</v>
      </c>
    </row>
    <row r="1231" spans="1:9" x14ac:dyDescent="0.3">
      <c r="A1231" s="1" t="s">
        <v>7693</v>
      </c>
      <c r="B1231" s="1" t="s">
        <v>4888</v>
      </c>
      <c r="C1231" s="41">
        <v>44464</v>
      </c>
      <c r="D1231" s="1">
        <v>212240.67</v>
      </c>
      <c r="E1231" s="1" t="s">
        <v>6457</v>
      </c>
      <c r="F1231" s="1" t="s">
        <v>6481</v>
      </c>
      <c r="G1231" s="1" t="s">
        <v>17</v>
      </c>
      <c r="H1231" s="1">
        <v>38</v>
      </c>
      <c r="I1231" t="str">
        <f>IF(ISNA(_xlfn.XLOOKUP(B1231, policy_details!$A$2:$A$2829, policy_details!$A$2:$A$2829)), "Invalid", "Ok")</f>
        <v>Ok</v>
      </c>
    </row>
    <row r="1232" spans="1:9" x14ac:dyDescent="0.3">
      <c r="A1232" s="1" t="s">
        <v>7694</v>
      </c>
      <c r="B1232" s="1" t="s">
        <v>3346</v>
      </c>
      <c r="C1232" s="41">
        <v>45024</v>
      </c>
      <c r="D1232" s="1">
        <v>247888.04</v>
      </c>
      <c r="E1232" s="1" t="s">
        <v>6457</v>
      </c>
      <c r="F1232" s="1" t="s">
        <v>6470</v>
      </c>
      <c r="G1232" s="1" t="s">
        <v>17</v>
      </c>
      <c r="H1232" s="1">
        <v>15</v>
      </c>
      <c r="I1232" t="str">
        <f>IF(ISNA(_xlfn.XLOOKUP(B1232, policy_details!$A$2:$A$2829, policy_details!$A$2:$A$2829)), "Invalid", "Ok")</f>
        <v>Ok</v>
      </c>
    </row>
    <row r="1233" spans="1:9" x14ac:dyDescent="0.3">
      <c r="A1233" s="1" t="s">
        <v>7695</v>
      </c>
      <c r="B1233" s="1" t="s">
        <v>6265</v>
      </c>
      <c r="C1233" s="41">
        <v>45491</v>
      </c>
      <c r="D1233" s="1">
        <v>141869.28</v>
      </c>
      <c r="E1233" s="1" t="s">
        <v>6464</v>
      </c>
      <c r="F1233" s="1" t="s">
        <v>6461</v>
      </c>
      <c r="G1233" s="1" t="s">
        <v>17</v>
      </c>
      <c r="H1233" s="1">
        <v>7</v>
      </c>
      <c r="I1233" t="str">
        <f>IF(ISNA(_xlfn.XLOOKUP(B1233, policy_details!$A$2:$A$2829, policy_details!$A$2:$A$2829)), "Invalid", "Ok")</f>
        <v>Ok</v>
      </c>
    </row>
    <row r="1234" spans="1:9" x14ac:dyDescent="0.3">
      <c r="A1234" s="1" t="s">
        <v>7696</v>
      </c>
      <c r="B1234" s="1" t="s">
        <v>6177</v>
      </c>
      <c r="C1234" s="41">
        <v>45143</v>
      </c>
      <c r="D1234" s="1">
        <v>862737.42</v>
      </c>
      <c r="E1234" s="1" t="s">
        <v>6457</v>
      </c>
      <c r="F1234" s="1" t="s">
        <v>6458</v>
      </c>
      <c r="G1234" s="1" t="s">
        <v>17</v>
      </c>
      <c r="H1234" s="1">
        <v>26</v>
      </c>
      <c r="I1234" t="str">
        <f>IF(ISNA(_xlfn.XLOOKUP(B1234, policy_details!$A$2:$A$2829, policy_details!$A$2:$A$2829)), "Invalid", "Ok")</f>
        <v>Ok</v>
      </c>
    </row>
    <row r="1235" spans="1:9" x14ac:dyDescent="0.3">
      <c r="A1235" s="1" t="s">
        <v>7697</v>
      </c>
      <c r="B1235" s="1" t="s">
        <v>6233</v>
      </c>
      <c r="C1235" s="41">
        <v>45272</v>
      </c>
      <c r="D1235" s="1">
        <v>280401.88</v>
      </c>
      <c r="E1235" s="1" t="s">
        <v>6457</v>
      </c>
      <c r="F1235" s="1" t="s">
        <v>6466</v>
      </c>
      <c r="G1235" s="1" t="s">
        <v>17</v>
      </c>
      <c r="H1235" s="1">
        <v>42</v>
      </c>
      <c r="I1235" t="str">
        <f>IF(ISNA(_xlfn.XLOOKUP(B1235, policy_details!$A$2:$A$2829, policy_details!$A$2:$A$2829)), "Invalid", "Ok")</f>
        <v>Ok</v>
      </c>
    </row>
    <row r="1236" spans="1:9" x14ac:dyDescent="0.3">
      <c r="A1236" s="1" t="s">
        <v>7698</v>
      </c>
      <c r="B1236" s="1" t="s">
        <v>4825</v>
      </c>
      <c r="C1236" s="41">
        <v>45330</v>
      </c>
      <c r="D1236" s="1">
        <v>364500.43</v>
      </c>
      <c r="E1236" s="1" t="s">
        <v>6460</v>
      </c>
      <c r="F1236" s="1" t="s">
        <v>6458</v>
      </c>
      <c r="G1236" s="1" t="s">
        <v>17</v>
      </c>
      <c r="H1236" s="1">
        <v>33</v>
      </c>
      <c r="I1236" t="str">
        <f>IF(ISNA(_xlfn.XLOOKUP(B1236, policy_details!$A$2:$A$2829, policy_details!$A$2:$A$2829)), "Invalid", "Ok")</f>
        <v>Ok</v>
      </c>
    </row>
    <row r="1237" spans="1:9" x14ac:dyDescent="0.3">
      <c r="A1237" s="1" t="s">
        <v>7699</v>
      </c>
      <c r="B1237" s="1" t="s">
        <v>5976</v>
      </c>
      <c r="C1237" s="41">
        <v>46195</v>
      </c>
      <c r="D1237" s="1">
        <v>120738.71</v>
      </c>
      <c r="E1237" s="1" t="s">
        <v>6457</v>
      </c>
      <c r="F1237" s="1" t="s">
        <v>6470</v>
      </c>
      <c r="G1237" s="1" t="s">
        <v>17</v>
      </c>
      <c r="H1237" s="1">
        <v>36</v>
      </c>
      <c r="I1237" t="str">
        <f>IF(ISNA(_xlfn.XLOOKUP(B1237, policy_details!$A$2:$A$2829, policy_details!$A$2:$A$2829)), "Invalid", "Ok")</f>
        <v>Ok</v>
      </c>
    </row>
    <row r="1238" spans="1:9" x14ac:dyDescent="0.3">
      <c r="A1238" s="1" t="s">
        <v>7700</v>
      </c>
      <c r="B1238" s="1" t="s">
        <v>5620</v>
      </c>
      <c r="C1238" s="41">
        <v>45175</v>
      </c>
      <c r="D1238" s="1">
        <v>258340.47</v>
      </c>
      <c r="E1238" s="1" t="s">
        <v>6460</v>
      </c>
      <c r="F1238" s="1" t="s">
        <v>6470</v>
      </c>
      <c r="G1238" s="1" t="s">
        <v>17</v>
      </c>
      <c r="H1238" s="1">
        <v>25</v>
      </c>
      <c r="I1238" t="str">
        <f>IF(ISNA(_xlfn.XLOOKUP(B1238, policy_details!$A$2:$A$2829, policy_details!$A$2:$A$2829)), "Invalid", "Ok")</f>
        <v>Ok</v>
      </c>
    </row>
    <row r="1239" spans="1:9" x14ac:dyDescent="0.3">
      <c r="A1239" s="1" t="s">
        <v>7701</v>
      </c>
      <c r="B1239" s="1" t="s">
        <v>5061</v>
      </c>
      <c r="C1239" s="41">
        <v>45851</v>
      </c>
      <c r="D1239" s="1">
        <v>1477578.64</v>
      </c>
      <c r="E1239" s="1" t="s">
        <v>6457</v>
      </c>
      <c r="F1239" s="1" t="s">
        <v>6458</v>
      </c>
      <c r="G1239" s="1" t="s">
        <v>17</v>
      </c>
      <c r="H1239" s="1">
        <v>19</v>
      </c>
      <c r="I1239" t="str">
        <f>IF(ISNA(_xlfn.XLOOKUP(B1239, policy_details!$A$2:$A$2829, policy_details!$A$2:$A$2829)), "Invalid", "Ok")</f>
        <v>Ok</v>
      </c>
    </row>
    <row r="1240" spans="1:9" x14ac:dyDescent="0.3">
      <c r="A1240" s="1" t="s">
        <v>7702</v>
      </c>
      <c r="B1240" s="1" t="s">
        <v>3687</v>
      </c>
      <c r="C1240" s="41">
        <v>44995</v>
      </c>
      <c r="D1240" s="1">
        <v>179333.85</v>
      </c>
      <c r="E1240" s="1" t="s">
        <v>6464</v>
      </c>
      <c r="F1240" s="1" t="s">
        <v>6461</v>
      </c>
      <c r="G1240" s="1" t="s">
        <v>17</v>
      </c>
      <c r="H1240" s="1">
        <v>14</v>
      </c>
      <c r="I1240" t="str">
        <f>IF(ISNA(_xlfn.XLOOKUP(B1240, policy_details!$A$2:$A$2829, policy_details!$A$2:$A$2829)), "Invalid", "Ok")</f>
        <v>Ok</v>
      </c>
    </row>
    <row r="1241" spans="1:9" x14ac:dyDescent="0.3">
      <c r="A1241" s="1" t="s">
        <v>7703</v>
      </c>
      <c r="B1241" s="1" t="s">
        <v>4030</v>
      </c>
      <c r="C1241" s="41">
        <v>44914</v>
      </c>
      <c r="D1241" s="1">
        <v>286975.31</v>
      </c>
      <c r="E1241" s="1" t="s">
        <v>6460</v>
      </c>
      <c r="F1241" s="1" t="s">
        <v>6481</v>
      </c>
      <c r="G1241" s="1" t="s">
        <v>17</v>
      </c>
      <c r="H1241" s="1">
        <v>36</v>
      </c>
      <c r="I1241" t="str">
        <f>IF(ISNA(_xlfn.XLOOKUP(B1241, policy_details!$A$2:$A$2829, policy_details!$A$2:$A$2829)), "Invalid", "Ok")</f>
        <v>Ok</v>
      </c>
    </row>
    <row r="1242" spans="1:9" x14ac:dyDescent="0.3">
      <c r="A1242" s="1" t="s">
        <v>7704</v>
      </c>
      <c r="B1242" s="1" t="s">
        <v>4257</v>
      </c>
      <c r="C1242" s="41">
        <v>45600</v>
      </c>
      <c r="D1242" s="1">
        <v>1100550.54</v>
      </c>
      <c r="E1242" s="1" t="s">
        <v>6460</v>
      </c>
      <c r="F1242" s="1" t="s">
        <v>6458</v>
      </c>
      <c r="G1242" s="1" t="s">
        <v>17</v>
      </c>
      <c r="H1242" s="1">
        <v>29</v>
      </c>
      <c r="I1242" t="str">
        <f>IF(ISNA(_xlfn.XLOOKUP(B1242, policy_details!$A$2:$A$2829, policy_details!$A$2:$A$2829)), "Invalid", "Ok")</f>
        <v>Ok</v>
      </c>
    </row>
    <row r="1243" spans="1:9" x14ac:dyDescent="0.3">
      <c r="A1243" s="1" t="s">
        <v>7705</v>
      </c>
      <c r="B1243" s="1" t="s">
        <v>6154</v>
      </c>
      <c r="C1243" s="41">
        <v>45544</v>
      </c>
      <c r="D1243" s="1">
        <v>355145.21</v>
      </c>
      <c r="E1243" s="1" t="s">
        <v>6457</v>
      </c>
      <c r="F1243" s="1" t="s">
        <v>6466</v>
      </c>
      <c r="G1243" s="1" t="s">
        <v>17</v>
      </c>
      <c r="H1243" s="1">
        <v>33</v>
      </c>
      <c r="I1243" t="str">
        <f>IF(ISNA(_xlfn.XLOOKUP(B1243, policy_details!$A$2:$A$2829, policy_details!$A$2:$A$2829)), "Invalid", "Ok")</f>
        <v>Ok</v>
      </c>
    </row>
    <row r="1244" spans="1:9" x14ac:dyDescent="0.3">
      <c r="A1244" s="1" t="s">
        <v>7706</v>
      </c>
      <c r="B1244" s="1" t="s">
        <v>5499</v>
      </c>
      <c r="C1244" s="41">
        <v>45908</v>
      </c>
      <c r="D1244" s="1">
        <v>441104.04</v>
      </c>
      <c r="E1244" s="1" t="s">
        <v>6464</v>
      </c>
      <c r="F1244" s="1" t="s">
        <v>6458</v>
      </c>
      <c r="G1244" s="1" t="s">
        <v>17</v>
      </c>
      <c r="H1244" s="1">
        <v>37</v>
      </c>
      <c r="I1244" t="str">
        <f>IF(ISNA(_xlfn.XLOOKUP(B1244, policy_details!$A$2:$A$2829, policy_details!$A$2:$A$2829)), "Invalid", "Ok")</f>
        <v>Ok</v>
      </c>
    </row>
    <row r="1245" spans="1:9" x14ac:dyDescent="0.3">
      <c r="A1245" s="1" t="s">
        <v>7707</v>
      </c>
      <c r="B1245" s="1" t="s">
        <v>6401</v>
      </c>
      <c r="C1245" s="41">
        <v>45264</v>
      </c>
      <c r="D1245" s="1">
        <v>697608.3</v>
      </c>
      <c r="E1245" s="1" t="s">
        <v>6457</v>
      </c>
      <c r="F1245" s="1" t="s">
        <v>6458</v>
      </c>
      <c r="G1245" s="1" t="s">
        <v>17</v>
      </c>
      <c r="H1245" s="1">
        <v>44</v>
      </c>
      <c r="I1245" t="str">
        <f>IF(ISNA(_xlfn.XLOOKUP(B1245, policy_details!$A$2:$A$2829, policy_details!$A$2:$A$2829)), "Invalid", "Ok")</f>
        <v>Ok</v>
      </c>
    </row>
    <row r="1246" spans="1:9" x14ac:dyDescent="0.3">
      <c r="A1246" s="1" t="s">
        <v>7708</v>
      </c>
      <c r="B1246" s="1" t="s">
        <v>5217</v>
      </c>
      <c r="C1246" s="41">
        <v>45123</v>
      </c>
      <c r="D1246" s="1">
        <v>173424.49</v>
      </c>
      <c r="E1246" s="1" t="s">
        <v>6460</v>
      </c>
      <c r="F1246" s="1" t="s">
        <v>6470</v>
      </c>
      <c r="G1246" s="1" t="s">
        <v>17</v>
      </c>
      <c r="H1246" s="1">
        <v>37</v>
      </c>
      <c r="I1246" t="str">
        <f>IF(ISNA(_xlfn.XLOOKUP(B1246, policy_details!$A$2:$A$2829, policy_details!$A$2:$A$2829)), "Invalid", "Ok")</f>
        <v>Ok</v>
      </c>
    </row>
    <row r="1247" spans="1:9" x14ac:dyDescent="0.3">
      <c r="A1247" s="1" t="s">
        <v>7709</v>
      </c>
      <c r="B1247" s="1" t="s">
        <v>3717</v>
      </c>
      <c r="C1247" s="41">
        <v>45307</v>
      </c>
      <c r="D1247" s="1">
        <v>275711.7</v>
      </c>
      <c r="E1247" s="1" t="s">
        <v>6457</v>
      </c>
      <c r="F1247" s="1" t="s">
        <v>6481</v>
      </c>
      <c r="G1247" s="1" t="s">
        <v>17</v>
      </c>
      <c r="H1247" s="1">
        <v>20</v>
      </c>
      <c r="I1247" t="str">
        <f>IF(ISNA(_xlfn.XLOOKUP(B1247, policy_details!$A$2:$A$2829, policy_details!$A$2:$A$2829)), "Invalid", "Ok")</f>
        <v>Ok</v>
      </c>
    </row>
    <row r="1248" spans="1:9" x14ac:dyDescent="0.3">
      <c r="A1248" s="1" t="s">
        <v>7710</v>
      </c>
      <c r="B1248" s="1" t="s">
        <v>4963</v>
      </c>
      <c r="C1248" s="41">
        <v>45054</v>
      </c>
      <c r="D1248" s="1">
        <v>62685.96</v>
      </c>
      <c r="E1248" s="1" t="s">
        <v>6457</v>
      </c>
      <c r="F1248" s="1" t="s">
        <v>6470</v>
      </c>
      <c r="G1248" s="1" t="s">
        <v>17</v>
      </c>
      <c r="H1248" s="1">
        <v>6</v>
      </c>
      <c r="I1248" t="str">
        <f>IF(ISNA(_xlfn.XLOOKUP(B1248, policy_details!$A$2:$A$2829, policy_details!$A$2:$A$2829)), "Invalid", "Ok")</f>
        <v>Ok</v>
      </c>
    </row>
    <row r="1249" spans="1:9" x14ac:dyDescent="0.3">
      <c r="A1249" s="1" t="s">
        <v>7711</v>
      </c>
      <c r="B1249" s="1" t="s">
        <v>3834</v>
      </c>
      <c r="C1249" s="41">
        <v>45419</v>
      </c>
      <c r="D1249" s="1">
        <v>79992.95</v>
      </c>
      <c r="E1249" s="1" t="s">
        <v>6457</v>
      </c>
      <c r="F1249" s="1" t="s">
        <v>6461</v>
      </c>
      <c r="G1249" s="1" t="s">
        <v>17</v>
      </c>
      <c r="H1249" s="1">
        <v>25</v>
      </c>
      <c r="I1249" t="str">
        <f>IF(ISNA(_xlfn.XLOOKUP(B1249, policy_details!$A$2:$A$2829, policy_details!$A$2:$A$2829)), "Invalid", "Ok")</f>
        <v>Ok</v>
      </c>
    </row>
    <row r="1250" spans="1:9" x14ac:dyDescent="0.3">
      <c r="A1250" s="1" t="s">
        <v>7712</v>
      </c>
      <c r="B1250" s="1" t="s">
        <v>6169</v>
      </c>
      <c r="C1250" s="41">
        <v>45108</v>
      </c>
      <c r="D1250" s="1">
        <v>148755.65</v>
      </c>
      <c r="E1250" s="1" t="s">
        <v>6457</v>
      </c>
      <c r="F1250" s="1" t="s">
        <v>6461</v>
      </c>
      <c r="G1250" s="1" t="s">
        <v>17</v>
      </c>
      <c r="H1250" s="1">
        <v>20</v>
      </c>
      <c r="I1250" t="str">
        <f>IF(ISNA(_xlfn.XLOOKUP(B1250, policy_details!$A$2:$A$2829, policy_details!$A$2:$A$2829)), "Invalid", "Ok")</f>
        <v>Ok</v>
      </c>
    </row>
    <row r="1251" spans="1:9" x14ac:dyDescent="0.3">
      <c r="A1251" s="1" t="s">
        <v>7713</v>
      </c>
      <c r="B1251" s="1" t="s">
        <v>4382</v>
      </c>
      <c r="C1251" s="41">
        <v>45877</v>
      </c>
      <c r="D1251" s="1">
        <v>248938.44</v>
      </c>
      <c r="E1251" s="1" t="s">
        <v>6464</v>
      </c>
      <c r="F1251" s="1" t="s">
        <v>6461</v>
      </c>
      <c r="G1251" s="1" t="s">
        <v>30</v>
      </c>
      <c r="H1251" s="1">
        <v>42</v>
      </c>
      <c r="I1251" t="str">
        <f>IF(ISNA(_xlfn.XLOOKUP(B1251, policy_details!$A$2:$A$2829, policy_details!$A$2:$A$2829)), "Invalid", "Ok")</f>
        <v>Ok</v>
      </c>
    </row>
    <row r="1252" spans="1:9" x14ac:dyDescent="0.3">
      <c r="A1252" s="1" t="s">
        <v>7714</v>
      </c>
      <c r="B1252" s="1" t="s">
        <v>4131</v>
      </c>
      <c r="C1252" s="41">
        <v>46233</v>
      </c>
      <c r="D1252" s="1">
        <v>202743.36</v>
      </c>
      <c r="E1252" s="1" t="s">
        <v>6457</v>
      </c>
      <c r="F1252" s="1" t="s">
        <v>6481</v>
      </c>
      <c r="G1252" s="1" t="s">
        <v>17</v>
      </c>
      <c r="H1252" s="1">
        <v>2</v>
      </c>
      <c r="I1252" t="str">
        <f>IF(ISNA(_xlfn.XLOOKUP(B1252, policy_details!$A$2:$A$2829, policy_details!$A$2:$A$2829)), "Invalid", "Ok")</f>
        <v>Ok</v>
      </c>
    </row>
    <row r="1253" spans="1:9" x14ac:dyDescent="0.3">
      <c r="A1253" s="1" t="s">
        <v>7715</v>
      </c>
      <c r="B1253" s="1" t="s">
        <v>5060</v>
      </c>
      <c r="C1253" s="41">
        <v>45413</v>
      </c>
      <c r="D1253" s="1">
        <v>179112.82</v>
      </c>
      <c r="E1253" s="1" t="s">
        <v>6464</v>
      </c>
      <c r="F1253" s="1" t="s">
        <v>6481</v>
      </c>
      <c r="G1253" s="1" t="s">
        <v>17</v>
      </c>
      <c r="H1253" s="1">
        <v>38</v>
      </c>
      <c r="I1253" t="str">
        <f>IF(ISNA(_xlfn.XLOOKUP(B1253, policy_details!$A$2:$A$2829, policy_details!$A$2:$A$2829)), "Invalid", "Ok")</f>
        <v>Ok</v>
      </c>
    </row>
    <row r="1254" spans="1:9" x14ac:dyDescent="0.3">
      <c r="A1254" s="1" t="s">
        <v>7716</v>
      </c>
      <c r="B1254" s="1" t="s">
        <v>5901</v>
      </c>
      <c r="C1254" s="41">
        <v>45142</v>
      </c>
      <c r="D1254" s="1">
        <v>286563.96000000002</v>
      </c>
      <c r="E1254" s="1" t="s">
        <v>6460</v>
      </c>
      <c r="F1254" s="1" t="s">
        <v>6466</v>
      </c>
      <c r="G1254" s="1" t="s">
        <v>17</v>
      </c>
      <c r="H1254" s="1">
        <v>28</v>
      </c>
      <c r="I1254" t="str">
        <f>IF(ISNA(_xlfn.XLOOKUP(B1254, policy_details!$A$2:$A$2829, policy_details!$A$2:$A$2829)), "Invalid", "Ok")</f>
        <v>Ok</v>
      </c>
    </row>
    <row r="1255" spans="1:9" x14ac:dyDescent="0.3">
      <c r="A1255" s="1" t="s">
        <v>7717</v>
      </c>
      <c r="B1255" s="1" t="s">
        <v>5057</v>
      </c>
      <c r="C1255" s="41">
        <v>45674</v>
      </c>
      <c r="D1255" s="1">
        <v>186716.62</v>
      </c>
      <c r="E1255" s="1" t="s">
        <v>6460</v>
      </c>
      <c r="F1255" s="1" t="s">
        <v>6466</v>
      </c>
      <c r="G1255" s="1" t="s">
        <v>17</v>
      </c>
      <c r="H1255" s="1">
        <v>4</v>
      </c>
      <c r="I1255" t="str">
        <f>IF(ISNA(_xlfn.XLOOKUP(B1255, policy_details!$A$2:$A$2829, policy_details!$A$2:$A$2829)), "Invalid", "Ok")</f>
        <v>Ok</v>
      </c>
    </row>
    <row r="1256" spans="1:9" x14ac:dyDescent="0.3">
      <c r="A1256" s="1" t="s">
        <v>7718</v>
      </c>
      <c r="B1256" s="1" t="s">
        <v>3514</v>
      </c>
      <c r="C1256" s="41">
        <v>44716</v>
      </c>
      <c r="D1256" s="1">
        <v>1398064.41</v>
      </c>
      <c r="E1256" s="1" t="s">
        <v>6457</v>
      </c>
      <c r="F1256" s="1" t="s">
        <v>6458</v>
      </c>
      <c r="G1256" s="1" t="s">
        <v>17</v>
      </c>
      <c r="H1256" s="1">
        <v>11</v>
      </c>
      <c r="I1256" t="str">
        <f>IF(ISNA(_xlfn.XLOOKUP(B1256, policy_details!$A$2:$A$2829, policy_details!$A$2:$A$2829)), "Invalid", "Ok")</f>
        <v>Ok</v>
      </c>
    </row>
    <row r="1257" spans="1:9" x14ac:dyDescent="0.3">
      <c r="A1257" s="1" t="s">
        <v>7719</v>
      </c>
      <c r="B1257" s="1" t="s">
        <v>5717</v>
      </c>
      <c r="C1257" s="41">
        <v>45057</v>
      </c>
      <c r="D1257" s="1">
        <v>223810.13</v>
      </c>
      <c r="E1257" s="1" t="s">
        <v>6457</v>
      </c>
      <c r="F1257" s="1" t="s">
        <v>6481</v>
      </c>
      <c r="G1257" s="1" t="s">
        <v>17</v>
      </c>
      <c r="H1257" s="1">
        <v>3</v>
      </c>
      <c r="I1257" t="str">
        <f>IF(ISNA(_xlfn.XLOOKUP(B1257, policy_details!$A$2:$A$2829, policy_details!$A$2:$A$2829)), "Invalid", "Ok")</f>
        <v>Ok</v>
      </c>
    </row>
    <row r="1258" spans="1:9" x14ac:dyDescent="0.3">
      <c r="A1258" s="1" t="s">
        <v>7720</v>
      </c>
      <c r="B1258" s="1" t="s">
        <v>3493</v>
      </c>
      <c r="C1258" s="41">
        <v>46148</v>
      </c>
      <c r="D1258" s="1">
        <v>103063.87</v>
      </c>
      <c r="E1258" s="1" t="s">
        <v>6464</v>
      </c>
      <c r="F1258" s="1" t="s">
        <v>6470</v>
      </c>
      <c r="G1258" s="1" t="s">
        <v>17</v>
      </c>
      <c r="H1258" s="1">
        <v>41</v>
      </c>
      <c r="I1258" t="str">
        <f>IF(ISNA(_xlfn.XLOOKUP(B1258, policy_details!$A$2:$A$2829, policy_details!$A$2:$A$2829)), "Invalid", "Ok")</f>
        <v>Ok</v>
      </c>
    </row>
    <row r="1259" spans="1:9" x14ac:dyDescent="0.3">
      <c r="A1259" s="1" t="s">
        <v>7721</v>
      </c>
      <c r="B1259" s="1" t="s">
        <v>5326</v>
      </c>
      <c r="C1259" s="41">
        <v>45520</v>
      </c>
      <c r="D1259" s="1">
        <v>305189.65999999997</v>
      </c>
      <c r="E1259" s="1" t="s">
        <v>6457</v>
      </c>
      <c r="F1259" s="1" t="s">
        <v>6461</v>
      </c>
      <c r="G1259" s="1" t="s">
        <v>17</v>
      </c>
      <c r="H1259" s="1">
        <v>29</v>
      </c>
      <c r="I1259" t="str">
        <f>IF(ISNA(_xlfn.XLOOKUP(B1259, policy_details!$A$2:$A$2829, policy_details!$A$2:$A$2829)), "Invalid", "Ok")</f>
        <v>Ok</v>
      </c>
    </row>
    <row r="1260" spans="1:9" x14ac:dyDescent="0.3">
      <c r="A1260" s="1" t="s">
        <v>7722</v>
      </c>
      <c r="B1260" s="1" t="s">
        <v>5362</v>
      </c>
      <c r="C1260" s="41">
        <v>44803</v>
      </c>
      <c r="D1260" s="1">
        <v>464095.98</v>
      </c>
      <c r="E1260" s="1" t="s">
        <v>6464</v>
      </c>
      <c r="F1260" s="1" t="s">
        <v>6481</v>
      </c>
      <c r="G1260" s="1" t="s">
        <v>17</v>
      </c>
      <c r="H1260" s="1">
        <v>28</v>
      </c>
      <c r="I1260" t="str">
        <f>IF(ISNA(_xlfn.XLOOKUP(B1260, policy_details!$A$2:$A$2829, policy_details!$A$2:$A$2829)), "Invalid", "Ok")</f>
        <v>Ok</v>
      </c>
    </row>
    <row r="1261" spans="1:9" x14ac:dyDescent="0.3">
      <c r="A1261" s="1" t="s">
        <v>7723</v>
      </c>
      <c r="B1261" s="1" t="s">
        <v>4165</v>
      </c>
      <c r="C1261" s="41">
        <v>45927</v>
      </c>
      <c r="D1261" s="1">
        <v>155045.9</v>
      </c>
      <c r="E1261" s="1" t="s">
        <v>6460</v>
      </c>
      <c r="F1261" s="1" t="s">
        <v>6481</v>
      </c>
      <c r="G1261" s="1" t="s">
        <v>17</v>
      </c>
      <c r="H1261" s="1">
        <v>23</v>
      </c>
      <c r="I1261" t="str">
        <f>IF(ISNA(_xlfn.XLOOKUP(B1261, policy_details!$A$2:$A$2829, policy_details!$A$2:$A$2829)), "Invalid", "Ok")</f>
        <v>Ok</v>
      </c>
    </row>
    <row r="1262" spans="1:9" x14ac:dyDescent="0.3">
      <c r="A1262" s="1" t="s">
        <v>7724</v>
      </c>
      <c r="B1262" s="1" t="s">
        <v>4875</v>
      </c>
      <c r="C1262" s="41">
        <v>45771</v>
      </c>
      <c r="D1262" s="1">
        <v>1096903.58</v>
      </c>
      <c r="E1262" s="1" t="s">
        <v>6460</v>
      </c>
      <c r="F1262" s="1" t="s">
        <v>6458</v>
      </c>
      <c r="G1262" s="1" t="s">
        <v>17</v>
      </c>
      <c r="H1262" s="1">
        <v>18</v>
      </c>
      <c r="I1262" t="str">
        <f>IF(ISNA(_xlfn.XLOOKUP(B1262, policy_details!$A$2:$A$2829, policy_details!$A$2:$A$2829)), "Invalid", "Ok")</f>
        <v>Ok</v>
      </c>
    </row>
    <row r="1263" spans="1:9" x14ac:dyDescent="0.3">
      <c r="A1263" s="1" t="s">
        <v>7725</v>
      </c>
      <c r="B1263" s="1" t="s">
        <v>3352</v>
      </c>
      <c r="C1263" s="41">
        <v>45273</v>
      </c>
      <c r="D1263" s="1">
        <v>152875.24</v>
      </c>
      <c r="E1263" s="1" t="s">
        <v>6464</v>
      </c>
      <c r="F1263" s="1" t="s">
        <v>6470</v>
      </c>
      <c r="G1263" s="1" t="s">
        <v>17</v>
      </c>
      <c r="H1263" s="1">
        <v>8</v>
      </c>
      <c r="I1263" t="str">
        <f>IF(ISNA(_xlfn.XLOOKUP(B1263, policy_details!$A$2:$A$2829, policy_details!$A$2:$A$2829)), "Invalid", "Ok")</f>
        <v>Ok</v>
      </c>
    </row>
    <row r="1264" spans="1:9" x14ac:dyDescent="0.3">
      <c r="A1264" s="1" t="s">
        <v>7726</v>
      </c>
      <c r="B1264" s="1" t="s">
        <v>4401</v>
      </c>
      <c r="C1264" s="41">
        <v>44530</v>
      </c>
      <c r="D1264" s="1">
        <v>340696.82</v>
      </c>
      <c r="E1264" s="1" t="s">
        <v>6464</v>
      </c>
      <c r="F1264" s="1" t="s">
        <v>6481</v>
      </c>
      <c r="G1264" s="1" t="s">
        <v>17</v>
      </c>
      <c r="H1264" s="1">
        <v>33</v>
      </c>
      <c r="I1264" t="str">
        <f>IF(ISNA(_xlfn.XLOOKUP(B1264, policy_details!$A$2:$A$2829, policy_details!$A$2:$A$2829)), "Invalid", "Ok")</f>
        <v>Ok</v>
      </c>
    </row>
    <row r="1265" spans="1:9" x14ac:dyDescent="0.3">
      <c r="A1265" s="1" t="s">
        <v>7727</v>
      </c>
      <c r="B1265" s="1" t="s">
        <v>5369</v>
      </c>
      <c r="C1265" s="41">
        <v>44956</v>
      </c>
      <c r="D1265" s="1">
        <v>161356.57999999999</v>
      </c>
      <c r="E1265" s="1" t="s">
        <v>6464</v>
      </c>
      <c r="F1265" s="1" t="s">
        <v>6481</v>
      </c>
      <c r="G1265" s="1" t="s">
        <v>30</v>
      </c>
      <c r="H1265" s="1">
        <v>6</v>
      </c>
      <c r="I1265" t="str">
        <f>IF(ISNA(_xlfn.XLOOKUP(B1265, policy_details!$A$2:$A$2829, policy_details!$A$2:$A$2829)), "Invalid", "Ok")</f>
        <v>Ok</v>
      </c>
    </row>
    <row r="1266" spans="1:9" x14ac:dyDescent="0.3">
      <c r="A1266" s="1" t="s">
        <v>7728</v>
      </c>
      <c r="B1266" s="1" t="s">
        <v>4402</v>
      </c>
      <c r="C1266" s="41">
        <v>44664</v>
      </c>
      <c r="D1266" s="1">
        <v>1391748.1</v>
      </c>
      <c r="E1266" s="1" t="s">
        <v>6460</v>
      </c>
      <c r="F1266" s="1" t="s">
        <v>6458</v>
      </c>
      <c r="G1266" s="1" t="s">
        <v>17</v>
      </c>
      <c r="H1266" s="1">
        <v>10</v>
      </c>
      <c r="I1266" t="str">
        <f>IF(ISNA(_xlfn.XLOOKUP(B1266, policy_details!$A$2:$A$2829, policy_details!$A$2:$A$2829)), "Invalid", "Ok")</f>
        <v>Ok</v>
      </c>
    </row>
    <row r="1267" spans="1:9" x14ac:dyDescent="0.3">
      <c r="A1267" s="1" t="s">
        <v>7729</v>
      </c>
      <c r="B1267" s="1" t="s">
        <v>3558</v>
      </c>
      <c r="C1267" s="41">
        <v>45336</v>
      </c>
      <c r="D1267" s="1">
        <v>327154.52</v>
      </c>
      <c r="E1267" s="1" t="s">
        <v>6457</v>
      </c>
      <c r="F1267" s="1" t="s">
        <v>6470</v>
      </c>
      <c r="G1267" s="1" t="s">
        <v>17</v>
      </c>
      <c r="H1267" s="1">
        <v>43</v>
      </c>
      <c r="I1267" t="str">
        <f>IF(ISNA(_xlfn.XLOOKUP(B1267, policy_details!$A$2:$A$2829, policy_details!$A$2:$A$2829)), "Invalid", "Ok")</f>
        <v>Ok</v>
      </c>
    </row>
    <row r="1268" spans="1:9" x14ac:dyDescent="0.3">
      <c r="A1268" s="1" t="s">
        <v>7730</v>
      </c>
      <c r="B1268" s="1" t="s">
        <v>5523</v>
      </c>
      <c r="C1268" s="41">
        <v>45112</v>
      </c>
      <c r="D1268" s="1">
        <v>155677.97</v>
      </c>
      <c r="E1268" s="1" t="s">
        <v>6460</v>
      </c>
      <c r="F1268" s="1" t="s">
        <v>6481</v>
      </c>
      <c r="G1268" s="1" t="s">
        <v>17</v>
      </c>
      <c r="H1268" s="1">
        <v>5</v>
      </c>
      <c r="I1268" t="str">
        <f>IF(ISNA(_xlfn.XLOOKUP(B1268, policy_details!$A$2:$A$2829, policy_details!$A$2:$A$2829)), "Invalid", "Ok")</f>
        <v>Ok</v>
      </c>
    </row>
    <row r="1269" spans="1:9" x14ac:dyDescent="0.3">
      <c r="A1269" s="1" t="s">
        <v>7731</v>
      </c>
      <c r="B1269" s="1" t="s">
        <v>5716</v>
      </c>
      <c r="C1269" s="41">
        <v>46066</v>
      </c>
      <c r="D1269" s="1">
        <v>227574.49</v>
      </c>
      <c r="E1269" s="1" t="s">
        <v>6457</v>
      </c>
      <c r="F1269" s="1" t="s">
        <v>6466</v>
      </c>
      <c r="G1269" s="1" t="s">
        <v>17</v>
      </c>
      <c r="H1269" s="1">
        <v>42</v>
      </c>
      <c r="I1269" t="str">
        <f>IF(ISNA(_xlfn.XLOOKUP(B1269, policy_details!$A$2:$A$2829, policy_details!$A$2:$A$2829)), "Invalid", "Ok")</f>
        <v>Ok</v>
      </c>
    </row>
    <row r="1270" spans="1:9" x14ac:dyDescent="0.3">
      <c r="A1270" s="1" t="s">
        <v>7732</v>
      </c>
      <c r="B1270" s="1" t="s">
        <v>6061</v>
      </c>
      <c r="C1270" s="41">
        <v>45696</v>
      </c>
      <c r="D1270" s="1">
        <v>404078.86</v>
      </c>
      <c r="E1270" s="1" t="s">
        <v>6460</v>
      </c>
      <c r="F1270" s="1" t="s">
        <v>6466</v>
      </c>
      <c r="G1270" s="1" t="s">
        <v>17</v>
      </c>
      <c r="H1270" s="1">
        <v>4</v>
      </c>
      <c r="I1270" t="str">
        <f>IF(ISNA(_xlfn.XLOOKUP(B1270, policy_details!$A$2:$A$2829, policy_details!$A$2:$A$2829)), "Invalid", "Ok")</f>
        <v>Ok</v>
      </c>
    </row>
    <row r="1271" spans="1:9" x14ac:dyDescent="0.3">
      <c r="A1271" s="1" t="s">
        <v>7733</v>
      </c>
      <c r="B1271" s="1" t="s">
        <v>6097</v>
      </c>
      <c r="C1271" s="41">
        <v>44903</v>
      </c>
      <c r="D1271" s="1">
        <v>151529.39000000001</v>
      </c>
      <c r="E1271" s="1" t="s">
        <v>6460</v>
      </c>
      <c r="F1271" s="1" t="s">
        <v>6481</v>
      </c>
      <c r="G1271" s="1" t="s">
        <v>17</v>
      </c>
      <c r="H1271" s="1">
        <v>22</v>
      </c>
      <c r="I1271" t="str">
        <f>IF(ISNA(_xlfn.XLOOKUP(B1271, policy_details!$A$2:$A$2829, policy_details!$A$2:$A$2829)), "Invalid", "Ok")</f>
        <v>Ok</v>
      </c>
    </row>
    <row r="1272" spans="1:9" x14ac:dyDescent="0.3">
      <c r="A1272" s="1" t="s">
        <v>7734</v>
      </c>
      <c r="B1272" s="1" t="s">
        <v>5016</v>
      </c>
      <c r="C1272" s="41">
        <v>45058</v>
      </c>
      <c r="D1272" s="1">
        <v>107363.68</v>
      </c>
      <c r="E1272" s="1" t="s">
        <v>6457</v>
      </c>
      <c r="F1272" s="1" t="s">
        <v>6461</v>
      </c>
      <c r="G1272" s="1" t="s">
        <v>17</v>
      </c>
      <c r="H1272" s="1">
        <v>26</v>
      </c>
      <c r="I1272" t="str">
        <f>IF(ISNA(_xlfn.XLOOKUP(B1272, policy_details!$A$2:$A$2829, policy_details!$A$2:$A$2829)), "Invalid", "Ok")</f>
        <v>Ok</v>
      </c>
    </row>
    <row r="1273" spans="1:9" x14ac:dyDescent="0.3">
      <c r="A1273" s="1" t="s">
        <v>7735</v>
      </c>
      <c r="B1273" s="1" t="s">
        <v>4765</v>
      </c>
      <c r="C1273" s="41">
        <v>44983</v>
      </c>
      <c r="D1273" s="1">
        <v>1252959.67</v>
      </c>
      <c r="E1273" s="1" t="s">
        <v>6464</v>
      </c>
      <c r="F1273" s="1" t="s">
        <v>6458</v>
      </c>
      <c r="G1273" s="1" t="s">
        <v>17</v>
      </c>
      <c r="H1273" s="1">
        <v>5</v>
      </c>
      <c r="I1273" t="str">
        <f>IF(ISNA(_xlfn.XLOOKUP(B1273, policy_details!$A$2:$A$2829, policy_details!$A$2:$A$2829)), "Invalid", "Ok")</f>
        <v>Ok</v>
      </c>
    </row>
    <row r="1274" spans="1:9" x14ac:dyDescent="0.3">
      <c r="A1274" s="1" t="s">
        <v>7736</v>
      </c>
      <c r="B1274" s="1" t="s">
        <v>5272</v>
      </c>
      <c r="C1274" s="41">
        <v>45938</v>
      </c>
      <c r="D1274" s="1">
        <v>203015.63</v>
      </c>
      <c r="E1274" s="1" t="s">
        <v>6464</v>
      </c>
      <c r="F1274" s="1" t="s">
        <v>6466</v>
      </c>
      <c r="G1274" s="1" t="s">
        <v>17</v>
      </c>
      <c r="H1274" s="1">
        <v>40</v>
      </c>
      <c r="I1274" t="str">
        <f>IF(ISNA(_xlfn.XLOOKUP(B1274, policy_details!$A$2:$A$2829, policy_details!$A$2:$A$2829)), "Invalid", "Ok")</f>
        <v>Ok</v>
      </c>
    </row>
    <row r="1275" spans="1:9" x14ac:dyDescent="0.3">
      <c r="A1275" s="1" t="s">
        <v>7737</v>
      </c>
      <c r="B1275" s="1" t="s">
        <v>5859</v>
      </c>
      <c r="C1275" s="41">
        <v>45433</v>
      </c>
      <c r="D1275" s="1">
        <v>100082.03</v>
      </c>
      <c r="E1275" s="1" t="s">
        <v>6457</v>
      </c>
      <c r="F1275" s="1" t="s">
        <v>6466</v>
      </c>
      <c r="G1275" s="1" t="s">
        <v>17</v>
      </c>
      <c r="H1275" s="1">
        <v>43</v>
      </c>
      <c r="I1275" t="str">
        <f>IF(ISNA(_xlfn.XLOOKUP(B1275, policy_details!$A$2:$A$2829, policy_details!$A$2:$A$2829)), "Invalid", "Ok")</f>
        <v>Ok</v>
      </c>
    </row>
    <row r="1276" spans="1:9" x14ac:dyDescent="0.3">
      <c r="A1276" s="1" t="s">
        <v>7738</v>
      </c>
      <c r="B1276" s="1" t="s">
        <v>4956</v>
      </c>
      <c r="C1276" s="41">
        <v>44768</v>
      </c>
      <c r="D1276" s="1">
        <v>213012.56</v>
      </c>
      <c r="E1276" s="1" t="s">
        <v>6457</v>
      </c>
      <c r="F1276" s="1" t="s">
        <v>6481</v>
      </c>
      <c r="G1276" s="1" t="s">
        <v>17</v>
      </c>
      <c r="H1276" s="1">
        <v>10</v>
      </c>
      <c r="I1276" t="str">
        <f>IF(ISNA(_xlfn.XLOOKUP(B1276, policy_details!$A$2:$A$2829, policy_details!$A$2:$A$2829)), "Invalid", "Ok")</f>
        <v>Ok</v>
      </c>
    </row>
    <row r="1277" spans="1:9" x14ac:dyDescent="0.3">
      <c r="A1277" s="1" t="s">
        <v>7739</v>
      </c>
      <c r="B1277" s="1" t="s">
        <v>6435</v>
      </c>
      <c r="C1277" s="41">
        <v>45094</v>
      </c>
      <c r="D1277" s="1">
        <v>2155148.69</v>
      </c>
      <c r="E1277" s="1" t="s">
        <v>6460</v>
      </c>
      <c r="F1277" s="1" t="s">
        <v>6458</v>
      </c>
      <c r="G1277" s="1" t="s">
        <v>17</v>
      </c>
      <c r="H1277" s="1">
        <v>10</v>
      </c>
      <c r="I1277" t="str">
        <f>IF(ISNA(_xlfn.XLOOKUP(B1277, policy_details!$A$2:$A$2829, policy_details!$A$2:$A$2829)), "Invalid", "Ok")</f>
        <v>Ok</v>
      </c>
    </row>
    <row r="1278" spans="1:9" x14ac:dyDescent="0.3">
      <c r="A1278" s="1" t="s">
        <v>7740</v>
      </c>
      <c r="B1278" s="1" t="s">
        <v>5420</v>
      </c>
      <c r="C1278" s="41">
        <v>44474</v>
      </c>
      <c r="D1278" s="1">
        <v>701278.49</v>
      </c>
      <c r="E1278" s="1" t="s">
        <v>6464</v>
      </c>
      <c r="F1278" s="1" t="s">
        <v>6481</v>
      </c>
      <c r="G1278" s="1" t="s">
        <v>30</v>
      </c>
      <c r="H1278" s="1">
        <v>34</v>
      </c>
      <c r="I1278" t="str">
        <f>IF(ISNA(_xlfn.XLOOKUP(B1278, policy_details!$A$2:$A$2829, policy_details!$A$2:$A$2829)), "Invalid", "Ok")</f>
        <v>Ok</v>
      </c>
    </row>
    <row r="1279" spans="1:9" x14ac:dyDescent="0.3">
      <c r="A1279" s="1" t="s">
        <v>7741</v>
      </c>
      <c r="B1279" s="1" t="s">
        <v>4474</v>
      </c>
      <c r="C1279" s="41">
        <v>45035</v>
      </c>
      <c r="D1279" s="1">
        <v>159985.68</v>
      </c>
      <c r="E1279" s="1" t="s">
        <v>6457</v>
      </c>
      <c r="F1279" s="1" t="s">
        <v>6466</v>
      </c>
      <c r="G1279" s="1" t="s">
        <v>17</v>
      </c>
      <c r="H1279" s="1">
        <v>17</v>
      </c>
      <c r="I1279" t="str">
        <f>IF(ISNA(_xlfn.XLOOKUP(B1279, policy_details!$A$2:$A$2829, policy_details!$A$2:$A$2829)), "Invalid", "Ok")</f>
        <v>Ok</v>
      </c>
    </row>
    <row r="1280" spans="1:9" x14ac:dyDescent="0.3">
      <c r="A1280" s="1" t="s">
        <v>7742</v>
      </c>
      <c r="B1280" s="1" t="s">
        <v>5862</v>
      </c>
      <c r="C1280" s="41">
        <v>45603</v>
      </c>
      <c r="D1280" s="1">
        <v>95010.22</v>
      </c>
      <c r="E1280" s="1" t="s">
        <v>6464</v>
      </c>
      <c r="F1280" s="1" t="s">
        <v>6461</v>
      </c>
      <c r="G1280" s="1" t="s">
        <v>17</v>
      </c>
      <c r="H1280" s="1">
        <v>2</v>
      </c>
      <c r="I1280" t="str">
        <f>IF(ISNA(_xlfn.XLOOKUP(B1280, policy_details!$A$2:$A$2829, policy_details!$A$2:$A$2829)), "Invalid", "Ok")</f>
        <v>Ok</v>
      </c>
    </row>
    <row r="1281" spans="1:9" x14ac:dyDescent="0.3">
      <c r="A1281" s="1" t="s">
        <v>7743</v>
      </c>
      <c r="B1281" s="1" t="s">
        <v>3968</v>
      </c>
      <c r="C1281" s="41">
        <v>45530</v>
      </c>
      <c r="D1281" s="1">
        <v>715791.4</v>
      </c>
      <c r="E1281" s="1" t="s">
        <v>6457</v>
      </c>
      <c r="F1281" s="1" t="s">
        <v>6458</v>
      </c>
      <c r="G1281" s="1" t="s">
        <v>30</v>
      </c>
      <c r="H1281" s="1">
        <v>34</v>
      </c>
      <c r="I1281" t="str">
        <f>IF(ISNA(_xlfn.XLOOKUP(B1281, policy_details!$A$2:$A$2829, policy_details!$A$2:$A$2829)), "Invalid", "Ok")</f>
        <v>Ok</v>
      </c>
    </row>
    <row r="1282" spans="1:9" x14ac:dyDescent="0.3">
      <c r="A1282" s="1" t="s">
        <v>7744</v>
      </c>
      <c r="B1282" s="1" t="s">
        <v>6268</v>
      </c>
      <c r="C1282" s="41">
        <v>45094</v>
      </c>
      <c r="D1282" s="1">
        <v>369291.2</v>
      </c>
      <c r="E1282" s="1" t="s">
        <v>6457</v>
      </c>
      <c r="F1282" s="1" t="s">
        <v>6461</v>
      </c>
      <c r="G1282" s="1" t="s">
        <v>17</v>
      </c>
      <c r="H1282" s="1">
        <v>16</v>
      </c>
      <c r="I1282" t="str">
        <f>IF(ISNA(_xlfn.XLOOKUP(B1282, policy_details!$A$2:$A$2829, policy_details!$A$2:$A$2829)), "Invalid", "Ok")</f>
        <v>Ok</v>
      </c>
    </row>
    <row r="1283" spans="1:9" x14ac:dyDescent="0.3">
      <c r="A1283" s="1" t="s">
        <v>7745</v>
      </c>
      <c r="B1283" s="1" t="s">
        <v>4568</v>
      </c>
      <c r="C1283" s="41">
        <v>44508</v>
      </c>
      <c r="D1283" s="1">
        <v>335182.24</v>
      </c>
      <c r="E1283" s="1" t="s">
        <v>6460</v>
      </c>
      <c r="F1283" s="1" t="s">
        <v>6466</v>
      </c>
      <c r="G1283" s="1" t="s">
        <v>30</v>
      </c>
      <c r="H1283" s="1">
        <v>18</v>
      </c>
      <c r="I1283" t="str">
        <f>IF(ISNA(_xlfn.XLOOKUP(B1283, policy_details!$A$2:$A$2829, policy_details!$A$2:$A$2829)), "Invalid", "Ok")</f>
        <v>Ok</v>
      </c>
    </row>
    <row r="1284" spans="1:9" x14ac:dyDescent="0.3">
      <c r="A1284" s="1" t="s">
        <v>7746</v>
      </c>
      <c r="B1284" s="1" t="s">
        <v>5554</v>
      </c>
      <c r="C1284" s="41">
        <v>45791</v>
      </c>
      <c r="D1284" s="1">
        <v>1871391.09</v>
      </c>
      <c r="E1284" s="1" t="s">
        <v>6457</v>
      </c>
      <c r="F1284" s="1" t="s">
        <v>6458</v>
      </c>
      <c r="G1284" s="1" t="s">
        <v>17</v>
      </c>
      <c r="H1284" s="1">
        <v>29</v>
      </c>
      <c r="I1284" t="str">
        <f>IF(ISNA(_xlfn.XLOOKUP(B1284, policy_details!$A$2:$A$2829, policy_details!$A$2:$A$2829)), "Invalid", "Ok")</f>
        <v>Ok</v>
      </c>
    </row>
    <row r="1285" spans="1:9" x14ac:dyDescent="0.3">
      <c r="A1285" s="1" t="s">
        <v>7747</v>
      </c>
      <c r="B1285" s="1" t="s">
        <v>5384</v>
      </c>
      <c r="C1285" s="41">
        <v>44896</v>
      </c>
      <c r="D1285" s="1">
        <v>247145.24</v>
      </c>
      <c r="E1285" s="1" t="s">
        <v>6464</v>
      </c>
      <c r="F1285" s="1" t="s">
        <v>6461</v>
      </c>
      <c r="G1285" s="1" t="s">
        <v>17</v>
      </c>
      <c r="H1285" s="1">
        <v>26</v>
      </c>
      <c r="I1285" t="str">
        <f>IF(ISNA(_xlfn.XLOOKUP(B1285, policy_details!$A$2:$A$2829, policy_details!$A$2:$A$2829)), "Invalid", "Ok")</f>
        <v>Ok</v>
      </c>
    </row>
    <row r="1286" spans="1:9" x14ac:dyDescent="0.3">
      <c r="A1286" s="1" t="s">
        <v>7748</v>
      </c>
      <c r="B1286" s="1" t="s">
        <v>3765</v>
      </c>
      <c r="C1286" s="41">
        <v>44595</v>
      </c>
      <c r="D1286" s="1">
        <v>93062.82</v>
      </c>
      <c r="E1286" s="1" t="s">
        <v>6464</v>
      </c>
      <c r="F1286" s="1" t="s">
        <v>6470</v>
      </c>
      <c r="G1286" s="1" t="s">
        <v>17</v>
      </c>
      <c r="H1286" s="1">
        <v>37</v>
      </c>
      <c r="I1286" t="str">
        <f>IF(ISNA(_xlfn.XLOOKUP(B1286, policy_details!$A$2:$A$2829, policy_details!$A$2:$A$2829)), "Invalid", "Ok")</f>
        <v>Ok</v>
      </c>
    </row>
    <row r="1287" spans="1:9" x14ac:dyDescent="0.3">
      <c r="A1287" s="1" t="s">
        <v>7749</v>
      </c>
      <c r="B1287" s="1" t="s">
        <v>5658</v>
      </c>
      <c r="C1287" s="41">
        <v>44614</v>
      </c>
      <c r="D1287" s="1">
        <v>155560.85</v>
      </c>
      <c r="E1287" s="1" t="s">
        <v>6460</v>
      </c>
      <c r="F1287" s="1" t="s">
        <v>6481</v>
      </c>
      <c r="G1287" s="1" t="s">
        <v>17</v>
      </c>
      <c r="H1287" s="1">
        <v>36</v>
      </c>
      <c r="I1287" t="str">
        <f>IF(ISNA(_xlfn.XLOOKUP(B1287, policy_details!$A$2:$A$2829, policy_details!$A$2:$A$2829)), "Invalid", "Ok")</f>
        <v>Ok</v>
      </c>
    </row>
    <row r="1288" spans="1:9" x14ac:dyDescent="0.3">
      <c r="A1288" s="1" t="s">
        <v>7750</v>
      </c>
      <c r="B1288" s="1" t="s">
        <v>4483</v>
      </c>
      <c r="C1288" s="41">
        <v>45769</v>
      </c>
      <c r="D1288" s="1">
        <v>635433.98</v>
      </c>
      <c r="E1288" s="1" t="s">
        <v>6457</v>
      </c>
      <c r="F1288" s="1" t="s">
        <v>6458</v>
      </c>
      <c r="G1288" s="1" t="s">
        <v>17</v>
      </c>
      <c r="H1288" s="1">
        <v>42</v>
      </c>
      <c r="I1288" t="str">
        <f>IF(ISNA(_xlfn.XLOOKUP(B1288, policy_details!$A$2:$A$2829, policy_details!$A$2:$A$2829)), "Invalid", "Ok")</f>
        <v>Ok</v>
      </c>
    </row>
    <row r="1289" spans="1:9" x14ac:dyDescent="0.3">
      <c r="A1289" s="1" t="s">
        <v>7751</v>
      </c>
      <c r="B1289" s="1" t="s">
        <v>4689</v>
      </c>
      <c r="C1289" s="41">
        <v>45598</v>
      </c>
      <c r="D1289" s="1">
        <v>138652.32</v>
      </c>
      <c r="E1289" s="1" t="s">
        <v>6464</v>
      </c>
      <c r="F1289" s="1" t="s">
        <v>6470</v>
      </c>
      <c r="G1289" s="1" t="s">
        <v>30</v>
      </c>
      <c r="H1289" s="1">
        <v>41</v>
      </c>
      <c r="I1289" t="str">
        <f>IF(ISNA(_xlfn.XLOOKUP(B1289, policy_details!$A$2:$A$2829, policy_details!$A$2:$A$2829)), "Invalid", "Ok")</f>
        <v>Ok</v>
      </c>
    </row>
    <row r="1290" spans="1:9" x14ac:dyDescent="0.3">
      <c r="A1290" s="1" t="s">
        <v>7752</v>
      </c>
      <c r="B1290" s="1" t="s">
        <v>3766</v>
      </c>
      <c r="C1290" s="41">
        <v>45229</v>
      </c>
      <c r="D1290" s="1">
        <v>641135.78</v>
      </c>
      <c r="E1290" s="1" t="s">
        <v>6460</v>
      </c>
      <c r="F1290" s="1" t="s">
        <v>6458</v>
      </c>
      <c r="G1290" s="1" t="s">
        <v>17</v>
      </c>
      <c r="H1290" s="1">
        <v>28</v>
      </c>
      <c r="I1290" t="str">
        <f>IF(ISNA(_xlfn.XLOOKUP(B1290, policy_details!$A$2:$A$2829, policy_details!$A$2:$A$2829)), "Invalid", "Ok")</f>
        <v>Ok</v>
      </c>
    </row>
    <row r="1291" spans="1:9" x14ac:dyDescent="0.3">
      <c r="A1291" s="1" t="s">
        <v>7753</v>
      </c>
      <c r="B1291" s="1" t="s">
        <v>5909</v>
      </c>
      <c r="C1291" s="41">
        <v>44943</v>
      </c>
      <c r="D1291" s="1">
        <v>679537.44</v>
      </c>
      <c r="E1291" s="1" t="s">
        <v>6460</v>
      </c>
      <c r="F1291" s="1" t="s">
        <v>6458</v>
      </c>
      <c r="G1291" s="1" t="s">
        <v>17</v>
      </c>
      <c r="H1291" s="1">
        <v>25</v>
      </c>
      <c r="I1291" t="str">
        <f>IF(ISNA(_xlfn.XLOOKUP(B1291, policy_details!$A$2:$A$2829, policy_details!$A$2:$A$2829)), "Invalid", "Ok")</f>
        <v>Ok</v>
      </c>
    </row>
    <row r="1292" spans="1:9" x14ac:dyDescent="0.3">
      <c r="A1292" s="1" t="s">
        <v>7754</v>
      </c>
      <c r="B1292" s="1" t="s">
        <v>6054</v>
      </c>
      <c r="C1292" s="41">
        <v>46217</v>
      </c>
      <c r="D1292" s="1">
        <v>344366.36</v>
      </c>
      <c r="E1292" s="1" t="s">
        <v>6460</v>
      </c>
      <c r="F1292" s="1" t="s">
        <v>6481</v>
      </c>
      <c r="G1292" s="1" t="s">
        <v>17</v>
      </c>
      <c r="H1292" s="1">
        <v>21</v>
      </c>
      <c r="I1292" t="str">
        <f>IF(ISNA(_xlfn.XLOOKUP(B1292, policy_details!$A$2:$A$2829, policy_details!$A$2:$A$2829)), "Invalid", "Ok")</f>
        <v>Ok</v>
      </c>
    </row>
    <row r="1293" spans="1:9" x14ac:dyDescent="0.3">
      <c r="A1293" s="1" t="s">
        <v>7755</v>
      </c>
      <c r="B1293" s="1" t="s">
        <v>3912</v>
      </c>
      <c r="C1293" s="41">
        <v>45700</v>
      </c>
      <c r="D1293" s="1">
        <v>235456.39</v>
      </c>
      <c r="E1293" s="1" t="s">
        <v>6460</v>
      </c>
      <c r="F1293" s="1" t="s">
        <v>6466</v>
      </c>
      <c r="G1293" s="1" t="s">
        <v>17</v>
      </c>
      <c r="H1293" s="1">
        <v>30</v>
      </c>
      <c r="I1293" t="str">
        <f>IF(ISNA(_xlfn.XLOOKUP(B1293, policy_details!$A$2:$A$2829, policy_details!$A$2:$A$2829)), "Invalid", "Ok")</f>
        <v>Ok</v>
      </c>
    </row>
    <row r="1294" spans="1:9" x14ac:dyDescent="0.3">
      <c r="A1294" s="1" t="s">
        <v>7756</v>
      </c>
      <c r="B1294" s="1" t="s">
        <v>5916</v>
      </c>
      <c r="C1294" s="41">
        <v>44887</v>
      </c>
      <c r="D1294" s="1">
        <v>404849.98</v>
      </c>
      <c r="E1294" s="1" t="s">
        <v>6457</v>
      </c>
      <c r="F1294" s="1" t="s">
        <v>6466</v>
      </c>
      <c r="G1294" s="1" t="s">
        <v>17</v>
      </c>
      <c r="H1294" s="1">
        <v>3</v>
      </c>
      <c r="I1294" t="str">
        <f>IF(ISNA(_xlfn.XLOOKUP(B1294, policy_details!$A$2:$A$2829, policy_details!$A$2:$A$2829)), "Invalid", "Ok")</f>
        <v>Ok</v>
      </c>
    </row>
    <row r="1295" spans="1:9" x14ac:dyDescent="0.3">
      <c r="A1295" s="1" t="s">
        <v>7757</v>
      </c>
      <c r="B1295" s="1" t="s">
        <v>6161</v>
      </c>
      <c r="C1295" s="41">
        <v>45950</v>
      </c>
      <c r="D1295" s="1">
        <v>283547.62</v>
      </c>
      <c r="E1295" s="1" t="s">
        <v>6460</v>
      </c>
      <c r="F1295" s="1" t="s">
        <v>6481</v>
      </c>
      <c r="G1295" s="1" t="s">
        <v>17</v>
      </c>
      <c r="H1295" s="1">
        <v>18</v>
      </c>
      <c r="I1295" t="str">
        <f>IF(ISNA(_xlfn.XLOOKUP(B1295, policy_details!$A$2:$A$2829, policy_details!$A$2:$A$2829)), "Invalid", "Ok")</f>
        <v>Ok</v>
      </c>
    </row>
    <row r="1296" spans="1:9" x14ac:dyDescent="0.3">
      <c r="A1296" s="1" t="s">
        <v>7758</v>
      </c>
      <c r="B1296" s="1" t="s">
        <v>3769</v>
      </c>
      <c r="C1296" s="41">
        <v>45967</v>
      </c>
      <c r="D1296" s="1">
        <v>641787.04</v>
      </c>
      <c r="E1296" s="1" t="s">
        <v>6460</v>
      </c>
      <c r="F1296" s="1" t="s">
        <v>6458</v>
      </c>
      <c r="G1296" s="1" t="s">
        <v>17</v>
      </c>
      <c r="H1296" s="1">
        <v>13</v>
      </c>
      <c r="I1296" t="str">
        <f>IF(ISNA(_xlfn.XLOOKUP(B1296, policy_details!$A$2:$A$2829, policy_details!$A$2:$A$2829)), "Invalid", "Ok")</f>
        <v>Ok</v>
      </c>
    </row>
    <row r="1297" spans="1:9" x14ac:dyDescent="0.3">
      <c r="A1297" s="1" t="s">
        <v>7759</v>
      </c>
      <c r="B1297" s="1" t="s">
        <v>6441</v>
      </c>
      <c r="C1297" s="41">
        <v>45780</v>
      </c>
      <c r="D1297" s="1">
        <v>197786.43</v>
      </c>
      <c r="E1297" s="1" t="s">
        <v>6460</v>
      </c>
      <c r="F1297" s="1" t="s">
        <v>6470</v>
      </c>
      <c r="G1297" s="1" t="s">
        <v>17</v>
      </c>
      <c r="H1297" s="1">
        <v>25</v>
      </c>
      <c r="I1297" t="str">
        <f>IF(ISNA(_xlfn.XLOOKUP(B1297, policy_details!$A$2:$A$2829, policy_details!$A$2:$A$2829)), "Invalid", "Ok")</f>
        <v>Ok</v>
      </c>
    </row>
    <row r="1298" spans="1:9" x14ac:dyDescent="0.3">
      <c r="A1298" s="1" t="s">
        <v>7760</v>
      </c>
      <c r="B1298" s="1" t="s">
        <v>3342</v>
      </c>
      <c r="C1298" s="41">
        <v>45398</v>
      </c>
      <c r="D1298" s="1">
        <v>422732.47</v>
      </c>
      <c r="E1298" s="1" t="s">
        <v>6460</v>
      </c>
      <c r="F1298" s="1" t="s">
        <v>6458</v>
      </c>
      <c r="G1298" s="1" t="s">
        <v>17</v>
      </c>
      <c r="H1298" s="1">
        <v>41</v>
      </c>
      <c r="I1298" t="str">
        <f>IF(ISNA(_xlfn.XLOOKUP(B1298, policy_details!$A$2:$A$2829, policy_details!$A$2:$A$2829)), "Invalid", "Ok")</f>
        <v>Ok</v>
      </c>
    </row>
    <row r="1299" spans="1:9" x14ac:dyDescent="0.3">
      <c r="A1299" s="1" t="s">
        <v>7761</v>
      </c>
      <c r="B1299" s="1" t="s">
        <v>6002</v>
      </c>
      <c r="C1299" s="41">
        <v>45279</v>
      </c>
      <c r="D1299" s="1">
        <v>56658.29</v>
      </c>
      <c r="E1299" s="1" t="s">
        <v>6464</v>
      </c>
      <c r="F1299" s="1" t="s">
        <v>6470</v>
      </c>
      <c r="G1299" s="1" t="s">
        <v>17</v>
      </c>
      <c r="H1299" s="1">
        <v>22</v>
      </c>
      <c r="I1299" t="str">
        <f>IF(ISNA(_xlfn.XLOOKUP(B1299, policy_details!$A$2:$A$2829, policy_details!$A$2:$A$2829)), "Invalid", "Ok")</f>
        <v>Ok</v>
      </c>
    </row>
    <row r="1300" spans="1:9" x14ac:dyDescent="0.3">
      <c r="A1300" s="1" t="s">
        <v>7762</v>
      </c>
      <c r="B1300" s="1" t="s">
        <v>5194</v>
      </c>
      <c r="C1300" s="41">
        <v>44581</v>
      </c>
      <c r="D1300" s="1">
        <v>206901.2</v>
      </c>
      <c r="E1300" s="1" t="s">
        <v>6464</v>
      </c>
      <c r="F1300" s="1" t="s">
        <v>6461</v>
      </c>
      <c r="G1300" s="1" t="s">
        <v>17</v>
      </c>
      <c r="H1300" s="1">
        <v>26</v>
      </c>
      <c r="I1300" t="str">
        <f>IF(ISNA(_xlfn.XLOOKUP(B1300, policy_details!$A$2:$A$2829, policy_details!$A$2:$A$2829)), "Invalid", "Ok")</f>
        <v>Ok</v>
      </c>
    </row>
    <row r="1301" spans="1:9" x14ac:dyDescent="0.3">
      <c r="A1301" s="1" t="s">
        <v>7763</v>
      </c>
      <c r="B1301" s="1" t="s">
        <v>6329</v>
      </c>
      <c r="C1301" s="41">
        <v>45123</v>
      </c>
      <c r="D1301" s="1">
        <v>1497496.2</v>
      </c>
      <c r="E1301" s="1" t="s">
        <v>6460</v>
      </c>
      <c r="F1301" s="1" t="s">
        <v>6458</v>
      </c>
      <c r="G1301" s="1" t="s">
        <v>17</v>
      </c>
      <c r="H1301" s="1">
        <v>18</v>
      </c>
      <c r="I1301" t="str">
        <f>IF(ISNA(_xlfn.XLOOKUP(B1301, policy_details!$A$2:$A$2829, policy_details!$A$2:$A$2829)), "Invalid", "Ok")</f>
        <v>Ok</v>
      </c>
    </row>
    <row r="1302" spans="1:9" x14ac:dyDescent="0.3">
      <c r="A1302" s="1" t="s">
        <v>7764</v>
      </c>
      <c r="B1302" s="1" t="s">
        <v>4562</v>
      </c>
      <c r="C1302" s="41">
        <v>44710</v>
      </c>
      <c r="D1302" s="1">
        <v>259180.73</v>
      </c>
      <c r="E1302" s="1" t="s">
        <v>6457</v>
      </c>
      <c r="F1302" s="1" t="s">
        <v>6481</v>
      </c>
      <c r="G1302" s="1" t="s">
        <v>17</v>
      </c>
      <c r="H1302" s="1">
        <v>16</v>
      </c>
      <c r="I1302" t="str">
        <f>IF(ISNA(_xlfn.XLOOKUP(B1302, policy_details!$A$2:$A$2829, policy_details!$A$2:$A$2829)), "Invalid", "Ok")</f>
        <v>Ok</v>
      </c>
    </row>
    <row r="1303" spans="1:9" x14ac:dyDescent="0.3">
      <c r="A1303" s="1" t="s">
        <v>7765</v>
      </c>
      <c r="B1303" s="1" t="s">
        <v>4629</v>
      </c>
      <c r="C1303" s="41">
        <v>46226</v>
      </c>
      <c r="D1303" s="1">
        <v>205574.42</v>
      </c>
      <c r="E1303" s="1" t="s">
        <v>6460</v>
      </c>
      <c r="F1303" s="1" t="s">
        <v>6481</v>
      </c>
      <c r="G1303" s="1" t="s">
        <v>17</v>
      </c>
      <c r="H1303" s="1">
        <v>30</v>
      </c>
      <c r="I1303" t="str">
        <f>IF(ISNA(_xlfn.XLOOKUP(B1303, policy_details!$A$2:$A$2829, policy_details!$A$2:$A$2829)), "Invalid", "Ok")</f>
        <v>Ok</v>
      </c>
    </row>
    <row r="1304" spans="1:9" x14ac:dyDescent="0.3">
      <c r="A1304" s="1" t="s">
        <v>7766</v>
      </c>
      <c r="B1304" s="1" t="s">
        <v>5996</v>
      </c>
      <c r="C1304" s="41">
        <v>45607</v>
      </c>
      <c r="D1304" s="1">
        <v>460107.27</v>
      </c>
      <c r="E1304" s="1" t="s">
        <v>6464</v>
      </c>
      <c r="F1304" s="1" t="s">
        <v>6458</v>
      </c>
      <c r="G1304" s="1" t="s">
        <v>17</v>
      </c>
      <c r="H1304" s="1">
        <v>11</v>
      </c>
      <c r="I1304" t="str">
        <f>IF(ISNA(_xlfn.XLOOKUP(B1304, policy_details!$A$2:$A$2829, policy_details!$A$2:$A$2829)), "Invalid", "Ok")</f>
        <v>Ok</v>
      </c>
    </row>
    <row r="1305" spans="1:9" x14ac:dyDescent="0.3">
      <c r="A1305" s="1" t="s">
        <v>7767</v>
      </c>
      <c r="B1305" s="1" t="s">
        <v>5626</v>
      </c>
      <c r="C1305" s="41">
        <v>46053</v>
      </c>
      <c r="D1305" s="1">
        <v>268835</v>
      </c>
      <c r="E1305" s="1" t="s">
        <v>6457</v>
      </c>
      <c r="F1305" s="1" t="s">
        <v>6461</v>
      </c>
      <c r="G1305" s="1" t="s">
        <v>17</v>
      </c>
      <c r="H1305" s="1">
        <v>39</v>
      </c>
      <c r="I1305" t="str">
        <f>IF(ISNA(_xlfn.XLOOKUP(B1305, policy_details!$A$2:$A$2829, policy_details!$A$2:$A$2829)), "Invalid", "Ok")</f>
        <v>Ok</v>
      </c>
    </row>
    <row r="1306" spans="1:9" x14ac:dyDescent="0.3">
      <c r="A1306" s="1" t="s">
        <v>7768</v>
      </c>
      <c r="B1306" s="1" t="s">
        <v>5313</v>
      </c>
      <c r="C1306" s="41">
        <v>45139</v>
      </c>
      <c r="D1306" s="1">
        <v>281432.49</v>
      </c>
      <c r="E1306" s="1" t="s">
        <v>6464</v>
      </c>
      <c r="F1306" s="1" t="s">
        <v>6466</v>
      </c>
      <c r="G1306" s="1" t="s">
        <v>17</v>
      </c>
      <c r="H1306" s="1">
        <v>6</v>
      </c>
      <c r="I1306" t="str">
        <f>IF(ISNA(_xlfn.XLOOKUP(B1306, policy_details!$A$2:$A$2829, policy_details!$A$2:$A$2829)), "Invalid", "Ok")</f>
        <v>Ok</v>
      </c>
    </row>
    <row r="1307" spans="1:9" x14ac:dyDescent="0.3">
      <c r="A1307" s="1" t="s">
        <v>7769</v>
      </c>
      <c r="B1307" s="1" t="s">
        <v>5440</v>
      </c>
      <c r="C1307" s="41">
        <v>46232</v>
      </c>
      <c r="D1307" s="1">
        <v>173507.72</v>
      </c>
      <c r="E1307" s="1" t="s">
        <v>6464</v>
      </c>
      <c r="F1307" s="1" t="s">
        <v>6461</v>
      </c>
      <c r="G1307" s="1" t="s">
        <v>17</v>
      </c>
      <c r="H1307" s="1">
        <v>10</v>
      </c>
      <c r="I1307" t="str">
        <f>IF(ISNA(_xlfn.XLOOKUP(B1307, policy_details!$A$2:$A$2829, policy_details!$A$2:$A$2829)), "Invalid", "Ok")</f>
        <v>Ok</v>
      </c>
    </row>
    <row r="1308" spans="1:9" x14ac:dyDescent="0.3">
      <c r="A1308" s="1" t="s">
        <v>7770</v>
      </c>
      <c r="B1308" s="1" t="s">
        <v>5547</v>
      </c>
      <c r="C1308" s="41">
        <v>44585</v>
      </c>
      <c r="D1308" s="1">
        <v>219470.02</v>
      </c>
      <c r="E1308" s="1" t="s">
        <v>6460</v>
      </c>
      <c r="F1308" s="1" t="s">
        <v>6466</v>
      </c>
      <c r="G1308" s="1" t="s">
        <v>17</v>
      </c>
      <c r="H1308" s="1">
        <v>34</v>
      </c>
      <c r="I1308" t="str">
        <f>IF(ISNA(_xlfn.XLOOKUP(B1308, policy_details!$A$2:$A$2829, policy_details!$A$2:$A$2829)), "Invalid", "Ok")</f>
        <v>Ok</v>
      </c>
    </row>
    <row r="1309" spans="1:9" x14ac:dyDescent="0.3">
      <c r="A1309" s="1" t="s">
        <v>7771</v>
      </c>
      <c r="B1309" s="1" t="s">
        <v>3558</v>
      </c>
      <c r="C1309" s="41">
        <v>46136</v>
      </c>
      <c r="D1309" s="1">
        <v>142333.29999999999</v>
      </c>
      <c r="E1309" s="1" t="s">
        <v>6457</v>
      </c>
      <c r="F1309" s="1" t="s">
        <v>6470</v>
      </c>
      <c r="G1309" s="1" t="s">
        <v>17</v>
      </c>
      <c r="H1309" s="1">
        <v>4</v>
      </c>
      <c r="I1309" t="str">
        <f>IF(ISNA(_xlfn.XLOOKUP(B1309, policy_details!$A$2:$A$2829, policy_details!$A$2:$A$2829)), "Invalid", "Ok")</f>
        <v>Ok</v>
      </c>
    </row>
    <row r="1310" spans="1:9" x14ac:dyDescent="0.3">
      <c r="A1310" s="1" t="s">
        <v>7772</v>
      </c>
      <c r="B1310" s="1" t="s">
        <v>3859</v>
      </c>
      <c r="C1310" s="41">
        <v>45810</v>
      </c>
      <c r="D1310" s="1">
        <v>515817.65</v>
      </c>
      <c r="E1310" s="1" t="s">
        <v>6460</v>
      </c>
      <c r="F1310" s="1" t="s">
        <v>6458</v>
      </c>
      <c r="G1310" s="1" t="s">
        <v>17</v>
      </c>
      <c r="H1310" s="1">
        <v>19</v>
      </c>
      <c r="I1310" t="str">
        <f>IF(ISNA(_xlfn.XLOOKUP(B1310, policy_details!$A$2:$A$2829, policy_details!$A$2:$A$2829)), "Invalid", "Ok")</f>
        <v>Ok</v>
      </c>
    </row>
    <row r="1311" spans="1:9" x14ac:dyDescent="0.3">
      <c r="A1311" s="1" t="s">
        <v>7773</v>
      </c>
      <c r="B1311" s="1" t="s">
        <v>4080</v>
      </c>
      <c r="C1311" s="41">
        <v>45213</v>
      </c>
      <c r="D1311" s="1">
        <v>249629.95</v>
      </c>
      <c r="E1311" s="1" t="s">
        <v>6464</v>
      </c>
      <c r="F1311" s="1" t="s">
        <v>6466</v>
      </c>
      <c r="G1311" s="1" t="s">
        <v>30</v>
      </c>
      <c r="H1311" s="1">
        <v>17</v>
      </c>
      <c r="I1311" t="str">
        <f>IF(ISNA(_xlfn.XLOOKUP(B1311, policy_details!$A$2:$A$2829, policy_details!$A$2:$A$2829)), "Invalid", "Ok")</f>
        <v>Ok</v>
      </c>
    </row>
    <row r="1312" spans="1:9" x14ac:dyDescent="0.3">
      <c r="A1312" s="1" t="s">
        <v>7774</v>
      </c>
      <c r="B1312" s="1" t="s">
        <v>4064</v>
      </c>
      <c r="C1312" s="41">
        <v>44482</v>
      </c>
      <c r="D1312" s="1">
        <v>190985.68</v>
      </c>
      <c r="E1312" s="1" t="s">
        <v>6457</v>
      </c>
      <c r="F1312" s="1" t="s">
        <v>6481</v>
      </c>
      <c r="G1312" s="1" t="s">
        <v>17</v>
      </c>
      <c r="H1312" s="1">
        <v>42</v>
      </c>
      <c r="I1312" t="str">
        <f>IF(ISNA(_xlfn.XLOOKUP(B1312, policy_details!$A$2:$A$2829, policy_details!$A$2:$A$2829)), "Invalid", "Ok")</f>
        <v>Ok</v>
      </c>
    </row>
    <row r="1313" spans="1:9" x14ac:dyDescent="0.3">
      <c r="A1313" s="1" t="s">
        <v>7775</v>
      </c>
      <c r="B1313" s="1" t="s">
        <v>6004</v>
      </c>
      <c r="C1313" s="41">
        <v>46178</v>
      </c>
      <c r="D1313" s="1">
        <v>728082.41</v>
      </c>
      <c r="E1313" s="1" t="s">
        <v>6457</v>
      </c>
      <c r="F1313" s="1" t="s">
        <v>6458</v>
      </c>
      <c r="G1313" s="1" t="s">
        <v>17</v>
      </c>
      <c r="H1313" s="1">
        <v>7</v>
      </c>
      <c r="I1313" t="str">
        <f>IF(ISNA(_xlfn.XLOOKUP(B1313, policy_details!$A$2:$A$2829, policy_details!$A$2:$A$2829)), "Invalid", "Ok")</f>
        <v>Ok</v>
      </c>
    </row>
    <row r="1314" spans="1:9" x14ac:dyDescent="0.3">
      <c r="A1314" s="1" t="s">
        <v>7776</v>
      </c>
      <c r="B1314" s="1" t="s">
        <v>4728</v>
      </c>
      <c r="C1314" s="41">
        <v>44911</v>
      </c>
      <c r="D1314" s="1">
        <v>590154.17000000004</v>
      </c>
      <c r="E1314" s="1" t="s">
        <v>6464</v>
      </c>
      <c r="F1314" s="1" t="s">
        <v>6481</v>
      </c>
      <c r="G1314" s="1" t="s">
        <v>17</v>
      </c>
      <c r="H1314" s="1">
        <v>20</v>
      </c>
      <c r="I1314" t="str">
        <f>IF(ISNA(_xlfn.XLOOKUP(B1314, policy_details!$A$2:$A$2829, policy_details!$A$2:$A$2829)), "Invalid", "Ok")</f>
        <v>Ok</v>
      </c>
    </row>
    <row r="1315" spans="1:9" x14ac:dyDescent="0.3">
      <c r="A1315" s="1" t="s">
        <v>7777</v>
      </c>
      <c r="B1315" s="1" t="s">
        <v>4996</v>
      </c>
      <c r="C1315" s="41">
        <v>45634</v>
      </c>
      <c r="D1315" s="1">
        <v>244061.98</v>
      </c>
      <c r="E1315" s="1" t="s">
        <v>6460</v>
      </c>
      <c r="F1315" s="1" t="s">
        <v>6481</v>
      </c>
      <c r="G1315" s="1" t="s">
        <v>17</v>
      </c>
      <c r="H1315" s="1">
        <v>21</v>
      </c>
      <c r="I1315" t="str">
        <f>IF(ISNA(_xlfn.XLOOKUP(B1315, policy_details!$A$2:$A$2829, policy_details!$A$2:$A$2829)), "Invalid", "Ok")</f>
        <v>Ok</v>
      </c>
    </row>
    <row r="1316" spans="1:9" x14ac:dyDescent="0.3">
      <c r="A1316" s="1" t="s">
        <v>7778</v>
      </c>
      <c r="B1316" s="1" t="s">
        <v>3735</v>
      </c>
      <c r="C1316" s="41">
        <v>46055</v>
      </c>
      <c r="D1316" s="1">
        <v>52798.31</v>
      </c>
      <c r="E1316" s="1" t="s">
        <v>6460</v>
      </c>
      <c r="F1316" s="1" t="s">
        <v>6470</v>
      </c>
      <c r="G1316" s="1" t="s">
        <v>17</v>
      </c>
      <c r="H1316" s="1">
        <v>37</v>
      </c>
      <c r="I1316" t="str">
        <f>IF(ISNA(_xlfn.XLOOKUP(B1316, policy_details!$A$2:$A$2829, policy_details!$A$2:$A$2829)), "Invalid", "Ok")</f>
        <v>Ok</v>
      </c>
    </row>
    <row r="1317" spans="1:9" x14ac:dyDescent="0.3">
      <c r="A1317" s="1" t="s">
        <v>7779</v>
      </c>
      <c r="B1317" s="1" t="s">
        <v>6083</v>
      </c>
      <c r="C1317" s="41">
        <v>45970</v>
      </c>
      <c r="D1317" s="1">
        <v>191278.73</v>
      </c>
      <c r="E1317" s="1" t="s">
        <v>6460</v>
      </c>
      <c r="F1317" s="1" t="s">
        <v>6481</v>
      </c>
      <c r="G1317" s="1" t="s">
        <v>17</v>
      </c>
      <c r="H1317" s="1">
        <v>24</v>
      </c>
      <c r="I1317" t="str">
        <f>IF(ISNA(_xlfn.XLOOKUP(B1317, policy_details!$A$2:$A$2829, policy_details!$A$2:$A$2829)), "Invalid", "Ok")</f>
        <v>Ok</v>
      </c>
    </row>
    <row r="1318" spans="1:9" x14ac:dyDescent="0.3">
      <c r="A1318" s="1" t="s">
        <v>7780</v>
      </c>
      <c r="B1318" s="1" t="s">
        <v>3372</v>
      </c>
      <c r="C1318" s="41">
        <v>45233</v>
      </c>
      <c r="D1318" s="1">
        <v>133339.92000000001</v>
      </c>
      <c r="E1318" s="1" t="s">
        <v>6460</v>
      </c>
      <c r="F1318" s="1" t="s">
        <v>6466</v>
      </c>
      <c r="G1318" s="1" t="s">
        <v>17</v>
      </c>
      <c r="H1318" s="1">
        <v>6</v>
      </c>
      <c r="I1318" t="str">
        <f>IF(ISNA(_xlfn.XLOOKUP(B1318, policy_details!$A$2:$A$2829, policy_details!$A$2:$A$2829)), "Invalid", "Ok")</f>
        <v>Ok</v>
      </c>
    </row>
    <row r="1319" spans="1:9" x14ac:dyDescent="0.3">
      <c r="A1319" s="1" t="s">
        <v>7781</v>
      </c>
      <c r="B1319" s="1" t="s">
        <v>3711</v>
      </c>
      <c r="C1319" s="41">
        <v>44654</v>
      </c>
      <c r="D1319" s="1">
        <v>167896.38</v>
      </c>
      <c r="E1319" s="1" t="s">
        <v>6460</v>
      </c>
      <c r="F1319" s="1" t="s">
        <v>6470</v>
      </c>
      <c r="G1319" s="1" t="s">
        <v>17</v>
      </c>
      <c r="H1319" s="1">
        <v>39</v>
      </c>
      <c r="I1319" t="str">
        <f>IF(ISNA(_xlfn.XLOOKUP(B1319, policy_details!$A$2:$A$2829, policy_details!$A$2:$A$2829)), "Invalid", "Ok")</f>
        <v>Ok</v>
      </c>
    </row>
    <row r="1320" spans="1:9" x14ac:dyDescent="0.3">
      <c r="A1320" s="1" t="s">
        <v>7782</v>
      </c>
      <c r="B1320" s="1" t="s">
        <v>5915</v>
      </c>
      <c r="C1320" s="41">
        <v>44792</v>
      </c>
      <c r="D1320" s="1">
        <v>122638.96</v>
      </c>
      <c r="E1320" s="1" t="s">
        <v>6460</v>
      </c>
      <c r="F1320" s="1" t="s">
        <v>6481</v>
      </c>
      <c r="G1320" s="1" t="s">
        <v>17</v>
      </c>
      <c r="H1320" s="1">
        <v>7</v>
      </c>
      <c r="I1320" t="str">
        <f>IF(ISNA(_xlfn.XLOOKUP(B1320, policy_details!$A$2:$A$2829, policy_details!$A$2:$A$2829)), "Invalid", "Ok")</f>
        <v>Ok</v>
      </c>
    </row>
    <row r="1321" spans="1:9" x14ac:dyDescent="0.3">
      <c r="A1321" s="1" t="s">
        <v>7783</v>
      </c>
      <c r="B1321" s="1" t="s">
        <v>3901</v>
      </c>
      <c r="C1321" s="41">
        <v>44918</v>
      </c>
      <c r="D1321" s="1">
        <v>1117903.77</v>
      </c>
      <c r="E1321" s="1" t="s">
        <v>6457</v>
      </c>
      <c r="F1321" s="1" t="s">
        <v>6458</v>
      </c>
      <c r="G1321" s="1" t="s">
        <v>17</v>
      </c>
      <c r="H1321" s="1">
        <v>31</v>
      </c>
      <c r="I1321" t="str">
        <f>IF(ISNA(_xlfn.XLOOKUP(B1321, policy_details!$A$2:$A$2829, policy_details!$A$2:$A$2829)), "Invalid", "Ok")</f>
        <v>Ok</v>
      </c>
    </row>
    <row r="1322" spans="1:9" x14ac:dyDescent="0.3">
      <c r="A1322" s="1" t="s">
        <v>7784</v>
      </c>
      <c r="B1322" s="1" t="s">
        <v>5861</v>
      </c>
      <c r="C1322" s="41">
        <v>44995</v>
      </c>
      <c r="D1322" s="1">
        <v>155232.44</v>
      </c>
      <c r="E1322" s="1" t="s">
        <v>6460</v>
      </c>
      <c r="F1322" s="1" t="s">
        <v>6470</v>
      </c>
      <c r="G1322" s="1" t="s">
        <v>17</v>
      </c>
      <c r="H1322" s="1">
        <v>13</v>
      </c>
      <c r="I1322" t="str">
        <f>IF(ISNA(_xlfn.XLOOKUP(B1322, policy_details!$A$2:$A$2829, policy_details!$A$2:$A$2829)), "Invalid", "Ok")</f>
        <v>Ok</v>
      </c>
    </row>
    <row r="1323" spans="1:9" x14ac:dyDescent="0.3">
      <c r="A1323" s="1" t="s">
        <v>7785</v>
      </c>
      <c r="B1323" s="1" t="s">
        <v>4598</v>
      </c>
      <c r="C1323" s="41">
        <v>45381</v>
      </c>
      <c r="D1323" s="1">
        <v>118247.4</v>
      </c>
      <c r="E1323" s="1" t="s">
        <v>6457</v>
      </c>
      <c r="F1323" s="1" t="s">
        <v>6461</v>
      </c>
      <c r="G1323" s="1" t="s">
        <v>17</v>
      </c>
      <c r="H1323" s="1">
        <v>6</v>
      </c>
      <c r="I1323" t="str">
        <f>IF(ISNA(_xlfn.XLOOKUP(B1323, policy_details!$A$2:$A$2829, policy_details!$A$2:$A$2829)), "Invalid", "Ok")</f>
        <v>Ok</v>
      </c>
    </row>
    <row r="1324" spans="1:9" x14ac:dyDescent="0.3">
      <c r="A1324" s="1" t="s">
        <v>7786</v>
      </c>
      <c r="B1324" s="1" t="s">
        <v>5811</v>
      </c>
      <c r="C1324" s="41">
        <v>46002</v>
      </c>
      <c r="D1324" s="1">
        <v>161651.79999999999</v>
      </c>
      <c r="E1324" s="1" t="s">
        <v>6464</v>
      </c>
      <c r="F1324" s="1" t="s">
        <v>6461</v>
      </c>
      <c r="G1324" s="1" t="s">
        <v>17</v>
      </c>
      <c r="H1324" s="1">
        <v>9</v>
      </c>
      <c r="I1324" t="str">
        <f>IF(ISNA(_xlfn.XLOOKUP(B1324, policy_details!$A$2:$A$2829, policy_details!$A$2:$A$2829)), "Invalid", "Ok")</f>
        <v>Ok</v>
      </c>
    </row>
    <row r="1325" spans="1:9" x14ac:dyDescent="0.3">
      <c r="A1325" s="1" t="s">
        <v>7787</v>
      </c>
      <c r="B1325" s="1" t="s">
        <v>3569</v>
      </c>
      <c r="C1325" s="41">
        <v>44887</v>
      </c>
      <c r="D1325" s="1">
        <v>211727.3</v>
      </c>
      <c r="E1325" s="1" t="s">
        <v>6460</v>
      </c>
      <c r="F1325" s="1" t="s">
        <v>6466</v>
      </c>
      <c r="G1325" s="1" t="s">
        <v>17</v>
      </c>
      <c r="H1325" s="1">
        <v>42</v>
      </c>
      <c r="I1325" t="str">
        <f>IF(ISNA(_xlfn.XLOOKUP(B1325, policy_details!$A$2:$A$2829, policy_details!$A$2:$A$2829)), "Invalid", "Ok")</f>
        <v>Ok</v>
      </c>
    </row>
    <row r="1326" spans="1:9" x14ac:dyDescent="0.3">
      <c r="A1326" s="1" t="s">
        <v>7788</v>
      </c>
      <c r="B1326" s="1" t="s">
        <v>4571</v>
      </c>
      <c r="C1326" s="41">
        <v>45901</v>
      </c>
      <c r="D1326" s="1">
        <v>233715.81</v>
      </c>
      <c r="E1326" s="1" t="s">
        <v>6464</v>
      </c>
      <c r="F1326" s="1" t="s">
        <v>6481</v>
      </c>
      <c r="G1326" s="1" t="s">
        <v>17</v>
      </c>
      <c r="H1326" s="1">
        <v>43</v>
      </c>
      <c r="I1326" t="str">
        <f>IF(ISNA(_xlfn.XLOOKUP(B1326, policy_details!$A$2:$A$2829, policy_details!$A$2:$A$2829)), "Invalid", "Ok")</f>
        <v>Ok</v>
      </c>
    </row>
    <row r="1327" spans="1:9" x14ac:dyDescent="0.3">
      <c r="A1327" s="1" t="s">
        <v>7789</v>
      </c>
      <c r="B1327" s="1" t="s">
        <v>4972</v>
      </c>
      <c r="C1327" s="41">
        <v>45125</v>
      </c>
      <c r="D1327" s="1">
        <v>134094.12</v>
      </c>
      <c r="E1327" s="1" t="s">
        <v>6460</v>
      </c>
      <c r="F1327" s="1" t="s">
        <v>6461</v>
      </c>
      <c r="G1327" s="1" t="s">
        <v>17</v>
      </c>
      <c r="H1327" s="1">
        <v>27</v>
      </c>
      <c r="I1327" t="str">
        <f>IF(ISNA(_xlfn.XLOOKUP(B1327, policy_details!$A$2:$A$2829, policy_details!$A$2:$A$2829)), "Invalid", "Ok")</f>
        <v>Ok</v>
      </c>
    </row>
    <row r="1328" spans="1:9" x14ac:dyDescent="0.3">
      <c r="A1328" s="1" t="s">
        <v>7790</v>
      </c>
      <c r="B1328" s="1" t="s">
        <v>5385</v>
      </c>
      <c r="C1328" s="41">
        <v>45306</v>
      </c>
      <c r="D1328" s="1">
        <v>178180.97</v>
      </c>
      <c r="E1328" s="1" t="s">
        <v>6457</v>
      </c>
      <c r="F1328" s="1" t="s">
        <v>6470</v>
      </c>
      <c r="G1328" s="1" t="s">
        <v>17</v>
      </c>
      <c r="H1328" s="1">
        <v>36</v>
      </c>
      <c r="I1328" t="str">
        <f>IF(ISNA(_xlfn.XLOOKUP(B1328, policy_details!$A$2:$A$2829, policy_details!$A$2:$A$2829)), "Invalid", "Ok")</f>
        <v>Ok</v>
      </c>
    </row>
    <row r="1329" spans="1:9" x14ac:dyDescent="0.3">
      <c r="A1329" s="1" t="s">
        <v>7791</v>
      </c>
      <c r="B1329" s="1" t="s">
        <v>5984</v>
      </c>
      <c r="C1329" s="41">
        <v>45831</v>
      </c>
      <c r="D1329" s="1">
        <v>1068469.79</v>
      </c>
      <c r="E1329" s="1" t="s">
        <v>6457</v>
      </c>
      <c r="F1329" s="1" t="s">
        <v>6458</v>
      </c>
      <c r="G1329" s="1" t="s">
        <v>17</v>
      </c>
      <c r="H1329" s="1">
        <v>40</v>
      </c>
      <c r="I1329" t="str">
        <f>IF(ISNA(_xlfn.XLOOKUP(B1329, policy_details!$A$2:$A$2829, policy_details!$A$2:$A$2829)), "Invalid", "Ok")</f>
        <v>Ok</v>
      </c>
    </row>
    <row r="1330" spans="1:9" x14ac:dyDescent="0.3">
      <c r="A1330" s="1" t="s">
        <v>7792</v>
      </c>
      <c r="B1330" s="1" t="s">
        <v>4276</v>
      </c>
      <c r="C1330" s="41">
        <v>45240</v>
      </c>
      <c r="D1330" s="1">
        <v>245332.07</v>
      </c>
      <c r="E1330" s="1" t="s">
        <v>6457</v>
      </c>
      <c r="F1330" s="1" t="s">
        <v>6466</v>
      </c>
      <c r="G1330" s="1" t="s">
        <v>17</v>
      </c>
      <c r="H1330" s="1">
        <v>16</v>
      </c>
      <c r="I1330" t="str">
        <f>IF(ISNA(_xlfn.XLOOKUP(B1330, policy_details!$A$2:$A$2829, policy_details!$A$2:$A$2829)), "Invalid", "Ok")</f>
        <v>Ok</v>
      </c>
    </row>
    <row r="1331" spans="1:9" x14ac:dyDescent="0.3">
      <c r="A1331" s="1" t="s">
        <v>7793</v>
      </c>
      <c r="B1331" s="1" t="s">
        <v>5481</v>
      </c>
      <c r="C1331" s="41">
        <v>45806</v>
      </c>
      <c r="D1331" s="1">
        <v>439176.2</v>
      </c>
      <c r="E1331" s="1" t="s">
        <v>6460</v>
      </c>
      <c r="F1331" s="1" t="s">
        <v>6481</v>
      </c>
      <c r="G1331" s="1" t="s">
        <v>17</v>
      </c>
      <c r="H1331" s="1">
        <v>34</v>
      </c>
      <c r="I1331" t="str">
        <f>IF(ISNA(_xlfn.XLOOKUP(B1331, policy_details!$A$2:$A$2829, policy_details!$A$2:$A$2829)), "Invalid", "Ok")</f>
        <v>Ok</v>
      </c>
    </row>
    <row r="1332" spans="1:9" x14ac:dyDescent="0.3">
      <c r="A1332" s="1" t="s">
        <v>7794</v>
      </c>
      <c r="B1332" s="1" t="s">
        <v>3971</v>
      </c>
      <c r="C1332" s="41">
        <v>45863</v>
      </c>
      <c r="D1332" s="1">
        <v>114124.56</v>
      </c>
      <c r="E1332" s="1" t="s">
        <v>6464</v>
      </c>
      <c r="F1332" s="1" t="s">
        <v>6461</v>
      </c>
      <c r="G1332" s="1" t="s">
        <v>17</v>
      </c>
      <c r="H1332" s="1">
        <v>23</v>
      </c>
      <c r="I1332" t="str">
        <f>IF(ISNA(_xlfn.XLOOKUP(B1332, policy_details!$A$2:$A$2829, policy_details!$A$2:$A$2829)), "Invalid", "Ok")</f>
        <v>Ok</v>
      </c>
    </row>
    <row r="1333" spans="1:9" x14ac:dyDescent="0.3">
      <c r="A1333" s="1" t="s">
        <v>7795</v>
      </c>
      <c r="B1333" s="1" t="s">
        <v>5866</v>
      </c>
      <c r="C1333" s="41">
        <v>44947</v>
      </c>
      <c r="D1333" s="1">
        <v>202759.35</v>
      </c>
      <c r="E1333" s="1" t="s">
        <v>6457</v>
      </c>
      <c r="F1333" s="1" t="s">
        <v>6470</v>
      </c>
      <c r="G1333" s="1" t="s">
        <v>17</v>
      </c>
      <c r="H1333" s="1">
        <v>8</v>
      </c>
      <c r="I1333" t="str">
        <f>IF(ISNA(_xlfn.XLOOKUP(B1333, policy_details!$A$2:$A$2829, policy_details!$A$2:$A$2829)), "Invalid", "Ok")</f>
        <v>Ok</v>
      </c>
    </row>
    <row r="1334" spans="1:9" x14ac:dyDescent="0.3">
      <c r="A1334" s="1" t="s">
        <v>7796</v>
      </c>
      <c r="B1334" s="1" t="s">
        <v>6260</v>
      </c>
      <c r="C1334" s="41">
        <v>45668</v>
      </c>
      <c r="D1334" s="1">
        <v>747458.35</v>
      </c>
      <c r="E1334" s="1" t="s">
        <v>6460</v>
      </c>
      <c r="F1334" s="1" t="s">
        <v>6466</v>
      </c>
      <c r="G1334" s="1" t="s">
        <v>17</v>
      </c>
      <c r="H1334" s="1">
        <v>24</v>
      </c>
      <c r="I1334" t="str">
        <f>IF(ISNA(_xlfn.XLOOKUP(B1334, policy_details!$A$2:$A$2829, policy_details!$A$2:$A$2829)), "Invalid", "Ok")</f>
        <v>Ok</v>
      </c>
    </row>
    <row r="1335" spans="1:9" x14ac:dyDescent="0.3">
      <c r="A1335" s="1" t="s">
        <v>7797</v>
      </c>
      <c r="B1335" s="1" t="s">
        <v>3556</v>
      </c>
      <c r="C1335" s="41">
        <v>45546</v>
      </c>
      <c r="D1335" s="1">
        <v>146959.71</v>
      </c>
      <c r="E1335" s="1" t="s">
        <v>6457</v>
      </c>
      <c r="F1335" s="1" t="s">
        <v>6461</v>
      </c>
      <c r="G1335" s="1" t="s">
        <v>17</v>
      </c>
      <c r="H1335" s="1">
        <v>3</v>
      </c>
      <c r="I1335" t="str">
        <f>IF(ISNA(_xlfn.XLOOKUP(B1335, policy_details!$A$2:$A$2829, policy_details!$A$2:$A$2829)), "Invalid", "Ok")</f>
        <v>Ok</v>
      </c>
    </row>
    <row r="1336" spans="1:9" x14ac:dyDescent="0.3">
      <c r="A1336" s="1" t="s">
        <v>7798</v>
      </c>
      <c r="B1336" s="1" t="s">
        <v>3697</v>
      </c>
      <c r="C1336" s="41">
        <v>46104</v>
      </c>
      <c r="D1336" s="1">
        <v>179803.93</v>
      </c>
      <c r="E1336" s="1" t="s">
        <v>6460</v>
      </c>
      <c r="F1336" s="1" t="s">
        <v>6470</v>
      </c>
      <c r="G1336" s="1" t="s">
        <v>17</v>
      </c>
      <c r="H1336" s="1">
        <v>27</v>
      </c>
      <c r="I1336" t="str">
        <f>IF(ISNA(_xlfn.XLOOKUP(B1336, policy_details!$A$2:$A$2829, policy_details!$A$2:$A$2829)), "Invalid", "Ok")</f>
        <v>Ok</v>
      </c>
    </row>
    <row r="1337" spans="1:9" x14ac:dyDescent="0.3">
      <c r="A1337" s="1" t="s">
        <v>7799</v>
      </c>
      <c r="B1337" s="1" t="s">
        <v>5844</v>
      </c>
      <c r="C1337" s="41">
        <v>45681</v>
      </c>
      <c r="D1337" s="1">
        <v>116971.98</v>
      </c>
      <c r="E1337" s="1" t="s">
        <v>6460</v>
      </c>
      <c r="F1337" s="1" t="s">
        <v>6466</v>
      </c>
      <c r="G1337" s="1" t="s">
        <v>17</v>
      </c>
      <c r="H1337" s="1">
        <v>12</v>
      </c>
      <c r="I1337" t="str">
        <f>IF(ISNA(_xlfn.XLOOKUP(B1337, policy_details!$A$2:$A$2829, policy_details!$A$2:$A$2829)), "Invalid", "Ok")</f>
        <v>Ok</v>
      </c>
    </row>
    <row r="1338" spans="1:9" x14ac:dyDescent="0.3">
      <c r="A1338" s="1" t="s">
        <v>7800</v>
      </c>
      <c r="B1338" s="1" t="s">
        <v>6110</v>
      </c>
      <c r="C1338" s="41">
        <v>44940</v>
      </c>
      <c r="D1338" s="1">
        <v>630043.91</v>
      </c>
      <c r="E1338" s="1" t="s">
        <v>6457</v>
      </c>
      <c r="F1338" s="1" t="s">
        <v>6458</v>
      </c>
      <c r="G1338" s="1" t="s">
        <v>17</v>
      </c>
      <c r="H1338" s="1">
        <v>5</v>
      </c>
      <c r="I1338" t="str">
        <f>IF(ISNA(_xlfn.XLOOKUP(B1338, policy_details!$A$2:$A$2829, policy_details!$A$2:$A$2829)), "Invalid", "Ok")</f>
        <v>Ok</v>
      </c>
    </row>
    <row r="1339" spans="1:9" x14ac:dyDescent="0.3">
      <c r="A1339" s="1" t="s">
        <v>7801</v>
      </c>
      <c r="B1339" s="1" t="s">
        <v>5450</v>
      </c>
      <c r="C1339" s="41">
        <v>45185</v>
      </c>
      <c r="D1339" s="1">
        <v>853385.78</v>
      </c>
      <c r="E1339" s="1" t="s">
        <v>6457</v>
      </c>
      <c r="F1339" s="1" t="s">
        <v>6458</v>
      </c>
      <c r="G1339" s="1" t="s">
        <v>17</v>
      </c>
      <c r="H1339" s="1">
        <v>32</v>
      </c>
      <c r="I1339" t="str">
        <f>IF(ISNA(_xlfn.XLOOKUP(B1339, policy_details!$A$2:$A$2829, policy_details!$A$2:$A$2829)), "Invalid", "Ok")</f>
        <v>Ok</v>
      </c>
    </row>
    <row r="1340" spans="1:9" x14ac:dyDescent="0.3">
      <c r="A1340" s="1" t="s">
        <v>7802</v>
      </c>
      <c r="B1340" s="1" t="s">
        <v>4917</v>
      </c>
      <c r="C1340" s="41">
        <v>44476</v>
      </c>
      <c r="D1340" s="1">
        <v>326420.93</v>
      </c>
      <c r="E1340" s="1" t="s">
        <v>6464</v>
      </c>
      <c r="F1340" s="1" t="s">
        <v>6481</v>
      </c>
      <c r="G1340" s="1" t="s">
        <v>17</v>
      </c>
      <c r="H1340" s="1">
        <v>16</v>
      </c>
      <c r="I1340" t="str">
        <f>IF(ISNA(_xlfn.XLOOKUP(B1340, policy_details!$A$2:$A$2829, policy_details!$A$2:$A$2829)), "Invalid", "Ok")</f>
        <v>Ok</v>
      </c>
    </row>
    <row r="1341" spans="1:9" x14ac:dyDescent="0.3">
      <c r="A1341" s="1" t="s">
        <v>7803</v>
      </c>
      <c r="B1341" s="1" t="s">
        <v>5790</v>
      </c>
      <c r="C1341" s="41">
        <v>45198</v>
      </c>
      <c r="D1341" s="1">
        <v>304359.37</v>
      </c>
      <c r="E1341" s="1" t="s">
        <v>6460</v>
      </c>
      <c r="F1341" s="1" t="s">
        <v>6466</v>
      </c>
      <c r="G1341" s="1" t="s">
        <v>17</v>
      </c>
      <c r="H1341" s="1">
        <v>20</v>
      </c>
      <c r="I1341" t="str">
        <f>IF(ISNA(_xlfn.XLOOKUP(B1341, policy_details!$A$2:$A$2829, policy_details!$A$2:$A$2829)), "Invalid", "Ok")</f>
        <v>Ok</v>
      </c>
    </row>
    <row r="1342" spans="1:9" x14ac:dyDescent="0.3">
      <c r="A1342" s="1" t="s">
        <v>7804</v>
      </c>
      <c r="B1342" s="1" t="s">
        <v>4446</v>
      </c>
      <c r="C1342" s="41">
        <v>44679</v>
      </c>
      <c r="D1342" s="1">
        <v>176579.69</v>
      </c>
      <c r="E1342" s="1" t="s">
        <v>6460</v>
      </c>
      <c r="F1342" s="1" t="s">
        <v>6461</v>
      </c>
      <c r="G1342" s="1" t="s">
        <v>17</v>
      </c>
      <c r="H1342" s="1">
        <v>4</v>
      </c>
      <c r="I1342" t="str">
        <f>IF(ISNA(_xlfn.XLOOKUP(B1342, policy_details!$A$2:$A$2829, policy_details!$A$2:$A$2829)), "Invalid", "Ok")</f>
        <v>Ok</v>
      </c>
    </row>
    <row r="1343" spans="1:9" x14ac:dyDescent="0.3">
      <c r="A1343" s="1" t="s">
        <v>7805</v>
      </c>
      <c r="B1343" s="1" t="s">
        <v>6425</v>
      </c>
      <c r="C1343" s="41">
        <v>44929</v>
      </c>
      <c r="D1343" s="1">
        <v>1345396.13</v>
      </c>
      <c r="E1343" s="1" t="s">
        <v>6460</v>
      </c>
      <c r="F1343" s="1" t="s">
        <v>6458</v>
      </c>
      <c r="G1343" s="1" t="s">
        <v>17</v>
      </c>
      <c r="H1343" s="1">
        <v>4</v>
      </c>
      <c r="I1343" t="str">
        <f>IF(ISNA(_xlfn.XLOOKUP(B1343, policy_details!$A$2:$A$2829, policy_details!$A$2:$A$2829)), "Invalid", "Ok")</f>
        <v>Ok</v>
      </c>
    </row>
    <row r="1344" spans="1:9" x14ac:dyDescent="0.3">
      <c r="A1344" s="1" t="s">
        <v>7806</v>
      </c>
      <c r="B1344" s="1" t="s">
        <v>6019</v>
      </c>
      <c r="C1344" s="41">
        <v>45536</v>
      </c>
      <c r="D1344" s="1">
        <v>109211.39</v>
      </c>
      <c r="E1344" s="1" t="s">
        <v>6457</v>
      </c>
      <c r="F1344" s="1" t="s">
        <v>6470</v>
      </c>
      <c r="G1344" s="1" t="s">
        <v>17</v>
      </c>
      <c r="H1344" s="1">
        <v>41</v>
      </c>
      <c r="I1344" t="str">
        <f>IF(ISNA(_xlfn.XLOOKUP(B1344, policy_details!$A$2:$A$2829, policy_details!$A$2:$A$2829)), "Invalid", "Ok")</f>
        <v>Ok</v>
      </c>
    </row>
    <row r="1345" spans="1:9" x14ac:dyDescent="0.3">
      <c r="A1345" s="1" t="s">
        <v>7807</v>
      </c>
      <c r="B1345" s="1" t="s">
        <v>6129</v>
      </c>
      <c r="C1345" s="41">
        <v>46224</v>
      </c>
      <c r="D1345" s="1">
        <v>1149236.49</v>
      </c>
      <c r="E1345" s="1" t="s">
        <v>6464</v>
      </c>
      <c r="F1345" s="1" t="s">
        <v>6458</v>
      </c>
      <c r="G1345" s="1" t="s">
        <v>17</v>
      </c>
      <c r="H1345" s="1">
        <v>27</v>
      </c>
      <c r="I1345" t="str">
        <f>IF(ISNA(_xlfn.XLOOKUP(B1345, policy_details!$A$2:$A$2829, policy_details!$A$2:$A$2829)), "Invalid", "Ok")</f>
        <v>Ok</v>
      </c>
    </row>
    <row r="1346" spans="1:9" x14ac:dyDescent="0.3">
      <c r="A1346" s="1" t="s">
        <v>7808</v>
      </c>
      <c r="B1346" s="1" t="s">
        <v>6038</v>
      </c>
      <c r="C1346" s="41">
        <v>45023</v>
      </c>
      <c r="D1346" s="1">
        <v>906028.97</v>
      </c>
      <c r="E1346" s="1" t="s">
        <v>6464</v>
      </c>
      <c r="F1346" s="1" t="s">
        <v>6458</v>
      </c>
      <c r="G1346" s="1" t="s">
        <v>17</v>
      </c>
      <c r="H1346" s="1">
        <v>18</v>
      </c>
      <c r="I1346" t="str">
        <f>IF(ISNA(_xlfn.XLOOKUP(B1346, policy_details!$A$2:$A$2829, policy_details!$A$2:$A$2829)), "Invalid", "Ok")</f>
        <v>Ok</v>
      </c>
    </row>
    <row r="1347" spans="1:9" x14ac:dyDescent="0.3">
      <c r="A1347" s="1" t="s">
        <v>7809</v>
      </c>
      <c r="B1347" s="1" t="s">
        <v>6259</v>
      </c>
      <c r="C1347" s="41">
        <v>44846</v>
      </c>
      <c r="D1347" s="1">
        <v>266109.71000000002</v>
      </c>
      <c r="E1347" s="1" t="s">
        <v>6460</v>
      </c>
      <c r="F1347" s="1" t="s">
        <v>6481</v>
      </c>
      <c r="G1347" s="1" t="s">
        <v>17</v>
      </c>
      <c r="H1347" s="1">
        <v>30</v>
      </c>
      <c r="I1347" t="str">
        <f>IF(ISNA(_xlfn.XLOOKUP(B1347, policy_details!$A$2:$A$2829, policy_details!$A$2:$A$2829)), "Invalid", "Ok")</f>
        <v>Ok</v>
      </c>
    </row>
    <row r="1348" spans="1:9" x14ac:dyDescent="0.3">
      <c r="A1348" s="1" t="s">
        <v>7810</v>
      </c>
      <c r="B1348" s="1" t="s">
        <v>3632</v>
      </c>
      <c r="C1348" s="41">
        <v>44475</v>
      </c>
      <c r="D1348" s="1">
        <v>750872.12</v>
      </c>
      <c r="E1348" s="1" t="s">
        <v>6460</v>
      </c>
      <c r="F1348" s="1" t="s">
        <v>6458</v>
      </c>
      <c r="G1348" s="1" t="s">
        <v>17</v>
      </c>
      <c r="H1348" s="1">
        <v>32</v>
      </c>
      <c r="I1348" t="str">
        <f>IF(ISNA(_xlfn.XLOOKUP(B1348, policy_details!$A$2:$A$2829, policy_details!$A$2:$A$2829)), "Invalid", "Ok")</f>
        <v>Ok</v>
      </c>
    </row>
    <row r="1349" spans="1:9" x14ac:dyDescent="0.3">
      <c r="A1349" s="1" t="s">
        <v>7811</v>
      </c>
      <c r="B1349" s="1" t="s">
        <v>6191</v>
      </c>
      <c r="C1349" s="41">
        <v>45035</v>
      </c>
      <c r="D1349" s="1">
        <v>93141.53</v>
      </c>
      <c r="E1349" s="1" t="s">
        <v>6460</v>
      </c>
      <c r="F1349" s="1" t="s">
        <v>6461</v>
      </c>
      <c r="G1349" s="1" t="s">
        <v>17</v>
      </c>
      <c r="H1349" s="1">
        <v>6</v>
      </c>
      <c r="I1349" t="str">
        <f>IF(ISNA(_xlfn.XLOOKUP(B1349, policy_details!$A$2:$A$2829, policy_details!$A$2:$A$2829)), "Invalid", "Ok")</f>
        <v>Ok</v>
      </c>
    </row>
    <row r="1350" spans="1:9" x14ac:dyDescent="0.3">
      <c r="A1350" s="1" t="s">
        <v>7812</v>
      </c>
      <c r="B1350" s="1" t="s">
        <v>4289</v>
      </c>
      <c r="C1350" s="41">
        <v>44558</v>
      </c>
      <c r="D1350" s="1">
        <v>81700.39</v>
      </c>
      <c r="E1350" s="1" t="s">
        <v>6464</v>
      </c>
      <c r="F1350" s="1" t="s">
        <v>6461</v>
      </c>
      <c r="G1350" s="1" t="s">
        <v>17</v>
      </c>
      <c r="H1350" s="1">
        <v>41</v>
      </c>
      <c r="I1350" t="str">
        <f>IF(ISNA(_xlfn.XLOOKUP(B1350, policy_details!$A$2:$A$2829, policy_details!$A$2:$A$2829)), "Invalid", "Ok")</f>
        <v>Ok</v>
      </c>
    </row>
    <row r="1351" spans="1:9" x14ac:dyDescent="0.3">
      <c r="A1351" s="1" t="s">
        <v>7813</v>
      </c>
      <c r="B1351" s="1" t="s">
        <v>4624</v>
      </c>
      <c r="C1351" s="41">
        <v>44967</v>
      </c>
      <c r="D1351" s="1">
        <v>211302.92</v>
      </c>
      <c r="E1351" s="1" t="s">
        <v>6457</v>
      </c>
      <c r="F1351" s="1" t="s">
        <v>6470</v>
      </c>
      <c r="G1351" s="1" t="s">
        <v>17</v>
      </c>
      <c r="H1351" s="1">
        <v>29</v>
      </c>
      <c r="I1351" t="str">
        <f>IF(ISNA(_xlfn.XLOOKUP(B1351, policy_details!$A$2:$A$2829, policy_details!$A$2:$A$2829)), "Invalid", "Ok")</f>
        <v>Ok</v>
      </c>
    </row>
    <row r="1352" spans="1:9" x14ac:dyDescent="0.3">
      <c r="A1352" s="1" t="s">
        <v>7814</v>
      </c>
      <c r="B1352" s="1" t="s">
        <v>4658</v>
      </c>
      <c r="C1352" s="41">
        <v>45742</v>
      </c>
      <c r="D1352" s="1">
        <v>1154382.21</v>
      </c>
      <c r="E1352" s="1" t="s">
        <v>6460</v>
      </c>
      <c r="F1352" s="1" t="s">
        <v>6458</v>
      </c>
      <c r="G1352" s="1" t="s">
        <v>17</v>
      </c>
      <c r="H1352" s="1">
        <v>14</v>
      </c>
      <c r="I1352" t="str">
        <f>IF(ISNA(_xlfn.XLOOKUP(B1352, policy_details!$A$2:$A$2829, policy_details!$A$2:$A$2829)), "Invalid", "Ok")</f>
        <v>Ok</v>
      </c>
    </row>
    <row r="1353" spans="1:9" x14ac:dyDescent="0.3">
      <c r="A1353" s="1" t="s">
        <v>7815</v>
      </c>
      <c r="B1353" s="1" t="s">
        <v>4241</v>
      </c>
      <c r="C1353" s="41">
        <v>45952</v>
      </c>
      <c r="D1353" s="1">
        <v>234317.21</v>
      </c>
      <c r="E1353" s="1" t="s">
        <v>6457</v>
      </c>
      <c r="F1353" s="1" t="s">
        <v>6481</v>
      </c>
      <c r="G1353" s="1" t="s">
        <v>17</v>
      </c>
      <c r="H1353" s="1">
        <v>12</v>
      </c>
      <c r="I1353" t="str">
        <f>IF(ISNA(_xlfn.XLOOKUP(B1353, policy_details!$A$2:$A$2829, policy_details!$A$2:$A$2829)), "Invalid", "Ok")</f>
        <v>Ok</v>
      </c>
    </row>
    <row r="1354" spans="1:9" x14ac:dyDescent="0.3">
      <c r="A1354" s="1" t="s">
        <v>7816</v>
      </c>
      <c r="B1354" s="1" t="s">
        <v>4852</v>
      </c>
      <c r="C1354" s="41">
        <v>45516</v>
      </c>
      <c r="D1354" s="1">
        <v>218376.53</v>
      </c>
      <c r="E1354" s="1" t="s">
        <v>6464</v>
      </c>
      <c r="F1354" s="1" t="s">
        <v>6466</v>
      </c>
      <c r="G1354" s="1" t="s">
        <v>17</v>
      </c>
      <c r="H1354" s="1">
        <v>4</v>
      </c>
      <c r="I1354" t="str">
        <f>IF(ISNA(_xlfn.XLOOKUP(B1354, policy_details!$A$2:$A$2829, policy_details!$A$2:$A$2829)), "Invalid", "Ok")</f>
        <v>Ok</v>
      </c>
    </row>
    <row r="1355" spans="1:9" x14ac:dyDescent="0.3">
      <c r="A1355" s="1" t="s">
        <v>7817</v>
      </c>
      <c r="B1355" s="1" t="s">
        <v>5043</v>
      </c>
      <c r="C1355" s="41">
        <v>45601</v>
      </c>
      <c r="D1355" s="1">
        <v>153472.62</v>
      </c>
      <c r="E1355" s="1" t="s">
        <v>6464</v>
      </c>
      <c r="F1355" s="1" t="s">
        <v>6466</v>
      </c>
      <c r="G1355" s="1" t="s">
        <v>17</v>
      </c>
      <c r="H1355" s="1">
        <v>12</v>
      </c>
      <c r="I1355" t="str">
        <f>IF(ISNA(_xlfn.XLOOKUP(B1355, policy_details!$A$2:$A$2829, policy_details!$A$2:$A$2829)), "Invalid", "Ok")</f>
        <v>Ok</v>
      </c>
    </row>
    <row r="1356" spans="1:9" x14ac:dyDescent="0.3">
      <c r="A1356" s="1" t="s">
        <v>7818</v>
      </c>
      <c r="B1356" s="1" t="s">
        <v>3962</v>
      </c>
      <c r="C1356" s="41">
        <v>45042</v>
      </c>
      <c r="D1356" s="1">
        <v>321498.15000000002</v>
      </c>
      <c r="E1356" s="1" t="s">
        <v>6457</v>
      </c>
      <c r="F1356" s="1" t="s">
        <v>6481</v>
      </c>
      <c r="G1356" s="1" t="s">
        <v>17</v>
      </c>
      <c r="H1356" s="1">
        <v>15</v>
      </c>
      <c r="I1356" t="str">
        <f>IF(ISNA(_xlfn.XLOOKUP(B1356, policy_details!$A$2:$A$2829, policy_details!$A$2:$A$2829)), "Invalid", "Ok")</f>
        <v>Ok</v>
      </c>
    </row>
    <row r="1357" spans="1:9" x14ac:dyDescent="0.3">
      <c r="A1357" s="1" t="s">
        <v>7819</v>
      </c>
      <c r="B1357" s="1" t="s">
        <v>4626</v>
      </c>
      <c r="C1357" s="41">
        <v>45152</v>
      </c>
      <c r="D1357" s="1">
        <v>185539.84</v>
      </c>
      <c r="E1357" s="1" t="s">
        <v>6460</v>
      </c>
      <c r="F1357" s="1" t="s">
        <v>6470</v>
      </c>
      <c r="G1357" s="1" t="s">
        <v>30</v>
      </c>
      <c r="H1357" s="1">
        <v>10</v>
      </c>
      <c r="I1357" t="str">
        <f>IF(ISNA(_xlfn.XLOOKUP(B1357, policy_details!$A$2:$A$2829, policy_details!$A$2:$A$2829)), "Invalid", "Ok")</f>
        <v>Ok</v>
      </c>
    </row>
    <row r="1358" spans="1:9" x14ac:dyDescent="0.3">
      <c r="A1358" s="1" t="s">
        <v>7820</v>
      </c>
      <c r="B1358" s="1" t="s">
        <v>4591</v>
      </c>
      <c r="C1358" s="41">
        <v>46140</v>
      </c>
      <c r="D1358" s="1">
        <v>149927.21</v>
      </c>
      <c r="E1358" s="1" t="s">
        <v>6460</v>
      </c>
      <c r="F1358" s="1" t="s">
        <v>6470</v>
      </c>
      <c r="G1358" s="1" t="s">
        <v>17</v>
      </c>
      <c r="H1358" s="1">
        <v>30</v>
      </c>
      <c r="I1358" t="str">
        <f>IF(ISNA(_xlfn.XLOOKUP(B1358, policy_details!$A$2:$A$2829, policy_details!$A$2:$A$2829)), "Invalid", "Ok")</f>
        <v>Ok</v>
      </c>
    </row>
    <row r="1359" spans="1:9" x14ac:dyDescent="0.3">
      <c r="A1359" s="1" t="s">
        <v>7821</v>
      </c>
      <c r="B1359" s="1" t="s">
        <v>5524</v>
      </c>
      <c r="C1359" s="41">
        <v>44464</v>
      </c>
      <c r="D1359" s="1">
        <v>339226.91</v>
      </c>
      <c r="E1359" s="1" t="s">
        <v>6460</v>
      </c>
      <c r="F1359" s="1" t="s">
        <v>6466</v>
      </c>
      <c r="G1359" s="1" t="s">
        <v>17</v>
      </c>
      <c r="H1359" s="1">
        <v>12</v>
      </c>
      <c r="I1359" t="str">
        <f>IF(ISNA(_xlfn.XLOOKUP(B1359, policy_details!$A$2:$A$2829, policy_details!$A$2:$A$2829)), "Invalid", "Ok")</f>
        <v>Ok</v>
      </c>
    </row>
    <row r="1360" spans="1:9" x14ac:dyDescent="0.3">
      <c r="A1360" s="1" t="s">
        <v>7822</v>
      </c>
      <c r="B1360" s="1" t="s">
        <v>5258</v>
      </c>
      <c r="C1360" s="41">
        <v>45064</v>
      </c>
      <c r="D1360" s="1">
        <v>303729.43</v>
      </c>
      <c r="E1360" s="1" t="s">
        <v>6457</v>
      </c>
      <c r="F1360" s="1" t="s">
        <v>6466</v>
      </c>
      <c r="G1360" s="1" t="s">
        <v>17</v>
      </c>
      <c r="H1360" s="1">
        <v>22</v>
      </c>
      <c r="I1360" t="str">
        <f>IF(ISNA(_xlfn.XLOOKUP(B1360, policy_details!$A$2:$A$2829, policy_details!$A$2:$A$2829)), "Invalid", "Ok")</f>
        <v>Ok</v>
      </c>
    </row>
    <row r="1361" spans="1:9" x14ac:dyDescent="0.3">
      <c r="A1361" s="1" t="s">
        <v>7823</v>
      </c>
      <c r="B1361" s="1" t="s">
        <v>5641</v>
      </c>
      <c r="C1361" s="41">
        <v>45074</v>
      </c>
      <c r="D1361" s="1">
        <v>69595.56</v>
      </c>
      <c r="E1361" s="1" t="s">
        <v>6460</v>
      </c>
      <c r="F1361" s="1" t="s">
        <v>6461</v>
      </c>
      <c r="G1361" s="1" t="s">
        <v>17</v>
      </c>
      <c r="H1361" s="1">
        <v>25</v>
      </c>
      <c r="I1361" t="str">
        <f>IF(ISNA(_xlfn.XLOOKUP(B1361, policy_details!$A$2:$A$2829, policy_details!$A$2:$A$2829)), "Invalid", "Ok")</f>
        <v>Ok</v>
      </c>
    </row>
    <row r="1362" spans="1:9" x14ac:dyDescent="0.3">
      <c r="A1362" s="1" t="s">
        <v>7824</v>
      </c>
      <c r="B1362" s="1" t="s">
        <v>5834</v>
      </c>
      <c r="C1362" s="41">
        <v>45253</v>
      </c>
      <c r="D1362" s="1">
        <v>153731.95000000001</v>
      </c>
      <c r="E1362" s="1" t="s">
        <v>6464</v>
      </c>
      <c r="F1362" s="1" t="s">
        <v>6461</v>
      </c>
      <c r="G1362" s="1" t="s">
        <v>17</v>
      </c>
      <c r="H1362" s="1">
        <v>4</v>
      </c>
      <c r="I1362" t="str">
        <f>IF(ISNA(_xlfn.XLOOKUP(B1362, policy_details!$A$2:$A$2829, policy_details!$A$2:$A$2829)), "Invalid", "Ok")</f>
        <v>Ok</v>
      </c>
    </row>
    <row r="1363" spans="1:9" x14ac:dyDescent="0.3">
      <c r="A1363" s="1" t="s">
        <v>7825</v>
      </c>
      <c r="B1363" s="1" t="s">
        <v>5504</v>
      </c>
      <c r="C1363" s="41">
        <v>45285</v>
      </c>
      <c r="D1363" s="1">
        <v>92899.39</v>
      </c>
      <c r="E1363" s="1" t="s">
        <v>6464</v>
      </c>
      <c r="F1363" s="1" t="s">
        <v>6461</v>
      </c>
      <c r="G1363" s="1" t="s">
        <v>17</v>
      </c>
      <c r="H1363" s="1">
        <v>8</v>
      </c>
      <c r="I1363" t="str">
        <f>IF(ISNA(_xlfn.XLOOKUP(B1363, policy_details!$A$2:$A$2829, policy_details!$A$2:$A$2829)), "Invalid", "Ok")</f>
        <v>Ok</v>
      </c>
    </row>
    <row r="1364" spans="1:9" x14ac:dyDescent="0.3">
      <c r="A1364" s="1" t="s">
        <v>7826</v>
      </c>
      <c r="B1364" s="1" t="s">
        <v>4266</v>
      </c>
      <c r="C1364" s="41">
        <v>45798</v>
      </c>
      <c r="D1364" s="1">
        <v>193005.3</v>
      </c>
      <c r="E1364" s="1" t="s">
        <v>6457</v>
      </c>
      <c r="F1364" s="1" t="s">
        <v>6470</v>
      </c>
      <c r="G1364" s="1" t="s">
        <v>30</v>
      </c>
      <c r="H1364" s="1">
        <v>4</v>
      </c>
      <c r="I1364" t="str">
        <f>IF(ISNA(_xlfn.XLOOKUP(B1364, policy_details!$A$2:$A$2829, policy_details!$A$2:$A$2829)), "Invalid", "Ok")</f>
        <v>Ok</v>
      </c>
    </row>
    <row r="1365" spans="1:9" x14ac:dyDescent="0.3">
      <c r="A1365" s="1" t="s">
        <v>7827</v>
      </c>
      <c r="B1365" s="1" t="s">
        <v>5032</v>
      </c>
      <c r="C1365" s="41">
        <v>44826</v>
      </c>
      <c r="D1365" s="1">
        <v>186134.9</v>
      </c>
      <c r="E1365" s="1" t="s">
        <v>6460</v>
      </c>
      <c r="F1365" s="1" t="s">
        <v>6458</v>
      </c>
      <c r="G1365" s="1" t="s">
        <v>17</v>
      </c>
      <c r="H1365" s="1">
        <v>31</v>
      </c>
      <c r="I1365" t="str">
        <f>IF(ISNA(_xlfn.XLOOKUP(B1365, policy_details!$A$2:$A$2829, policy_details!$A$2:$A$2829)), "Invalid", "Ok")</f>
        <v>Ok</v>
      </c>
    </row>
    <row r="1366" spans="1:9" x14ac:dyDescent="0.3">
      <c r="A1366" s="1" t="s">
        <v>7828</v>
      </c>
      <c r="B1366" s="1" t="s">
        <v>4932</v>
      </c>
      <c r="C1366" s="41">
        <v>45716</v>
      </c>
      <c r="D1366" s="1">
        <v>993234.51</v>
      </c>
      <c r="E1366" s="1" t="s">
        <v>6457</v>
      </c>
      <c r="F1366" s="1" t="s">
        <v>6458</v>
      </c>
      <c r="G1366" s="1" t="s">
        <v>17</v>
      </c>
      <c r="H1366" s="1">
        <v>31</v>
      </c>
      <c r="I1366" t="str">
        <f>IF(ISNA(_xlfn.XLOOKUP(B1366, policy_details!$A$2:$A$2829, policy_details!$A$2:$A$2829)), "Invalid", "Ok")</f>
        <v>Ok</v>
      </c>
    </row>
    <row r="1367" spans="1:9" x14ac:dyDescent="0.3">
      <c r="A1367" s="1" t="s">
        <v>7829</v>
      </c>
      <c r="B1367" s="1" t="s">
        <v>3676</v>
      </c>
      <c r="C1367" s="41">
        <v>45671</v>
      </c>
      <c r="D1367" s="1">
        <v>214139.4</v>
      </c>
      <c r="E1367" s="1" t="s">
        <v>6457</v>
      </c>
      <c r="F1367" s="1" t="s">
        <v>6461</v>
      </c>
      <c r="G1367" s="1" t="s">
        <v>17</v>
      </c>
      <c r="H1367" s="1">
        <v>6</v>
      </c>
      <c r="I1367" t="str">
        <f>IF(ISNA(_xlfn.XLOOKUP(B1367, policy_details!$A$2:$A$2829, policy_details!$A$2:$A$2829)), "Invalid", "Ok")</f>
        <v>Ok</v>
      </c>
    </row>
    <row r="1368" spans="1:9" x14ac:dyDescent="0.3">
      <c r="A1368" s="1" t="s">
        <v>7830</v>
      </c>
      <c r="B1368" s="1" t="s">
        <v>6151</v>
      </c>
      <c r="C1368" s="41">
        <v>44909</v>
      </c>
      <c r="D1368" s="1">
        <v>141916.6</v>
      </c>
      <c r="E1368" s="1" t="s">
        <v>6460</v>
      </c>
      <c r="F1368" s="1" t="s">
        <v>6461</v>
      </c>
      <c r="G1368" s="1" t="s">
        <v>17</v>
      </c>
      <c r="H1368" s="1">
        <v>33</v>
      </c>
      <c r="I1368" t="str">
        <f>IF(ISNA(_xlfn.XLOOKUP(B1368, policy_details!$A$2:$A$2829, policy_details!$A$2:$A$2829)), "Invalid", "Ok")</f>
        <v>Ok</v>
      </c>
    </row>
    <row r="1369" spans="1:9" x14ac:dyDescent="0.3">
      <c r="A1369" s="1" t="s">
        <v>7831</v>
      </c>
      <c r="B1369" s="1" t="s">
        <v>3742</v>
      </c>
      <c r="C1369" s="41">
        <v>44500</v>
      </c>
      <c r="D1369" s="1">
        <v>502721.08</v>
      </c>
      <c r="E1369" s="1" t="s">
        <v>6460</v>
      </c>
      <c r="F1369" s="1" t="s">
        <v>6458</v>
      </c>
      <c r="G1369" s="1" t="s">
        <v>17</v>
      </c>
      <c r="H1369" s="1">
        <v>36</v>
      </c>
      <c r="I1369" t="str">
        <f>IF(ISNA(_xlfn.XLOOKUP(B1369, policy_details!$A$2:$A$2829, policy_details!$A$2:$A$2829)), "Invalid", "Ok")</f>
        <v>Ok</v>
      </c>
    </row>
    <row r="1370" spans="1:9" x14ac:dyDescent="0.3">
      <c r="A1370" s="1" t="s">
        <v>7832</v>
      </c>
      <c r="B1370" s="1" t="s">
        <v>6382</v>
      </c>
      <c r="C1370" s="41">
        <v>45999</v>
      </c>
      <c r="D1370" s="1">
        <v>585117.51</v>
      </c>
      <c r="E1370" s="1" t="s">
        <v>6464</v>
      </c>
      <c r="F1370" s="1" t="s">
        <v>6466</v>
      </c>
      <c r="G1370" s="1" t="s">
        <v>17</v>
      </c>
      <c r="H1370" s="1">
        <v>5</v>
      </c>
      <c r="I1370" t="str">
        <f>IF(ISNA(_xlfn.XLOOKUP(B1370, policy_details!$A$2:$A$2829, policy_details!$A$2:$A$2829)), "Invalid", "Ok")</f>
        <v>Ok</v>
      </c>
    </row>
    <row r="1371" spans="1:9" x14ac:dyDescent="0.3">
      <c r="A1371" s="1" t="s">
        <v>7833</v>
      </c>
      <c r="B1371" s="1" t="s">
        <v>3482</v>
      </c>
      <c r="C1371" s="41">
        <v>46210</v>
      </c>
      <c r="D1371" s="1">
        <v>1604191.27</v>
      </c>
      <c r="E1371" s="1" t="s">
        <v>6460</v>
      </c>
      <c r="F1371" s="1" t="s">
        <v>6458</v>
      </c>
      <c r="G1371" s="1" t="s">
        <v>17</v>
      </c>
      <c r="H1371" s="1">
        <v>6</v>
      </c>
      <c r="I1371" t="str">
        <f>IF(ISNA(_xlfn.XLOOKUP(B1371, policy_details!$A$2:$A$2829, policy_details!$A$2:$A$2829)), "Invalid", "Ok")</f>
        <v>Ok</v>
      </c>
    </row>
    <row r="1372" spans="1:9" x14ac:dyDescent="0.3">
      <c r="A1372" s="1" t="s">
        <v>7834</v>
      </c>
      <c r="B1372" s="1" t="s">
        <v>5680</v>
      </c>
      <c r="C1372" s="41">
        <v>45595</v>
      </c>
      <c r="D1372" s="1">
        <v>191699.73</v>
      </c>
      <c r="E1372" s="1" t="s">
        <v>6457</v>
      </c>
      <c r="F1372" s="1" t="s">
        <v>6481</v>
      </c>
      <c r="G1372" s="1" t="s">
        <v>17</v>
      </c>
      <c r="H1372" s="1">
        <v>35</v>
      </c>
      <c r="I1372" t="str">
        <f>IF(ISNA(_xlfn.XLOOKUP(B1372, policy_details!$A$2:$A$2829, policy_details!$A$2:$A$2829)), "Invalid", "Ok")</f>
        <v>Ok</v>
      </c>
    </row>
    <row r="1373" spans="1:9" x14ac:dyDescent="0.3">
      <c r="A1373" s="1" t="s">
        <v>7835</v>
      </c>
      <c r="B1373" s="1" t="s">
        <v>4411</v>
      </c>
      <c r="C1373" s="41">
        <v>45467</v>
      </c>
      <c r="D1373" s="1">
        <v>131646.91</v>
      </c>
      <c r="E1373" s="1" t="s">
        <v>6457</v>
      </c>
      <c r="F1373" s="1" t="s">
        <v>6461</v>
      </c>
      <c r="G1373" s="1" t="s">
        <v>17</v>
      </c>
      <c r="H1373" s="1">
        <v>14</v>
      </c>
      <c r="I1373" t="str">
        <f>IF(ISNA(_xlfn.XLOOKUP(B1373, policy_details!$A$2:$A$2829, policy_details!$A$2:$A$2829)), "Invalid", "Ok")</f>
        <v>Ok</v>
      </c>
    </row>
    <row r="1374" spans="1:9" x14ac:dyDescent="0.3">
      <c r="A1374" s="1" t="s">
        <v>7836</v>
      </c>
      <c r="B1374" s="1" t="s">
        <v>6179</v>
      </c>
      <c r="C1374" s="41">
        <v>45072</v>
      </c>
      <c r="D1374" s="1">
        <v>334246.7</v>
      </c>
      <c r="E1374" s="1" t="s">
        <v>6460</v>
      </c>
      <c r="F1374" s="1" t="s">
        <v>6458</v>
      </c>
      <c r="G1374" s="1" t="s">
        <v>17</v>
      </c>
      <c r="H1374" s="1">
        <v>16</v>
      </c>
      <c r="I1374" t="str">
        <f>IF(ISNA(_xlfn.XLOOKUP(B1374, policy_details!$A$2:$A$2829, policy_details!$A$2:$A$2829)), "Invalid", "Ok")</f>
        <v>Ok</v>
      </c>
    </row>
    <row r="1375" spans="1:9" x14ac:dyDescent="0.3">
      <c r="A1375" s="1" t="s">
        <v>7837</v>
      </c>
      <c r="B1375" s="1" t="s">
        <v>5949</v>
      </c>
      <c r="C1375" s="41">
        <v>44821</v>
      </c>
      <c r="D1375" s="1">
        <v>278753.5</v>
      </c>
      <c r="E1375" s="1" t="s">
        <v>6457</v>
      </c>
      <c r="F1375" s="1" t="s">
        <v>6466</v>
      </c>
      <c r="G1375" s="1" t="s">
        <v>17</v>
      </c>
      <c r="H1375" s="1">
        <v>26</v>
      </c>
      <c r="I1375" t="str">
        <f>IF(ISNA(_xlfn.XLOOKUP(B1375, policy_details!$A$2:$A$2829, policy_details!$A$2:$A$2829)), "Invalid", "Ok")</f>
        <v>Ok</v>
      </c>
    </row>
    <row r="1376" spans="1:9" x14ac:dyDescent="0.3">
      <c r="A1376" s="1" t="s">
        <v>7838</v>
      </c>
      <c r="B1376" s="1" t="s">
        <v>3450</v>
      </c>
      <c r="C1376" s="41">
        <v>46241</v>
      </c>
      <c r="D1376" s="1">
        <v>75642.320000000007</v>
      </c>
      <c r="E1376" s="1" t="s">
        <v>6457</v>
      </c>
      <c r="F1376" s="1" t="s">
        <v>6461</v>
      </c>
      <c r="G1376" s="1" t="s">
        <v>17</v>
      </c>
      <c r="H1376" s="1">
        <v>4</v>
      </c>
      <c r="I1376" t="str">
        <f>IF(ISNA(_xlfn.XLOOKUP(B1376, policy_details!$A$2:$A$2829, policy_details!$A$2:$A$2829)), "Invalid", "Ok")</f>
        <v>Ok</v>
      </c>
    </row>
    <row r="1377" spans="1:9" x14ac:dyDescent="0.3">
      <c r="A1377" s="1" t="s">
        <v>7839</v>
      </c>
      <c r="B1377" s="1" t="s">
        <v>3432</v>
      </c>
      <c r="C1377" s="41">
        <v>45116</v>
      </c>
      <c r="D1377" s="1">
        <v>209310.34</v>
      </c>
      <c r="E1377" s="1" t="s">
        <v>6457</v>
      </c>
      <c r="F1377" s="1" t="s">
        <v>6461</v>
      </c>
      <c r="G1377" s="1" t="s">
        <v>17</v>
      </c>
      <c r="H1377" s="1">
        <v>20</v>
      </c>
      <c r="I1377" t="str">
        <f>IF(ISNA(_xlfn.XLOOKUP(B1377, policy_details!$A$2:$A$2829, policy_details!$A$2:$A$2829)), "Invalid", "Ok")</f>
        <v>Ok</v>
      </c>
    </row>
    <row r="1378" spans="1:9" x14ac:dyDescent="0.3">
      <c r="A1378" s="1" t="s">
        <v>7840</v>
      </c>
      <c r="B1378" s="1" t="s">
        <v>5322</v>
      </c>
      <c r="C1378" s="41">
        <v>44975</v>
      </c>
      <c r="D1378" s="1">
        <v>250536.91</v>
      </c>
      <c r="E1378" s="1" t="s">
        <v>6457</v>
      </c>
      <c r="F1378" s="1" t="s">
        <v>6461</v>
      </c>
      <c r="G1378" s="1" t="s">
        <v>30</v>
      </c>
      <c r="H1378" s="1">
        <v>15</v>
      </c>
      <c r="I1378" t="str">
        <f>IF(ISNA(_xlfn.XLOOKUP(B1378, policy_details!$A$2:$A$2829, policy_details!$A$2:$A$2829)), "Invalid", "Ok")</f>
        <v>Ok</v>
      </c>
    </row>
    <row r="1379" spans="1:9" x14ac:dyDescent="0.3">
      <c r="A1379" s="1" t="s">
        <v>7841</v>
      </c>
      <c r="B1379" s="1" t="s">
        <v>3964</v>
      </c>
      <c r="C1379" s="41">
        <v>45018</v>
      </c>
      <c r="D1379" s="1">
        <v>212405.18</v>
      </c>
      <c r="E1379" s="1" t="s">
        <v>6460</v>
      </c>
      <c r="F1379" s="1" t="s">
        <v>6466</v>
      </c>
      <c r="G1379" s="1" t="s">
        <v>17</v>
      </c>
      <c r="H1379" s="1">
        <v>37</v>
      </c>
      <c r="I1379" t="str">
        <f>IF(ISNA(_xlfn.XLOOKUP(B1379, policy_details!$A$2:$A$2829, policy_details!$A$2:$A$2829)), "Invalid", "Ok")</f>
        <v>Ok</v>
      </c>
    </row>
    <row r="1380" spans="1:9" x14ac:dyDescent="0.3">
      <c r="A1380" s="1" t="s">
        <v>7842</v>
      </c>
      <c r="B1380" s="1" t="s">
        <v>3392</v>
      </c>
      <c r="C1380" s="41">
        <v>45674</v>
      </c>
      <c r="D1380" s="1">
        <v>129205.05</v>
      </c>
      <c r="E1380" s="1" t="s">
        <v>6464</v>
      </c>
      <c r="F1380" s="1" t="s">
        <v>6466</v>
      </c>
      <c r="G1380" s="1" t="s">
        <v>17</v>
      </c>
      <c r="H1380" s="1">
        <v>33</v>
      </c>
      <c r="I1380" t="str">
        <f>IF(ISNA(_xlfn.XLOOKUP(B1380, policy_details!$A$2:$A$2829, policy_details!$A$2:$A$2829)), "Invalid", "Ok")</f>
        <v>Ok</v>
      </c>
    </row>
    <row r="1381" spans="1:9" x14ac:dyDescent="0.3">
      <c r="A1381" s="1" t="s">
        <v>7843</v>
      </c>
      <c r="B1381" s="1" t="s">
        <v>6358</v>
      </c>
      <c r="C1381" s="41">
        <v>44496</v>
      </c>
      <c r="D1381" s="1">
        <v>410812.09</v>
      </c>
      <c r="E1381" s="1" t="s">
        <v>6464</v>
      </c>
      <c r="F1381" s="1" t="s">
        <v>6466</v>
      </c>
      <c r="G1381" s="1" t="s">
        <v>17</v>
      </c>
      <c r="H1381" s="1">
        <v>13</v>
      </c>
      <c r="I1381" t="str">
        <f>IF(ISNA(_xlfn.XLOOKUP(B1381, policy_details!$A$2:$A$2829, policy_details!$A$2:$A$2829)), "Invalid", "Ok")</f>
        <v>Ok</v>
      </c>
    </row>
    <row r="1382" spans="1:9" x14ac:dyDescent="0.3">
      <c r="A1382" s="1" t="s">
        <v>7844</v>
      </c>
      <c r="B1382" s="1" t="s">
        <v>5407</v>
      </c>
      <c r="C1382" s="41">
        <v>45583</v>
      </c>
      <c r="D1382" s="1">
        <v>250271.33</v>
      </c>
      <c r="E1382" s="1" t="s">
        <v>6457</v>
      </c>
      <c r="F1382" s="1" t="s">
        <v>6481</v>
      </c>
      <c r="G1382" s="1" t="s">
        <v>17</v>
      </c>
      <c r="H1382" s="1">
        <v>29</v>
      </c>
      <c r="I1382" t="str">
        <f>IF(ISNA(_xlfn.XLOOKUP(B1382, policy_details!$A$2:$A$2829, policy_details!$A$2:$A$2829)), "Invalid", "Ok")</f>
        <v>Ok</v>
      </c>
    </row>
    <row r="1383" spans="1:9" x14ac:dyDescent="0.3">
      <c r="A1383" s="1" t="s">
        <v>7845</v>
      </c>
      <c r="B1383" s="1" t="s">
        <v>3374</v>
      </c>
      <c r="C1383" s="41">
        <v>44746</v>
      </c>
      <c r="D1383" s="1">
        <v>230497.55</v>
      </c>
      <c r="E1383" s="1" t="s">
        <v>6457</v>
      </c>
      <c r="F1383" s="1" t="s">
        <v>6466</v>
      </c>
      <c r="G1383" s="1" t="s">
        <v>30</v>
      </c>
      <c r="H1383" s="1">
        <v>18</v>
      </c>
      <c r="I1383" t="str">
        <f>IF(ISNA(_xlfn.XLOOKUP(B1383, policy_details!$A$2:$A$2829, policy_details!$A$2:$A$2829)), "Invalid", "Ok")</f>
        <v>Ok</v>
      </c>
    </row>
    <row r="1384" spans="1:9" x14ac:dyDescent="0.3">
      <c r="A1384" s="1" t="s">
        <v>7846</v>
      </c>
      <c r="B1384" s="1" t="s">
        <v>4999</v>
      </c>
      <c r="C1384" s="41">
        <v>45084</v>
      </c>
      <c r="D1384" s="1">
        <v>564888.21</v>
      </c>
      <c r="E1384" s="1" t="s">
        <v>6460</v>
      </c>
      <c r="F1384" s="1" t="s">
        <v>6458</v>
      </c>
      <c r="G1384" s="1" t="s">
        <v>17</v>
      </c>
      <c r="H1384" s="1">
        <v>22</v>
      </c>
      <c r="I1384" t="str">
        <f>IF(ISNA(_xlfn.XLOOKUP(B1384, policy_details!$A$2:$A$2829, policy_details!$A$2:$A$2829)), "Invalid", "Ok")</f>
        <v>Ok</v>
      </c>
    </row>
    <row r="1385" spans="1:9" x14ac:dyDescent="0.3">
      <c r="A1385" s="1" t="s">
        <v>7847</v>
      </c>
      <c r="B1385" s="1" t="s">
        <v>3993</v>
      </c>
      <c r="C1385" s="41">
        <v>45230</v>
      </c>
      <c r="D1385" s="1">
        <v>991205.35</v>
      </c>
      <c r="E1385" s="1" t="s">
        <v>6464</v>
      </c>
      <c r="F1385" s="1" t="s">
        <v>6458</v>
      </c>
      <c r="G1385" s="1" t="s">
        <v>17</v>
      </c>
      <c r="H1385" s="1">
        <v>33</v>
      </c>
      <c r="I1385" t="str">
        <f>IF(ISNA(_xlfn.XLOOKUP(B1385, policy_details!$A$2:$A$2829, policy_details!$A$2:$A$2829)), "Invalid", "Ok")</f>
        <v>Ok</v>
      </c>
    </row>
    <row r="1386" spans="1:9" x14ac:dyDescent="0.3">
      <c r="A1386" s="1" t="s">
        <v>7848</v>
      </c>
      <c r="B1386" s="1" t="s">
        <v>5896</v>
      </c>
      <c r="C1386" s="41">
        <v>46261</v>
      </c>
      <c r="D1386" s="1">
        <v>162633.72</v>
      </c>
      <c r="E1386" s="1" t="s">
        <v>6457</v>
      </c>
      <c r="F1386" s="1" t="s">
        <v>6470</v>
      </c>
      <c r="G1386" s="1" t="s">
        <v>30</v>
      </c>
      <c r="H1386" s="1">
        <v>13</v>
      </c>
      <c r="I1386" t="str">
        <f>IF(ISNA(_xlfn.XLOOKUP(B1386, policy_details!$A$2:$A$2829, policy_details!$A$2:$A$2829)), "Invalid", "Ok")</f>
        <v>Ok</v>
      </c>
    </row>
    <row r="1387" spans="1:9" x14ac:dyDescent="0.3">
      <c r="A1387" s="1" t="s">
        <v>7849</v>
      </c>
      <c r="B1387" s="1" t="s">
        <v>3468</v>
      </c>
      <c r="C1387" s="41">
        <v>44484</v>
      </c>
      <c r="D1387" s="1">
        <v>463196.26</v>
      </c>
      <c r="E1387" s="1" t="s">
        <v>6457</v>
      </c>
      <c r="F1387" s="1" t="s">
        <v>6458</v>
      </c>
      <c r="G1387" s="1" t="s">
        <v>17</v>
      </c>
      <c r="H1387" s="1">
        <v>26</v>
      </c>
      <c r="I1387" t="str">
        <f>IF(ISNA(_xlfn.XLOOKUP(B1387, policy_details!$A$2:$A$2829, policy_details!$A$2:$A$2829)), "Invalid", "Ok")</f>
        <v>Ok</v>
      </c>
    </row>
    <row r="1388" spans="1:9" x14ac:dyDescent="0.3">
      <c r="A1388" s="1" t="s">
        <v>7850</v>
      </c>
      <c r="B1388" s="1" t="s">
        <v>4659</v>
      </c>
      <c r="C1388" s="41">
        <v>46220</v>
      </c>
      <c r="D1388" s="1">
        <v>1758806.8</v>
      </c>
      <c r="E1388" s="1" t="s">
        <v>6457</v>
      </c>
      <c r="F1388" s="1" t="s">
        <v>6458</v>
      </c>
      <c r="G1388" s="1" t="s">
        <v>30</v>
      </c>
      <c r="H1388" s="1">
        <v>19</v>
      </c>
      <c r="I1388" t="str">
        <f>IF(ISNA(_xlfn.XLOOKUP(B1388, policy_details!$A$2:$A$2829, policy_details!$A$2:$A$2829)), "Invalid", "Ok")</f>
        <v>Ok</v>
      </c>
    </row>
    <row r="1389" spans="1:9" x14ac:dyDescent="0.3">
      <c r="A1389" s="1" t="s">
        <v>7851</v>
      </c>
      <c r="B1389" s="1" t="s">
        <v>4257</v>
      </c>
      <c r="C1389" s="41">
        <v>45458</v>
      </c>
      <c r="D1389" s="1">
        <v>602461.31999999995</v>
      </c>
      <c r="E1389" s="1" t="s">
        <v>6464</v>
      </c>
      <c r="F1389" s="1" t="s">
        <v>6481</v>
      </c>
      <c r="G1389" s="1" t="s">
        <v>17</v>
      </c>
      <c r="H1389" s="1">
        <v>29</v>
      </c>
      <c r="I1389" t="str">
        <f>IF(ISNA(_xlfn.XLOOKUP(B1389, policy_details!$A$2:$A$2829, policy_details!$A$2:$A$2829)), "Invalid", "Ok")</f>
        <v>Ok</v>
      </c>
    </row>
    <row r="1390" spans="1:9" x14ac:dyDescent="0.3">
      <c r="A1390" s="1" t="s">
        <v>7852</v>
      </c>
      <c r="B1390" s="1" t="s">
        <v>6394</v>
      </c>
      <c r="C1390" s="41">
        <v>45338</v>
      </c>
      <c r="D1390" s="1">
        <v>299483.11</v>
      </c>
      <c r="E1390" s="1" t="s">
        <v>6464</v>
      </c>
      <c r="F1390" s="1" t="s">
        <v>6470</v>
      </c>
      <c r="G1390" s="1" t="s">
        <v>17</v>
      </c>
      <c r="H1390" s="1">
        <v>17</v>
      </c>
      <c r="I1390" t="str">
        <f>IF(ISNA(_xlfn.XLOOKUP(B1390, policy_details!$A$2:$A$2829, policy_details!$A$2:$A$2829)), "Invalid", "Ok")</f>
        <v>Ok</v>
      </c>
    </row>
    <row r="1391" spans="1:9" x14ac:dyDescent="0.3">
      <c r="A1391" s="1" t="s">
        <v>7853</v>
      </c>
      <c r="B1391" s="1" t="s">
        <v>3689</v>
      </c>
      <c r="C1391" s="41">
        <v>44870</v>
      </c>
      <c r="D1391" s="1">
        <v>277931.15999999997</v>
      </c>
      <c r="E1391" s="1" t="s">
        <v>6460</v>
      </c>
      <c r="F1391" s="1" t="s">
        <v>6470</v>
      </c>
      <c r="G1391" s="1" t="s">
        <v>17</v>
      </c>
      <c r="H1391" s="1">
        <v>42</v>
      </c>
      <c r="I1391" t="str">
        <f>IF(ISNA(_xlfn.XLOOKUP(B1391, policy_details!$A$2:$A$2829, policy_details!$A$2:$A$2829)), "Invalid", "Ok")</f>
        <v>Ok</v>
      </c>
    </row>
    <row r="1392" spans="1:9" x14ac:dyDescent="0.3">
      <c r="A1392" s="1" t="s">
        <v>7854</v>
      </c>
      <c r="B1392" s="1" t="s">
        <v>5652</v>
      </c>
      <c r="C1392" s="41">
        <v>46124</v>
      </c>
      <c r="D1392" s="1">
        <v>531753.28</v>
      </c>
      <c r="E1392" s="1" t="s">
        <v>6460</v>
      </c>
      <c r="F1392" s="1" t="s">
        <v>6466</v>
      </c>
      <c r="G1392" s="1" t="s">
        <v>30</v>
      </c>
      <c r="H1392" s="1">
        <v>18</v>
      </c>
      <c r="I1392" t="str">
        <f>IF(ISNA(_xlfn.XLOOKUP(B1392, policy_details!$A$2:$A$2829, policy_details!$A$2:$A$2829)), "Invalid", "Ok")</f>
        <v>Ok</v>
      </c>
    </row>
    <row r="1393" spans="1:9" x14ac:dyDescent="0.3">
      <c r="A1393" s="1" t="s">
        <v>7855</v>
      </c>
      <c r="B1393" s="1" t="s">
        <v>4963</v>
      </c>
      <c r="C1393" s="41">
        <v>44682</v>
      </c>
      <c r="D1393" s="1">
        <v>533066.34</v>
      </c>
      <c r="E1393" s="1" t="s">
        <v>6457</v>
      </c>
      <c r="F1393" s="1" t="s">
        <v>6458</v>
      </c>
      <c r="G1393" s="1" t="s">
        <v>30</v>
      </c>
      <c r="H1393" s="1">
        <v>5</v>
      </c>
      <c r="I1393" t="str">
        <f>IF(ISNA(_xlfn.XLOOKUP(B1393, policy_details!$A$2:$A$2829, policy_details!$A$2:$A$2829)), "Invalid", "Ok")</f>
        <v>Ok</v>
      </c>
    </row>
    <row r="1394" spans="1:9" x14ac:dyDescent="0.3">
      <c r="A1394" s="1" t="s">
        <v>7856</v>
      </c>
      <c r="B1394" s="1" t="s">
        <v>5928</v>
      </c>
      <c r="C1394" s="41">
        <v>45551</v>
      </c>
      <c r="D1394" s="1">
        <v>129525.25</v>
      </c>
      <c r="E1394" s="1" t="s">
        <v>6464</v>
      </c>
      <c r="F1394" s="1" t="s">
        <v>6466</v>
      </c>
      <c r="G1394" s="1" t="s">
        <v>17</v>
      </c>
      <c r="H1394" s="1">
        <v>22</v>
      </c>
      <c r="I1394" t="str">
        <f>IF(ISNA(_xlfn.XLOOKUP(B1394, policy_details!$A$2:$A$2829, policy_details!$A$2:$A$2829)), "Invalid", "Ok")</f>
        <v>Ok</v>
      </c>
    </row>
    <row r="1395" spans="1:9" x14ac:dyDescent="0.3">
      <c r="A1395" s="1" t="s">
        <v>7857</v>
      </c>
      <c r="B1395" s="1" t="s">
        <v>4185</v>
      </c>
      <c r="C1395" s="41">
        <v>45994</v>
      </c>
      <c r="D1395" s="1">
        <v>146314.70000000001</v>
      </c>
      <c r="E1395" s="1" t="s">
        <v>6460</v>
      </c>
      <c r="F1395" s="1" t="s">
        <v>6470</v>
      </c>
      <c r="G1395" s="1" t="s">
        <v>17</v>
      </c>
      <c r="H1395" s="1">
        <v>11</v>
      </c>
      <c r="I1395" t="str">
        <f>IF(ISNA(_xlfn.XLOOKUP(B1395, policy_details!$A$2:$A$2829, policy_details!$A$2:$A$2829)), "Invalid", "Ok")</f>
        <v>Ok</v>
      </c>
    </row>
    <row r="1396" spans="1:9" x14ac:dyDescent="0.3">
      <c r="A1396" s="1" t="s">
        <v>7858</v>
      </c>
      <c r="B1396" s="1" t="s">
        <v>6039</v>
      </c>
      <c r="C1396" s="41">
        <v>44619</v>
      </c>
      <c r="D1396" s="1">
        <v>290147.12</v>
      </c>
      <c r="E1396" s="1" t="s">
        <v>6457</v>
      </c>
      <c r="F1396" s="1" t="s">
        <v>6481</v>
      </c>
      <c r="G1396" s="1" t="s">
        <v>17</v>
      </c>
      <c r="H1396" s="1">
        <v>21</v>
      </c>
      <c r="I1396" t="str">
        <f>IF(ISNA(_xlfn.XLOOKUP(B1396, policy_details!$A$2:$A$2829, policy_details!$A$2:$A$2829)), "Invalid", "Ok")</f>
        <v>Ok</v>
      </c>
    </row>
    <row r="1397" spans="1:9" x14ac:dyDescent="0.3">
      <c r="A1397" s="1" t="s">
        <v>7859</v>
      </c>
      <c r="B1397" s="1" t="s">
        <v>6310</v>
      </c>
      <c r="C1397" s="41">
        <v>44840</v>
      </c>
      <c r="D1397" s="1">
        <v>215972.05</v>
      </c>
      <c r="E1397" s="1" t="s">
        <v>6460</v>
      </c>
      <c r="F1397" s="1" t="s">
        <v>6481</v>
      </c>
      <c r="G1397" s="1" t="s">
        <v>17</v>
      </c>
      <c r="H1397" s="1">
        <v>41</v>
      </c>
      <c r="I1397" t="str">
        <f>IF(ISNA(_xlfn.XLOOKUP(B1397, policy_details!$A$2:$A$2829, policy_details!$A$2:$A$2829)), "Invalid", "Ok")</f>
        <v>Ok</v>
      </c>
    </row>
    <row r="1398" spans="1:9" x14ac:dyDescent="0.3">
      <c r="A1398" s="1" t="s">
        <v>7860</v>
      </c>
      <c r="B1398" s="1" t="s">
        <v>4182</v>
      </c>
      <c r="C1398" s="41">
        <v>46254</v>
      </c>
      <c r="D1398" s="1">
        <v>108089.62</v>
      </c>
      <c r="E1398" s="1" t="s">
        <v>6460</v>
      </c>
      <c r="F1398" s="1" t="s">
        <v>6470</v>
      </c>
      <c r="G1398" s="1" t="s">
        <v>17</v>
      </c>
      <c r="H1398" s="1">
        <v>5</v>
      </c>
      <c r="I1398" t="str">
        <f>IF(ISNA(_xlfn.XLOOKUP(B1398, policy_details!$A$2:$A$2829, policy_details!$A$2:$A$2829)), "Invalid", "Ok")</f>
        <v>Ok</v>
      </c>
    </row>
    <row r="1399" spans="1:9" x14ac:dyDescent="0.3">
      <c r="A1399" s="1" t="s">
        <v>7861</v>
      </c>
      <c r="B1399" s="1" t="s">
        <v>4271</v>
      </c>
      <c r="C1399" s="41">
        <v>45484</v>
      </c>
      <c r="D1399" s="1">
        <v>902548.95</v>
      </c>
      <c r="E1399" s="1" t="s">
        <v>6460</v>
      </c>
      <c r="F1399" s="1" t="s">
        <v>6458</v>
      </c>
      <c r="G1399" s="1" t="s">
        <v>17</v>
      </c>
      <c r="H1399" s="1">
        <v>2</v>
      </c>
      <c r="I1399" t="str">
        <f>IF(ISNA(_xlfn.XLOOKUP(B1399, policy_details!$A$2:$A$2829, policy_details!$A$2:$A$2829)), "Invalid", "Ok")</f>
        <v>Ok</v>
      </c>
    </row>
    <row r="1400" spans="1:9" x14ac:dyDescent="0.3">
      <c r="A1400" s="1" t="s">
        <v>7862</v>
      </c>
      <c r="B1400" s="1" t="s">
        <v>6346</v>
      </c>
      <c r="C1400" s="41">
        <v>44768</v>
      </c>
      <c r="D1400" s="1">
        <v>171703.13</v>
      </c>
      <c r="E1400" s="1" t="s">
        <v>6464</v>
      </c>
      <c r="F1400" s="1" t="s">
        <v>6470</v>
      </c>
      <c r="G1400" s="1" t="s">
        <v>17</v>
      </c>
      <c r="H1400" s="1">
        <v>13</v>
      </c>
      <c r="I1400" t="str">
        <f>IF(ISNA(_xlfn.XLOOKUP(B1400, policy_details!$A$2:$A$2829, policy_details!$A$2:$A$2829)), "Invalid", "Ok")</f>
        <v>Ok</v>
      </c>
    </row>
    <row r="1401" spans="1:9" x14ac:dyDescent="0.3">
      <c r="A1401" s="1" t="s">
        <v>7863</v>
      </c>
      <c r="B1401" s="1" t="s">
        <v>4841</v>
      </c>
      <c r="C1401" s="41">
        <v>44732</v>
      </c>
      <c r="D1401" s="1">
        <v>228445.4</v>
      </c>
      <c r="E1401" s="1" t="s">
        <v>6464</v>
      </c>
      <c r="F1401" s="1" t="s">
        <v>6461</v>
      </c>
      <c r="G1401" s="1" t="s">
        <v>30</v>
      </c>
      <c r="H1401" s="1">
        <v>20</v>
      </c>
      <c r="I1401" t="str">
        <f>IF(ISNA(_xlfn.XLOOKUP(B1401, policy_details!$A$2:$A$2829, policy_details!$A$2:$A$2829)), "Invalid", "Ok")</f>
        <v>Ok</v>
      </c>
    </row>
    <row r="1402" spans="1:9" x14ac:dyDescent="0.3">
      <c r="A1402" s="1" t="s">
        <v>7864</v>
      </c>
      <c r="B1402" s="1" t="s">
        <v>5981</v>
      </c>
      <c r="C1402" s="41">
        <v>45862</v>
      </c>
      <c r="D1402" s="1">
        <v>224954.39</v>
      </c>
      <c r="E1402" s="1" t="s">
        <v>6457</v>
      </c>
      <c r="F1402" s="1" t="s">
        <v>6466</v>
      </c>
      <c r="G1402" s="1" t="s">
        <v>17</v>
      </c>
      <c r="H1402" s="1">
        <v>6</v>
      </c>
      <c r="I1402" t="str">
        <f>IF(ISNA(_xlfn.XLOOKUP(B1402, policy_details!$A$2:$A$2829, policy_details!$A$2:$A$2829)), "Invalid", "Ok")</f>
        <v>Ok</v>
      </c>
    </row>
    <row r="1403" spans="1:9" x14ac:dyDescent="0.3">
      <c r="A1403" s="1" t="s">
        <v>7865</v>
      </c>
      <c r="B1403" s="1" t="s">
        <v>6002</v>
      </c>
      <c r="C1403" s="41">
        <v>45783</v>
      </c>
      <c r="D1403" s="1">
        <v>96465.01</v>
      </c>
      <c r="E1403" s="1" t="s">
        <v>6464</v>
      </c>
      <c r="F1403" s="1" t="s">
        <v>6481</v>
      </c>
      <c r="G1403" s="1" t="s">
        <v>17</v>
      </c>
      <c r="H1403" s="1">
        <v>31</v>
      </c>
      <c r="I1403" t="str">
        <f>IF(ISNA(_xlfn.XLOOKUP(B1403, policy_details!$A$2:$A$2829, policy_details!$A$2:$A$2829)), "Invalid", "Ok")</f>
        <v>Ok</v>
      </c>
    </row>
    <row r="1404" spans="1:9" x14ac:dyDescent="0.3">
      <c r="A1404" s="1" t="s">
        <v>7866</v>
      </c>
      <c r="B1404" s="1" t="s">
        <v>4480</v>
      </c>
      <c r="C1404" s="41">
        <v>45174</v>
      </c>
      <c r="D1404" s="1">
        <v>266763.26</v>
      </c>
      <c r="E1404" s="1" t="s">
        <v>6460</v>
      </c>
      <c r="F1404" s="1" t="s">
        <v>6466</v>
      </c>
      <c r="G1404" s="1" t="s">
        <v>17</v>
      </c>
      <c r="H1404" s="1">
        <v>27</v>
      </c>
      <c r="I1404" t="str">
        <f>IF(ISNA(_xlfn.XLOOKUP(B1404, policy_details!$A$2:$A$2829, policy_details!$A$2:$A$2829)), "Invalid", "Ok")</f>
        <v>Ok</v>
      </c>
    </row>
    <row r="1405" spans="1:9" x14ac:dyDescent="0.3">
      <c r="A1405" s="1" t="s">
        <v>7867</v>
      </c>
      <c r="B1405" s="1" t="s">
        <v>4071</v>
      </c>
      <c r="C1405" s="41">
        <v>45188</v>
      </c>
      <c r="D1405" s="1">
        <v>396965.57</v>
      </c>
      <c r="E1405" s="1" t="s">
        <v>6460</v>
      </c>
      <c r="F1405" s="1" t="s">
        <v>6470</v>
      </c>
      <c r="G1405" s="1" t="s">
        <v>17</v>
      </c>
      <c r="H1405" s="1">
        <v>31</v>
      </c>
      <c r="I1405" t="str">
        <f>IF(ISNA(_xlfn.XLOOKUP(B1405, policy_details!$A$2:$A$2829, policy_details!$A$2:$A$2829)), "Invalid", "Ok")</f>
        <v>Ok</v>
      </c>
    </row>
    <row r="1406" spans="1:9" x14ac:dyDescent="0.3">
      <c r="A1406" s="1" t="s">
        <v>7868</v>
      </c>
      <c r="B1406" s="1" t="s">
        <v>4647</v>
      </c>
      <c r="C1406" s="41">
        <v>45814</v>
      </c>
      <c r="D1406" s="1">
        <v>152185.31</v>
      </c>
      <c r="E1406" s="1" t="s">
        <v>6457</v>
      </c>
      <c r="F1406" s="1" t="s">
        <v>6461</v>
      </c>
      <c r="G1406" s="1" t="s">
        <v>17</v>
      </c>
      <c r="H1406" s="1">
        <v>19</v>
      </c>
      <c r="I1406" t="str">
        <f>IF(ISNA(_xlfn.XLOOKUP(B1406, policy_details!$A$2:$A$2829, policy_details!$A$2:$A$2829)), "Invalid", "Ok")</f>
        <v>Ok</v>
      </c>
    </row>
    <row r="1407" spans="1:9" x14ac:dyDescent="0.3">
      <c r="A1407" s="1" t="s">
        <v>7869</v>
      </c>
      <c r="B1407" s="1" t="s">
        <v>5289</v>
      </c>
      <c r="C1407" s="41">
        <v>45206</v>
      </c>
      <c r="D1407" s="1">
        <v>409501.36</v>
      </c>
      <c r="E1407" s="1" t="s">
        <v>6460</v>
      </c>
      <c r="F1407" s="1" t="s">
        <v>6481</v>
      </c>
      <c r="G1407" s="1" t="s">
        <v>17</v>
      </c>
      <c r="H1407" s="1">
        <v>41</v>
      </c>
      <c r="I1407" t="str">
        <f>IF(ISNA(_xlfn.XLOOKUP(B1407, policy_details!$A$2:$A$2829, policy_details!$A$2:$A$2829)), "Invalid", "Ok")</f>
        <v>Ok</v>
      </c>
    </row>
  </sheetData>
  <autoFilter ref="A1:I1407" xr:uid="{C044E97D-DCF9-4259-8709-218B55F23ADA}"/>
  <conditionalFormatting sqref="E1:E1048576">
    <cfRule type="cellIs" dxfId="3" priority="2" operator="equal">
      <formula>"Rejected"</formula>
    </cfRule>
  </conditionalFormatting>
  <conditionalFormatting sqref="G1:G1048576">
    <cfRule type="cellIs" dxfId="2" priority="1" operator="equal">
      <formula>"Yes"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9BF6-C280-4141-9A2A-9D9C99779D10}">
  <dimension ref="A1:J301"/>
  <sheetViews>
    <sheetView workbookViewId="0">
      <selection activeCell="H11" sqref="H11"/>
    </sheetView>
  </sheetViews>
  <sheetFormatPr defaultRowHeight="14.4" x14ac:dyDescent="0.3"/>
  <cols>
    <col min="1" max="1" width="10.21875" bestFit="1" customWidth="1"/>
    <col min="2" max="2" width="9.6640625" bestFit="1" customWidth="1"/>
    <col min="3" max="3" width="10.88671875" style="38" bestFit="1" customWidth="1"/>
    <col min="4" max="4" width="19" bestFit="1" customWidth="1"/>
    <col min="5" max="5" width="16.44140625" bestFit="1" customWidth="1"/>
    <col min="6" max="6" width="18.88671875" bestFit="1" customWidth="1"/>
    <col min="7" max="7" width="18" bestFit="1" customWidth="1"/>
    <col min="8" max="8" width="28.77734375" customWidth="1"/>
    <col min="9" max="9" width="16.6640625" bestFit="1" customWidth="1"/>
  </cols>
  <sheetData>
    <row r="1" spans="1:10" ht="15" thickBot="1" x14ac:dyDescent="0.35">
      <c r="A1" s="8" t="s">
        <v>3311</v>
      </c>
      <c r="B1" s="8" t="s">
        <v>6</v>
      </c>
      <c r="C1" s="39" t="s">
        <v>9255</v>
      </c>
      <c r="D1" s="8" t="s">
        <v>9256</v>
      </c>
      <c r="E1" s="8" t="s">
        <v>9257</v>
      </c>
      <c r="F1" s="8" t="s">
        <v>9258</v>
      </c>
      <c r="G1" s="8" t="s">
        <v>9259</v>
      </c>
      <c r="I1" s="30" t="s">
        <v>9318</v>
      </c>
      <c r="J1" s="31"/>
    </row>
    <row r="2" spans="1:10" ht="15" thickBot="1" x14ac:dyDescent="0.35">
      <c r="A2" s="6" t="s">
        <v>3885</v>
      </c>
      <c r="B2" s="6" t="s">
        <v>38</v>
      </c>
      <c r="C2" s="40">
        <v>45693</v>
      </c>
      <c r="D2" s="6">
        <v>14</v>
      </c>
      <c r="E2" s="6">
        <v>8</v>
      </c>
      <c r="F2" s="6">
        <v>28428.89</v>
      </c>
      <c r="G2" s="6">
        <v>0</v>
      </c>
      <c r="I2" s="3" t="s">
        <v>9319</v>
      </c>
      <c r="J2" s="33" cm="1">
        <f t="array" ref="J2">SUMPRODUCT(--(COUNTIF(A2:A301, A2:A301) &gt; 1))</f>
        <v>0</v>
      </c>
    </row>
    <row r="3" spans="1:10" x14ac:dyDescent="0.3">
      <c r="A3" s="1" t="s">
        <v>3984</v>
      </c>
      <c r="B3" s="1" t="s">
        <v>38</v>
      </c>
      <c r="C3" s="41">
        <v>44946</v>
      </c>
      <c r="D3" s="1">
        <v>18</v>
      </c>
      <c r="E3" s="1">
        <v>3</v>
      </c>
      <c r="F3" s="1">
        <v>27006.22</v>
      </c>
      <c r="G3" s="1">
        <v>9</v>
      </c>
    </row>
    <row r="4" spans="1:10" x14ac:dyDescent="0.3">
      <c r="A4" s="1" t="s">
        <v>3393</v>
      </c>
      <c r="B4" s="1" t="s">
        <v>43</v>
      </c>
      <c r="C4" s="41">
        <v>45105</v>
      </c>
      <c r="D4" s="1">
        <v>6</v>
      </c>
      <c r="E4" s="1">
        <v>2</v>
      </c>
      <c r="F4" s="1">
        <v>31011.05</v>
      </c>
      <c r="G4" s="1">
        <v>1</v>
      </c>
    </row>
    <row r="5" spans="1:10" x14ac:dyDescent="0.3">
      <c r="A5" s="1" t="s">
        <v>3598</v>
      </c>
      <c r="B5" s="1" t="s">
        <v>16</v>
      </c>
      <c r="C5" s="41">
        <v>44849</v>
      </c>
      <c r="D5" s="1">
        <v>15</v>
      </c>
      <c r="E5" s="1">
        <v>6</v>
      </c>
      <c r="F5" s="1">
        <v>27809.79</v>
      </c>
      <c r="G5" s="1">
        <v>1</v>
      </c>
    </row>
    <row r="6" spans="1:10" x14ac:dyDescent="0.3">
      <c r="A6" s="1" t="s">
        <v>3413</v>
      </c>
      <c r="B6" s="1" t="s">
        <v>38</v>
      </c>
      <c r="C6" s="41">
        <v>45458</v>
      </c>
      <c r="D6" s="1">
        <v>9</v>
      </c>
      <c r="E6" s="1">
        <v>2</v>
      </c>
      <c r="F6" s="1">
        <v>30354.31</v>
      </c>
      <c r="G6" s="1">
        <v>0</v>
      </c>
    </row>
    <row r="7" spans="1:10" x14ac:dyDescent="0.3">
      <c r="A7" s="1" t="s">
        <v>3420</v>
      </c>
      <c r="B7" s="1" t="s">
        <v>16</v>
      </c>
      <c r="C7" s="41">
        <v>45557</v>
      </c>
      <c r="D7" s="1">
        <v>13</v>
      </c>
      <c r="E7" s="1">
        <v>2</v>
      </c>
      <c r="F7" s="1">
        <v>29279.41</v>
      </c>
      <c r="G7" s="1">
        <v>1</v>
      </c>
    </row>
    <row r="8" spans="1:10" x14ac:dyDescent="0.3">
      <c r="A8" s="1" t="s">
        <v>3339</v>
      </c>
      <c r="B8" s="1" t="s">
        <v>38</v>
      </c>
      <c r="C8" s="41">
        <v>45197</v>
      </c>
      <c r="D8" s="1">
        <v>6</v>
      </c>
      <c r="E8" s="1">
        <v>1</v>
      </c>
      <c r="F8" s="1">
        <v>25073.54</v>
      </c>
      <c r="G8" s="1">
        <v>0</v>
      </c>
    </row>
    <row r="9" spans="1:10" x14ac:dyDescent="0.3">
      <c r="A9" s="1" t="s">
        <v>3327</v>
      </c>
      <c r="B9" s="1" t="s">
        <v>38</v>
      </c>
      <c r="C9" s="41">
        <v>44869</v>
      </c>
      <c r="D9" s="1">
        <v>7</v>
      </c>
      <c r="E9" s="1">
        <v>2</v>
      </c>
      <c r="F9" s="1">
        <v>24386.2</v>
      </c>
      <c r="G9" s="1">
        <v>0</v>
      </c>
    </row>
    <row r="10" spans="1:10" x14ac:dyDescent="0.3">
      <c r="A10" s="1" t="s">
        <v>3897</v>
      </c>
      <c r="B10" s="1" t="s">
        <v>22</v>
      </c>
      <c r="C10" s="41">
        <v>44854</v>
      </c>
      <c r="D10" s="1">
        <v>9</v>
      </c>
      <c r="E10" s="1">
        <v>1</v>
      </c>
      <c r="F10" s="1">
        <v>29321.63</v>
      </c>
      <c r="G10" s="1">
        <v>0</v>
      </c>
    </row>
    <row r="11" spans="1:10" x14ac:dyDescent="0.3">
      <c r="A11" s="1" t="s">
        <v>4370</v>
      </c>
      <c r="B11" s="1" t="s">
        <v>16</v>
      </c>
      <c r="C11" s="41">
        <v>44150</v>
      </c>
      <c r="D11" s="1">
        <v>7</v>
      </c>
      <c r="E11" s="1">
        <v>1</v>
      </c>
      <c r="F11" s="1">
        <v>29698.71</v>
      </c>
      <c r="G11" s="1">
        <v>0</v>
      </c>
    </row>
    <row r="12" spans="1:10" x14ac:dyDescent="0.3">
      <c r="A12" s="1" t="s">
        <v>4240</v>
      </c>
      <c r="B12" s="1" t="s">
        <v>16</v>
      </c>
      <c r="C12" s="41">
        <v>44701</v>
      </c>
      <c r="D12" s="1">
        <v>7</v>
      </c>
      <c r="E12" s="1">
        <v>2</v>
      </c>
      <c r="F12" s="1">
        <v>31078.17</v>
      </c>
      <c r="G12" s="1">
        <v>0</v>
      </c>
    </row>
    <row r="13" spans="1:10" x14ac:dyDescent="0.3">
      <c r="A13" s="1" t="s">
        <v>3836</v>
      </c>
      <c r="B13" s="1" t="s">
        <v>25</v>
      </c>
      <c r="C13" s="41">
        <v>44923</v>
      </c>
      <c r="D13" s="1">
        <v>7</v>
      </c>
      <c r="E13" s="1">
        <v>2</v>
      </c>
      <c r="F13" s="1">
        <v>26780.74</v>
      </c>
      <c r="G13" s="1">
        <v>0</v>
      </c>
    </row>
    <row r="14" spans="1:10" x14ac:dyDescent="0.3">
      <c r="A14" s="1" t="s">
        <v>3507</v>
      </c>
      <c r="B14" s="1" t="s">
        <v>47</v>
      </c>
      <c r="C14" s="41">
        <v>44486</v>
      </c>
      <c r="D14" s="1">
        <v>9</v>
      </c>
      <c r="E14" s="1">
        <v>2</v>
      </c>
      <c r="F14" s="1">
        <v>30653.83</v>
      </c>
      <c r="G14" s="1">
        <v>0</v>
      </c>
    </row>
    <row r="15" spans="1:10" x14ac:dyDescent="0.3">
      <c r="A15" s="1" t="s">
        <v>3375</v>
      </c>
      <c r="B15" s="1" t="s">
        <v>47</v>
      </c>
      <c r="C15" s="41">
        <v>45330</v>
      </c>
      <c r="D15" s="1">
        <v>11</v>
      </c>
      <c r="E15" s="1">
        <v>3</v>
      </c>
      <c r="F15" s="1">
        <v>25391.17</v>
      </c>
      <c r="G15" s="1">
        <v>6</v>
      </c>
    </row>
    <row r="16" spans="1:10" x14ac:dyDescent="0.3">
      <c r="A16" s="1" t="s">
        <v>3415</v>
      </c>
      <c r="B16" s="1" t="s">
        <v>16</v>
      </c>
      <c r="C16" s="41">
        <v>44360</v>
      </c>
      <c r="D16" s="1">
        <v>9</v>
      </c>
      <c r="E16" s="1">
        <v>1</v>
      </c>
      <c r="F16" s="1">
        <v>27776.39</v>
      </c>
      <c r="G16" s="1">
        <v>0</v>
      </c>
    </row>
    <row r="17" spans="1:7" x14ac:dyDescent="0.3">
      <c r="A17" s="1" t="s">
        <v>3641</v>
      </c>
      <c r="B17" s="1" t="s">
        <v>43</v>
      </c>
      <c r="C17" s="41">
        <v>44981</v>
      </c>
      <c r="D17" s="1">
        <v>11</v>
      </c>
      <c r="E17" s="1">
        <v>3</v>
      </c>
      <c r="F17" s="1">
        <v>26476.19</v>
      </c>
      <c r="G17" s="1">
        <v>0</v>
      </c>
    </row>
    <row r="18" spans="1:7" x14ac:dyDescent="0.3">
      <c r="A18" s="1" t="s">
        <v>4058</v>
      </c>
      <c r="B18" s="1" t="s">
        <v>25</v>
      </c>
      <c r="C18" s="41">
        <v>45226</v>
      </c>
      <c r="D18" s="1">
        <v>11</v>
      </c>
      <c r="E18" s="1">
        <v>3</v>
      </c>
      <c r="F18" s="1">
        <v>27807.52</v>
      </c>
      <c r="G18" s="1">
        <v>1</v>
      </c>
    </row>
    <row r="19" spans="1:7" x14ac:dyDescent="0.3">
      <c r="A19" s="1" t="s">
        <v>4095</v>
      </c>
      <c r="B19" s="1" t="s">
        <v>25</v>
      </c>
      <c r="C19" s="41">
        <v>45035</v>
      </c>
      <c r="D19" s="1">
        <v>17</v>
      </c>
      <c r="E19" s="1">
        <v>5</v>
      </c>
      <c r="F19" s="1">
        <v>29430.799999999999</v>
      </c>
      <c r="G19" s="1">
        <v>0</v>
      </c>
    </row>
    <row r="20" spans="1:7" x14ac:dyDescent="0.3">
      <c r="A20" s="1" t="s">
        <v>3607</v>
      </c>
      <c r="B20" s="1" t="s">
        <v>38</v>
      </c>
      <c r="C20" s="41">
        <v>44607</v>
      </c>
      <c r="D20" s="1">
        <v>14</v>
      </c>
      <c r="E20" s="1">
        <v>4</v>
      </c>
      <c r="F20" s="1">
        <v>24476.48</v>
      </c>
      <c r="G20" s="1">
        <v>0</v>
      </c>
    </row>
    <row r="21" spans="1:7" x14ac:dyDescent="0.3">
      <c r="A21" s="1" t="s">
        <v>4625</v>
      </c>
      <c r="B21" s="1" t="s">
        <v>43</v>
      </c>
      <c r="C21" s="41">
        <v>44875</v>
      </c>
      <c r="D21" s="1">
        <v>3</v>
      </c>
      <c r="E21" s="1">
        <v>0</v>
      </c>
      <c r="F21" s="1">
        <v>25926.63</v>
      </c>
      <c r="G21" s="1">
        <v>0</v>
      </c>
    </row>
    <row r="22" spans="1:7" x14ac:dyDescent="0.3">
      <c r="A22" s="1" t="s">
        <v>3555</v>
      </c>
      <c r="B22" s="1" t="s">
        <v>43</v>
      </c>
      <c r="C22" s="41">
        <v>45733</v>
      </c>
      <c r="D22" s="1">
        <v>15</v>
      </c>
      <c r="E22" s="1">
        <v>8</v>
      </c>
      <c r="F22" s="1">
        <v>29428.1</v>
      </c>
      <c r="G22" s="1">
        <v>0</v>
      </c>
    </row>
    <row r="23" spans="1:7" x14ac:dyDescent="0.3">
      <c r="A23" s="1" t="s">
        <v>4518</v>
      </c>
      <c r="B23" s="1" t="s">
        <v>16</v>
      </c>
      <c r="C23" s="41">
        <v>44949</v>
      </c>
      <c r="D23" s="1">
        <v>8</v>
      </c>
      <c r="E23" s="1">
        <v>2</v>
      </c>
      <c r="F23" s="1">
        <v>29613.08</v>
      </c>
      <c r="G23" s="1">
        <v>0</v>
      </c>
    </row>
    <row r="24" spans="1:7" x14ac:dyDescent="0.3">
      <c r="A24" s="1" t="s">
        <v>3383</v>
      </c>
      <c r="B24" s="1" t="s">
        <v>22</v>
      </c>
      <c r="C24" s="41">
        <v>44348</v>
      </c>
      <c r="D24" s="1">
        <v>12</v>
      </c>
      <c r="E24" s="1">
        <v>2</v>
      </c>
      <c r="F24" s="1">
        <v>28822.42</v>
      </c>
      <c r="G24" s="1">
        <v>0</v>
      </c>
    </row>
    <row r="25" spans="1:7" x14ac:dyDescent="0.3">
      <c r="A25" s="1" t="s">
        <v>3649</v>
      </c>
      <c r="B25" s="1" t="s">
        <v>16</v>
      </c>
      <c r="C25" s="41">
        <v>44310</v>
      </c>
      <c r="D25" s="1">
        <v>4</v>
      </c>
      <c r="E25" s="1">
        <v>0</v>
      </c>
      <c r="F25" s="1">
        <v>28595.01</v>
      </c>
      <c r="G25" s="1">
        <v>0</v>
      </c>
    </row>
    <row r="26" spans="1:7" x14ac:dyDescent="0.3">
      <c r="A26" s="1" t="s">
        <v>4309</v>
      </c>
      <c r="B26" s="1" t="s">
        <v>16</v>
      </c>
      <c r="C26" s="41">
        <v>45725</v>
      </c>
      <c r="D26" s="1">
        <v>10</v>
      </c>
      <c r="E26" s="1">
        <v>4</v>
      </c>
      <c r="F26" s="1">
        <v>29636.799999999999</v>
      </c>
      <c r="G26" s="1">
        <v>0</v>
      </c>
    </row>
    <row r="27" spans="1:7" x14ac:dyDescent="0.3">
      <c r="A27" s="1" t="s">
        <v>3429</v>
      </c>
      <c r="B27" s="1" t="s">
        <v>43</v>
      </c>
      <c r="C27" s="41">
        <v>45613</v>
      </c>
      <c r="D27" s="1">
        <v>5</v>
      </c>
      <c r="E27" s="1">
        <v>0</v>
      </c>
      <c r="F27" s="1">
        <v>28558.34</v>
      </c>
      <c r="G27" s="1">
        <v>0</v>
      </c>
    </row>
    <row r="28" spans="1:7" x14ac:dyDescent="0.3">
      <c r="A28" s="1" t="s">
        <v>3502</v>
      </c>
      <c r="B28" s="1" t="s">
        <v>38</v>
      </c>
      <c r="C28" s="41">
        <v>45032</v>
      </c>
      <c r="D28" s="1">
        <v>17</v>
      </c>
      <c r="E28" s="1">
        <v>2</v>
      </c>
      <c r="F28" s="1">
        <v>27225.18</v>
      </c>
      <c r="G28" s="1">
        <v>2</v>
      </c>
    </row>
    <row r="29" spans="1:7" x14ac:dyDescent="0.3">
      <c r="A29" s="1" t="s">
        <v>3880</v>
      </c>
      <c r="B29" s="1" t="s">
        <v>16</v>
      </c>
      <c r="C29" s="41">
        <v>44616</v>
      </c>
      <c r="D29" s="1">
        <v>7</v>
      </c>
      <c r="E29" s="1">
        <v>3</v>
      </c>
      <c r="F29" s="1">
        <v>29306.18</v>
      </c>
      <c r="G29" s="1">
        <v>0</v>
      </c>
    </row>
    <row r="30" spans="1:7" x14ac:dyDescent="0.3">
      <c r="A30" s="1" t="s">
        <v>4168</v>
      </c>
      <c r="B30" s="1" t="s">
        <v>25</v>
      </c>
      <c r="C30" s="41">
        <v>44164</v>
      </c>
      <c r="D30" s="1">
        <v>6</v>
      </c>
      <c r="E30" s="1">
        <v>1</v>
      </c>
      <c r="F30" s="1">
        <v>23075.98</v>
      </c>
      <c r="G30" s="1">
        <v>0</v>
      </c>
    </row>
    <row r="31" spans="1:7" x14ac:dyDescent="0.3">
      <c r="A31" s="1" t="s">
        <v>4586</v>
      </c>
      <c r="B31" s="1" t="s">
        <v>22</v>
      </c>
      <c r="C31" s="41">
        <v>44216</v>
      </c>
      <c r="D31" s="1">
        <v>7</v>
      </c>
      <c r="E31" s="1">
        <v>4</v>
      </c>
      <c r="F31" s="1">
        <v>26006.69</v>
      </c>
      <c r="G31" s="1">
        <v>0</v>
      </c>
    </row>
    <row r="32" spans="1:7" x14ac:dyDescent="0.3">
      <c r="A32" s="1" t="s">
        <v>3464</v>
      </c>
      <c r="B32" s="1" t="s">
        <v>43</v>
      </c>
      <c r="C32" s="41">
        <v>44159</v>
      </c>
      <c r="D32" s="1">
        <v>10</v>
      </c>
      <c r="E32" s="1">
        <v>5</v>
      </c>
      <c r="F32" s="1">
        <v>27766.38</v>
      </c>
      <c r="G32" s="1">
        <v>1</v>
      </c>
    </row>
    <row r="33" spans="1:7" x14ac:dyDescent="0.3">
      <c r="A33" s="1" t="s">
        <v>3734</v>
      </c>
      <c r="B33" s="1" t="s">
        <v>38</v>
      </c>
      <c r="C33" s="41">
        <v>44273</v>
      </c>
      <c r="D33" s="1">
        <v>15</v>
      </c>
      <c r="E33" s="1">
        <v>6</v>
      </c>
      <c r="F33" s="1">
        <v>28521.71</v>
      </c>
      <c r="G33" s="1">
        <v>1</v>
      </c>
    </row>
    <row r="34" spans="1:7" x14ac:dyDescent="0.3">
      <c r="A34" s="1" t="s">
        <v>4027</v>
      </c>
      <c r="B34" s="1" t="s">
        <v>38</v>
      </c>
      <c r="C34" s="41">
        <v>44852</v>
      </c>
      <c r="D34" s="1">
        <v>9</v>
      </c>
      <c r="E34" s="1">
        <v>3</v>
      </c>
      <c r="F34" s="1">
        <v>28092.47</v>
      </c>
      <c r="G34" s="1">
        <v>0</v>
      </c>
    </row>
    <row r="35" spans="1:7" x14ac:dyDescent="0.3">
      <c r="A35" s="1" t="s">
        <v>3408</v>
      </c>
      <c r="B35" s="1" t="s">
        <v>25</v>
      </c>
      <c r="C35" s="41">
        <v>44249</v>
      </c>
      <c r="D35" s="1">
        <v>13</v>
      </c>
      <c r="E35" s="1">
        <v>2</v>
      </c>
      <c r="F35" s="1">
        <v>26526.97</v>
      </c>
      <c r="G35" s="1">
        <v>4</v>
      </c>
    </row>
    <row r="36" spans="1:7" x14ac:dyDescent="0.3">
      <c r="A36" s="1" t="s">
        <v>3536</v>
      </c>
      <c r="B36" s="1" t="s">
        <v>38</v>
      </c>
      <c r="C36" s="41">
        <v>45283</v>
      </c>
      <c r="D36" s="1">
        <v>6</v>
      </c>
      <c r="E36" s="1">
        <v>2</v>
      </c>
      <c r="F36" s="1">
        <v>26058.97</v>
      </c>
      <c r="G36" s="1">
        <v>2</v>
      </c>
    </row>
    <row r="37" spans="1:7" x14ac:dyDescent="0.3">
      <c r="A37" s="1" t="s">
        <v>3345</v>
      </c>
      <c r="B37" s="1" t="s">
        <v>22</v>
      </c>
      <c r="C37" s="41">
        <v>45115</v>
      </c>
      <c r="D37" s="1">
        <v>9</v>
      </c>
      <c r="E37" s="1">
        <v>1</v>
      </c>
      <c r="F37" s="1">
        <v>26879.38</v>
      </c>
      <c r="G37" s="1">
        <v>0</v>
      </c>
    </row>
    <row r="38" spans="1:7" x14ac:dyDescent="0.3">
      <c r="A38" s="1" t="s">
        <v>4703</v>
      </c>
      <c r="B38" s="1" t="s">
        <v>47</v>
      </c>
      <c r="C38" s="41">
        <v>44539</v>
      </c>
      <c r="D38" s="1">
        <v>4</v>
      </c>
      <c r="E38" s="1">
        <v>1</v>
      </c>
      <c r="F38" s="1">
        <v>27570.43</v>
      </c>
      <c r="G38" s="1">
        <v>0</v>
      </c>
    </row>
    <row r="39" spans="1:7" x14ac:dyDescent="0.3">
      <c r="A39" s="1" t="s">
        <v>4388</v>
      </c>
      <c r="B39" s="1" t="s">
        <v>25</v>
      </c>
      <c r="C39" s="41">
        <v>44542</v>
      </c>
      <c r="D39" s="1">
        <v>5</v>
      </c>
      <c r="E39" s="1">
        <v>3</v>
      </c>
      <c r="F39" s="1">
        <v>28382.63</v>
      </c>
      <c r="G39" s="1">
        <v>0</v>
      </c>
    </row>
    <row r="40" spans="1:7" x14ac:dyDescent="0.3">
      <c r="A40" s="1" t="s">
        <v>3846</v>
      </c>
      <c r="B40" s="1" t="s">
        <v>38</v>
      </c>
      <c r="C40" s="41">
        <v>44226</v>
      </c>
      <c r="D40" s="1">
        <v>10</v>
      </c>
      <c r="E40" s="1">
        <v>2</v>
      </c>
      <c r="F40" s="1">
        <v>26210.06</v>
      </c>
      <c r="G40" s="1">
        <v>0</v>
      </c>
    </row>
    <row r="41" spans="1:7" x14ac:dyDescent="0.3">
      <c r="A41" s="1" t="s">
        <v>3371</v>
      </c>
      <c r="B41" s="1" t="s">
        <v>22</v>
      </c>
      <c r="C41" s="41">
        <v>44996</v>
      </c>
      <c r="D41" s="1">
        <v>8</v>
      </c>
      <c r="E41" s="1">
        <v>2</v>
      </c>
      <c r="F41" s="1">
        <v>26517.7</v>
      </c>
      <c r="G41" s="1">
        <v>1</v>
      </c>
    </row>
    <row r="42" spans="1:7" x14ac:dyDescent="0.3">
      <c r="A42" s="1" t="s">
        <v>3589</v>
      </c>
      <c r="B42" s="1" t="s">
        <v>43</v>
      </c>
      <c r="C42" s="41">
        <v>44285</v>
      </c>
      <c r="D42" s="1">
        <v>12</v>
      </c>
      <c r="E42" s="1">
        <v>5</v>
      </c>
      <c r="F42" s="1">
        <v>27040.2</v>
      </c>
      <c r="G42" s="1">
        <v>1</v>
      </c>
    </row>
    <row r="43" spans="1:7" x14ac:dyDescent="0.3">
      <c r="A43" s="1" t="s">
        <v>3532</v>
      </c>
      <c r="B43" s="1" t="s">
        <v>22</v>
      </c>
      <c r="C43" s="41">
        <v>45285</v>
      </c>
      <c r="D43" s="1">
        <v>13</v>
      </c>
      <c r="E43" s="1">
        <v>3</v>
      </c>
      <c r="F43" s="1">
        <v>30379.79</v>
      </c>
      <c r="G43" s="1">
        <v>1</v>
      </c>
    </row>
    <row r="44" spans="1:7" x14ac:dyDescent="0.3">
      <c r="A44" s="1" t="s">
        <v>3433</v>
      </c>
      <c r="B44" s="1" t="s">
        <v>16</v>
      </c>
      <c r="C44" s="41">
        <v>44404</v>
      </c>
      <c r="D44" s="1">
        <v>10</v>
      </c>
      <c r="E44" s="1">
        <v>3</v>
      </c>
      <c r="F44" s="1">
        <v>29754.61</v>
      </c>
      <c r="G44" s="1">
        <v>1</v>
      </c>
    </row>
    <row r="45" spans="1:7" x14ac:dyDescent="0.3">
      <c r="A45" s="1" t="s">
        <v>3701</v>
      </c>
      <c r="B45" s="1" t="s">
        <v>43</v>
      </c>
      <c r="C45" s="41">
        <v>44409</v>
      </c>
      <c r="D45" s="1">
        <v>15</v>
      </c>
      <c r="E45" s="1">
        <v>2</v>
      </c>
      <c r="F45" s="1">
        <v>27100.97</v>
      </c>
      <c r="G45" s="1">
        <v>0</v>
      </c>
    </row>
    <row r="46" spans="1:7" x14ac:dyDescent="0.3">
      <c r="A46" s="1" t="s">
        <v>3443</v>
      </c>
      <c r="B46" s="1" t="s">
        <v>16</v>
      </c>
      <c r="C46" s="41">
        <v>44794</v>
      </c>
      <c r="D46" s="1">
        <v>15</v>
      </c>
      <c r="E46" s="1">
        <v>5</v>
      </c>
      <c r="F46" s="1">
        <v>29196.9</v>
      </c>
      <c r="G46" s="1">
        <v>0</v>
      </c>
    </row>
    <row r="47" spans="1:7" x14ac:dyDescent="0.3">
      <c r="A47" s="1" t="s">
        <v>4230</v>
      </c>
      <c r="B47" s="1" t="s">
        <v>25</v>
      </c>
      <c r="C47" s="41">
        <v>44229</v>
      </c>
      <c r="D47" s="1">
        <v>7</v>
      </c>
      <c r="E47" s="1">
        <v>1</v>
      </c>
      <c r="F47" s="1">
        <v>28087.39</v>
      </c>
      <c r="G47" s="1">
        <v>0</v>
      </c>
    </row>
    <row r="48" spans="1:7" x14ac:dyDescent="0.3">
      <c r="A48" s="1" t="s">
        <v>3691</v>
      </c>
      <c r="B48" s="1" t="s">
        <v>43</v>
      </c>
      <c r="C48" s="41">
        <v>45677</v>
      </c>
      <c r="D48" s="1">
        <v>4</v>
      </c>
      <c r="E48" s="1">
        <v>1</v>
      </c>
      <c r="F48" s="1">
        <v>27503.759999999998</v>
      </c>
      <c r="G48" s="1">
        <v>0</v>
      </c>
    </row>
    <row r="49" spans="1:7" x14ac:dyDescent="0.3">
      <c r="A49" s="1" t="s">
        <v>3417</v>
      </c>
      <c r="B49" s="1" t="s">
        <v>16</v>
      </c>
      <c r="C49" s="41">
        <v>44620</v>
      </c>
      <c r="D49" s="1">
        <v>7</v>
      </c>
      <c r="E49" s="1">
        <v>1</v>
      </c>
      <c r="F49" s="1">
        <v>31462.09</v>
      </c>
      <c r="G49" s="1">
        <v>0</v>
      </c>
    </row>
    <row r="50" spans="1:7" x14ac:dyDescent="0.3">
      <c r="A50" s="1" t="s">
        <v>3698</v>
      </c>
      <c r="B50" s="1" t="s">
        <v>25</v>
      </c>
      <c r="C50" s="41">
        <v>45149</v>
      </c>
      <c r="D50" s="1">
        <v>10</v>
      </c>
      <c r="E50" s="1">
        <v>3</v>
      </c>
      <c r="F50" s="1">
        <v>29426.45</v>
      </c>
      <c r="G50" s="1">
        <v>0</v>
      </c>
    </row>
    <row r="51" spans="1:7" x14ac:dyDescent="0.3">
      <c r="A51" s="1" t="s">
        <v>3678</v>
      </c>
      <c r="B51" s="1" t="s">
        <v>16</v>
      </c>
      <c r="C51" s="41">
        <v>44907</v>
      </c>
      <c r="D51" s="1">
        <v>12</v>
      </c>
      <c r="E51" s="1">
        <v>5</v>
      </c>
      <c r="F51" s="1">
        <v>26090.76</v>
      </c>
      <c r="G51" s="1">
        <v>0</v>
      </c>
    </row>
    <row r="52" spans="1:7" x14ac:dyDescent="0.3">
      <c r="A52" s="1" t="s">
        <v>3817</v>
      </c>
      <c r="B52" s="1" t="s">
        <v>25</v>
      </c>
      <c r="C52" s="41">
        <v>45300</v>
      </c>
      <c r="D52" s="1">
        <v>6</v>
      </c>
      <c r="E52" s="1">
        <v>3</v>
      </c>
      <c r="F52" s="1">
        <v>29488.46</v>
      </c>
      <c r="G52" s="1">
        <v>0</v>
      </c>
    </row>
    <row r="53" spans="1:7" x14ac:dyDescent="0.3">
      <c r="A53" s="1" t="s">
        <v>4295</v>
      </c>
      <c r="B53" s="1" t="s">
        <v>16</v>
      </c>
      <c r="C53" s="41">
        <v>45216</v>
      </c>
      <c r="D53" s="1">
        <v>7</v>
      </c>
      <c r="E53" s="1">
        <v>2</v>
      </c>
      <c r="F53" s="1">
        <v>28188.99</v>
      </c>
      <c r="G53" s="1">
        <v>0</v>
      </c>
    </row>
    <row r="54" spans="1:7" x14ac:dyDescent="0.3">
      <c r="A54" s="1" t="s">
        <v>3634</v>
      </c>
      <c r="B54" s="1" t="s">
        <v>22</v>
      </c>
      <c r="C54" s="41">
        <v>44561</v>
      </c>
      <c r="D54" s="1">
        <v>7</v>
      </c>
      <c r="E54" s="1">
        <v>3</v>
      </c>
      <c r="F54" s="1">
        <v>27558.27</v>
      </c>
      <c r="G54" s="1">
        <v>1</v>
      </c>
    </row>
    <row r="55" spans="1:7" x14ac:dyDescent="0.3">
      <c r="A55" s="1" t="s">
        <v>4055</v>
      </c>
      <c r="B55" s="1" t="s">
        <v>16</v>
      </c>
      <c r="C55" s="41">
        <v>45842</v>
      </c>
      <c r="D55" s="1">
        <v>11</v>
      </c>
      <c r="E55" s="1">
        <v>3</v>
      </c>
      <c r="F55" s="1">
        <v>29649.16</v>
      </c>
      <c r="G55" s="1">
        <v>2</v>
      </c>
    </row>
    <row r="56" spans="1:7" x14ac:dyDescent="0.3">
      <c r="A56" s="1" t="s">
        <v>4273</v>
      </c>
      <c r="B56" s="1" t="s">
        <v>22</v>
      </c>
      <c r="C56" s="41">
        <v>45668</v>
      </c>
      <c r="D56" s="1">
        <v>12</v>
      </c>
      <c r="E56" s="1">
        <v>3</v>
      </c>
      <c r="F56" s="1">
        <v>28803.42</v>
      </c>
      <c r="G56" s="1">
        <v>1</v>
      </c>
    </row>
    <row r="57" spans="1:7" x14ac:dyDescent="0.3">
      <c r="A57" s="1" t="s">
        <v>3585</v>
      </c>
      <c r="B57" s="1" t="s">
        <v>22</v>
      </c>
      <c r="C57" s="41">
        <v>44418</v>
      </c>
      <c r="D57" s="1">
        <v>10</v>
      </c>
      <c r="E57" s="1">
        <v>1</v>
      </c>
      <c r="F57" s="1">
        <v>29632.49</v>
      </c>
      <c r="G57" s="1">
        <v>0</v>
      </c>
    </row>
    <row r="58" spans="1:7" x14ac:dyDescent="0.3">
      <c r="A58" s="1" t="s">
        <v>4678</v>
      </c>
      <c r="B58" s="1" t="s">
        <v>47</v>
      </c>
      <c r="C58" s="41">
        <v>44414</v>
      </c>
      <c r="D58" s="1">
        <v>5</v>
      </c>
      <c r="E58" s="1">
        <v>1</v>
      </c>
      <c r="F58" s="1">
        <v>30556.2</v>
      </c>
      <c r="G58" s="1">
        <v>0</v>
      </c>
    </row>
    <row r="59" spans="1:7" x14ac:dyDescent="0.3">
      <c r="A59" s="1" t="s">
        <v>4391</v>
      </c>
      <c r="B59" s="1" t="s">
        <v>22</v>
      </c>
      <c r="C59" s="41">
        <v>45441</v>
      </c>
      <c r="D59" s="1">
        <v>8</v>
      </c>
      <c r="E59" s="1">
        <v>1</v>
      </c>
      <c r="F59" s="1">
        <v>30112.5</v>
      </c>
      <c r="G59" s="1">
        <v>0</v>
      </c>
    </row>
    <row r="60" spans="1:7" x14ac:dyDescent="0.3">
      <c r="A60" s="1" t="s">
        <v>3637</v>
      </c>
      <c r="B60" s="1" t="s">
        <v>22</v>
      </c>
      <c r="C60" s="41">
        <v>45180</v>
      </c>
      <c r="D60" s="1">
        <v>13</v>
      </c>
      <c r="E60" s="1">
        <v>2</v>
      </c>
      <c r="F60" s="1">
        <v>27802.7</v>
      </c>
      <c r="G60" s="1">
        <v>0</v>
      </c>
    </row>
    <row r="61" spans="1:7" x14ac:dyDescent="0.3">
      <c r="A61" s="1" t="s">
        <v>3792</v>
      </c>
      <c r="B61" s="1" t="s">
        <v>16</v>
      </c>
      <c r="C61" s="41">
        <v>45668</v>
      </c>
      <c r="D61" s="1">
        <v>5</v>
      </c>
      <c r="E61" s="1">
        <v>0</v>
      </c>
      <c r="F61" s="1">
        <v>30649.82</v>
      </c>
      <c r="G61" s="1">
        <v>0</v>
      </c>
    </row>
    <row r="62" spans="1:7" x14ac:dyDescent="0.3">
      <c r="A62" s="1" t="s">
        <v>3329</v>
      </c>
      <c r="B62" s="1" t="s">
        <v>22</v>
      </c>
      <c r="C62" s="41">
        <v>44271</v>
      </c>
      <c r="D62" s="1">
        <v>13</v>
      </c>
      <c r="E62" s="1">
        <v>2</v>
      </c>
      <c r="F62" s="1">
        <v>26520.15</v>
      </c>
      <c r="G62" s="1">
        <v>0</v>
      </c>
    </row>
    <row r="63" spans="1:7" x14ac:dyDescent="0.3">
      <c r="A63" s="1" t="s">
        <v>3949</v>
      </c>
      <c r="B63" s="1" t="s">
        <v>22</v>
      </c>
      <c r="C63" s="41">
        <v>45052</v>
      </c>
      <c r="D63" s="1">
        <v>12</v>
      </c>
      <c r="E63" s="1">
        <v>5</v>
      </c>
      <c r="F63" s="1">
        <v>28983.86</v>
      </c>
      <c r="G63" s="1">
        <v>0</v>
      </c>
    </row>
    <row r="64" spans="1:7" x14ac:dyDescent="0.3">
      <c r="A64" s="1" t="s">
        <v>3379</v>
      </c>
      <c r="B64" s="1" t="s">
        <v>38</v>
      </c>
      <c r="C64" s="41">
        <v>44087</v>
      </c>
      <c r="D64" s="1">
        <v>10</v>
      </c>
      <c r="E64" s="1">
        <v>3</v>
      </c>
      <c r="F64" s="1">
        <v>25833.58</v>
      </c>
      <c r="G64" s="1">
        <v>2</v>
      </c>
    </row>
    <row r="65" spans="1:7" x14ac:dyDescent="0.3">
      <c r="A65" s="1" t="s">
        <v>3406</v>
      </c>
      <c r="B65" s="1" t="s">
        <v>22</v>
      </c>
      <c r="C65" s="41">
        <v>44290</v>
      </c>
      <c r="D65" s="1">
        <v>15</v>
      </c>
      <c r="E65" s="1">
        <v>6</v>
      </c>
      <c r="F65" s="1">
        <v>29727.29</v>
      </c>
      <c r="G65" s="1">
        <v>0</v>
      </c>
    </row>
    <row r="66" spans="1:7" x14ac:dyDescent="0.3">
      <c r="A66" s="1" t="s">
        <v>4122</v>
      </c>
      <c r="B66" s="1" t="s">
        <v>22</v>
      </c>
      <c r="C66" s="41">
        <v>44390</v>
      </c>
      <c r="D66" s="1">
        <v>7</v>
      </c>
      <c r="E66" s="1">
        <v>0</v>
      </c>
      <c r="F66" s="1">
        <v>31063.94</v>
      </c>
      <c r="G66" s="1">
        <v>0</v>
      </c>
    </row>
    <row r="67" spans="1:7" x14ac:dyDescent="0.3">
      <c r="A67" s="1" t="s">
        <v>4455</v>
      </c>
      <c r="B67" s="1" t="s">
        <v>43</v>
      </c>
      <c r="C67" s="41">
        <v>44948</v>
      </c>
      <c r="D67" s="1">
        <v>3</v>
      </c>
      <c r="E67" s="1">
        <v>1</v>
      </c>
      <c r="F67" s="1">
        <v>31435.599999999999</v>
      </c>
      <c r="G67" s="1">
        <v>0</v>
      </c>
    </row>
    <row r="68" spans="1:7" x14ac:dyDescent="0.3">
      <c r="A68" s="1" t="s">
        <v>3706</v>
      </c>
      <c r="B68" s="1" t="s">
        <v>22</v>
      </c>
      <c r="C68" s="41">
        <v>45340</v>
      </c>
      <c r="D68" s="1">
        <v>11</v>
      </c>
      <c r="E68" s="1">
        <v>6</v>
      </c>
      <c r="F68" s="1">
        <v>28666.54</v>
      </c>
      <c r="G68" s="1">
        <v>1</v>
      </c>
    </row>
    <row r="69" spans="1:7" x14ac:dyDescent="0.3">
      <c r="A69" s="1" t="s">
        <v>4179</v>
      </c>
      <c r="B69" s="1" t="s">
        <v>38</v>
      </c>
      <c r="C69" s="41">
        <v>45663</v>
      </c>
      <c r="D69" s="1">
        <v>8</v>
      </c>
      <c r="E69" s="1">
        <v>1</v>
      </c>
      <c r="F69" s="1">
        <v>30263.55</v>
      </c>
      <c r="G69" s="1">
        <v>0</v>
      </c>
    </row>
    <row r="70" spans="1:7" x14ac:dyDescent="0.3">
      <c r="A70" s="1" t="s">
        <v>4074</v>
      </c>
      <c r="B70" s="1" t="s">
        <v>47</v>
      </c>
      <c r="C70" s="41">
        <v>45840</v>
      </c>
      <c r="D70" s="1">
        <v>11</v>
      </c>
      <c r="E70" s="1">
        <v>4</v>
      </c>
      <c r="F70" s="1">
        <v>26069.03</v>
      </c>
      <c r="G70" s="1">
        <v>1</v>
      </c>
    </row>
    <row r="71" spans="1:7" x14ac:dyDescent="0.3">
      <c r="A71" s="1" t="s">
        <v>3457</v>
      </c>
      <c r="B71" s="1" t="s">
        <v>25</v>
      </c>
      <c r="C71" s="41">
        <v>45176</v>
      </c>
      <c r="D71" s="1">
        <v>10</v>
      </c>
      <c r="E71" s="1">
        <v>3</v>
      </c>
      <c r="F71" s="1">
        <v>27397.37</v>
      </c>
      <c r="G71" s="1">
        <v>0</v>
      </c>
    </row>
    <row r="72" spans="1:7" x14ac:dyDescent="0.3">
      <c r="A72" s="1" t="s">
        <v>3445</v>
      </c>
      <c r="B72" s="1" t="s">
        <v>38</v>
      </c>
      <c r="C72" s="41">
        <v>44965</v>
      </c>
      <c r="D72" s="1">
        <v>7</v>
      </c>
      <c r="E72" s="1">
        <v>3</v>
      </c>
      <c r="F72" s="1">
        <v>28298.98</v>
      </c>
      <c r="G72" s="1">
        <v>0</v>
      </c>
    </row>
    <row r="73" spans="1:7" x14ac:dyDescent="0.3">
      <c r="A73" s="1" t="s">
        <v>3545</v>
      </c>
      <c r="B73" s="1" t="s">
        <v>38</v>
      </c>
      <c r="C73" s="41">
        <v>45206</v>
      </c>
      <c r="D73" s="1">
        <v>13</v>
      </c>
      <c r="E73" s="1">
        <v>2</v>
      </c>
      <c r="F73" s="1">
        <v>28443.82</v>
      </c>
      <c r="G73" s="1">
        <v>5</v>
      </c>
    </row>
    <row r="74" spans="1:7" x14ac:dyDescent="0.3">
      <c r="A74" s="1" t="s">
        <v>3809</v>
      </c>
      <c r="B74" s="1" t="s">
        <v>22</v>
      </c>
      <c r="C74" s="41">
        <v>45855</v>
      </c>
      <c r="D74" s="1">
        <v>14</v>
      </c>
      <c r="E74" s="1">
        <v>5</v>
      </c>
      <c r="F74" s="1">
        <v>29344.83</v>
      </c>
      <c r="G74" s="1">
        <v>0</v>
      </c>
    </row>
    <row r="75" spans="1:7" x14ac:dyDescent="0.3">
      <c r="A75" s="1" t="s">
        <v>3527</v>
      </c>
      <c r="B75" s="1" t="s">
        <v>22</v>
      </c>
      <c r="C75" s="41">
        <v>44735</v>
      </c>
      <c r="D75" s="1">
        <v>10</v>
      </c>
      <c r="E75" s="1">
        <v>1</v>
      </c>
      <c r="F75" s="1">
        <v>30469.58</v>
      </c>
      <c r="G75" s="1">
        <v>0</v>
      </c>
    </row>
    <row r="76" spans="1:7" x14ac:dyDescent="0.3">
      <c r="A76" s="1" t="s">
        <v>4539</v>
      </c>
      <c r="B76" s="1" t="s">
        <v>22</v>
      </c>
      <c r="C76" s="41">
        <v>45307</v>
      </c>
      <c r="D76" s="1">
        <v>7</v>
      </c>
      <c r="E76" s="1">
        <v>2</v>
      </c>
      <c r="F76" s="1">
        <v>30000.31</v>
      </c>
      <c r="G76" s="1">
        <v>1</v>
      </c>
    </row>
    <row r="77" spans="1:7" x14ac:dyDescent="0.3">
      <c r="A77" s="1" t="s">
        <v>3815</v>
      </c>
      <c r="B77" s="1" t="s">
        <v>38</v>
      </c>
      <c r="C77" s="41">
        <v>45337</v>
      </c>
      <c r="D77" s="1">
        <v>7</v>
      </c>
      <c r="E77" s="1">
        <v>2</v>
      </c>
      <c r="F77" s="1">
        <v>26885.85</v>
      </c>
      <c r="G77" s="1">
        <v>0</v>
      </c>
    </row>
    <row r="78" spans="1:7" x14ac:dyDescent="0.3">
      <c r="A78" s="1" t="s">
        <v>3562</v>
      </c>
      <c r="B78" s="1" t="s">
        <v>25</v>
      </c>
      <c r="C78" s="41">
        <v>44798</v>
      </c>
      <c r="D78" s="1">
        <v>8</v>
      </c>
      <c r="E78" s="1">
        <v>2</v>
      </c>
      <c r="F78" s="1">
        <v>29282.79</v>
      </c>
      <c r="G78" s="1">
        <v>1</v>
      </c>
    </row>
    <row r="79" spans="1:7" x14ac:dyDescent="0.3">
      <c r="A79" s="1" t="s">
        <v>3568</v>
      </c>
      <c r="B79" s="1" t="s">
        <v>47</v>
      </c>
      <c r="C79" s="41">
        <v>44629</v>
      </c>
      <c r="D79" s="1">
        <v>8</v>
      </c>
      <c r="E79" s="1">
        <v>2</v>
      </c>
      <c r="F79" s="1">
        <v>30615.23</v>
      </c>
      <c r="G79" s="1">
        <v>2</v>
      </c>
    </row>
    <row r="80" spans="1:7" x14ac:dyDescent="0.3">
      <c r="A80" s="1" t="s">
        <v>3400</v>
      </c>
      <c r="B80" s="1" t="s">
        <v>25</v>
      </c>
      <c r="C80" s="41">
        <v>44305</v>
      </c>
      <c r="D80" s="1">
        <v>10</v>
      </c>
      <c r="E80" s="1">
        <v>1</v>
      </c>
      <c r="F80" s="1">
        <v>27001.66</v>
      </c>
      <c r="G80" s="1">
        <v>1</v>
      </c>
    </row>
    <row r="81" spans="1:7" x14ac:dyDescent="0.3">
      <c r="A81" s="1" t="s">
        <v>3920</v>
      </c>
      <c r="B81" s="1" t="s">
        <v>16</v>
      </c>
      <c r="C81" s="41">
        <v>44102</v>
      </c>
      <c r="D81" s="1">
        <v>9</v>
      </c>
      <c r="E81" s="1">
        <v>3</v>
      </c>
      <c r="F81" s="1">
        <v>25805.599999999999</v>
      </c>
      <c r="G81" s="1">
        <v>1</v>
      </c>
    </row>
    <row r="82" spans="1:7" x14ac:dyDescent="0.3">
      <c r="A82" s="1" t="s">
        <v>4175</v>
      </c>
      <c r="B82" s="1" t="s">
        <v>47</v>
      </c>
      <c r="C82" s="41">
        <v>44281</v>
      </c>
      <c r="D82" s="1">
        <v>10</v>
      </c>
      <c r="E82" s="1">
        <v>3</v>
      </c>
      <c r="F82" s="1">
        <v>25728.799999999999</v>
      </c>
      <c r="G82" s="1">
        <v>0</v>
      </c>
    </row>
    <row r="83" spans="1:7" x14ac:dyDescent="0.3">
      <c r="A83" s="1" t="s">
        <v>3587</v>
      </c>
      <c r="B83" s="1" t="s">
        <v>22</v>
      </c>
      <c r="C83" s="41">
        <v>44106</v>
      </c>
      <c r="D83" s="1">
        <v>12</v>
      </c>
      <c r="E83" s="1">
        <v>2</v>
      </c>
      <c r="F83" s="1">
        <v>26751.89</v>
      </c>
      <c r="G83" s="1">
        <v>3</v>
      </c>
    </row>
    <row r="84" spans="1:7" x14ac:dyDescent="0.3">
      <c r="A84" s="1" t="s">
        <v>3355</v>
      </c>
      <c r="B84" s="1" t="s">
        <v>38</v>
      </c>
      <c r="C84" s="41">
        <v>45849</v>
      </c>
      <c r="D84" s="1">
        <v>9</v>
      </c>
      <c r="E84" s="1">
        <v>3</v>
      </c>
      <c r="F84" s="1">
        <v>27117.759999999998</v>
      </c>
      <c r="G84" s="1">
        <v>0</v>
      </c>
    </row>
    <row r="85" spans="1:7" x14ac:dyDescent="0.3">
      <c r="A85" s="1" t="s">
        <v>3322</v>
      </c>
      <c r="B85" s="1" t="s">
        <v>25</v>
      </c>
      <c r="C85" s="41">
        <v>45645</v>
      </c>
      <c r="D85" s="1">
        <v>7</v>
      </c>
      <c r="E85" s="1">
        <v>2</v>
      </c>
      <c r="F85" s="1">
        <v>28502.66</v>
      </c>
      <c r="G85" s="1">
        <v>0</v>
      </c>
    </row>
    <row r="86" spans="1:7" x14ac:dyDescent="0.3">
      <c r="A86" s="1" t="s">
        <v>3714</v>
      </c>
      <c r="B86" s="1" t="s">
        <v>47</v>
      </c>
      <c r="C86" s="41">
        <v>44459</v>
      </c>
      <c r="D86" s="1">
        <v>11</v>
      </c>
      <c r="E86" s="1">
        <v>4</v>
      </c>
      <c r="F86" s="1">
        <v>30537</v>
      </c>
      <c r="G86" s="1">
        <v>0</v>
      </c>
    </row>
    <row r="87" spans="1:7" x14ac:dyDescent="0.3">
      <c r="A87" s="1" t="s">
        <v>3738</v>
      </c>
      <c r="B87" s="1" t="s">
        <v>22</v>
      </c>
      <c r="C87" s="41">
        <v>45261</v>
      </c>
      <c r="D87" s="1">
        <v>10</v>
      </c>
      <c r="E87" s="1">
        <v>4</v>
      </c>
      <c r="F87" s="1">
        <v>28422.02</v>
      </c>
      <c r="G87" s="1">
        <v>0</v>
      </c>
    </row>
    <row r="88" spans="1:7" x14ac:dyDescent="0.3">
      <c r="A88" s="1" t="s">
        <v>3475</v>
      </c>
      <c r="B88" s="1" t="s">
        <v>38</v>
      </c>
      <c r="C88" s="41">
        <v>45263</v>
      </c>
      <c r="D88" s="1">
        <v>6</v>
      </c>
      <c r="E88" s="1">
        <v>1</v>
      </c>
      <c r="F88" s="1">
        <v>26253.82</v>
      </c>
      <c r="G88" s="1">
        <v>0</v>
      </c>
    </row>
    <row r="89" spans="1:7" x14ac:dyDescent="0.3">
      <c r="A89" s="1" t="s">
        <v>3492</v>
      </c>
      <c r="B89" s="1" t="s">
        <v>22</v>
      </c>
      <c r="C89" s="41">
        <v>44872</v>
      </c>
      <c r="D89" s="1">
        <v>11</v>
      </c>
      <c r="E89" s="1">
        <v>5</v>
      </c>
      <c r="F89" s="1">
        <v>28996.240000000002</v>
      </c>
      <c r="G89" s="1">
        <v>1</v>
      </c>
    </row>
    <row r="90" spans="1:7" x14ac:dyDescent="0.3">
      <c r="A90" s="1" t="s">
        <v>3487</v>
      </c>
      <c r="B90" s="1" t="s">
        <v>22</v>
      </c>
      <c r="C90" s="41">
        <v>45220</v>
      </c>
      <c r="D90" s="1">
        <v>8</v>
      </c>
      <c r="E90" s="1">
        <v>0</v>
      </c>
      <c r="F90" s="1">
        <v>28121.94</v>
      </c>
      <c r="G90" s="1">
        <v>0</v>
      </c>
    </row>
    <row r="91" spans="1:7" x14ac:dyDescent="0.3">
      <c r="A91" s="1" t="s">
        <v>4031</v>
      </c>
      <c r="B91" s="1" t="s">
        <v>47</v>
      </c>
      <c r="C91" s="41">
        <v>45519</v>
      </c>
      <c r="D91" s="1">
        <v>8</v>
      </c>
      <c r="E91" s="1">
        <v>0</v>
      </c>
      <c r="F91" s="1">
        <v>27057.26</v>
      </c>
      <c r="G91" s="1">
        <v>0</v>
      </c>
    </row>
    <row r="92" spans="1:7" x14ac:dyDescent="0.3">
      <c r="A92" s="1" t="s">
        <v>3974</v>
      </c>
      <c r="B92" s="1" t="s">
        <v>43</v>
      </c>
      <c r="C92" s="41">
        <v>44425</v>
      </c>
      <c r="D92" s="1">
        <v>3</v>
      </c>
      <c r="E92" s="1">
        <v>1</v>
      </c>
      <c r="F92" s="1">
        <v>29737.4</v>
      </c>
      <c r="G92" s="1">
        <v>0</v>
      </c>
    </row>
    <row r="93" spans="1:7" x14ac:dyDescent="0.3">
      <c r="A93" s="1" t="s">
        <v>4025</v>
      </c>
      <c r="B93" s="1" t="s">
        <v>47</v>
      </c>
      <c r="C93" s="41">
        <v>44626</v>
      </c>
      <c r="D93" s="1">
        <v>6</v>
      </c>
      <c r="E93" s="1">
        <v>2</v>
      </c>
      <c r="F93" s="1">
        <v>26642.44</v>
      </c>
      <c r="G93" s="1">
        <v>0</v>
      </c>
    </row>
    <row r="94" spans="1:7" x14ac:dyDescent="0.3">
      <c r="A94" s="1" t="s">
        <v>4001</v>
      </c>
      <c r="B94" s="1" t="s">
        <v>47</v>
      </c>
      <c r="C94" s="41">
        <v>44923</v>
      </c>
      <c r="D94" s="1">
        <v>7</v>
      </c>
      <c r="E94" s="1">
        <v>3</v>
      </c>
      <c r="F94" s="1">
        <v>29310.560000000001</v>
      </c>
      <c r="G94" s="1">
        <v>0</v>
      </c>
    </row>
    <row r="95" spans="1:7" x14ac:dyDescent="0.3">
      <c r="A95" s="1" t="s">
        <v>3798</v>
      </c>
      <c r="B95" s="1" t="s">
        <v>16</v>
      </c>
      <c r="C95" s="41">
        <v>44942</v>
      </c>
      <c r="D95" s="1">
        <v>8</v>
      </c>
      <c r="E95" s="1">
        <v>3</v>
      </c>
      <c r="F95" s="1">
        <v>28713.7</v>
      </c>
      <c r="G95" s="1">
        <v>0</v>
      </c>
    </row>
    <row r="96" spans="1:7" x14ac:dyDescent="0.3">
      <c r="A96" s="1" t="s">
        <v>3704</v>
      </c>
      <c r="B96" s="1" t="s">
        <v>47</v>
      </c>
      <c r="C96" s="41">
        <v>44116</v>
      </c>
      <c r="D96" s="1">
        <v>6</v>
      </c>
      <c r="E96" s="1">
        <v>2</v>
      </c>
      <c r="F96" s="1">
        <v>25690.1</v>
      </c>
      <c r="G96" s="1">
        <v>0</v>
      </c>
    </row>
    <row r="97" spans="1:7" x14ac:dyDescent="0.3">
      <c r="A97" s="1" t="s">
        <v>3367</v>
      </c>
      <c r="B97" s="1" t="s">
        <v>22</v>
      </c>
      <c r="C97" s="41">
        <v>44380</v>
      </c>
      <c r="D97" s="1">
        <v>16</v>
      </c>
      <c r="E97" s="1">
        <v>3</v>
      </c>
      <c r="F97" s="1">
        <v>29569.22</v>
      </c>
      <c r="G97" s="1">
        <v>0</v>
      </c>
    </row>
    <row r="98" spans="1:7" x14ac:dyDescent="0.3">
      <c r="A98" s="1" t="s">
        <v>4822</v>
      </c>
      <c r="B98" s="1" t="s">
        <v>25</v>
      </c>
      <c r="C98" s="41">
        <v>44355</v>
      </c>
      <c r="D98" s="1">
        <v>5</v>
      </c>
      <c r="E98" s="1">
        <v>1</v>
      </c>
      <c r="F98" s="1">
        <v>25005.119999999999</v>
      </c>
      <c r="G98" s="1">
        <v>0</v>
      </c>
    </row>
    <row r="99" spans="1:7" x14ac:dyDescent="0.3">
      <c r="A99" s="1" t="s">
        <v>3315</v>
      </c>
      <c r="B99" s="1" t="s">
        <v>38</v>
      </c>
      <c r="C99" s="41">
        <v>45359</v>
      </c>
      <c r="D99" s="1">
        <v>10</v>
      </c>
      <c r="E99" s="1">
        <v>2</v>
      </c>
      <c r="F99" s="1">
        <v>31032.31</v>
      </c>
      <c r="G99" s="1">
        <v>3</v>
      </c>
    </row>
    <row r="100" spans="1:7" x14ac:dyDescent="0.3">
      <c r="A100" s="1" t="s">
        <v>4146</v>
      </c>
      <c r="B100" s="1" t="s">
        <v>16</v>
      </c>
      <c r="C100" s="41">
        <v>45837</v>
      </c>
      <c r="D100" s="1">
        <v>8</v>
      </c>
      <c r="E100" s="1">
        <v>4</v>
      </c>
      <c r="F100" s="1">
        <v>25326.54</v>
      </c>
      <c r="G100" s="1">
        <v>0</v>
      </c>
    </row>
    <row r="101" spans="1:7" x14ac:dyDescent="0.3">
      <c r="A101" s="1" t="s">
        <v>3754</v>
      </c>
      <c r="B101" s="1" t="s">
        <v>38</v>
      </c>
      <c r="C101" s="41">
        <v>44937</v>
      </c>
      <c r="D101" s="1">
        <v>8</v>
      </c>
      <c r="E101" s="1">
        <v>3</v>
      </c>
      <c r="F101" s="1">
        <v>30696.98</v>
      </c>
      <c r="G101" s="1">
        <v>0</v>
      </c>
    </row>
    <row r="102" spans="1:7" x14ac:dyDescent="0.3">
      <c r="A102" s="1" t="s">
        <v>4336</v>
      </c>
      <c r="B102" s="1" t="s">
        <v>38</v>
      </c>
      <c r="C102" s="41">
        <v>45646</v>
      </c>
      <c r="D102" s="1">
        <v>2</v>
      </c>
      <c r="E102" s="1">
        <v>0</v>
      </c>
      <c r="F102" s="1">
        <v>25729.98</v>
      </c>
      <c r="G102" s="1">
        <v>0</v>
      </c>
    </row>
    <row r="103" spans="1:7" x14ac:dyDescent="0.3">
      <c r="A103" s="1" t="s">
        <v>3665</v>
      </c>
      <c r="B103" s="1" t="s">
        <v>38</v>
      </c>
      <c r="C103" s="41">
        <v>45145</v>
      </c>
      <c r="D103" s="1">
        <v>5</v>
      </c>
      <c r="E103" s="1">
        <v>1</v>
      </c>
      <c r="F103" s="1">
        <v>30808.46</v>
      </c>
      <c r="G103" s="1">
        <v>1</v>
      </c>
    </row>
    <row r="104" spans="1:7" x14ac:dyDescent="0.3">
      <c r="A104" s="1" t="s">
        <v>3341</v>
      </c>
      <c r="B104" s="1" t="s">
        <v>38</v>
      </c>
      <c r="C104" s="41">
        <v>44444</v>
      </c>
      <c r="D104" s="1">
        <v>14</v>
      </c>
      <c r="E104" s="1">
        <v>3</v>
      </c>
      <c r="F104" s="1">
        <v>26443.63</v>
      </c>
      <c r="G104" s="1">
        <v>0</v>
      </c>
    </row>
    <row r="105" spans="1:7" x14ac:dyDescent="0.3">
      <c r="A105" s="1" t="s">
        <v>3894</v>
      </c>
      <c r="B105" s="1" t="s">
        <v>22</v>
      </c>
      <c r="C105" s="41">
        <v>45116</v>
      </c>
      <c r="D105" s="1">
        <v>5</v>
      </c>
      <c r="E105" s="1">
        <v>1</v>
      </c>
      <c r="F105" s="1">
        <v>25843.43</v>
      </c>
      <c r="G105" s="1">
        <v>0</v>
      </c>
    </row>
    <row r="106" spans="1:7" x14ac:dyDescent="0.3">
      <c r="A106" s="1" t="s">
        <v>3391</v>
      </c>
      <c r="B106" s="1" t="s">
        <v>43</v>
      </c>
      <c r="C106" s="41">
        <v>45599</v>
      </c>
      <c r="D106" s="1">
        <v>14</v>
      </c>
      <c r="E106" s="1">
        <v>4</v>
      </c>
      <c r="F106" s="1">
        <v>24540.45</v>
      </c>
      <c r="G106" s="1">
        <v>1</v>
      </c>
    </row>
    <row r="107" spans="1:7" x14ac:dyDescent="0.3">
      <c r="A107" s="1" t="s">
        <v>3359</v>
      </c>
      <c r="B107" s="1" t="s">
        <v>43</v>
      </c>
      <c r="C107" s="41">
        <v>44169</v>
      </c>
      <c r="D107" s="1">
        <v>7</v>
      </c>
      <c r="E107" s="1">
        <v>0</v>
      </c>
      <c r="F107" s="1">
        <v>25140.85</v>
      </c>
      <c r="G107" s="1">
        <v>2</v>
      </c>
    </row>
    <row r="108" spans="1:7" x14ac:dyDescent="0.3">
      <c r="A108" s="1" t="s">
        <v>3593</v>
      </c>
      <c r="B108" s="1" t="s">
        <v>38</v>
      </c>
      <c r="C108" s="41">
        <v>44091</v>
      </c>
      <c r="D108" s="1">
        <v>6</v>
      </c>
      <c r="E108" s="1">
        <v>3</v>
      </c>
      <c r="F108" s="1">
        <v>26335.66</v>
      </c>
      <c r="G108" s="1">
        <v>0</v>
      </c>
    </row>
    <row r="109" spans="1:7" x14ac:dyDescent="0.3">
      <c r="A109" s="1" t="s">
        <v>3353</v>
      </c>
      <c r="B109" s="1" t="s">
        <v>43</v>
      </c>
      <c r="C109" s="41">
        <v>45228</v>
      </c>
      <c r="D109" s="1">
        <v>10</v>
      </c>
      <c r="E109" s="1">
        <v>5</v>
      </c>
      <c r="F109" s="1">
        <v>26279.119999999999</v>
      </c>
      <c r="G109" s="1">
        <v>0</v>
      </c>
    </row>
    <row r="110" spans="1:7" x14ac:dyDescent="0.3">
      <c r="A110" s="1" t="s">
        <v>3455</v>
      </c>
      <c r="B110" s="1" t="s">
        <v>16</v>
      </c>
      <c r="C110" s="41">
        <v>45379</v>
      </c>
      <c r="D110" s="1">
        <v>11</v>
      </c>
      <c r="E110" s="1">
        <v>3</v>
      </c>
      <c r="F110" s="1">
        <v>31678.45</v>
      </c>
      <c r="G110" s="1">
        <v>0</v>
      </c>
    </row>
    <row r="111" spans="1:7" x14ac:dyDescent="0.3">
      <c r="A111" s="1" t="s">
        <v>4313</v>
      </c>
      <c r="B111" s="1" t="s">
        <v>16</v>
      </c>
      <c r="C111" s="41">
        <v>45865</v>
      </c>
      <c r="D111" s="1">
        <v>10</v>
      </c>
      <c r="E111" s="1">
        <v>3</v>
      </c>
      <c r="F111" s="1">
        <v>30795.38</v>
      </c>
      <c r="G111" s="1">
        <v>0</v>
      </c>
    </row>
    <row r="112" spans="1:7" x14ac:dyDescent="0.3">
      <c r="A112" s="1" t="s">
        <v>3337</v>
      </c>
      <c r="B112" s="1" t="s">
        <v>25</v>
      </c>
      <c r="C112" s="41">
        <v>45626</v>
      </c>
      <c r="D112" s="1">
        <v>13</v>
      </c>
      <c r="E112" s="1">
        <v>4</v>
      </c>
      <c r="F112" s="1">
        <v>28519.47</v>
      </c>
      <c r="G112" s="1">
        <v>1</v>
      </c>
    </row>
    <row r="113" spans="1:7" x14ac:dyDescent="0.3">
      <c r="A113" s="1" t="s">
        <v>3658</v>
      </c>
      <c r="B113" s="1" t="s">
        <v>22</v>
      </c>
      <c r="C113" s="41">
        <v>45422</v>
      </c>
      <c r="D113" s="1">
        <v>10</v>
      </c>
      <c r="E113" s="1">
        <v>5</v>
      </c>
      <c r="F113" s="1">
        <v>31631.61</v>
      </c>
      <c r="G113" s="1">
        <v>0</v>
      </c>
    </row>
    <row r="114" spans="1:7" x14ac:dyDescent="0.3">
      <c r="A114" s="1" t="s">
        <v>3441</v>
      </c>
      <c r="B114" s="1" t="s">
        <v>47</v>
      </c>
      <c r="C114" s="41">
        <v>45165</v>
      </c>
      <c r="D114" s="1">
        <v>7</v>
      </c>
      <c r="E114" s="1">
        <v>1</v>
      </c>
      <c r="F114" s="1">
        <v>27501.05</v>
      </c>
      <c r="G114" s="1">
        <v>0</v>
      </c>
    </row>
    <row r="115" spans="1:7" x14ac:dyDescent="0.3">
      <c r="A115" s="1" t="s">
        <v>3583</v>
      </c>
      <c r="B115" s="1" t="s">
        <v>16</v>
      </c>
      <c r="C115" s="41">
        <v>45089</v>
      </c>
      <c r="D115" s="1">
        <v>7</v>
      </c>
      <c r="E115" s="1">
        <v>3</v>
      </c>
      <c r="F115" s="1">
        <v>27176.47</v>
      </c>
      <c r="G115" s="1">
        <v>0</v>
      </c>
    </row>
    <row r="116" spans="1:7" x14ac:dyDescent="0.3">
      <c r="A116" s="1" t="s">
        <v>3343</v>
      </c>
      <c r="B116" s="1" t="s">
        <v>25</v>
      </c>
      <c r="C116" s="41">
        <v>44607</v>
      </c>
      <c r="D116" s="1">
        <v>8</v>
      </c>
      <c r="E116" s="1">
        <v>3</v>
      </c>
      <c r="F116" s="1">
        <v>25276.959999999999</v>
      </c>
      <c r="G116" s="1">
        <v>4</v>
      </c>
    </row>
    <row r="117" spans="1:7" x14ac:dyDescent="0.3">
      <c r="A117" s="1" t="s">
        <v>3576</v>
      </c>
      <c r="B117" s="1" t="s">
        <v>25</v>
      </c>
      <c r="C117" s="41">
        <v>44967</v>
      </c>
      <c r="D117" s="1">
        <v>9</v>
      </c>
      <c r="E117" s="1">
        <v>6</v>
      </c>
      <c r="F117" s="1">
        <v>26932.57</v>
      </c>
      <c r="G117" s="1">
        <v>3</v>
      </c>
    </row>
    <row r="118" spans="1:7" x14ac:dyDescent="0.3">
      <c r="A118" s="1" t="s">
        <v>3770</v>
      </c>
      <c r="B118" s="1" t="s">
        <v>47</v>
      </c>
      <c r="C118" s="41">
        <v>44964</v>
      </c>
      <c r="D118" s="1">
        <v>6</v>
      </c>
      <c r="E118" s="1">
        <v>2</v>
      </c>
      <c r="F118" s="1">
        <v>29160.54</v>
      </c>
      <c r="G118" s="1">
        <v>0</v>
      </c>
    </row>
    <row r="119" spans="1:7" x14ac:dyDescent="0.3">
      <c r="A119" s="1" t="s">
        <v>3745</v>
      </c>
      <c r="B119" s="1" t="s">
        <v>43</v>
      </c>
      <c r="C119" s="41">
        <v>45156</v>
      </c>
      <c r="D119" s="1">
        <v>12</v>
      </c>
      <c r="E119" s="1">
        <v>4</v>
      </c>
      <c r="F119" s="1">
        <v>27941.33</v>
      </c>
      <c r="G119" s="1">
        <v>0</v>
      </c>
    </row>
    <row r="120" spans="1:7" x14ac:dyDescent="0.3">
      <c r="A120" s="1" t="s">
        <v>3712</v>
      </c>
      <c r="B120" s="1" t="s">
        <v>47</v>
      </c>
      <c r="C120" s="41">
        <v>45193</v>
      </c>
      <c r="D120" s="1">
        <v>10</v>
      </c>
      <c r="E120" s="1">
        <v>3</v>
      </c>
      <c r="F120" s="1">
        <v>27693.32</v>
      </c>
      <c r="G120" s="1">
        <v>0</v>
      </c>
    </row>
    <row r="121" spans="1:7" x14ac:dyDescent="0.3">
      <c r="A121" s="1" t="s">
        <v>4007</v>
      </c>
      <c r="B121" s="1" t="s">
        <v>25</v>
      </c>
      <c r="C121" s="41">
        <v>45316</v>
      </c>
      <c r="D121" s="1">
        <v>6</v>
      </c>
      <c r="E121" s="1">
        <v>1</v>
      </c>
      <c r="F121" s="1">
        <v>26740.3</v>
      </c>
      <c r="G121" s="1">
        <v>1</v>
      </c>
    </row>
    <row r="122" spans="1:7" x14ac:dyDescent="0.3">
      <c r="A122" s="1" t="s">
        <v>3431</v>
      </c>
      <c r="B122" s="1" t="s">
        <v>47</v>
      </c>
      <c r="C122" s="41">
        <v>45568</v>
      </c>
      <c r="D122" s="1">
        <v>15</v>
      </c>
      <c r="E122" s="1">
        <v>4</v>
      </c>
      <c r="F122" s="1">
        <v>27218.54</v>
      </c>
      <c r="G122" s="1">
        <v>1</v>
      </c>
    </row>
    <row r="123" spans="1:7" x14ac:dyDescent="0.3">
      <c r="A123" s="1" t="s">
        <v>3788</v>
      </c>
      <c r="B123" s="1" t="s">
        <v>38</v>
      </c>
      <c r="C123" s="41">
        <v>44967</v>
      </c>
      <c r="D123" s="1">
        <v>10</v>
      </c>
      <c r="E123" s="1">
        <v>5</v>
      </c>
      <c r="F123" s="1">
        <v>27664.6</v>
      </c>
      <c r="G123" s="1">
        <v>0</v>
      </c>
    </row>
    <row r="124" spans="1:7" x14ac:dyDescent="0.3">
      <c r="A124" s="1" t="s">
        <v>3509</v>
      </c>
      <c r="B124" s="1" t="s">
        <v>43</v>
      </c>
      <c r="C124" s="41">
        <v>45381</v>
      </c>
      <c r="D124" s="1">
        <v>14</v>
      </c>
      <c r="E124" s="1">
        <v>5</v>
      </c>
      <c r="F124" s="1">
        <v>29845.68</v>
      </c>
      <c r="G124" s="1">
        <v>0</v>
      </c>
    </row>
    <row r="125" spans="1:7" x14ac:dyDescent="0.3">
      <c r="A125" s="1" t="s">
        <v>3830</v>
      </c>
      <c r="B125" s="1" t="s">
        <v>16</v>
      </c>
      <c r="C125" s="41">
        <v>45041</v>
      </c>
      <c r="D125" s="1">
        <v>11</v>
      </c>
      <c r="E125" s="1">
        <v>1</v>
      </c>
      <c r="F125" s="1">
        <v>27658.04</v>
      </c>
      <c r="G125" s="1">
        <v>0</v>
      </c>
    </row>
    <row r="126" spans="1:7" x14ac:dyDescent="0.3">
      <c r="A126" s="1" t="s">
        <v>3743</v>
      </c>
      <c r="B126" s="1" t="s">
        <v>47</v>
      </c>
      <c r="C126" s="41">
        <v>44847</v>
      </c>
      <c r="D126" s="1">
        <v>4</v>
      </c>
      <c r="E126" s="1">
        <v>2</v>
      </c>
      <c r="F126" s="1">
        <v>31798.39</v>
      </c>
      <c r="G126" s="1">
        <v>0</v>
      </c>
    </row>
    <row r="127" spans="1:7" x14ac:dyDescent="0.3">
      <c r="A127" s="1" t="s">
        <v>3447</v>
      </c>
      <c r="B127" s="1" t="s">
        <v>38</v>
      </c>
      <c r="C127" s="41">
        <v>44653</v>
      </c>
      <c r="D127" s="1">
        <v>8</v>
      </c>
      <c r="E127" s="1">
        <v>2</v>
      </c>
      <c r="F127" s="1">
        <v>27114.51</v>
      </c>
      <c r="G127" s="1">
        <v>0</v>
      </c>
    </row>
    <row r="128" spans="1:7" x14ac:dyDescent="0.3">
      <c r="A128" s="1" t="s">
        <v>4093</v>
      </c>
      <c r="B128" s="1" t="s">
        <v>38</v>
      </c>
      <c r="C128" s="41">
        <v>44192</v>
      </c>
      <c r="D128" s="1">
        <v>10</v>
      </c>
      <c r="E128" s="1">
        <v>5</v>
      </c>
      <c r="F128" s="1">
        <v>28425.439999999999</v>
      </c>
      <c r="G128" s="1">
        <v>0</v>
      </c>
    </row>
    <row r="129" spans="1:7" x14ac:dyDescent="0.3">
      <c r="A129" s="1" t="s">
        <v>3662</v>
      </c>
      <c r="B129" s="1" t="s">
        <v>47</v>
      </c>
      <c r="C129" s="41">
        <v>45707</v>
      </c>
      <c r="D129" s="1">
        <v>5</v>
      </c>
      <c r="E129" s="1">
        <v>1</v>
      </c>
      <c r="F129" s="1">
        <v>24680.11</v>
      </c>
      <c r="G129" s="1">
        <v>0</v>
      </c>
    </row>
    <row r="130" spans="1:7" x14ac:dyDescent="0.3">
      <c r="A130" s="1" t="s">
        <v>3631</v>
      </c>
      <c r="B130" s="1" t="s">
        <v>43</v>
      </c>
      <c r="C130" s="41">
        <v>44838</v>
      </c>
      <c r="D130" s="1">
        <v>10</v>
      </c>
      <c r="E130" s="1">
        <v>4</v>
      </c>
      <c r="F130" s="1">
        <v>26609.08</v>
      </c>
      <c r="G130" s="1">
        <v>2</v>
      </c>
    </row>
    <row r="131" spans="1:7" x14ac:dyDescent="0.3">
      <c r="A131" s="1" t="s">
        <v>3451</v>
      </c>
      <c r="B131" s="1" t="s">
        <v>47</v>
      </c>
      <c r="C131" s="41">
        <v>44941</v>
      </c>
      <c r="D131" s="1">
        <v>10</v>
      </c>
      <c r="E131" s="1">
        <v>2</v>
      </c>
      <c r="F131" s="1">
        <v>30320.34</v>
      </c>
      <c r="G131" s="1">
        <v>0</v>
      </c>
    </row>
    <row r="132" spans="1:7" x14ac:dyDescent="0.3">
      <c r="A132" s="1" t="s">
        <v>3872</v>
      </c>
      <c r="B132" s="1" t="s">
        <v>38</v>
      </c>
      <c r="C132" s="41">
        <v>44980</v>
      </c>
      <c r="D132" s="1">
        <v>15</v>
      </c>
      <c r="E132" s="1">
        <v>5</v>
      </c>
      <c r="F132" s="1">
        <v>27429.55</v>
      </c>
      <c r="G132" s="1">
        <v>0</v>
      </c>
    </row>
    <row r="133" spans="1:7" x14ac:dyDescent="0.3">
      <c r="A133" s="1" t="s">
        <v>3518</v>
      </c>
      <c r="B133" s="1" t="s">
        <v>43</v>
      </c>
      <c r="C133" s="41">
        <v>45791</v>
      </c>
      <c r="D133" s="1">
        <v>11</v>
      </c>
      <c r="E133" s="1">
        <v>3</v>
      </c>
      <c r="F133" s="1">
        <v>25985.95</v>
      </c>
      <c r="G133" s="1">
        <v>0</v>
      </c>
    </row>
    <row r="134" spans="1:7" x14ac:dyDescent="0.3">
      <c r="A134" s="1" t="s">
        <v>3998</v>
      </c>
      <c r="B134" s="1" t="s">
        <v>43</v>
      </c>
      <c r="C134" s="41">
        <v>44710</v>
      </c>
      <c r="D134" s="1">
        <v>6</v>
      </c>
      <c r="E134" s="1">
        <v>1</v>
      </c>
      <c r="F134" s="1">
        <v>27909.06</v>
      </c>
      <c r="G134" s="1">
        <v>0</v>
      </c>
    </row>
    <row r="135" spans="1:7" x14ac:dyDescent="0.3">
      <c r="A135" s="1" t="s">
        <v>5396</v>
      </c>
      <c r="B135" s="1" t="s">
        <v>47</v>
      </c>
      <c r="C135" s="41">
        <v>45350</v>
      </c>
      <c r="D135" s="1">
        <v>4</v>
      </c>
      <c r="E135" s="1">
        <v>1</v>
      </c>
      <c r="F135" s="1">
        <v>30404.44</v>
      </c>
      <c r="G135" s="1">
        <v>1</v>
      </c>
    </row>
    <row r="136" spans="1:7" x14ac:dyDescent="0.3">
      <c r="A136" s="1" t="s">
        <v>4303</v>
      </c>
      <c r="B136" s="1" t="s">
        <v>16</v>
      </c>
      <c r="C136" s="41">
        <v>44114</v>
      </c>
      <c r="D136" s="1">
        <v>7</v>
      </c>
      <c r="E136" s="1">
        <v>2</v>
      </c>
      <c r="F136" s="1">
        <v>30389.29</v>
      </c>
      <c r="G136" s="1">
        <v>1</v>
      </c>
    </row>
    <row r="137" spans="1:7" x14ac:dyDescent="0.3">
      <c r="A137" s="1" t="s">
        <v>3647</v>
      </c>
      <c r="B137" s="1" t="s">
        <v>16</v>
      </c>
      <c r="C137" s="41">
        <v>44602</v>
      </c>
      <c r="D137" s="1">
        <v>6</v>
      </c>
      <c r="E137" s="1">
        <v>3</v>
      </c>
      <c r="F137" s="1">
        <v>27274.41</v>
      </c>
      <c r="G137" s="1">
        <v>1</v>
      </c>
    </row>
    <row r="138" spans="1:7" x14ac:dyDescent="0.3">
      <c r="A138" s="1" t="s">
        <v>4472</v>
      </c>
      <c r="B138" s="1" t="s">
        <v>16</v>
      </c>
      <c r="C138" s="41">
        <v>44427</v>
      </c>
      <c r="D138" s="1">
        <v>7</v>
      </c>
      <c r="E138" s="1">
        <v>2</v>
      </c>
      <c r="F138" s="1">
        <v>33037.46</v>
      </c>
      <c r="G138" s="1">
        <v>0</v>
      </c>
    </row>
    <row r="139" spans="1:7" x14ac:dyDescent="0.3">
      <c r="A139" s="1" t="s">
        <v>3610</v>
      </c>
      <c r="B139" s="1" t="s">
        <v>47</v>
      </c>
      <c r="C139" s="41">
        <v>44704</v>
      </c>
      <c r="D139" s="1">
        <v>12</v>
      </c>
      <c r="E139" s="1">
        <v>3</v>
      </c>
      <c r="F139" s="1">
        <v>31490.02</v>
      </c>
      <c r="G139" s="1">
        <v>0</v>
      </c>
    </row>
    <row r="140" spans="1:7" x14ac:dyDescent="0.3">
      <c r="A140" s="1" t="s">
        <v>3381</v>
      </c>
      <c r="B140" s="1" t="s">
        <v>25</v>
      </c>
      <c r="C140" s="41">
        <v>44500</v>
      </c>
      <c r="D140" s="1">
        <v>8</v>
      </c>
      <c r="E140" s="1">
        <v>1</v>
      </c>
      <c r="F140" s="1">
        <v>27300.2</v>
      </c>
      <c r="G140" s="1">
        <v>0</v>
      </c>
    </row>
    <row r="141" spans="1:7" x14ac:dyDescent="0.3">
      <c r="A141" s="1" t="s">
        <v>3538</v>
      </c>
      <c r="B141" s="1" t="s">
        <v>43</v>
      </c>
      <c r="C141" s="41">
        <v>44478</v>
      </c>
      <c r="D141" s="1">
        <v>10</v>
      </c>
      <c r="E141" s="1">
        <v>2</v>
      </c>
      <c r="F141" s="1">
        <v>27582.1</v>
      </c>
      <c r="G141" s="1">
        <v>0</v>
      </c>
    </row>
    <row r="142" spans="1:7" x14ac:dyDescent="0.3">
      <c r="A142" s="1" t="s">
        <v>3805</v>
      </c>
      <c r="B142" s="1" t="s">
        <v>25</v>
      </c>
      <c r="C142" s="41">
        <v>45736</v>
      </c>
      <c r="D142" s="1">
        <v>9</v>
      </c>
      <c r="E142" s="1">
        <v>1</v>
      </c>
      <c r="F142" s="1">
        <v>27921.9</v>
      </c>
      <c r="G142" s="1">
        <v>0</v>
      </c>
    </row>
    <row r="143" spans="1:7" x14ac:dyDescent="0.3">
      <c r="A143" s="1" t="s">
        <v>4033</v>
      </c>
      <c r="B143" s="1" t="s">
        <v>43</v>
      </c>
      <c r="C143" s="41">
        <v>44696</v>
      </c>
      <c r="D143" s="1">
        <v>12</v>
      </c>
      <c r="E143" s="1">
        <v>2</v>
      </c>
      <c r="F143" s="1">
        <v>31153.07</v>
      </c>
      <c r="G143" s="1">
        <v>0</v>
      </c>
    </row>
    <row r="144" spans="1:7" x14ac:dyDescent="0.3">
      <c r="A144" s="1" t="s">
        <v>4087</v>
      </c>
      <c r="B144" s="1" t="s">
        <v>38</v>
      </c>
      <c r="C144" s="41">
        <v>45176</v>
      </c>
      <c r="D144" s="1">
        <v>11</v>
      </c>
      <c r="E144" s="1">
        <v>3</v>
      </c>
      <c r="F144" s="1">
        <v>29227.05</v>
      </c>
      <c r="G144" s="1">
        <v>1</v>
      </c>
    </row>
    <row r="145" spans="1:7" x14ac:dyDescent="0.3">
      <c r="A145" s="1" t="s">
        <v>3670</v>
      </c>
      <c r="B145" s="1" t="s">
        <v>16</v>
      </c>
      <c r="C145" s="41">
        <v>45615</v>
      </c>
      <c r="D145" s="1">
        <v>9</v>
      </c>
      <c r="E145" s="1">
        <v>3</v>
      </c>
      <c r="F145" s="1">
        <v>26548.53</v>
      </c>
      <c r="G145" s="1">
        <v>0</v>
      </c>
    </row>
    <row r="146" spans="1:7" x14ac:dyDescent="0.3">
      <c r="A146" s="1" t="s">
        <v>3387</v>
      </c>
      <c r="B146" s="1" t="s">
        <v>43</v>
      </c>
      <c r="C146" s="41">
        <v>45276</v>
      </c>
      <c r="D146" s="1">
        <v>11</v>
      </c>
      <c r="E146" s="1">
        <v>3</v>
      </c>
      <c r="F146" s="1">
        <v>29681.73</v>
      </c>
      <c r="G146" s="1">
        <v>0</v>
      </c>
    </row>
    <row r="147" spans="1:7" x14ac:dyDescent="0.3">
      <c r="A147" s="1" t="s">
        <v>4014</v>
      </c>
      <c r="B147" s="1" t="s">
        <v>16</v>
      </c>
      <c r="C147" s="41">
        <v>44316</v>
      </c>
      <c r="D147" s="1">
        <v>7</v>
      </c>
      <c r="E147" s="1">
        <v>2</v>
      </c>
      <c r="F147" s="1">
        <v>29852.86</v>
      </c>
      <c r="G147" s="1">
        <v>0</v>
      </c>
    </row>
    <row r="148" spans="1:7" x14ac:dyDescent="0.3">
      <c r="A148" s="1" t="s">
        <v>3966</v>
      </c>
      <c r="B148" s="1" t="s">
        <v>43</v>
      </c>
      <c r="C148" s="41">
        <v>44612</v>
      </c>
      <c r="D148" s="1">
        <v>10</v>
      </c>
      <c r="E148" s="1">
        <v>3</v>
      </c>
      <c r="F148" s="1">
        <v>27967.01</v>
      </c>
      <c r="G148" s="1">
        <v>1</v>
      </c>
    </row>
    <row r="149" spans="1:7" x14ac:dyDescent="0.3">
      <c r="A149" s="1" t="s">
        <v>3498</v>
      </c>
      <c r="B149" s="1" t="s">
        <v>22</v>
      </c>
      <c r="C149" s="41">
        <v>45375</v>
      </c>
      <c r="D149" s="1">
        <v>11</v>
      </c>
      <c r="E149" s="1">
        <v>2</v>
      </c>
      <c r="F149" s="1">
        <v>28345.119999999999</v>
      </c>
      <c r="G149" s="1">
        <v>0</v>
      </c>
    </row>
    <row r="150" spans="1:7" x14ac:dyDescent="0.3">
      <c r="A150" s="1" t="s">
        <v>3459</v>
      </c>
      <c r="B150" s="1" t="s">
        <v>43</v>
      </c>
      <c r="C150" s="41">
        <v>45829</v>
      </c>
      <c r="D150" s="1">
        <v>11</v>
      </c>
      <c r="E150" s="1">
        <v>6</v>
      </c>
      <c r="F150" s="1">
        <v>24477.040000000001</v>
      </c>
      <c r="G150" s="1">
        <v>1</v>
      </c>
    </row>
    <row r="151" spans="1:7" x14ac:dyDescent="0.3">
      <c r="A151" s="1" t="s">
        <v>3811</v>
      </c>
      <c r="B151" s="1" t="s">
        <v>43</v>
      </c>
      <c r="C151" s="41">
        <v>45598</v>
      </c>
      <c r="D151" s="1">
        <v>8</v>
      </c>
      <c r="E151" s="1">
        <v>2</v>
      </c>
      <c r="F151" s="1">
        <v>29807.47</v>
      </c>
      <c r="G151" s="1">
        <v>2</v>
      </c>
    </row>
    <row r="152" spans="1:7" x14ac:dyDescent="0.3">
      <c r="A152" s="1" t="s">
        <v>4545</v>
      </c>
      <c r="B152" s="1" t="s">
        <v>16</v>
      </c>
      <c r="C152" s="41">
        <v>45306</v>
      </c>
      <c r="D152" s="1">
        <v>8</v>
      </c>
      <c r="E152" s="1">
        <v>1</v>
      </c>
      <c r="F152" s="1">
        <v>25598.27</v>
      </c>
      <c r="G152" s="1">
        <v>0</v>
      </c>
    </row>
    <row r="153" spans="1:7" x14ac:dyDescent="0.3">
      <c r="A153" s="1" t="s">
        <v>4004</v>
      </c>
      <c r="B153" s="1" t="s">
        <v>25</v>
      </c>
      <c r="C153" s="41">
        <v>45418</v>
      </c>
      <c r="D153" s="1">
        <v>12</v>
      </c>
      <c r="E153" s="1">
        <v>0</v>
      </c>
      <c r="F153" s="1">
        <v>28751.599999999999</v>
      </c>
      <c r="G153" s="1">
        <v>2</v>
      </c>
    </row>
    <row r="154" spans="1:7" x14ac:dyDescent="0.3">
      <c r="A154" s="1" t="s">
        <v>4012</v>
      </c>
      <c r="B154" s="1" t="s">
        <v>16</v>
      </c>
      <c r="C154" s="41">
        <v>45530</v>
      </c>
      <c r="D154" s="1">
        <v>20</v>
      </c>
      <c r="E154" s="1">
        <v>6</v>
      </c>
      <c r="F154" s="1">
        <v>29334.11</v>
      </c>
      <c r="G154" s="1">
        <v>0</v>
      </c>
    </row>
    <row r="155" spans="1:7" x14ac:dyDescent="0.3">
      <c r="A155" s="1" t="s">
        <v>3530</v>
      </c>
      <c r="B155" s="1" t="s">
        <v>47</v>
      </c>
      <c r="C155" s="41">
        <v>45537</v>
      </c>
      <c r="D155" s="1">
        <v>10</v>
      </c>
      <c r="E155" s="1">
        <v>6</v>
      </c>
      <c r="F155" s="1">
        <v>29113.34</v>
      </c>
      <c r="G155" s="1">
        <v>0</v>
      </c>
    </row>
    <row r="156" spans="1:7" x14ac:dyDescent="0.3">
      <c r="A156" s="1" t="s">
        <v>3796</v>
      </c>
      <c r="B156" s="1" t="s">
        <v>16</v>
      </c>
      <c r="C156" s="41">
        <v>45619</v>
      </c>
      <c r="D156" s="1">
        <v>7</v>
      </c>
      <c r="E156" s="1">
        <v>4</v>
      </c>
      <c r="F156" s="1">
        <v>30402.1</v>
      </c>
      <c r="G156" s="1">
        <v>1</v>
      </c>
    </row>
    <row r="157" spans="1:7" x14ac:dyDescent="0.3">
      <c r="A157" s="1" t="s">
        <v>3511</v>
      </c>
      <c r="B157" s="1" t="s">
        <v>43</v>
      </c>
      <c r="C157" s="41">
        <v>45212</v>
      </c>
      <c r="D157" s="1">
        <v>9</v>
      </c>
      <c r="E157" s="1">
        <v>3</v>
      </c>
      <c r="F157" s="1">
        <v>27844.97</v>
      </c>
      <c r="G157" s="1">
        <v>1</v>
      </c>
    </row>
    <row r="158" spans="1:7" x14ac:dyDescent="0.3">
      <c r="A158" s="1" t="s">
        <v>3541</v>
      </c>
      <c r="B158" s="1" t="s">
        <v>38</v>
      </c>
      <c r="C158" s="41">
        <v>44592</v>
      </c>
      <c r="D158" s="1">
        <v>7</v>
      </c>
      <c r="E158" s="1">
        <v>1</v>
      </c>
      <c r="F158" s="1">
        <v>26585.73</v>
      </c>
      <c r="G158" s="1">
        <v>0</v>
      </c>
    </row>
    <row r="159" spans="1:7" x14ac:dyDescent="0.3">
      <c r="A159" s="1" t="s">
        <v>3819</v>
      </c>
      <c r="B159" s="1" t="s">
        <v>47</v>
      </c>
      <c r="C159" s="41">
        <v>45445</v>
      </c>
      <c r="D159" s="1">
        <v>5</v>
      </c>
      <c r="E159" s="1">
        <v>3</v>
      </c>
      <c r="F159" s="1">
        <v>30641.45</v>
      </c>
      <c r="G159" s="1">
        <v>0</v>
      </c>
    </row>
    <row r="160" spans="1:7" x14ac:dyDescent="0.3">
      <c r="A160" s="1" t="s">
        <v>3550</v>
      </c>
      <c r="B160" s="1" t="s">
        <v>22</v>
      </c>
      <c r="C160" s="41">
        <v>45295</v>
      </c>
      <c r="D160" s="1">
        <v>12</v>
      </c>
      <c r="E160" s="1">
        <v>3</v>
      </c>
      <c r="F160" s="1">
        <v>29624.45</v>
      </c>
      <c r="G160" s="1">
        <v>0</v>
      </c>
    </row>
    <row r="161" spans="1:7" x14ac:dyDescent="0.3">
      <c r="A161" s="1" t="s">
        <v>3694</v>
      </c>
      <c r="B161" s="1" t="s">
        <v>22</v>
      </c>
      <c r="C161" s="41">
        <v>44312</v>
      </c>
      <c r="D161" s="1">
        <v>11</v>
      </c>
      <c r="E161" s="1">
        <v>4</v>
      </c>
      <c r="F161" s="1">
        <v>25458.77</v>
      </c>
      <c r="G161" s="1">
        <v>2</v>
      </c>
    </row>
    <row r="162" spans="1:7" x14ac:dyDescent="0.3">
      <c r="A162" s="1" t="s">
        <v>4835</v>
      </c>
      <c r="B162" s="1" t="s">
        <v>16</v>
      </c>
      <c r="C162" s="41">
        <v>44441</v>
      </c>
      <c r="D162" s="1">
        <v>7</v>
      </c>
      <c r="E162" s="1">
        <v>4</v>
      </c>
      <c r="F162" s="1">
        <v>30577.49</v>
      </c>
      <c r="G162" s="1">
        <v>0</v>
      </c>
    </row>
    <row r="163" spans="1:7" x14ac:dyDescent="0.3">
      <c r="A163" s="1" t="s">
        <v>3862</v>
      </c>
      <c r="B163" s="1" t="s">
        <v>22</v>
      </c>
      <c r="C163" s="41">
        <v>45183</v>
      </c>
      <c r="D163" s="1">
        <v>7</v>
      </c>
      <c r="E163" s="1">
        <v>2</v>
      </c>
      <c r="F163" s="1">
        <v>26973.279999999999</v>
      </c>
      <c r="G163" s="1">
        <v>0</v>
      </c>
    </row>
    <row r="164" spans="1:7" x14ac:dyDescent="0.3">
      <c r="A164" s="1" t="s">
        <v>3404</v>
      </c>
      <c r="B164" s="1" t="s">
        <v>16</v>
      </c>
      <c r="C164" s="41">
        <v>44261</v>
      </c>
      <c r="D164" s="1">
        <v>14</v>
      </c>
      <c r="E164" s="1">
        <v>8</v>
      </c>
      <c r="F164" s="1">
        <v>28915.81</v>
      </c>
      <c r="G164" s="1">
        <v>1</v>
      </c>
    </row>
    <row r="165" spans="1:7" x14ac:dyDescent="0.3">
      <c r="A165" s="1" t="s">
        <v>3686</v>
      </c>
      <c r="B165" s="1" t="s">
        <v>38</v>
      </c>
      <c r="C165" s="41">
        <v>44836</v>
      </c>
      <c r="D165" s="1">
        <v>14</v>
      </c>
      <c r="E165" s="1">
        <v>5</v>
      </c>
      <c r="F165" s="1">
        <v>27941.84</v>
      </c>
      <c r="G165" s="1">
        <v>0</v>
      </c>
    </row>
    <row r="166" spans="1:7" x14ac:dyDescent="0.3">
      <c r="A166" s="1" t="s">
        <v>3719</v>
      </c>
      <c r="B166" s="1" t="s">
        <v>47</v>
      </c>
      <c r="C166" s="41">
        <v>45891</v>
      </c>
      <c r="D166" s="1">
        <v>12</v>
      </c>
      <c r="E166" s="1">
        <v>6</v>
      </c>
      <c r="F166" s="1">
        <v>29519.5</v>
      </c>
      <c r="G166" s="1">
        <v>0</v>
      </c>
    </row>
    <row r="167" spans="1:7" x14ac:dyDescent="0.3">
      <c r="A167" s="1" t="s">
        <v>3987</v>
      </c>
      <c r="B167" s="1" t="s">
        <v>25</v>
      </c>
      <c r="C167" s="41">
        <v>44631</v>
      </c>
      <c r="D167" s="1">
        <v>8</v>
      </c>
      <c r="E167" s="1">
        <v>1</v>
      </c>
      <c r="F167" s="1">
        <v>27243.24</v>
      </c>
      <c r="G167" s="1">
        <v>0</v>
      </c>
    </row>
    <row r="168" spans="1:7" x14ac:dyDescent="0.3">
      <c r="A168" s="1" t="s">
        <v>3674</v>
      </c>
      <c r="B168" s="1" t="s">
        <v>22</v>
      </c>
      <c r="C168" s="41">
        <v>44459</v>
      </c>
      <c r="D168" s="1">
        <v>6</v>
      </c>
      <c r="E168" s="1">
        <v>2</v>
      </c>
      <c r="F168" s="1">
        <v>27157.84</v>
      </c>
      <c r="G168" s="1">
        <v>0</v>
      </c>
    </row>
    <row r="169" spans="1:7" x14ac:dyDescent="0.3">
      <c r="A169" s="1" t="s">
        <v>3427</v>
      </c>
      <c r="B169" s="1" t="s">
        <v>25</v>
      </c>
      <c r="C169" s="41">
        <v>44162</v>
      </c>
      <c r="D169" s="1">
        <v>13</v>
      </c>
      <c r="E169" s="1">
        <v>3</v>
      </c>
      <c r="F169" s="1">
        <v>29724.25</v>
      </c>
      <c r="G169" s="1">
        <v>1</v>
      </c>
    </row>
    <row r="170" spans="1:7" x14ac:dyDescent="0.3">
      <c r="A170" s="1" t="s">
        <v>3813</v>
      </c>
      <c r="B170" s="1" t="s">
        <v>16</v>
      </c>
      <c r="C170" s="41">
        <v>44110</v>
      </c>
      <c r="D170" s="1">
        <v>12</v>
      </c>
      <c r="E170" s="1">
        <v>4</v>
      </c>
      <c r="F170" s="1">
        <v>27586.23</v>
      </c>
      <c r="G170" s="1">
        <v>1</v>
      </c>
    </row>
    <row r="171" spans="1:7" x14ac:dyDescent="0.3">
      <c r="A171" s="1" t="s">
        <v>3794</v>
      </c>
      <c r="B171" s="1" t="s">
        <v>47</v>
      </c>
      <c r="C171" s="41">
        <v>45685</v>
      </c>
      <c r="D171" s="1">
        <v>10</v>
      </c>
      <c r="E171" s="1">
        <v>5</v>
      </c>
      <c r="F171" s="1">
        <v>27813.29</v>
      </c>
      <c r="G171" s="1">
        <v>1</v>
      </c>
    </row>
    <row r="172" spans="1:7" x14ac:dyDescent="0.3">
      <c r="A172" s="1" t="s">
        <v>3917</v>
      </c>
      <c r="B172" s="1" t="s">
        <v>22</v>
      </c>
      <c r="C172" s="41">
        <v>44728</v>
      </c>
      <c r="D172" s="1">
        <v>11</v>
      </c>
      <c r="E172" s="1">
        <v>4</v>
      </c>
      <c r="F172" s="1">
        <v>27250.61</v>
      </c>
      <c r="G172" s="1">
        <v>0</v>
      </c>
    </row>
    <row r="173" spans="1:7" x14ac:dyDescent="0.3">
      <c r="A173" s="1" t="s">
        <v>3852</v>
      </c>
      <c r="B173" s="1" t="s">
        <v>43</v>
      </c>
      <c r="C173" s="41">
        <v>44366</v>
      </c>
      <c r="D173" s="1">
        <v>6</v>
      </c>
      <c r="E173" s="1">
        <v>1</v>
      </c>
      <c r="F173" s="1">
        <v>25523.93</v>
      </c>
      <c r="G173" s="1">
        <v>0</v>
      </c>
    </row>
    <row r="174" spans="1:7" x14ac:dyDescent="0.3">
      <c r="A174" s="1" t="s">
        <v>4243</v>
      </c>
      <c r="B174" s="1" t="s">
        <v>43</v>
      </c>
      <c r="C174" s="41">
        <v>45588</v>
      </c>
      <c r="D174" s="1">
        <v>3</v>
      </c>
      <c r="E174" s="1">
        <v>2</v>
      </c>
      <c r="F174" s="1">
        <v>28965.54</v>
      </c>
      <c r="G174" s="1">
        <v>0</v>
      </c>
    </row>
    <row r="175" spans="1:7" x14ac:dyDescent="0.3">
      <c r="A175" s="1" t="s">
        <v>3989</v>
      </c>
      <c r="B175" s="1" t="s">
        <v>38</v>
      </c>
      <c r="C175" s="41">
        <v>45710</v>
      </c>
      <c r="D175" s="1">
        <v>10</v>
      </c>
      <c r="E175" s="1">
        <v>5</v>
      </c>
      <c r="F175" s="1">
        <v>27355.77</v>
      </c>
      <c r="G175" s="1">
        <v>1</v>
      </c>
    </row>
    <row r="176" spans="1:7" x14ac:dyDescent="0.3">
      <c r="A176" s="1" t="s">
        <v>3395</v>
      </c>
      <c r="B176" s="1" t="s">
        <v>25</v>
      </c>
      <c r="C176" s="41">
        <v>44135</v>
      </c>
      <c r="D176" s="1">
        <v>12</v>
      </c>
      <c r="E176" s="1">
        <v>1</v>
      </c>
      <c r="F176" s="1">
        <v>28700.28</v>
      </c>
      <c r="G176" s="1">
        <v>0</v>
      </c>
    </row>
    <row r="177" spans="1:7" x14ac:dyDescent="0.3">
      <c r="A177" s="1" t="s">
        <v>3943</v>
      </c>
      <c r="B177" s="1" t="s">
        <v>22</v>
      </c>
      <c r="C177" s="41">
        <v>44193</v>
      </c>
      <c r="D177" s="1">
        <v>10</v>
      </c>
      <c r="E177" s="1">
        <v>4</v>
      </c>
      <c r="F177" s="1">
        <v>31048.02</v>
      </c>
      <c r="G177" s="1">
        <v>0</v>
      </c>
    </row>
    <row r="178" spans="1:7" x14ac:dyDescent="0.3">
      <c r="A178" s="1" t="s">
        <v>3319</v>
      </c>
      <c r="B178" s="1" t="s">
        <v>38</v>
      </c>
      <c r="C178" s="41">
        <v>44863</v>
      </c>
      <c r="D178" s="1">
        <v>13</v>
      </c>
      <c r="E178" s="1">
        <v>2</v>
      </c>
      <c r="F178" s="1">
        <v>28643.13</v>
      </c>
      <c r="G178" s="1">
        <v>1</v>
      </c>
    </row>
    <row r="179" spans="1:7" x14ac:dyDescent="0.3">
      <c r="A179" s="1" t="s">
        <v>3437</v>
      </c>
      <c r="B179" s="1" t="s">
        <v>16</v>
      </c>
      <c r="C179" s="41">
        <v>45204</v>
      </c>
      <c r="D179" s="1">
        <v>9</v>
      </c>
      <c r="E179" s="1">
        <v>2</v>
      </c>
      <c r="F179" s="1">
        <v>28934.3</v>
      </c>
      <c r="G179" s="1">
        <v>0</v>
      </c>
    </row>
    <row r="180" spans="1:7" x14ac:dyDescent="0.3">
      <c r="A180" s="1" t="s">
        <v>3905</v>
      </c>
      <c r="B180" s="1" t="s">
        <v>38</v>
      </c>
      <c r="C180" s="41">
        <v>44297</v>
      </c>
      <c r="D180" s="1">
        <v>11</v>
      </c>
      <c r="E180" s="1">
        <v>1</v>
      </c>
      <c r="F180" s="1">
        <v>28796.62</v>
      </c>
      <c r="G180" s="1">
        <v>0</v>
      </c>
    </row>
    <row r="181" spans="1:7" x14ac:dyDescent="0.3">
      <c r="A181" s="1" t="s">
        <v>3335</v>
      </c>
      <c r="B181" s="1" t="s">
        <v>47</v>
      </c>
      <c r="C181" s="41">
        <v>44486</v>
      </c>
      <c r="D181" s="1">
        <v>7</v>
      </c>
      <c r="E181" s="1">
        <v>4</v>
      </c>
      <c r="F181" s="1">
        <v>25984.84</v>
      </c>
      <c r="G181" s="1">
        <v>0</v>
      </c>
    </row>
    <row r="182" spans="1:7" x14ac:dyDescent="0.3">
      <c r="A182" s="1" t="s">
        <v>4639</v>
      </c>
      <c r="B182" s="1" t="s">
        <v>25</v>
      </c>
      <c r="C182" s="41">
        <v>44547</v>
      </c>
      <c r="D182" s="1">
        <v>8</v>
      </c>
      <c r="E182" s="1">
        <v>3</v>
      </c>
      <c r="F182" s="1">
        <v>28233.99</v>
      </c>
      <c r="G182" s="1">
        <v>0</v>
      </c>
    </row>
    <row r="183" spans="1:7" x14ac:dyDescent="0.3">
      <c r="A183" s="1" t="s">
        <v>3807</v>
      </c>
      <c r="B183" s="1" t="s">
        <v>25</v>
      </c>
      <c r="C183" s="41">
        <v>44698</v>
      </c>
      <c r="D183" s="1">
        <v>10</v>
      </c>
      <c r="E183" s="1">
        <v>1</v>
      </c>
      <c r="F183" s="1">
        <v>29033.040000000001</v>
      </c>
      <c r="G183" s="1">
        <v>5</v>
      </c>
    </row>
    <row r="184" spans="1:7" x14ac:dyDescent="0.3">
      <c r="A184" s="1" t="s">
        <v>3347</v>
      </c>
      <c r="B184" s="1" t="s">
        <v>22</v>
      </c>
      <c r="C184" s="41">
        <v>44725</v>
      </c>
      <c r="D184" s="1">
        <v>10</v>
      </c>
      <c r="E184" s="1">
        <v>5</v>
      </c>
      <c r="F184" s="1">
        <v>28069.52</v>
      </c>
      <c r="G184" s="1">
        <v>1</v>
      </c>
    </row>
    <row r="185" spans="1:7" x14ac:dyDescent="0.3">
      <c r="A185" s="1" t="s">
        <v>3470</v>
      </c>
      <c r="B185" s="1" t="s">
        <v>25</v>
      </c>
      <c r="C185" s="41">
        <v>44162</v>
      </c>
      <c r="D185" s="1">
        <v>11</v>
      </c>
      <c r="E185" s="1">
        <v>4</v>
      </c>
      <c r="F185" s="1">
        <v>30452.83</v>
      </c>
      <c r="G185" s="1">
        <v>1</v>
      </c>
    </row>
    <row r="186" spans="1:7" x14ac:dyDescent="0.3">
      <c r="A186" s="1" t="s">
        <v>3747</v>
      </c>
      <c r="B186" s="1" t="s">
        <v>43</v>
      </c>
      <c r="C186" s="41">
        <v>45679</v>
      </c>
      <c r="D186" s="1">
        <v>8</v>
      </c>
      <c r="E186" s="1">
        <v>2</v>
      </c>
      <c r="F186" s="1">
        <v>30292.880000000001</v>
      </c>
      <c r="G186" s="1">
        <v>0</v>
      </c>
    </row>
    <row r="187" spans="1:7" x14ac:dyDescent="0.3">
      <c r="A187" s="1" t="s">
        <v>4052</v>
      </c>
      <c r="B187" s="1" t="s">
        <v>22</v>
      </c>
      <c r="C187" s="41">
        <v>44565</v>
      </c>
      <c r="D187" s="1">
        <v>11</v>
      </c>
      <c r="E187" s="1">
        <v>4</v>
      </c>
      <c r="F187" s="1">
        <v>28571.53</v>
      </c>
      <c r="G187" s="1">
        <v>0</v>
      </c>
    </row>
    <row r="188" spans="1:7" x14ac:dyDescent="0.3">
      <c r="A188" s="1" t="s">
        <v>3369</v>
      </c>
      <c r="B188" s="1" t="s">
        <v>47</v>
      </c>
      <c r="C188" s="41">
        <v>44353</v>
      </c>
      <c r="D188" s="1">
        <v>14</v>
      </c>
      <c r="E188" s="1">
        <v>4</v>
      </c>
      <c r="F188" s="1">
        <v>26389.06</v>
      </c>
      <c r="G188" s="1">
        <v>2</v>
      </c>
    </row>
    <row r="189" spans="1:7" x14ac:dyDescent="0.3">
      <c r="A189" s="1" t="s">
        <v>3515</v>
      </c>
      <c r="B189" s="1" t="s">
        <v>16</v>
      </c>
      <c r="C189" s="41">
        <v>45337</v>
      </c>
      <c r="D189" s="1">
        <v>12</v>
      </c>
      <c r="E189" s="1">
        <v>1</v>
      </c>
      <c r="F189" s="1">
        <v>30827.14</v>
      </c>
      <c r="G189" s="1">
        <v>0</v>
      </c>
    </row>
    <row r="190" spans="1:7" x14ac:dyDescent="0.3">
      <c r="A190" s="1" t="s">
        <v>3422</v>
      </c>
      <c r="B190" s="1" t="s">
        <v>38</v>
      </c>
      <c r="C190" s="41">
        <v>45018</v>
      </c>
      <c r="D190" s="1">
        <v>10</v>
      </c>
      <c r="E190" s="1">
        <v>4</v>
      </c>
      <c r="F190" s="1">
        <v>28215.61</v>
      </c>
      <c r="G190" s="1">
        <v>1</v>
      </c>
    </row>
    <row r="191" spans="1:7" x14ac:dyDescent="0.3">
      <c r="A191" s="1" t="s">
        <v>3361</v>
      </c>
      <c r="B191" s="1" t="s">
        <v>43</v>
      </c>
      <c r="C191" s="41">
        <v>45299</v>
      </c>
      <c r="D191" s="1">
        <v>14</v>
      </c>
      <c r="E191" s="1">
        <v>5</v>
      </c>
      <c r="F191" s="1">
        <v>27331.59</v>
      </c>
      <c r="G191" s="1">
        <v>0</v>
      </c>
    </row>
    <row r="192" spans="1:7" x14ac:dyDescent="0.3">
      <c r="A192" s="1" t="s">
        <v>3774</v>
      </c>
      <c r="B192" s="1" t="s">
        <v>22</v>
      </c>
      <c r="C192" s="41">
        <v>45366</v>
      </c>
      <c r="D192" s="1">
        <v>9</v>
      </c>
      <c r="E192" s="1">
        <v>3</v>
      </c>
      <c r="F192" s="1">
        <v>26266.5</v>
      </c>
      <c r="G192" s="1">
        <v>1</v>
      </c>
    </row>
    <row r="193" spans="1:7" x14ac:dyDescent="0.3">
      <c r="A193" s="1" t="s">
        <v>3767</v>
      </c>
      <c r="B193" s="1" t="s">
        <v>25</v>
      </c>
      <c r="C193" s="41">
        <v>45769</v>
      </c>
      <c r="D193" s="1">
        <v>11</v>
      </c>
      <c r="E193" s="1">
        <v>2</v>
      </c>
      <c r="F193" s="1">
        <v>28005.63</v>
      </c>
      <c r="G193" s="1">
        <v>0</v>
      </c>
    </row>
    <row r="194" spans="1:7" x14ac:dyDescent="0.3">
      <c r="A194" s="1" t="s">
        <v>3466</v>
      </c>
      <c r="B194" s="1" t="s">
        <v>25</v>
      </c>
      <c r="C194" s="41">
        <v>44876</v>
      </c>
      <c r="D194" s="1">
        <v>8</v>
      </c>
      <c r="E194" s="1">
        <v>1</v>
      </c>
      <c r="F194" s="1">
        <v>25805.88</v>
      </c>
      <c r="G194" s="1">
        <v>0</v>
      </c>
    </row>
    <row r="195" spans="1:7" x14ac:dyDescent="0.3">
      <c r="A195" s="1" t="s">
        <v>3672</v>
      </c>
      <c r="B195" s="1" t="s">
        <v>22</v>
      </c>
      <c r="C195" s="41">
        <v>44911</v>
      </c>
      <c r="D195" s="1">
        <v>9</v>
      </c>
      <c r="E195" s="1">
        <v>0</v>
      </c>
      <c r="F195" s="1">
        <v>29548.33</v>
      </c>
      <c r="G195" s="1">
        <v>0</v>
      </c>
    </row>
    <row r="196" spans="1:7" x14ac:dyDescent="0.3">
      <c r="A196" s="1" t="s">
        <v>3543</v>
      </c>
      <c r="B196" s="1" t="s">
        <v>43</v>
      </c>
      <c r="C196" s="41">
        <v>45613</v>
      </c>
      <c r="D196" s="1">
        <v>15</v>
      </c>
      <c r="E196" s="1">
        <v>3</v>
      </c>
      <c r="F196" s="1">
        <v>28773.22</v>
      </c>
      <c r="G196" s="1">
        <v>1</v>
      </c>
    </row>
    <row r="197" spans="1:7" x14ac:dyDescent="0.3">
      <c r="A197" s="1" t="s">
        <v>3595</v>
      </c>
      <c r="B197" s="1" t="s">
        <v>25</v>
      </c>
      <c r="C197" s="41">
        <v>44279</v>
      </c>
      <c r="D197" s="1">
        <v>11</v>
      </c>
      <c r="E197" s="1">
        <v>2</v>
      </c>
      <c r="F197" s="1">
        <v>26685.99</v>
      </c>
      <c r="G197" s="1">
        <v>0</v>
      </c>
    </row>
    <row r="198" spans="1:7" x14ac:dyDescent="0.3">
      <c r="A198" s="1" t="s">
        <v>3655</v>
      </c>
      <c r="B198" s="1" t="s">
        <v>43</v>
      </c>
      <c r="C198" s="41">
        <v>44270</v>
      </c>
      <c r="D198" s="1">
        <v>12</v>
      </c>
      <c r="E198" s="1">
        <v>5</v>
      </c>
      <c r="F198" s="1">
        <v>29584.53</v>
      </c>
      <c r="G198" s="1">
        <v>0</v>
      </c>
    </row>
    <row r="199" spans="1:7" x14ac:dyDescent="0.3">
      <c r="A199" s="1" t="s">
        <v>3947</v>
      </c>
      <c r="B199" s="1" t="s">
        <v>38</v>
      </c>
      <c r="C199" s="41">
        <v>45191</v>
      </c>
      <c r="D199" s="1">
        <v>5</v>
      </c>
      <c r="E199" s="1">
        <v>2</v>
      </c>
      <c r="F199" s="1">
        <v>29143.58</v>
      </c>
      <c r="G199" s="1">
        <v>2</v>
      </c>
    </row>
    <row r="200" spans="1:7" x14ac:dyDescent="0.3">
      <c r="A200" s="1" t="s">
        <v>3349</v>
      </c>
      <c r="B200" s="1" t="s">
        <v>22</v>
      </c>
      <c r="C200" s="41">
        <v>45505</v>
      </c>
      <c r="D200" s="1">
        <v>5</v>
      </c>
      <c r="E200" s="1">
        <v>0</v>
      </c>
      <c r="F200" s="1">
        <v>32923.21</v>
      </c>
      <c r="G200" s="1">
        <v>0</v>
      </c>
    </row>
    <row r="201" spans="1:7" x14ac:dyDescent="0.3">
      <c r="A201" s="1" t="s">
        <v>3389</v>
      </c>
      <c r="B201" s="1" t="s">
        <v>43</v>
      </c>
      <c r="C201" s="41">
        <v>45806</v>
      </c>
      <c r="D201" s="1">
        <v>13</v>
      </c>
      <c r="E201" s="1">
        <v>3</v>
      </c>
      <c r="F201" s="1">
        <v>28713.32</v>
      </c>
      <c r="G201" s="1">
        <v>0</v>
      </c>
    </row>
    <row r="202" spans="1:7" x14ac:dyDescent="0.3">
      <c r="A202" s="1" t="s">
        <v>3462</v>
      </c>
      <c r="B202" s="1" t="s">
        <v>25</v>
      </c>
      <c r="C202" s="41">
        <v>45580</v>
      </c>
      <c r="D202" s="1">
        <v>6</v>
      </c>
      <c r="E202" s="1">
        <v>0</v>
      </c>
      <c r="F202" s="1">
        <v>31135.79</v>
      </c>
      <c r="G202" s="1">
        <v>0</v>
      </c>
    </row>
    <row r="203" spans="1:7" x14ac:dyDescent="0.3">
      <c r="A203" s="1" t="s">
        <v>4040</v>
      </c>
      <c r="B203" s="1" t="s">
        <v>22</v>
      </c>
      <c r="C203" s="41">
        <v>44153</v>
      </c>
      <c r="D203" s="1">
        <v>7</v>
      </c>
      <c r="E203" s="1">
        <v>1</v>
      </c>
      <c r="F203" s="1">
        <v>27911.13</v>
      </c>
      <c r="G203" s="1">
        <v>1</v>
      </c>
    </row>
    <row r="204" spans="1:7" x14ac:dyDescent="0.3">
      <c r="A204" s="1" t="s">
        <v>3803</v>
      </c>
      <c r="B204" s="1" t="s">
        <v>38</v>
      </c>
      <c r="C204" s="41">
        <v>44269</v>
      </c>
      <c r="D204" s="1">
        <v>11</v>
      </c>
      <c r="E204" s="1">
        <v>3</v>
      </c>
      <c r="F204" s="1">
        <v>28859.23</v>
      </c>
      <c r="G204" s="1">
        <v>0</v>
      </c>
    </row>
    <row r="205" spans="1:7" x14ac:dyDescent="0.3">
      <c r="A205" s="1" t="s">
        <v>3617</v>
      </c>
      <c r="B205" s="1" t="s">
        <v>47</v>
      </c>
      <c r="C205" s="41">
        <v>45227</v>
      </c>
      <c r="D205" s="1">
        <v>12</v>
      </c>
      <c r="E205" s="1">
        <v>2</v>
      </c>
      <c r="F205" s="1">
        <v>25608.400000000001</v>
      </c>
      <c r="G205" s="1">
        <v>0</v>
      </c>
    </row>
    <row r="206" spans="1:7" x14ac:dyDescent="0.3">
      <c r="A206" s="1" t="s">
        <v>4548</v>
      </c>
      <c r="B206" s="1" t="s">
        <v>16</v>
      </c>
      <c r="C206" s="41">
        <v>45667</v>
      </c>
      <c r="D206" s="1">
        <v>8</v>
      </c>
      <c r="E206" s="1">
        <v>2</v>
      </c>
      <c r="F206" s="1">
        <v>24091.56</v>
      </c>
      <c r="G206" s="1">
        <v>0</v>
      </c>
    </row>
    <row r="207" spans="1:7" x14ac:dyDescent="0.3">
      <c r="A207" s="1" t="s">
        <v>3504</v>
      </c>
      <c r="B207" s="1" t="s">
        <v>16</v>
      </c>
      <c r="C207" s="41">
        <v>45740</v>
      </c>
      <c r="D207" s="1">
        <v>14</v>
      </c>
      <c r="E207" s="1">
        <v>4</v>
      </c>
      <c r="F207" s="1">
        <v>31537.03</v>
      </c>
      <c r="G207" s="1">
        <v>1</v>
      </c>
    </row>
    <row r="208" spans="1:7" x14ac:dyDescent="0.3">
      <c r="A208" s="1" t="s">
        <v>3385</v>
      </c>
      <c r="B208" s="1" t="s">
        <v>43</v>
      </c>
      <c r="C208" s="41">
        <v>44363</v>
      </c>
      <c r="D208" s="1">
        <v>6</v>
      </c>
      <c r="E208" s="1">
        <v>1</v>
      </c>
      <c r="F208" s="1">
        <v>29007.97</v>
      </c>
      <c r="G208" s="1">
        <v>0</v>
      </c>
    </row>
    <row r="209" spans="1:7" x14ac:dyDescent="0.3">
      <c r="A209" s="1" t="s">
        <v>3785</v>
      </c>
      <c r="B209" s="1" t="s">
        <v>38</v>
      </c>
      <c r="C209" s="41">
        <v>44610</v>
      </c>
      <c r="D209" s="1">
        <v>9</v>
      </c>
      <c r="E209" s="1">
        <v>3</v>
      </c>
      <c r="F209" s="1">
        <v>29336.97</v>
      </c>
      <c r="G209" s="1">
        <v>1</v>
      </c>
    </row>
    <row r="210" spans="1:7" x14ac:dyDescent="0.3">
      <c r="A210" s="1" t="s">
        <v>3377</v>
      </c>
      <c r="B210" s="1" t="s">
        <v>22</v>
      </c>
      <c r="C210" s="41">
        <v>44883</v>
      </c>
      <c r="D210" s="1">
        <v>10</v>
      </c>
      <c r="E210" s="1">
        <v>2</v>
      </c>
      <c r="F210" s="1">
        <v>26909.919999999998</v>
      </c>
      <c r="G210" s="1">
        <v>0</v>
      </c>
    </row>
    <row r="211" spans="1:7" x14ac:dyDescent="0.3">
      <c r="A211" s="1" t="s">
        <v>3397</v>
      </c>
      <c r="B211" s="1" t="s">
        <v>47</v>
      </c>
      <c r="C211" s="41">
        <v>45000</v>
      </c>
      <c r="D211" s="1">
        <v>7</v>
      </c>
      <c r="E211" s="1">
        <v>3</v>
      </c>
      <c r="F211" s="1">
        <v>28725.919999999998</v>
      </c>
      <c r="G211" s="1">
        <v>1</v>
      </c>
    </row>
    <row r="212" spans="1:7" x14ac:dyDescent="0.3">
      <c r="A212" s="1" t="s">
        <v>3496</v>
      </c>
      <c r="B212" s="1" t="s">
        <v>43</v>
      </c>
      <c r="C212" s="41">
        <v>45414</v>
      </c>
      <c r="D212" s="1">
        <v>11</v>
      </c>
      <c r="E212" s="1">
        <v>4</v>
      </c>
      <c r="F212" s="1">
        <v>28586.49</v>
      </c>
      <c r="G212" s="1">
        <v>1</v>
      </c>
    </row>
    <row r="213" spans="1:7" x14ac:dyDescent="0.3">
      <c r="A213" s="1" t="s">
        <v>3472</v>
      </c>
      <c r="B213" s="1" t="s">
        <v>38</v>
      </c>
      <c r="C213" s="41">
        <v>44258</v>
      </c>
      <c r="D213" s="1">
        <v>9</v>
      </c>
      <c r="E213" s="1">
        <v>1</v>
      </c>
      <c r="F213" s="1">
        <v>31268.53</v>
      </c>
      <c r="G213" s="1">
        <v>1</v>
      </c>
    </row>
    <row r="214" spans="1:7" x14ac:dyDescent="0.3">
      <c r="A214" s="1" t="s">
        <v>4511</v>
      </c>
      <c r="B214" s="1" t="s">
        <v>47</v>
      </c>
      <c r="C214" s="41">
        <v>45258</v>
      </c>
      <c r="D214" s="1">
        <v>7</v>
      </c>
      <c r="E214" s="1">
        <v>2</v>
      </c>
      <c r="F214" s="1">
        <v>26520.81</v>
      </c>
      <c r="G214" s="1">
        <v>1</v>
      </c>
    </row>
    <row r="215" spans="1:7" x14ac:dyDescent="0.3">
      <c r="A215" s="1" t="s">
        <v>3548</v>
      </c>
      <c r="B215" s="1" t="s">
        <v>47</v>
      </c>
      <c r="C215" s="41">
        <v>44687</v>
      </c>
      <c r="D215" s="1">
        <v>7</v>
      </c>
      <c r="E215" s="1">
        <v>2</v>
      </c>
      <c r="F215" s="1">
        <v>29444.09</v>
      </c>
      <c r="G215" s="1">
        <v>0</v>
      </c>
    </row>
    <row r="216" spans="1:7" x14ac:dyDescent="0.3">
      <c r="A216" s="1" t="s">
        <v>3402</v>
      </c>
      <c r="B216" s="1" t="s">
        <v>38</v>
      </c>
      <c r="C216" s="41">
        <v>44328</v>
      </c>
      <c r="D216" s="1">
        <v>10</v>
      </c>
      <c r="E216" s="1">
        <v>1</v>
      </c>
      <c r="F216" s="1">
        <v>27949.439999999999</v>
      </c>
      <c r="G216" s="1">
        <v>0</v>
      </c>
    </row>
    <row r="217" spans="1:7" x14ac:dyDescent="0.3">
      <c r="A217" s="1" t="s">
        <v>4438</v>
      </c>
      <c r="B217" s="1" t="s">
        <v>16</v>
      </c>
      <c r="C217" s="41">
        <v>45626</v>
      </c>
      <c r="D217" s="1">
        <v>7</v>
      </c>
      <c r="E217" s="1">
        <v>3</v>
      </c>
      <c r="F217" s="1">
        <v>28055.24</v>
      </c>
      <c r="G217" s="1">
        <v>0</v>
      </c>
    </row>
    <row r="218" spans="1:7" x14ac:dyDescent="0.3">
      <c r="A218" s="1" t="s">
        <v>4187</v>
      </c>
      <c r="B218" s="1" t="s">
        <v>16</v>
      </c>
      <c r="C218" s="41">
        <v>44878</v>
      </c>
      <c r="D218" s="1">
        <v>13</v>
      </c>
      <c r="E218" s="1">
        <v>5</v>
      </c>
      <c r="F218" s="1">
        <v>25480.3</v>
      </c>
      <c r="G218" s="1">
        <v>0</v>
      </c>
    </row>
    <row r="219" spans="1:7" x14ac:dyDescent="0.3">
      <c r="A219" s="1" t="s">
        <v>3559</v>
      </c>
      <c r="B219" s="1" t="s">
        <v>16</v>
      </c>
      <c r="C219" s="41">
        <v>44836</v>
      </c>
      <c r="D219" s="1">
        <v>9</v>
      </c>
      <c r="E219" s="1">
        <v>4</v>
      </c>
      <c r="F219" s="1">
        <v>31267.48</v>
      </c>
      <c r="G219" s="1">
        <v>0</v>
      </c>
    </row>
    <row r="220" spans="1:7" x14ac:dyDescent="0.3">
      <c r="A220" s="1" t="s">
        <v>4306</v>
      </c>
      <c r="B220" s="1" t="s">
        <v>43</v>
      </c>
      <c r="C220" s="41">
        <v>45481</v>
      </c>
      <c r="D220" s="1">
        <v>6</v>
      </c>
      <c r="E220" s="1">
        <v>0</v>
      </c>
      <c r="F220" s="1">
        <v>33075.85</v>
      </c>
      <c r="G220" s="1">
        <v>0</v>
      </c>
    </row>
    <row r="221" spans="1:7" x14ac:dyDescent="0.3">
      <c r="A221" s="1" t="s">
        <v>4311</v>
      </c>
      <c r="B221" s="1" t="s">
        <v>22</v>
      </c>
      <c r="C221" s="41">
        <v>44524</v>
      </c>
      <c r="D221" s="1">
        <v>8</v>
      </c>
      <c r="E221" s="1">
        <v>2</v>
      </c>
      <c r="F221" s="1">
        <v>26362.61</v>
      </c>
      <c r="G221" s="1">
        <v>0</v>
      </c>
    </row>
    <row r="222" spans="1:7" x14ac:dyDescent="0.3">
      <c r="A222" s="1" t="s">
        <v>4469</v>
      </c>
      <c r="B222" s="1" t="s">
        <v>47</v>
      </c>
      <c r="C222" s="41">
        <v>45554</v>
      </c>
      <c r="D222" s="1">
        <v>13</v>
      </c>
      <c r="E222" s="1">
        <v>1</v>
      </c>
      <c r="F222" s="1">
        <v>28579.01</v>
      </c>
      <c r="G222" s="1">
        <v>2</v>
      </c>
    </row>
    <row r="223" spans="1:7" x14ac:dyDescent="0.3">
      <c r="A223" s="1" t="s">
        <v>3363</v>
      </c>
      <c r="B223" s="1" t="s">
        <v>22</v>
      </c>
      <c r="C223" s="41">
        <v>44700</v>
      </c>
      <c r="D223" s="1">
        <v>12</v>
      </c>
      <c r="E223" s="1">
        <v>5</v>
      </c>
      <c r="F223" s="1">
        <v>27320.22</v>
      </c>
      <c r="G223" s="1">
        <v>0</v>
      </c>
    </row>
    <row r="224" spans="1:7" x14ac:dyDescent="0.3">
      <c r="A224" s="1" t="s">
        <v>3625</v>
      </c>
      <c r="B224" s="1" t="s">
        <v>25</v>
      </c>
      <c r="C224" s="41">
        <v>44999</v>
      </c>
      <c r="D224" s="1">
        <v>7</v>
      </c>
      <c r="E224" s="1">
        <v>4</v>
      </c>
      <c r="F224" s="1">
        <v>27175.66</v>
      </c>
      <c r="G224" s="1">
        <v>0</v>
      </c>
    </row>
    <row r="225" spans="1:7" x14ac:dyDescent="0.3">
      <c r="A225" s="1" t="s">
        <v>3522</v>
      </c>
      <c r="B225" s="1" t="s">
        <v>16</v>
      </c>
      <c r="C225" s="41">
        <v>44232</v>
      </c>
      <c r="D225" s="1">
        <v>12</v>
      </c>
      <c r="E225" s="1">
        <v>1</v>
      </c>
      <c r="F225" s="1">
        <v>24881.78</v>
      </c>
      <c r="G225" s="1">
        <v>0</v>
      </c>
    </row>
    <row r="226" spans="1:7" x14ac:dyDescent="0.3">
      <c r="A226" s="1" t="s">
        <v>3976</v>
      </c>
      <c r="B226" s="1" t="s">
        <v>47</v>
      </c>
      <c r="C226" s="41">
        <v>44757</v>
      </c>
      <c r="D226" s="1">
        <v>13</v>
      </c>
      <c r="E226" s="1">
        <v>6</v>
      </c>
      <c r="F226" s="1">
        <v>31573.64</v>
      </c>
      <c r="G226" s="1">
        <v>0</v>
      </c>
    </row>
    <row r="227" spans="1:7" x14ac:dyDescent="0.3">
      <c r="A227" s="1" t="s">
        <v>3620</v>
      </c>
      <c r="B227" s="1" t="s">
        <v>25</v>
      </c>
      <c r="C227" s="41">
        <v>45455</v>
      </c>
      <c r="D227" s="1">
        <v>7</v>
      </c>
      <c r="E227" s="1">
        <v>2</v>
      </c>
      <c r="F227" s="1">
        <v>31583.34</v>
      </c>
      <c r="G227" s="1">
        <v>0</v>
      </c>
    </row>
    <row r="228" spans="1:7" x14ac:dyDescent="0.3">
      <c r="A228" s="1" t="s">
        <v>4198</v>
      </c>
      <c r="B228" s="1" t="s">
        <v>25</v>
      </c>
      <c r="C228" s="41">
        <v>44735</v>
      </c>
      <c r="D228" s="1">
        <v>7</v>
      </c>
      <c r="E228" s="1">
        <v>2</v>
      </c>
      <c r="F228" s="1">
        <v>28117.16</v>
      </c>
      <c r="G228" s="1">
        <v>1</v>
      </c>
    </row>
    <row r="229" spans="1:7" x14ac:dyDescent="0.3">
      <c r="A229" s="1" t="s">
        <v>3710</v>
      </c>
      <c r="B229" s="1" t="s">
        <v>47</v>
      </c>
      <c r="C229" s="41">
        <v>45291</v>
      </c>
      <c r="D229" s="1">
        <v>8</v>
      </c>
      <c r="E229" s="1">
        <v>4</v>
      </c>
      <c r="F229" s="1">
        <v>31439.17</v>
      </c>
      <c r="G229" s="1">
        <v>0</v>
      </c>
    </row>
    <row r="230" spans="1:7" x14ac:dyDescent="0.3">
      <c r="A230" s="1" t="s">
        <v>3764</v>
      </c>
      <c r="B230" s="1" t="s">
        <v>16</v>
      </c>
      <c r="C230" s="41">
        <v>44353</v>
      </c>
      <c r="D230" s="1">
        <v>13</v>
      </c>
      <c r="E230" s="1">
        <v>2</v>
      </c>
      <c r="F230" s="1">
        <v>26895.74</v>
      </c>
      <c r="G230" s="1">
        <v>1</v>
      </c>
    </row>
    <row r="231" spans="1:7" x14ac:dyDescent="0.3">
      <c r="A231" s="1" t="s">
        <v>3838</v>
      </c>
      <c r="B231" s="1" t="s">
        <v>16</v>
      </c>
      <c r="C231" s="41">
        <v>45452</v>
      </c>
      <c r="D231" s="1">
        <v>13</v>
      </c>
      <c r="E231" s="1">
        <v>2</v>
      </c>
      <c r="F231" s="1">
        <v>25993.27</v>
      </c>
      <c r="G231" s="1">
        <v>3</v>
      </c>
    </row>
    <row r="232" spans="1:7" x14ac:dyDescent="0.3">
      <c r="A232" s="1" t="s">
        <v>3801</v>
      </c>
      <c r="B232" s="1" t="s">
        <v>47</v>
      </c>
      <c r="C232" s="41">
        <v>44847</v>
      </c>
      <c r="D232" s="1">
        <v>9</v>
      </c>
      <c r="E232" s="1">
        <v>0</v>
      </c>
      <c r="F232" s="1">
        <v>26632.03</v>
      </c>
      <c r="G232" s="1">
        <v>0</v>
      </c>
    </row>
    <row r="233" spans="1:7" x14ac:dyDescent="0.3">
      <c r="A233" s="1" t="s">
        <v>3449</v>
      </c>
      <c r="B233" s="1" t="s">
        <v>38</v>
      </c>
      <c r="C233" s="41">
        <v>44493</v>
      </c>
      <c r="D233" s="1">
        <v>9</v>
      </c>
      <c r="E233" s="1">
        <v>4</v>
      </c>
      <c r="F233" s="1">
        <v>28678.71</v>
      </c>
      <c r="G233" s="1">
        <v>0</v>
      </c>
    </row>
    <row r="234" spans="1:7" x14ac:dyDescent="0.3">
      <c r="A234" s="1" t="s">
        <v>4045</v>
      </c>
      <c r="B234" s="1" t="s">
        <v>25</v>
      </c>
      <c r="C234" s="41">
        <v>45541</v>
      </c>
      <c r="D234" s="1">
        <v>8</v>
      </c>
      <c r="E234" s="1">
        <v>3</v>
      </c>
      <c r="F234" s="1">
        <v>25704.65</v>
      </c>
      <c r="G234" s="1">
        <v>0</v>
      </c>
    </row>
    <row r="235" spans="1:7" x14ac:dyDescent="0.3">
      <c r="A235" s="1" t="s">
        <v>3373</v>
      </c>
      <c r="B235" s="1" t="s">
        <v>16</v>
      </c>
      <c r="C235" s="41">
        <v>44831</v>
      </c>
      <c r="D235" s="1">
        <v>7</v>
      </c>
      <c r="E235" s="1">
        <v>1</v>
      </c>
      <c r="F235" s="1">
        <v>29903.06</v>
      </c>
      <c r="G235" s="1">
        <v>0</v>
      </c>
    </row>
    <row r="236" spans="1:7" x14ac:dyDescent="0.3">
      <c r="A236" s="1" t="s">
        <v>4641</v>
      </c>
      <c r="B236" s="1" t="s">
        <v>25</v>
      </c>
      <c r="C236" s="41">
        <v>44824</v>
      </c>
      <c r="D236" s="1">
        <v>9</v>
      </c>
      <c r="E236" s="1">
        <v>2</v>
      </c>
      <c r="F236" s="1">
        <v>28743.55</v>
      </c>
      <c r="G236" s="1">
        <v>0</v>
      </c>
    </row>
    <row r="237" spans="1:7" x14ac:dyDescent="0.3">
      <c r="A237" s="1" t="s">
        <v>3490</v>
      </c>
      <c r="B237" s="1" t="s">
        <v>22</v>
      </c>
      <c r="C237" s="41">
        <v>44914</v>
      </c>
      <c r="D237" s="1">
        <v>11</v>
      </c>
      <c r="E237" s="1">
        <v>3</v>
      </c>
      <c r="F237" s="1">
        <v>31499.07</v>
      </c>
      <c r="G237" s="1">
        <v>0</v>
      </c>
    </row>
    <row r="238" spans="1:7" x14ac:dyDescent="0.3">
      <c r="A238" s="1" t="s">
        <v>4067</v>
      </c>
      <c r="B238" s="1" t="s">
        <v>16</v>
      </c>
      <c r="C238" s="41">
        <v>45633</v>
      </c>
      <c r="D238" s="1">
        <v>6</v>
      </c>
      <c r="E238" s="1">
        <v>2</v>
      </c>
      <c r="F238" s="1">
        <v>29598.77</v>
      </c>
      <c r="G238" s="1">
        <v>0</v>
      </c>
    </row>
    <row r="239" spans="1:7" x14ac:dyDescent="0.3">
      <c r="A239" s="1" t="s">
        <v>3485</v>
      </c>
      <c r="B239" s="1" t="s">
        <v>43</v>
      </c>
      <c r="C239" s="41">
        <v>45527</v>
      </c>
      <c r="D239" s="1">
        <v>8</v>
      </c>
      <c r="E239" s="1">
        <v>3</v>
      </c>
      <c r="F239" s="1">
        <v>28639.47</v>
      </c>
      <c r="G239" s="1">
        <v>0</v>
      </c>
    </row>
    <row r="240" spans="1:7" x14ac:dyDescent="0.3">
      <c r="A240" s="1" t="s">
        <v>3603</v>
      </c>
      <c r="B240" s="1" t="s">
        <v>47</v>
      </c>
      <c r="C240" s="41">
        <v>44737</v>
      </c>
      <c r="D240" s="1">
        <v>14</v>
      </c>
      <c r="E240" s="1">
        <v>1</v>
      </c>
      <c r="F240" s="1">
        <v>28542.55</v>
      </c>
      <c r="G240" s="1">
        <v>1</v>
      </c>
    </row>
    <row r="241" spans="1:7" x14ac:dyDescent="0.3">
      <c r="A241" s="1" t="s">
        <v>4400</v>
      </c>
      <c r="B241" s="1" t="s">
        <v>16</v>
      </c>
      <c r="C241" s="41">
        <v>44131</v>
      </c>
      <c r="D241" s="1">
        <v>9</v>
      </c>
      <c r="E241" s="1">
        <v>2</v>
      </c>
      <c r="F241" s="1">
        <v>28700.959999999999</v>
      </c>
      <c r="G241" s="1">
        <v>0</v>
      </c>
    </row>
    <row r="242" spans="1:7" x14ac:dyDescent="0.3">
      <c r="A242" s="1" t="s">
        <v>3425</v>
      </c>
      <c r="B242" s="1" t="s">
        <v>38</v>
      </c>
      <c r="C242" s="41">
        <v>44342</v>
      </c>
      <c r="D242" s="1">
        <v>12</v>
      </c>
      <c r="E242" s="1">
        <v>3</v>
      </c>
      <c r="F242" s="1">
        <v>25500.880000000001</v>
      </c>
      <c r="G242" s="1">
        <v>0</v>
      </c>
    </row>
    <row r="243" spans="1:7" x14ac:dyDescent="0.3">
      <c r="A243" s="1" t="s">
        <v>4076</v>
      </c>
      <c r="B243" s="1" t="s">
        <v>38</v>
      </c>
      <c r="C243" s="41">
        <v>44095</v>
      </c>
      <c r="D243" s="1">
        <v>8</v>
      </c>
      <c r="E243" s="1">
        <v>5</v>
      </c>
      <c r="F243" s="1">
        <v>28749.9</v>
      </c>
      <c r="G243" s="1">
        <v>1</v>
      </c>
    </row>
    <row r="244" spans="1:7" x14ac:dyDescent="0.3">
      <c r="A244" s="1" t="s">
        <v>3439</v>
      </c>
      <c r="B244" s="1" t="s">
        <v>43</v>
      </c>
      <c r="C244" s="41">
        <v>45549</v>
      </c>
      <c r="D244" s="1">
        <v>13</v>
      </c>
      <c r="E244" s="1">
        <v>2</v>
      </c>
      <c r="F244" s="1">
        <v>29585.27</v>
      </c>
      <c r="G244" s="1">
        <v>0</v>
      </c>
    </row>
    <row r="245" spans="1:7" x14ac:dyDescent="0.3">
      <c r="A245" s="1" t="s">
        <v>3477</v>
      </c>
      <c r="B245" s="1" t="s">
        <v>38</v>
      </c>
      <c r="C245" s="41">
        <v>45800</v>
      </c>
      <c r="D245" s="1">
        <v>7</v>
      </c>
      <c r="E245" s="1">
        <v>2</v>
      </c>
      <c r="F245" s="1">
        <v>29096.18</v>
      </c>
      <c r="G245" s="1">
        <v>0</v>
      </c>
    </row>
    <row r="246" spans="1:7" x14ac:dyDescent="0.3">
      <c r="A246" s="1" t="s">
        <v>3494</v>
      </c>
      <c r="B246" s="1" t="s">
        <v>16</v>
      </c>
      <c r="C246" s="41">
        <v>44231</v>
      </c>
      <c r="D246" s="1">
        <v>12</v>
      </c>
      <c r="E246" s="1">
        <v>2</v>
      </c>
      <c r="F246" s="1">
        <v>30035.74</v>
      </c>
      <c r="G246" s="1">
        <v>1</v>
      </c>
    </row>
    <row r="247" spans="1:7" x14ac:dyDescent="0.3">
      <c r="A247" s="1" t="s">
        <v>3762</v>
      </c>
      <c r="B247" s="1" t="s">
        <v>16</v>
      </c>
      <c r="C247" s="41">
        <v>44651</v>
      </c>
      <c r="D247" s="1">
        <v>9</v>
      </c>
      <c r="E247" s="1">
        <v>3</v>
      </c>
      <c r="F247" s="1">
        <v>30453.599999999999</v>
      </c>
      <c r="G247" s="1">
        <v>2</v>
      </c>
    </row>
    <row r="248" spans="1:7" x14ac:dyDescent="0.3">
      <c r="A248" s="1" t="s">
        <v>3357</v>
      </c>
      <c r="B248" s="1" t="s">
        <v>25</v>
      </c>
      <c r="C248" s="41">
        <v>45870</v>
      </c>
      <c r="D248" s="1">
        <v>7</v>
      </c>
      <c r="E248" s="1">
        <v>2</v>
      </c>
      <c r="F248" s="1">
        <v>28373.13</v>
      </c>
      <c r="G248" s="1">
        <v>0</v>
      </c>
    </row>
    <row r="249" spans="1:7" x14ac:dyDescent="0.3">
      <c r="A249" s="1" t="s">
        <v>3629</v>
      </c>
      <c r="B249" s="1" t="s">
        <v>16</v>
      </c>
      <c r="C249" s="41">
        <v>44377</v>
      </c>
      <c r="D249" s="1">
        <v>13</v>
      </c>
      <c r="E249" s="1">
        <v>6</v>
      </c>
      <c r="F249" s="1">
        <v>29506.68</v>
      </c>
      <c r="G249" s="1">
        <v>0</v>
      </c>
    </row>
    <row r="250" spans="1:7" x14ac:dyDescent="0.3">
      <c r="A250" s="1" t="s">
        <v>4505</v>
      </c>
      <c r="B250" s="1" t="s">
        <v>25</v>
      </c>
      <c r="C250" s="41">
        <v>44189</v>
      </c>
      <c r="D250" s="1">
        <v>8</v>
      </c>
      <c r="E250" s="1">
        <v>2</v>
      </c>
      <c r="F250" s="1">
        <v>28685.66</v>
      </c>
      <c r="G250" s="1">
        <v>0</v>
      </c>
    </row>
    <row r="251" spans="1:7" x14ac:dyDescent="0.3">
      <c r="A251" s="1" t="s">
        <v>3574</v>
      </c>
      <c r="B251" s="1" t="s">
        <v>43</v>
      </c>
      <c r="C251" s="41">
        <v>45463</v>
      </c>
      <c r="D251" s="1">
        <v>7</v>
      </c>
      <c r="E251" s="1">
        <v>3</v>
      </c>
      <c r="F251" s="1">
        <v>25877.73</v>
      </c>
      <c r="G251" s="1">
        <v>0</v>
      </c>
    </row>
    <row r="252" spans="1:7" x14ac:dyDescent="0.3">
      <c r="A252" s="1" t="s">
        <v>3479</v>
      </c>
      <c r="B252" s="1" t="s">
        <v>25</v>
      </c>
      <c r="C252" s="41">
        <v>45282</v>
      </c>
      <c r="D252" s="1">
        <v>9</v>
      </c>
      <c r="E252" s="1">
        <v>5</v>
      </c>
      <c r="F252" s="1">
        <v>29591.83</v>
      </c>
      <c r="G252" s="1">
        <v>0</v>
      </c>
    </row>
    <row r="253" spans="1:7" x14ac:dyDescent="0.3">
      <c r="A253" s="1" t="s">
        <v>4343</v>
      </c>
      <c r="B253" s="1" t="s">
        <v>25</v>
      </c>
      <c r="C253" s="41">
        <v>45248</v>
      </c>
      <c r="D253" s="1">
        <v>7</v>
      </c>
      <c r="E253" s="1">
        <v>1</v>
      </c>
      <c r="F253" s="1">
        <v>28833.72</v>
      </c>
      <c r="G253" s="1">
        <v>1</v>
      </c>
    </row>
    <row r="254" spans="1:7" x14ac:dyDescent="0.3">
      <c r="A254" s="1" t="s">
        <v>4771</v>
      </c>
      <c r="B254" s="1" t="s">
        <v>38</v>
      </c>
      <c r="C254" s="41">
        <v>45724</v>
      </c>
      <c r="D254" s="1">
        <v>7</v>
      </c>
      <c r="E254" s="1">
        <v>0</v>
      </c>
      <c r="F254" s="1">
        <v>27407.96</v>
      </c>
      <c r="G254" s="1">
        <v>1</v>
      </c>
    </row>
    <row r="255" spans="1:7" x14ac:dyDescent="0.3">
      <c r="A255" s="1" t="s">
        <v>3758</v>
      </c>
      <c r="B255" s="1" t="s">
        <v>47</v>
      </c>
      <c r="C255" s="41">
        <v>44182</v>
      </c>
      <c r="D255" s="1">
        <v>10</v>
      </c>
      <c r="E255" s="1">
        <v>1</v>
      </c>
      <c r="F255" s="1">
        <v>26749.5</v>
      </c>
      <c r="G255" s="1">
        <v>1</v>
      </c>
    </row>
    <row r="256" spans="1:7" x14ac:dyDescent="0.3">
      <c r="A256" s="1" t="s">
        <v>4282</v>
      </c>
      <c r="B256" s="1" t="s">
        <v>22</v>
      </c>
      <c r="C256" s="41">
        <v>45230</v>
      </c>
      <c r="D256" s="1">
        <v>9</v>
      </c>
      <c r="E256" s="1">
        <v>1</v>
      </c>
      <c r="F256" s="1">
        <v>26788.19</v>
      </c>
      <c r="G256" s="1">
        <v>0</v>
      </c>
    </row>
    <row r="257" spans="1:7" x14ac:dyDescent="0.3">
      <c r="A257" s="1" t="s">
        <v>3826</v>
      </c>
      <c r="B257" s="1" t="s">
        <v>16</v>
      </c>
      <c r="C257" s="41">
        <v>45379</v>
      </c>
      <c r="D257" s="1">
        <v>2</v>
      </c>
      <c r="E257" s="1">
        <v>0</v>
      </c>
      <c r="F257" s="1">
        <v>30196.17</v>
      </c>
      <c r="G257" s="1">
        <v>0</v>
      </c>
    </row>
    <row r="258" spans="1:7" x14ac:dyDescent="0.3">
      <c r="A258" s="1" t="s">
        <v>3332</v>
      </c>
      <c r="B258" s="1" t="s">
        <v>25</v>
      </c>
      <c r="C258" s="41">
        <v>45282</v>
      </c>
      <c r="D258" s="1">
        <v>8</v>
      </c>
      <c r="E258" s="1">
        <v>1</v>
      </c>
      <c r="F258" s="1">
        <v>29424.59</v>
      </c>
      <c r="G258" s="1">
        <v>0</v>
      </c>
    </row>
    <row r="259" spans="1:7" x14ac:dyDescent="0.3">
      <c r="A259" s="1" t="s">
        <v>3882</v>
      </c>
      <c r="B259" s="1" t="s">
        <v>25</v>
      </c>
      <c r="C259" s="41">
        <v>45026</v>
      </c>
      <c r="D259" s="1">
        <v>10</v>
      </c>
      <c r="E259" s="1">
        <v>3</v>
      </c>
      <c r="F259" s="1">
        <v>31039.84</v>
      </c>
      <c r="G259" s="1">
        <v>0</v>
      </c>
    </row>
    <row r="260" spans="1:7" x14ac:dyDescent="0.3">
      <c r="A260" s="1" t="s">
        <v>3500</v>
      </c>
      <c r="B260" s="1" t="s">
        <v>38</v>
      </c>
      <c r="C260" s="41">
        <v>44616</v>
      </c>
      <c r="D260" s="1">
        <v>10</v>
      </c>
      <c r="E260" s="1">
        <v>2</v>
      </c>
      <c r="F260" s="1">
        <v>30204.87</v>
      </c>
      <c r="G260" s="1">
        <v>1</v>
      </c>
    </row>
    <row r="261" spans="1:7" x14ac:dyDescent="0.3">
      <c r="A261" s="1" t="s">
        <v>3601</v>
      </c>
      <c r="B261" s="1" t="s">
        <v>47</v>
      </c>
      <c r="C261" s="41">
        <v>44811</v>
      </c>
      <c r="D261" s="1">
        <v>8</v>
      </c>
      <c r="E261" s="1">
        <v>4</v>
      </c>
      <c r="F261" s="1">
        <v>30970.87</v>
      </c>
      <c r="G261" s="1">
        <v>0</v>
      </c>
    </row>
    <row r="262" spans="1:7" x14ac:dyDescent="0.3">
      <c r="A262" s="1" t="s">
        <v>3627</v>
      </c>
      <c r="B262" s="1" t="s">
        <v>38</v>
      </c>
      <c r="C262" s="41">
        <v>45320</v>
      </c>
      <c r="D262" s="1">
        <v>10</v>
      </c>
      <c r="E262" s="1">
        <v>6</v>
      </c>
      <c r="F262" s="1">
        <v>29237.02</v>
      </c>
      <c r="G262" s="1">
        <v>0</v>
      </c>
    </row>
    <row r="263" spans="1:7" x14ac:dyDescent="0.3">
      <c r="A263" s="1" t="s">
        <v>3760</v>
      </c>
      <c r="B263" s="1" t="s">
        <v>16</v>
      </c>
      <c r="C263" s="41">
        <v>45087</v>
      </c>
      <c r="D263" s="1">
        <v>7</v>
      </c>
      <c r="E263" s="1">
        <v>3</v>
      </c>
      <c r="F263" s="1">
        <v>28491.61</v>
      </c>
      <c r="G263" s="1">
        <v>0</v>
      </c>
    </row>
    <row r="264" spans="1:7" x14ac:dyDescent="0.3">
      <c r="A264" s="1" t="s">
        <v>3729</v>
      </c>
      <c r="B264" s="1" t="s">
        <v>16</v>
      </c>
      <c r="C264" s="41">
        <v>44632</v>
      </c>
      <c r="D264" s="1">
        <v>14</v>
      </c>
      <c r="E264" s="1">
        <v>4</v>
      </c>
      <c r="F264" s="1">
        <v>27899.77</v>
      </c>
      <c r="G264" s="1">
        <v>1</v>
      </c>
    </row>
    <row r="265" spans="1:7" x14ac:dyDescent="0.3">
      <c r="A265" s="1" t="s">
        <v>3365</v>
      </c>
      <c r="B265" s="1" t="s">
        <v>38</v>
      </c>
      <c r="C265" s="41">
        <v>45433</v>
      </c>
      <c r="D265" s="1">
        <v>10</v>
      </c>
      <c r="E265" s="1">
        <v>4</v>
      </c>
      <c r="F265" s="1">
        <v>26205.84</v>
      </c>
      <c r="G265" s="1">
        <v>1</v>
      </c>
    </row>
    <row r="266" spans="1:7" x14ac:dyDescent="0.3">
      <c r="A266" s="1" t="s">
        <v>4524</v>
      </c>
      <c r="B266" s="1" t="s">
        <v>43</v>
      </c>
      <c r="C266" s="41">
        <v>45737</v>
      </c>
      <c r="D266" s="1">
        <v>7</v>
      </c>
      <c r="E266" s="1">
        <v>1</v>
      </c>
      <c r="F266" s="1">
        <v>29479.58</v>
      </c>
      <c r="G266" s="1">
        <v>0</v>
      </c>
    </row>
    <row r="267" spans="1:7" x14ac:dyDescent="0.3">
      <c r="A267" s="1" t="s">
        <v>3579</v>
      </c>
      <c r="B267" s="1" t="s">
        <v>47</v>
      </c>
      <c r="C267" s="41">
        <v>44091</v>
      </c>
      <c r="D267" s="1">
        <v>9</v>
      </c>
      <c r="E267" s="1">
        <v>3</v>
      </c>
      <c r="F267" s="1">
        <v>29676.51</v>
      </c>
      <c r="G267" s="1">
        <v>2</v>
      </c>
    </row>
    <row r="268" spans="1:7" x14ac:dyDescent="0.3">
      <c r="A268" s="1" t="s">
        <v>3772</v>
      </c>
      <c r="B268" s="1" t="s">
        <v>16</v>
      </c>
      <c r="C268" s="41">
        <v>44587</v>
      </c>
      <c r="D268" s="1">
        <v>8</v>
      </c>
      <c r="E268" s="1">
        <v>3</v>
      </c>
      <c r="F268" s="1">
        <v>27997.93</v>
      </c>
      <c r="G268" s="1">
        <v>0</v>
      </c>
    </row>
    <row r="269" spans="1:7" x14ac:dyDescent="0.3">
      <c r="A269" s="1" t="s">
        <v>4132</v>
      </c>
      <c r="B269" s="1" t="s">
        <v>25</v>
      </c>
      <c r="C269" s="41">
        <v>45040</v>
      </c>
      <c r="D269" s="1">
        <v>12</v>
      </c>
      <c r="E269" s="1">
        <v>1</v>
      </c>
      <c r="F269" s="1">
        <v>27803.55</v>
      </c>
      <c r="G269" s="1">
        <v>2</v>
      </c>
    </row>
    <row r="270" spans="1:7" x14ac:dyDescent="0.3">
      <c r="A270" s="1" t="s">
        <v>3660</v>
      </c>
      <c r="B270" s="1" t="s">
        <v>38</v>
      </c>
      <c r="C270" s="41">
        <v>45757</v>
      </c>
      <c r="D270" s="1">
        <v>12</v>
      </c>
      <c r="E270" s="1">
        <v>6</v>
      </c>
      <c r="F270" s="1">
        <v>29903.3</v>
      </c>
      <c r="G270" s="1">
        <v>0</v>
      </c>
    </row>
    <row r="271" spans="1:7" x14ac:dyDescent="0.3">
      <c r="A271" s="1" t="s">
        <v>3914</v>
      </c>
      <c r="B271" s="1" t="s">
        <v>43</v>
      </c>
      <c r="C271" s="41">
        <v>45355</v>
      </c>
      <c r="D271" s="1">
        <v>2</v>
      </c>
      <c r="E271" s="1">
        <v>2</v>
      </c>
      <c r="F271" s="1">
        <v>31648.52</v>
      </c>
      <c r="G271" s="1">
        <v>2</v>
      </c>
    </row>
    <row r="272" spans="1:7" x14ac:dyDescent="0.3">
      <c r="A272" s="1" t="s">
        <v>3824</v>
      </c>
      <c r="B272" s="1" t="s">
        <v>43</v>
      </c>
      <c r="C272" s="41">
        <v>44891</v>
      </c>
      <c r="D272" s="1">
        <v>10</v>
      </c>
      <c r="E272" s="1">
        <v>2</v>
      </c>
      <c r="F272" s="1">
        <v>30733.439999999999</v>
      </c>
      <c r="G272" s="1">
        <v>0</v>
      </c>
    </row>
    <row r="273" spans="1:7" x14ac:dyDescent="0.3">
      <c r="A273" s="1" t="s">
        <v>3931</v>
      </c>
      <c r="B273" s="1" t="s">
        <v>43</v>
      </c>
      <c r="C273" s="41">
        <v>44451</v>
      </c>
      <c r="D273" s="1">
        <v>9</v>
      </c>
      <c r="E273" s="1">
        <v>1</v>
      </c>
      <c r="F273" s="1">
        <v>28064.14</v>
      </c>
      <c r="G273" s="1">
        <v>0</v>
      </c>
    </row>
    <row r="274" spans="1:7" x14ac:dyDescent="0.3">
      <c r="A274" s="1" t="s">
        <v>3939</v>
      </c>
      <c r="B274" s="1" t="s">
        <v>38</v>
      </c>
      <c r="C274" s="41">
        <v>45071</v>
      </c>
      <c r="D274" s="1">
        <v>5</v>
      </c>
      <c r="E274" s="1">
        <v>2</v>
      </c>
      <c r="F274" s="1">
        <v>25244.98</v>
      </c>
      <c r="G274" s="1">
        <v>1</v>
      </c>
    </row>
    <row r="275" spans="1:7" x14ac:dyDescent="0.3">
      <c r="A275" s="1" t="s">
        <v>3557</v>
      </c>
      <c r="B275" s="1" t="s">
        <v>22</v>
      </c>
      <c r="C275" s="41">
        <v>45516</v>
      </c>
      <c r="D275" s="1">
        <v>12</v>
      </c>
      <c r="E275" s="1">
        <v>3</v>
      </c>
      <c r="F275" s="1">
        <v>25090.560000000001</v>
      </c>
      <c r="G275" s="1">
        <v>2</v>
      </c>
    </row>
    <row r="276" spans="1:7" x14ac:dyDescent="0.3">
      <c r="A276" s="1" t="s">
        <v>3723</v>
      </c>
      <c r="B276" s="1" t="s">
        <v>47</v>
      </c>
      <c r="C276" s="41">
        <v>45267</v>
      </c>
      <c r="D276" s="1">
        <v>7</v>
      </c>
      <c r="E276" s="1">
        <v>3</v>
      </c>
      <c r="F276" s="1">
        <v>24269.32</v>
      </c>
      <c r="G276" s="1">
        <v>1</v>
      </c>
    </row>
    <row r="277" spans="1:7" x14ac:dyDescent="0.3">
      <c r="A277" s="1" t="s">
        <v>3570</v>
      </c>
      <c r="B277" s="1" t="s">
        <v>22</v>
      </c>
      <c r="C277" s="41">
        <v>45350</v>
      </c>
      <c r="D277" s="1">
        <v>14</v>
      </c>
      <c r="E277" s="1">
        <v>4</v>
      </c>
      <c r="F277" s="1">
        <v>30799.16</v>
      </c>
      <c r="G277" s="1">
        <v>1</v>
      </c>
    </row>
    <row r="278" spans="1:7" x14ac:dyDescent="0.3">
      <c r="A278" s="1" t="s">
        <v>3653</v>
      </c>
      <c r="B278" s="1" t="s">
        <v>43</v>
      </c>
      <c r="C278" s="41">
        <v>45697</v>
      </c>
      <c r="D278" s="1">
        <v>13</v>
      </c>
      <c r="E278" s="1">
        <v>6</v>
      </c>
      <c r="F278" s="1">
        <v>27390.3</v>
      </c>
      <c r="G278" s="1">
        <v>0</v>
      </c>
    </row>
    <row r="279" spans="1:7" x14ac:dyDescent="0.3">
      <c r="A279" s="1" t="s">
        <v>3840</v>
      </c>
      <c r="B279" s="1" t="s">
        <v>25</v>
      </c>
      <c r="C279" s="41">
        <v>45504</v>
      </c>
      <c r="D279" s="1">
        <v>10</v>
      </c>
      <c r="E279" s="1">
        <v>2</v>
      </c>
      <c r="F279" s="1">
        <v>27887.84</v>
      </c>
      <c r="G279" s="1">
        <v>1</v>
      </c>
    </row>
    <row r="280" spans="1:7" x14ac:dyDescent="0.3">
      <c r="A280" s="1" t="s">
        <v>3453</v>
      </c>
      <c r="B280" s="1" t="s">
        <v>25</v>
      </c>
      <c r="C280" s="41">
        <v>44815</v>
      </c>
      <c r="D280" s="1">
        <v>16</v>
      </c>
      <c r="E280" s="1">
        <v>4</v>
      </c>
      <c r="F280" s="1">
        <v>26425.29</v>
      </c>
      <c r="G280" s="1">
        <v>2</v>
      </c>
    </row>
    <row r="281" spans="1:7" x14ac:dyDescent="0.3">
      <c r="A281" s="1" t="s">
        <v>3858</v>
      </c>
      <c r="B281" s="1" t="s">
        <v>22</v>
      </c>
      <c r="C281" s="41">
        <v>44437</v>
      </c>
      <c r="D281" s="1">
        <v>11</v>
      </c>
      <c r="E281" s="1">
        <v>2</v>
      </c>
      <c r="F281" s="1">
        <v>29861.9</v>
      </c>
      <c r="G281" s="1">
        <v>0</v>
      </c>
    </row>
    <row r="282" spans="1:7" x14ac:dyDescent="0.3">
      <c r="A282" s="1" t="s">
        <v>3643</v>
      </c>
      <c r="B282" s="1" t="s">
        <v>43</v>
      </c>
      <c r="C282" s="41">
        <v>44627</v>
      </c>
      <c r="D282" s="1">
        <v>14</v>
      </c>
      <c r="E282" s="1">
        <v>4</v>
      </c>
      <c r="F282" s="1">
        <v>30007.39</v>
      </c>
      <c r="G282" s="1">
        <v>0</v>
      </c>
    </row>
    <row r="283" spans="1:7" x14ac:dyDescent="0.3">
      <c r="A283" s="1" t="s">
        <v>4116</v>
      </c>
      <c r="B283" s="1" t="s">
        <v>43</v>
      </c>
      <c r="C283" s="41">
        <v>44144</v>
      </c>
      <c r="D283" s="1">
        <v>7</v>
      </c>
      <c r="E283" s="1">
        <v>2</v>
      </c>
      <c r="F283" s="1">
        <v>28845.21</v>
      </c>
      <c r="G283" s="1">
        <v>0</v>
      </c>
    </row>
    <row r="284" spans="1:7" x14ac:dyDescent="0.3">
      <c r="A284" s="1" t="s">
        <v>3821</v>
      </c>
      <c r="B284" s="1" t="s">
        <v>25</v>
      </c>
      <c r="C284" s="41">
        <v>44687</v>
      </c>
      <c r="D284" s="1">
        <v>4</v>
      </c>
      <c r="E284" s="1">
        <v>1</v>
      </c>
      <c r="F284" s="1">
        <v>28234.3</v>
      </c>
      <c r="G284" s="1">
        <v>1</v>
      </c>
    </row>
    <row r="285" spans="1:7" x14ac:dyDescent="0.3">
      <c r="A285" s="1" t="s">
        <v>3749</v>
      </c>
      <c r="B285" s="1" t="s">
        <v>25</v>
      </c>
      <c r="C285" s="41">
        <v>45401</v>
      </c>
      <c r="D285" s="1">
        <v>12</v>
      </c>
      <c r="E285" s="1">
        <v>2</v>
      </c>
      <c r="F285" s="1">
        <v>30270.91</v>
      </c>
      <c r="G285" s="1">
        <v>5</v>
      </c>
    </row>
    <row r="286" spans="1:7" x14ac:dyDescent="0.3">
      <c r="A286" s="1" t="s">
        <v>3751</v>
      </c>
      <c r="B286" s="1" t="s">
        <v>16</v>
      </c>
      <c r="C286" s="41">
        <v>45428</v>
      </c>
      <c r="D286" s="1">
        <v>17</v>
      </c>
      <c r="E286" s="1">
        <v>4</v>
      </c>
      <c r="F286" s="1">
        <v>28102.41</v>
      </c>
      <c r="G286" s="1">
        <v>0</v>
      </c>
    </row>
    <row r="287" spans="1:7" x14ac:dyDescent="0.3">
      <c r="A287" s="1" t="s">
        <v>3667</v>
      </c>
      <c r="B287" s="1" t="s">
        <v>38</v>
      </c>
      <c r="C287" s="41">
        <v>44307</v>
      </c>
      <c r="D287" s="1">
        <v>5</v>
      </c>
      <c r="E287" s="1">
        <v>3</v>
      </c>
      <c r="F287" s="1">
        <v>31863.74</v>
      </c>
      <c r="G287" s="1">
        <v>1</v>
      </c>
    </row>
    <row r="288" spans="1:7" x14ac:dyDescent="0.3">
      <c r="A288" s="1" t="s">
        <v>3553</v>
      </c>
      <c r="B288" s="1" t="s">
        <v>47</v>
      </c>
      <c r="C288" s="41">
        <v>45888</v>
      </c>
      <c r="D288" s="1">
        <v>8</v>
      </c>
      <c r="E288" s="1">
        <v>3</v>
      </c>
      <c r="F288" s="1">
        <v>27151.87</v>
      </c>
      <c r="G288" s="1">
        <v>0</v>
      </c>
    </row>
    <row r="289" spans="1:7" x14ac:dyDescent="0.3">
      <c r="A289" s="1" t="s">
        <v>3565</v>
      </c>
      <c r="B289" s="1" t="s">
        <v>25</v>
      </c>
      <c r="C289" s="41">
        <v>44595</v>
      </c>
      <c r="D289" s="1">
        <v>12</v>
      </c>
      <c r="E289" s="1">
        <v>4</v>
      </c>
      <c r="F289" s="1">
        <v>27379.26</v>
      </c>
      <c r="G289" s="1">
        <v>0</v>
      </c>
    </row>
    <row r="290" spans="1:7" x14ac:dyDescent="0.3">
      <c r="A290" s="1" t="s">
        <v>4106</v>
      </c>
      <c r="B290" s="1" t="s">
        <v>47</v>
      </c>
      <c r="C290" s="41">
        <v>44246</v>
      </c>
      <c r="D290" s="1">
        <v>11</v>
      </c>
      <c r="E290" s="1">
        <v>4</v>
      </c>
      <c r="F290" s="1">
        <v>28818.73</v>
      </c>
      <c r="G290" s="1">
        <v>0</v>
      </c>
    </row>
    <row r="291" spans="1:7" x14ac:dyDescent="0.3">
      <c r="A291" s="1" t="s">
        <v>3483</v>
      </c>
      <c r="B291" s="1" t="s">
        <v>47</v>
      </c>
      <c r="C291" s="41">
        <v>45084</v>
      </c>
      <c r="D291" s="1">
        <v>13</v>
      </c>
      <c r="E291" s="1">
        <v>4</v>
      </c>
      <c r="F291" s="1">
        <v>26062.49</v>
      </c>
      <c r="G291" s="1">
        <v>0</v>
      </c>
    </row>
    <row r="292" spans="1:7" x14ac:dyDescent="0.3">
      <c r="A292" s="1" t="s">
        <v>3581</v>
      </c>
      <c r="B292" s="1" t="s">
        <v>43</v>
      </c>
      <c r="C292" s="41">
        <v>45028</v>
      </c>
      <c r="D292" s="1">
        <v>12</v>
      </c>
      <c r="E292" s="1">
        <v>6</v>
      </c>
      <c r="F292" s="1">
        <v>28213.84</v>
      </c>
      <c r="G292" s="1">
        <v>0</v>
      </c>
    </row>
    <row r="293" spans="1:7" x14ac:dyDescent="0.3">
      <c r="A293" s="1" t="s">
        <v>3682</v>
      </c>
      <c r="B293" s="1" t="s">
        <v>22</v>
      </c>
      <c r="C293" s="41">
        <v>45459</v>
      </c>
      <c r="D293" s="1">
        <v>4</v>
      </c>
      <c r="E293" s="1">
        <v>0</v>
      </c>
      <c r="F293" s="1">
        <v>32272.75</v>
      </c>
      <c r="G293" s="1">
        <v>0</v>
      </c>
    </row>
    <row r="294" spans="1:7" x14ac:dyDescent="0.3">
      <c r="A294" s="1" t="s">
        <v>4173</v>
      </c>
      <c r="B294" s="1" t="s">
        <v>43</v>
      </c>
      <c r="C294" s="41">
        <v>44369</v>
      </c>
      <c r="D294" s="1">
        <v>8</v>
      </c>
      <c r="E294" s="1">
        <v>1</v>
      </c>
      <c r="F294" s="1">
        <v>24887.13</v>
      </c>
      <c r="G294" s="1">
        <v>0</v>
      </c>
    </row>
    <row r="295" spans="1:7" x14ac:dyDescent="0.3">
      <c r="A295" s="1" t="s">
        <v>4220</v>
      </c>
      <c r="B295" s="1" t="s">
        <v>47</v>
      </c>
      <c r="C295" s="41">
        <v>44127</v>
      </c>
      <c r="D295" s="1">
        <v>9</v>
      </c>
      <c r="E295" s="1">
        <v>1</v>
      </c>
      <c r="F295" s="1">
        <v>26907.78</v>
      </c>
      <c r="G295" s="1">
        <v>1</v>
      </c>
    </row>
    <row r="296" spans="1:7" x14ac:dyDescent="0.3">
      <c r="A296" s="1" t="s">
        <v>3435</v>
      </c>
      <c r="B296" s="1" t="s">
        <v>22</v>
      </c>
      <c r="C296" s="41">
        <v>45531</v>
      </c>
      <c r="D296" s="1">
        <v>8</v>
      </c>
      <c r="E296" s="1">
        <v>2</v>
      </c>
      <c r="F296" s="1">
        <v>27253.31</v>
      </c>
      <c r="G296" s="1">
        <v>0</v>
      </c>
    </row>
    <row r="297" spans="1:7" x14ac:dyDescent="0.3">
      <c r="A297" s="1" t="s">
        <v>3524</v>
      </c>
      <c r="B297" s="1" t="s">
        <v>22</v>
      </c>
      <c r="C297" s="41">
        <v>45158</v>
      </c>
      <c r="D297" s="1">
        <v>4</v>
      </c>
      <c r="E297" s="1">
        <v>0</v>
      </c>
      <c r="F297" s="1">
        <v>24727.55</v>
      </c>
      <c r="G297" s="1">
        <v>0</v>
      </c>
    </row>
    <row r="298" spans="1:7" x14ac:dyDescent="0.3">
      <c r="A298" s="1" t="s">
        <v>3725</v>
      </c>
      <c r="B298" s="1" t="s">
        <v>22</v>
      </c>
      <c r="C298" s="41">
        <v>44517</v>
      </c>
      <c r="D298" s="1">
        <v>9</v>
      </c>
      <c r="E298" s="1">
        <v>4</v>
      </c>
      <c r="F298" s="1">
        <v>28488.01</v>
      </c>
      <c r="G298" s="1">
        <v>0</v>
      </c>
    </row>
    <row r="299" spans="1:7" x14ac:dyDescent="0.3">
      <c r="A299" s="1" t="s">
        <v>3843</v>
      </c>
      <c r="B299" s="1" t="s">
        <v>22</v>
      </c>
      <c r="C299" s="41">
        <v>45490</v>
      </c>
      <c r="D299" s="1">
        <v>9</v>
      </c>
      <c r="E299" s="1">
        <v>1</v>
      </c>
      <c r="F299" s="1">
        <v>28813.52</v>
      </c>
      <c r="G299" s="1">
        <v>0</v>
      </c>
    </row>
    <row r="300" spans="1:7" x14ac:dyDescent="0.3">
      <c r="A300" s="1" t="s">
        <v>3481</v>
      </c>
      <c r="B300" s="1" t="s">
        <v>47</v>
      </c>
      <c r="C300" s="41">
        <v>45403</v>
      </c>
      <c r="D300" s="1">
        <v>14</v>
      </c>
      <c r="E300" s="1">
        <v>3</v>
      </c>
      <c r="F300" s="1">
        <v>28643.35</v>
      </c>
      <c r="G300" s="1">
        <v>4</v>
      </c>
    </row>
    <row r="301" spans="1:7" x14ac:dyDescent="0.3">
      <c r="A301" s="1" t="s">
        <v>3351</v>
      </c>
      <c r="B301" s="1" t="s">
        <v>25</v>
      </c>
      <c r="C301" s="41">
        <v>45879</v>
      </c>
      <c r="D301" s="1">
        <v>12</v>
      </c>
      <c r="E301" s="1">
        <v>1</v>
      </c>
      <c r="F301" s="1">
        <v>29429.200000000001</v>
      </c>
      <c r="G301" s="1">
        <v>1</v>
      </c>
    </row>
  </sheetData>
  <autoFilter ref="A1:G301" xr:uid="{79659BF6-C280-4141-9A2A-9D9C99779D1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BF7D-8FA0-462B-A3F6-84E29B0C28EF}">
  <dimension ref="A1:K1001"/>
  <sheetViews>
    <sheetView topLeftCell="A977" workbookViewId="0">
      <selection activeCell="K10" sqref="K10"/>
    </sheetView>
  </sheetViews>
  <sheetFormatPr defaultRowHeight="14.4" x14ac:dyDescent="0.3"/>
  <cols>
    <col min="1" max="1" width="13.44140625" bestFit="1" customWidth="1"/>
    <col min="2" max="2" width="13.5546875" bestFit="1" customWidth="1"/>
    <col min="3" max="3" width="16.5546875" style="38" bestFit="1" customWidth="1"/>
    <col min="4" max="4" width="41.6640625" bestFit="1" customWidth="1"/>
    <col min="5" max="5" width="18.44140625" bestFit="1" customWidth="1"/>
    <col min="6" max="6" width="17.109375" bestFit="1" customWidth="1"/>
    <col min="7" max="7" width="15.5546875" bestFit="1" customWidth="1"/>
    <col min="8" max="8" width="18.33203125" customWidth="1"/>
    <col min="10" max="10" width="19.77734375" bestFit="1" customWidth="1"/>
  </cols>
  <sheetData>
    <row r="1" spans="1:11" ht="15" thickBot="1" x14ac:dyDescent="0.35">
      <c r="A1" s="8" t="s">
        <v>7870</v>
      </c>
      <c r="B1" s="8" t="s">
        <v>0</v>
      </c>
      <c r="C1" s="39" t="s">
        <v>7871</v>
      </c>
      <c r="D1" s="8" t="s">
        <v>7872</v>
      </c>
      <c r="E1" s="8" t="s">
        <v>7873</v>
      </c>
      <c r="F1" s="8" t="s">
        <v>7874</v>
      </c>
      <c r="G1" s="8" t="s">
        <v>7875</v>
      </c>
      <c r="H1" s="8" t="s">
        <v>9307</v>
      </c>
      <c r="J1" s="30" t="s">
        <v>9308</v>
      </c>
      <c r="K1" s="31"/>
    </row>
    <row r="2" spans="1:11" x14ac:dyDescent="0.3">
      <c r="A2" s="6" t="s">
        <v>7876</v>
      </c>
      <c r="B2" s="6" t="s">
        <v>2364</v>
      </c>
      <c r="C2" s="40">
        <v>45829</v>
      </c>
      <c r="D2" s="6" t="s">
        <v>7877</v>
      </c>
      <c r="E2" s="6">
        <v>1</v>
      </c>
      <c r="F2" s="6" t="s">
        <v>30</v>
      </c>
      <c r="G2" s="6" t="s">
        <v>17</v>
      </c>
      <c r="H2" t="str">
        <f>IF(ISNA(_xlfn.XLOOKUP(B2, customer_master!$A$2:$A$1649, customer_master!$A$2:$A$1649)), "Orphan", "Valid")</f>
        <v>Valid</v>
      </c>
      <c r="J2" s="2" t="s">
        <v>9309</v>
      </c>
      <c r="K2" s="32">
        <f>COUNTA(H2:H1001)</f>
        <v>1000</v>
      </c>
    </row>
    <row r="3" spans="1:11" x14ac:dyDescent="0.3">
      <c r="A3" s="1" t="s">
        <v>7878</v>
      </c>
      <c r="B3" s="1" t="s">
        <v>346</v>
      </c>
      <c r="C3" s="41">
        <v>45523</v>
      </c>
      <c r="D3" s="1" t="s">
        <v>7879</v>
      </c>
      <c r="E3" s="1">
        <v>2</v>
      </c>
      <c r="F3" s="1" t="s">
        <v>17</v>
      </c>
      <c r="G3" s="1" t="s">
        <v>17</v>
      </c>
      <c r="H3" t="str">
        <f>IF(ISNA(_xlfn.XLOOKUP(B3, customer_master!$A$2:$A$1649, customer_master!$A$2:$A$1649)), "Orphan", "Valid")</f>
        <v>Valid</v>
      </c>
      <c r="J3" s="2" t="s">
        <v>9310</v>
      </c>
      <c r="K3" s="32">
        <f>COUNTIF(H2:H1001, "Valid")</f>
        <v>631</v>
      </c>
    </row>
    <row r="4" spans="1:11" x14ac:dyDescent="0.3">
      <c r="A4" s="1" t="s">
        <v>7880</v>
      </c>
      <c r="B4" s="1" t="s">
        <v>731</v>
      </c>
      <c r="C4" s="41">
        <v>45571</v>
      </c>
      <c r="D4" s="1" t="s">
        <v>7881</v>
      </c>
      <c r="E4" s="1">
        <v>4</v>
      </c>
      <c r="F4" s="1" t="s">
        <v>17</v>
      </c>
      <c r="G4" s="1" t="s">
        <v>17</v>
      </c>
      <c r="H4" t="str">
        <f>IF(ISNA(_xlfn.XLOOKUP(B4, customer_master!$A$2:$A$1649, customer_master!$A$2:$A$1649)), "Orphan", "Valid")</f>
        <v>Valid</v>
      </c>
      <c r="J4" s="42" t="s">
        <v>9311</v>
      </c>
      <c r="K4" s="43">
        <f>COUNTIF(H2:H1001, "Orphan")</f>
        <v>369</v>
      </c>
    </row>
    <row r="5" spans="1:11" ht="15" thickBot="1" x14ac:dyDescent="0.35">
      <c r="A5" s="1" t="s">
        <v>7882</v>
      </c>
      <c r="B5" s="1" t="s">
        <v>7883</v>
      </c>
      <c r="C5" s="41">
        <v>45288</v>
      </c>
      <c r="D5" s="1" t="s">
        <v>7884</v>
      </c>
      <c r="E5" s="1">
        <v>2</v>
      </c>
      <c r="F5" s="1" t="s">
        <v>30</v>
      </c>
      <c r="G5" s="1" t="s">
        <v>17</v>
      </c>
      <c r="H5" t="str">
        <f>IF(ISNA(_xlfn.XLOOKUP(B5, customer_master!$A$2:$A$1649, customer_master!$A$2:$A$1649)), "Orphan", "Valid")</f>
        <v>Orphan</v>
      </c>
      <c r="J5" s="3" t="s">
        <v>9320</v>
      </c>
      <c r="K5" s="33" cm="1">
        <f t="array" ref="K5">SUMPRODUCT(--(COUNTIF(A2:A1001, A2:A1001) &gt; 1))</f>
        <v>0</v>
      </c>
    </row>
    <row r="6" spans="1:11" x14ac:dyDescent="0.3">
      <c r="A6" s="1" t="s">
        <v>7885</v>
      </c>
      <c r="B6" s="1" t="s">
        <v>7886</v>
      </c>
      <c r="C6" s="41">
        <v>46142</v>
      </c>
      <c r="D6" s="1" t="s">
        <v>7887</v>
      </c>
      <c r="E6" s="1">
        <v>2</v>
      </c>
      <c r="F6" s="1" t="s">
        <v>17</v>
      </c>
      <c r="G6" s="1" t="s">
        <v>30</v>
      </c>
      <c r="H6" t="str">
        <f>IF(ISNA(_xlfn.XLOOKUP(B6, customer_master!$A$2:$A$1649, customer_master!$A$2:$A$1649)), "Orphan", "Valid")</f>
        <v>Orphan</v>
      </c>
    </row>
    <row r="7" spans="1:11" x14ac:dyDescent="0.3">
      <c r="A7" s="1" t="s">
        <v>7888</v>
      </c>
      <c r="B7" s="1" t="s">
        <v>1717</v>
      </c>
      <c r="C7" s="41">
        <v>46225</v>
      </c>
      <c r="D7" s="1" t="s">
        <v>7889</v>
      </c>
      <c r="E7" s="1">
        <v>4</v>
      </c>
      <c r="F7" s="1" t="s">
        <v>17</v>
      </c>
      <c r="G7" s="1" t="s">
        <v>17</v>
      </c>
      <c r="H7" t="str">
        <f>IF(ISNA(_xlfn.XLOOKUP(B7, customer_master!$A$2:$A$1649, customer_master!$A$2:$A$1649)), "Orphan", "Valid")</f>
        <v>Valid</v>
      </c>
    </row>
    <row r="8" spans="1:11" x14ac:dyDescent="0.3">
      <c r="A8" s="1" t="s">
        <v>7890</v>
      </c>
      <c r="B8" s="1" t="s">
        <v>2438</v>
      </c>
      <c r="C8" s="41">
        <v>46007</v>
      </c>
      <c r="D8" s="1" t="s">
        <v>7887</v>
      </c>
      <c r="E8" s="1">
        <v>2</v>
      </c>
      <c r="F8" s="1" t="s">
        <v>17</v>
      </c>
      <c r="G8" s="1" t="s">
        <v>30</v>
      </c>
      <c r="H8" t="str">
        <f>IF(ISNA(_xlfn.XLOOKUP(B8, customer_master!$A$2:$A$1649, customer_master!$A$2:$A$1649)), "Orphan", "Valid")</f>
        <v>Valid</v>
      </c>
    </row>
    <row r="9" spans="1:11" x14ac:dyDescent="0.3">
      <c r="A9" s="1" t="s">
        <v>7891</v>
      </c>
      <c r="B9" s="1" t="s">
        <v>7892</v>
      </c>
      <c r="C9" s="41">
        <v>45521</v>
      </c>
      <c r="D9" s="1" t="s">
        <v>7889</v>
      </c>
      <c r="E9" s="1">
        <v>5</v>
      </c>
      <c r="F9" s="1" t="s">
        <v>17</v>
      </c>
      <c r="G9" s="1" t="s">
        <v>30</v>
      </c>
      <c r="H9" t="str">
        <f>IF(ISNA(_xlfn.XLOOKUP(B9, customer_master!$A$2:$A$1649, customer_master!$A$2:$A$1649)), "Orphan", "Valid")</f>
        <v>Orphan</v>
      </c>
    </row>
    <row r="10" spans="1:11" x14ac:dyDescent="0.3">
      <c r="A10" s="1" t="s">
        <v>7893</v>
      </c>
      <c r="B10" s="1" t="s">
        <v>7894</v>
      </c>
      <c r="C10" s="41">
        <v>45760</v>
      </c>
      <c r="D10" s="1" t="s">
        <v>7884</v>
      </c>
      <c r="E10" s="1">
        <v>2</v>
      </c>
      <c r="F10" s="1" t="s">
        <v>30</v>
      </c>
      <c r="G10" s="1" t="s">
        <v>30</v>
      </c>
      <c r="H10" t="str">
        <f>IF(ISNA(_xlfn.XLOOKUP(B10, customer_master!$A$2:$A$1649, customer_master!$A$2:$A$1649)), "Orphan", "Valid")</f>
        <v>Orphan</v>
      </c>
    </row>
    <row r="11" spans="1:11" x14ac:dyDescent="0.3">
      <c r="A11" s="1" t="s">
        <v>7895</v>
      </c>
      <c r="B11" s="1" t="s">
        <v>3172</v>
      </c>
      <c r="C11" s="41">
        <v>45602</v>
      </c>
      <c r="D11" s="1" t="s">
        <v>7896</v>
      </c>
      <c r="E11" s="1">
        <v>4</v>
      </c>
      <c r="F11" s="1" t="s">
        <v>17</v>
      </c>
      <c r="G11" s="1" t="s">
        <v>30</v>
      </c>
      <c r="H11" t="str">
        <f>IF(ISNA(_xlfn.XLOOKUP(B11, customer_master!$A$2:$A$1649, customer_master!$A$2:$A$1649)), "Orphan", "Valid")</f>
        <v>Valid</v>
      </c>
    </row>
    <row r="12" spans="1:11" x14ac:dyDescent="0.3">
      <c r="A12" s="1" t="s">
        <v>7897</v>
      </c>
      <c r="B12" s="1" t="s">
        <v>7898</v>
      </c>
      <c r="C12" s="41">
        <v>46114</v>
      </c>
      <c r="D12" s="1" t="s">
        <v>7899</v>
      </c>
      <c r="E12" s="1">
        <v>2</v>
      </c>
      <c r="F12" s="1" t="s">
        <v>30</v>
      </c>
      <c r="G12" s="1" t="s">
        <v>17</v>
      </c>
      <c r="H12" t="str">
        <f>IF(ISNA(_xlfn.XLOOKUP(B12, customer_master!$A$2:$A$1649, customer_master!$A$2:$A$1649)), "Orphan", "Valid")</f>
        <v>Orphan</v>
      </c>
    </row>
    <row r="13" spans="1:11" x14ac:dyDescent="0.3">
      <c r="A13" s="1" t="s">
        <v>7900</v>
      </c>
      <c r="B13" s="1" t="s">
        <v>7901</v>
      </c>
      <c r="C13" s="41">
        <v>45715</v>
      </c>
      <c r="D13" s="1" t="s">
        <v>7887</v>
      </c>
      <c r="E13" s="1">
        <v>2</v>
      </c>
      <c r="F13" s="1" t="s">
        <v>30</v>
      </c>
      <c r="G13" s="1" t="s">
        <v>17</v>
      </c>
      <c r="H13" t="str">
        <f>IF(ISNA(_xlfn.XLOOKUP(B13, customer_master!$A$2:$A$1649, customer_master!$A$2:$A$1649)), "Orphan", "Valid")</f>
        <v>Orphan</v>
      </c>
    </row>
    <row r="14" spans="1:11" x14ac:dyDescent="0.3">
      <c r="A14" s="1" t="s">
        <v>7902</v>
      </c>
      <c r="B14" s="1" t="s">
        <v>415</v>
      </c>
      <c r="C14" s="41">
        <v>45681</v>
      </c>
      <c r="D14" s="1" t="s">
        <v>7889</v>
      </c>
      <c r="E14" s="1">
        <v>4</v>
      </c>
      <c r="F14" s="1" t="s">
        <v>30</v>
      </c>
      <c r="G14" s="1" t="s">
        <v>17</v>
      </c>
      <c r="H14" t="str">
        <f>IF(ISNA(_xlfn.XLOOKUP(B14, customer_master!$A$2:$A$1649, customer_master!$A$2:$A$1649)), "Orphan", "Valid")</f>
        <v>Valid</v>
      </c>
    </row>
    <row r="15" spans="1:11" x14ac:dyDescent="0.3">
      <c r="A15" s="1" t="s">
        <v>7903</v>
      </c>
      <c r="B15" s="1" t="s">
        <v>2516</v>
      </c>
      <c r="C15" s="41">
        <v>46078</v>
      </c>
      <c r="D15" s="1" t="s">
        <v>7889</v>
      </c>
      <c r="E15" s="1">
        <v>4</v>
      </c>
      <c r="F15" s="1" t="s">
        <v>17</v>
      </c>
      <c r="G15" s="1" t="s">
        <v>30</v>
      </c>
      <c r="H15" t="str">
        <f>IF(ISNA(_xlfn.XLOOKUP(B15, customer_master!$A$2:$A$1649, customer_master!$A$2:$A$1649)), "Orphan", "Valid")</f>
        <v>Valid</v>
      </c>
    </row>
    <row r="16" spans="1:11" x14ac:dyDescent="0.3">
      <c r="A16" s="1" t="s">
        <v>7904</v>
      </c>
      <c r="B16" s="1" t="s">
        <v>7905</v>
      </c>
      <c r="C16" s="41">
        <v>45665</v>
      </c>
      <c r="D16" s="1" t="s">
        <v>7906</v>
      </c>
      <c r="E16" s="1">
        <v>5</v>
      </c>
      <c r="F16" s="1" t="s">
        <v>30</v>
      </c>
      <c r="G16" s="1" t="s">
        <v>17</v>
      </c>
      <c r="H16" t="str">
        <f>IF(ISNA(_xlfn.XLOOKUP(B16, customer_master!$A$2:$A$1649, customer_master!$A$2:$A$1649)), "Orphan", "Valid")</f>
        <v>Orphan</v>
      </c>
    </row>
    <row r="17" spans="1:8" x14ac:dyDescent="0.3">
      <c r="A17" s="1" t="s">
        <v>7907</v>
      </c>
      <c r="B17" s="1" t="s">
        <v>7908</v>
      </c>
      <c r="C17" s="41">
        <v>46185</v>
      </c>
      <c r="D17" s="1" t="s">
        <v>7896</v>
      </c>
      <c r="E17" s="1">
        <v>5</v>
      </c>
      <c r="F17" s="1" t="s">
        <v>17</v>
      </c>
      <c r="G17" s="1" t="s">
        <v>17</v>
      </c>
      <c r="H17" t="str">
        <f>IF(ISNA(_xlfn.XLOOKUP(B17, customer_master!$A$2:$A$1649, customer_master!$A$2:$A$1649)), "Orphan", "Valid")</f>
        <v>Orphan</v>
      </c>
    </row>
    <row r="18" spans="1:8" x14ac:dyDescent="0.3">
      <c r="A18" s="1" t="s">
        <v>7909</v>
      </c>
      <c r="B18" s="1" t="s">
        <v>7910</v>
      </c>
      <c r="C18" s="41">
        <v>45367</v>
      </c>
      <c r="D18" s="1" t="s">
        <v>7906</v>
      </c>
      <c r="E18" s="1">
        <v>5</v>
      </c>
      <c r="F18" s="1" t="s">
        <v>17</v>
      </c>
      <c r="G18" s="1" t="s">
        <v>30</v>
      </c>
      <c r="H18" t="str">
        <f>IF(ISNA(_xlfn.XLOOKUP(B18, customer_master!$A$2:$A$1649, customer_master!$A$2:$A$1649)), "Orphan", "Valid")</f>
        <v>Orphan</v>
      </c>
    </row>
    <row r="19" spans="1:8" x14ac:dyDescent="0.3">
      <c r="A19" s="1" t="s">
        <v>7911</v>
      </c>
      <c r="B19" s="1" t="s">
        <v>584</v>
      </c>
      <c r="C19" s="41">
        <v>45489</v>
      </c>
      <c r="D19" s="1" t="s">
        <v>7912</v>
      </c>
      <c r="E19" s="1">
        <v>4</v>
      </c>
      <c r="F19" s="1" t="s">
        <v>30</v>
      </c>
      <c r="G19" s="1" t="s">
        <v>17</v>
      </c>
      <c r="H19" t="str">
        <f>IF(ISNA(_xlfn.XLOOKUP(B19, customer_master!$A$2:$A$1649, customer_master!$A$2:$A$1649)), "Orphan", "Valid")</f>
        <v>Valid</v>
      </c>
    </row>
    <row r="20" spans="1:8" x14ac:dyDescent="0.3">
      <c r="A20" s="1" t="s">
        <v>7913</v>
      </c>
      <c r="B20" s="1" t="s">
        <v>7914</v>
      </c>
      <c r="C20" s="41">
        <v>45756</v>
      </c>
      <c r="D20" s="1" t="s">
        <v>7899</v>
      </c>
      <c r="E20" s="1">
        <v>2</v>
      </c>
      <c r="F20" s="1" t="s">
        <v>17</v>
      </c>
      <c r="G20" s="1" t="s">
        <v>30</v>
      </c>
      <c r="H20" t="str">
        <f>IF(ISNA(_xlfn.XLOOKUP(B20, customer_master!$A$2:$A$1649, customer_master!$A$2:$A$1649)), "Orphan", "Valid")</f>
        <v>Orphan</v>
      </c>
    </row>
    <row r="21" spans="1:8" x14ac:dyDescent="0.3">
      <c r="A21" s="1" t="s">
        <v>7915</v>
      </c>
      <c r="B21" s="1" t="s">
        <v>2192</v>
      </c>
      <c r="C21" s="41">
        <v>45539</v>
      </c>
      <c r="D21" s="1" t="s">
        <v>7879</v>
      </c>
      <c r="E21" s="1">
        <v>2</v>
      </c>
      <c r="F21" s="1" t="s">
        <v>30</v>
      </c>
      <c r="G21" s="1" t="s">
        <v>17</v>
      </c>
      <c r="H21" t="str">
        <f>IF(ISNA(_xlfn.XLOOKUP(B21, customer_master!$A$2:$A$1649, customer_master!$A$2:$A$1649)), "Orphan", "Valid")</f>
        <v>Valid</v>
      </c>
    </row>
    <row r="22" spans="1:8" x14ac:dyDescent="0.3">
      <c r="A22" s="1" t="s">
        <v>7916</v>
      </c>
      <c r="B22" s="1" t="s">
        <v>290</v>
      </c>
      <c r="C22" s="41">
        <v>45681</v>
      </c>
      <c r="D22" s="1" t="s">
        <v>7877</v>
      </c>
      <c r="E22" s="1">
        <v>1</v>
      </c>
      <c r="F22" s="1" t="s">
        <v>30</v>
      </c>
      <c r="G22" s="1" t="s">
        <v>17</v>
      </c>
      <c r="H22" t="str">
        <f>IF(ISNA(_xlfn.XLOOKUP(B22, customer_master!$A$2:$A$1649, customer_master!$A$2:$A$1649)), "Orphan", "Valid")</f>
        <v>Valid</v>
      </c>
    </row>
    <row r="23" spans="1:8" x14ac:dyDescent="0.3">
      <c r="A23" s="1" t="s">
        <v>7917</v>
      </c>
      <c r="B23" s="1" t="s">
        <v>2184</v>
      </c>
      <c r="C23" s="41">
        <v>45361</v>
      </c>
      <c r="D23" s="1" t="s">
        <v>7896</v>
      </c>
      <c r="E23" s="1">
        <v>4</v>
      </c>
      <c r="F23" s="1" t="s">
        <v>30</v>
      </c>
      <c r="G23" s="1" t="s">
        <v>17</v>
      </c>
      <c r="H23" t="str">
        <f>IF(ISNA(_xlfn.XLOOKUP(B23, customer_master!$A$2:$A$1649, customer_master!$A$2:$A$1649)), "Orphan", "Valid")</f>
        <v>Valid</v>
      </c>
    </row>
    <row r="24" spans="1:8" x14ac:dyDescent="0.3">
      <c r="A24" s="1" t="s">
        <v>7918</v>
      </c>
      <c r="B24" s="1" t="s">
        <v>2827</v>
      </c>
      <c r="C24" s="41">
        <v>46167</v>
      </c>
      <c r="D24" s="1" t="s">
        <v>7912</v>
      </c>
      <c r="E24" s="1">
        <v>5</v>
      </c>
      <c r="F24" s="1" t="s">
        <v>17</v>
      </c>
      <c r="G24" s="1" t="s">
        <v>17</v>
      </c>
      <c r="H24" t="str">
        <f>IF(ISNA(_xlfn.XLOOKUP(B24, customer_master!$A$2:$A$1649, customer_master!$A$2:$A$1649)), "Orphan", "Valid")</f>
        <v>Valid</v>
      </c>
    </row>
    <row r="25" spans="1:8" x14ac:dyDescent="0.3">
      <c r="A25" s="1" t="s">
        <v>7919</v>
      </c>
      <c r="B25" s="1" t="s">
        <v>3025</v>
      </c>
      <c r="C25" s="41">
        <v>45593</v>
      </c>
      <c r="D25" s="1" t="s">
        <v>7881</v>
      </c>
      <c r="E25" s="1">
        <v>4</v>
      </c>
      <c r="F25" s="1" t="s">
        <v>17</v>
      </c>
      <c r="G25" s="1" t="s">
        <v>30</v>
      </c>
      <c r="H25" t="str">
        <f>IF(ISNA(_xlfn.XLOOKUP(B25, customer_master!$A$2:$A$1649, customer_master!$A$2:$A$1649)), "Orphan", "Valid")</f>
        <v>Valid</v>
      </c>
    </row>
    <row r="26" spans="1:8" x14ac:dyDescent="0.3">
      <c r="A26" s="1" t="s">
        <v>7920</v>
      </c>
      <c r="B26" s="1" t="s">
        <v>7921</v>
      </c>
      <c r="C26" s="41">
        <v>45888</v>
      </c>
      <c r="D26" s="1" t="s">
        <v>7912</v>
      </c>
      <c r="E26" s="1">
        <v>5</v>
      </c>
      <c r="F26" s="1" t="s">
        <v>30</v>
      </c>
      <c r="G26" s="1" t="s">
        <v>17</v>
      </c>
      <c r="H26" t="str">
        <f>IF(ISNA(_xlfn.XLOOKUP(B26, customer_master!$A$2:$A$1649, customer_master!$A$2:$A$1649)), "Orphan", "Valid")</f>
        <v>Orphan</v>
      </c>
    </row>
    <row r="27" spans="1:8" x14ac:dyDescent="0.3">
      <c r="A27" s="1" t="s">
        <v>7922</v>
      </c>
      <c r="B27" s="1" t="s">
        <v>7923</v>
      </c>
      <c r="C27" s="41">
        <v>46240</v>
      </c>
      <c r="D27" s="1" t="s">
        <v>7912</v>
      </c>
      <c r="E27" s="1">
        <v>4</v>
      </c>
      <c r="F27" s="1" t="s">
        <v>30</v>
      </c>
      <c r="G27" s="1" t="s">
        <v>17</v>
      </c>
      <c r="H27" t="str">
        <f>IF(ISNA(_xlfn.XLOOKUP(B27, customer_master!$A$2:$A$1649, customer_master!$A$2:$A$1649)), "Orphan", "Valid")</f>
        <v>Orphan</v>
      </c>
    </row>
    <row r="28" spans="1:8" x14ac:dyDescent="0.3">
      <c r="A28" s="1" t="s">
        <v>7924</v>
      </c>
      <c r="B28" s="1" t="s">
        <v>403</v>
      </c>
      <c r="C28" s="41">
        <v>45622</v>
      </c>
      <c r="D28" s="1" t="s">
        <v>7906</v>
      </c>
      <c r="E28" s="1">
        <v>5</v>
      </c>
      <c r="F28" s="1" t="s">
        <v>30</v>
      </c>
      <c r="G28" s="1" t="s">
        <v>17</v>
      </c>
      <c r="H28" t="str">
        <f>IF(ISNA(_xlfn.XLOOKUP(B28, customer_master!$A$2:$A$1649, customer_master!$A$2:$A$1649)), "Orphan", "Valid")</f>
        <v>Valid</v>
      </c>
    </row>
    <row r="29" spans="1:8" x14ac:dyDescent="0.3">
      <c r="A29" s="1" t="s">
        <v>7925</v>
      </c>
      <c r="B29" s="1" t="s">
        <v>2720</v>
      </c>
      <c r="C29" s="41">
        <v>45870</v>
      </c>
      <c r="D29" s="1" t="s">
        <v>7877</v>
      </c>
      <c r="E29" s="1">
        <v>1</v>
      </c>
      <c r="F29" s="1" t="s">
        <v>30</v>
      </c>
      <c r="G29" s="1" t="s">
        <v>17</v>
      </c>
      <c r="H29" t="str">
        <f>IF(ISNA(_xlfn.XLOOKUP(B29, customer_master!$A$2:$A$1649, customer_master!$A$2:$A$1649)), "Orphan", "Valid")</f>
        <v>Valid</v>
      </c>
    </row>
    <row r="30" spans="1:8" x14ac:dyDescent="0.3">
      <c r="A30" s="1" t="s">
        <v>7926</v>
      </c>
      <c r="B30" s="1" t="s">
        <v>415</v>
      </c>
      <c r="C30" s="41">
        <v>45851</v>
      </c>
      <c r="D30" s="1" t="s">
        <v>7884</v>
      </c>
      <c r="E30" s="1">
        <v>2</v>
      </c>
      <c r="F30" s="1" t="s">
        <v>30</v>
      </c>
      <c r="G30" s="1" t="s">
        <v>17</v>
      </c>
      <c r="H30" t="str">
        <f>IF(ISNA(_xlfn.XLOOKUP(B30, customer_master!$A$2:$A$1649, customer_master!$A$2:$A$1649)), "Orphan", "Valid")</f>
        <v>Valid</v>
      </c>
    </row>
    <row r="31" spans="1:8" x14ac:dyDescent="0.3">
      <c r="A31" s="1" t="s">
        <v>7927</v>
      </c>
      <c r="B31" s="1" t="s">
        <v>7928</v>
      </c>
      <c r="C31" s="41">
        <v>45324</v>
      </c>
      <c r="D31" s="1" t="s">
        <v>7887</v>
      </c>
      <c r="E31" s="1">
        <v>2</v>
      </c>
      <c r="F31" s="1" t="s">
        <v>17</v>
      </c>
      <c r="G31" s="1" t="s">
        <v>30</v>
      </c>
      <c r="H31" t="str">
        <f>IF(ISNA(_xlfn.XLOOKUP(B31, customer_master!$A$2:$A$1649, customer_master!$A$2:$A$1649)), "Orphan", "Valid")</f>
        <v>Orphan</v>
      </c>
    </row>
    <row r="32" spans="1:8" x14ac:dyDescent="0.3">
      <c r="A32" s="1" t="s">
        <v>7929</v>
      </c>
      <c r="B32" s="1" t="s">
        <v>7930</v>
      </c>
      <c r="C32" s="41">
        <v>45852</v>
      </c>
      <c r="D32" s="1" t="s">
        <v>7896</v>
      </c>
      <c r="E32" s="1">
        <v>4</v>
      </c>
      <c r="F32" s="1" t="s">
        <v>17</v>
      </c>
      <c r="G32" s="1" t="s">
        <v>17</v>
      </c>
      <c r="H32" t="str">
        <f>IF(ISNA(_xlfn.XLOOKUP(B32, customer_master!$A$2:$A$1649, customer_master!$A$2:$A$1649)), "Orphan", "Valid")</f>
        <v>Orphan</v>
      </c>
    </row>
    <row r="33" spans="1:8" x14ac:dyDescent="0.3">
      <c r="A33" s="1" t="s">
        <v>7931</v>
      </c>
      <c r="B33" s="1" t="s">
        <v>2246</v>
      </c>
      <c r="C33" s="41">
        <v>46267</v>
      </c>
      <c r="D33" s="1" t="s">
        <v>7877</v>
      </c>
      <c r="E33" s="1">
        <v>2</v>
      </c>
      <c r="F33" s="1" t="s">
        <v>17</v>
      </c>
      <c r="G33" s="1" t="s">
        <v>30</v>
      </c>
      <c r="H33" t="str">
        <f>IF(ISNA(_xlfn.XLOOKUP(B33, customer_master!$A$2:$A$1649, customer_master!$A$2:$A$1649)), "Orphan", "Valid")</f>
        <v>Valid</v>
      </c>
    </row>
    <row r="34" spans="1:8" x14ac:dyDescent="0.3">
      <c r="A34" s="1" t="s">
        <v>7932</v>
      </c>
      <c r="B34" s="1" t="s">
        <v>7933</v>
      </c>
      <c r="C34" s="41">
        <v>45830</v>
      </c>
      <c r="D34" s="1" t="s">
        <v>7887</v>
      </c>
      <c r="E34" s="1">
        <v>2</v>
      </c>
      <c r="F34" s="1" t="s">
        <v>17</v>
      </c>
      <c r="G34" s="1" t="s">
        <v>30</v>
      </c>
      <c r="H34" t="str">
        <f>IF(ISNA(_xlfn.XLOOKUP(B34, customer_master!$A$2:$A$1649, customer_master!$A$2:$A$1649)), "Orphan", "Valid")</f>
        <v>Orphan</v>
      </c>
    </row>
    <row r="35" spans="1:8" x14ac:dyDescent="0.3">
      <c r="A35" s="1" t="s">
        <v>7934</v>
      </c>
      <c r="B35" s="1" t="s">
        <v>711</v>
      </c>
      <c r="C35" s="41">
        <v>45975</v>
      </c>
      <c r="D35" s="1" t="s">
        <v>7887</v>
      </c>
      <c r="E35" s="1">
        <v>2</v>
      </c>
      <c r="F35" s="1" t="s">
        <v>17</v>
      </c>
      <c r="G35" s="1" t="s">
        <v>17</v>
      </c>
      <c r="H35" t="str">
        <f>IF(ISNA(_xlfn.XLOOKUP(B35, customer_master!$A$2:$A$1649, customer_master!$A$2:$A$1649)), "Orphan", "Valid")</f>
        <v>Valid</v>
      </c>
    </row>
    <row r="36" spans="1:8" x14ac:dyDescent="0.3">
      <c r="A36" s="1" t="s">
        <v>7935</v>
      </c>
      <c r="B36" s="1" t="s">
        <v>2887</v>
      </c>
      <c r="C36" s="41">
        <v>46209</v>
      </c>
      <c r="D36" s="1" t="s">
        <v>7879</v>
      </c>
      <c r="E36" s="1">
        <v>2</v>
      </c>
      <c r="F36" s="1" t="s">
        <v>17</v>
      </c>
      <c r="G36" s="1" t="s">
        <v>17</v>
      </c>
      <c r="H36" t="str">
        <f>IF(ISNA(_xlfn.XLOOKUP(B36, customer_master!$A$2:$A$1649, customer_master!$A$2:$A$1649)), "Orphan", "Valid")</f>
        <v>Valid</v>
      </c>
    </row>
    <row r="37" spans="1:8" x14ac:dyDescent="0.3">
      <c r="A37" s="1" t="s">
        <v>7936</v>
      </c>
      <c r="B37" s="1" t="s">
        <v>7937</v>
      </c>
      <c r="C37" s="41">
        <v>45529</v>
      </c>
      <c r="D37" s="1" t="s">
        <v>7889</v>
      </c>
      <c r="E37" s="1">
        <v>5</v>
      </c>
      <c r="F37" s="1" t="s">
        <v>30</v>
      </c>
      <c r="G37" s="1" t="s">
        <v>17</v>
      </c>
      <c r="H37" t="str">
        <f>IF(ISNA(_xlfn.XLOOKUP(B37, customer_master!$A$2:$A$1649, customer_master!$A$2:$A$1649)), "Orphan", "Valid")</f>
        <v>Orphan</v>
      </c>
    </row>
    <row r="38" spans="1:8" x14ac:dyDescent="0.3">
      <c r="A38" s="1" t="s">
        <v>7938</v>
      </c>
      <c r="B38" s="1" t="s">
        <v>2002</v>
      </c>
      <c r="C38" s="41">
        <v>45446</v>
      </c>
      <c r="D38" s="1" t="s">
        <v>7899</v>
      </c>
      <c r="E38" s="1">
        <v>2</v>
      </c>
      <c r="F38" s="1" t="s">
        <v>17</v>
      </c>
      <c r="G38" s="1" t="s">
        <v>30</v>
      </c>
      <c r="H38" t="str">
        <f>IF(ISNA(_xlfn.XLOOKUP(B38, customer_master!$A$2:$A$1649, customer_master!$A$2:$A$1649)), "Orphan", "Valid")</f>
        <v>Valid</v>
      </c>
    </row>
    <row r="39" spans="1:8" x14ac:dyDescent="0.3">
      <c r="A39" s="1" t="s">
        <v>7939</v>
      </c>
      <c r="B39" s="1" t="s">
        <v>2807</v>
      </c>
      <c r="C39" s="41">
        <v>45796</v>
      </c>
      <c r="D39" s="1" t="s">
        <v>7881</v>
      </c>
      <c r="E39" s="1">
        <v>4</v>
      </c>
      <c r="F39" s="1" t="s">
        <v>30</v>
      </c>
      <c r="G39" s="1" t="s">
        <v>17</v>
      </c>
      <c r="H39" t="str">
        <f>IF(ISNA(_xlfn.XLOOKUP(B39, customer_master!$A$2:$A$1649, customer_master!$A$2:$A$1649)), "Orphan", "Valid")</f>
        <v>Valid</v>
      </c>
    </row>
    <row r="40" spans="1:8" x14ac:dyDescent="0.3">
      <c r="A40" s="1" t="s">
        <v>7940</v>
      </c>
      <c r="B40" s="1" t="s">
        <v>2985</v>
      </c>
      <c r="C40" s="41">
        <v>45690</v>
      </c>
      <c r="D40" s="1" t="s">
        <v>7879</v>
      </c>
      <c r="E40" s="1">
        <v>2</v>
      </c>
      <c r="F40" s="1" t="s">
        <v>30</v>
      </c>
      <c r="G40" s="1" t="s">
        <v>30</v>
      </c>
      <c r="H40" t="str">
        <f>IF(ISNA(_xlfn.XLOOKUP(B40, customer_master!$A$2:$A$1649, customer_master!$A$2:$A$1649)), "Orphan", "Valid")</f>
        <v>Valid</v>
      </c>
    </row>
    <row r="41" spans="1:8" x14ac:dyDescent="0.3">
      <c r="A41" s="1" t="s">
        <v>7941</v>
      </c>
      <c r="B41" s="1" t="s">
        <v>2220</v>
      </c>
      <c r="C41" s="41">
        <v>45272</v>
      </c>
      <c r="D41" s="1" t="s">
        <v>7879</v>
      </c>
      <c r="E41" s="1">
        <v>2</v>
      </c>
      <c r="F41" s="1" t="s">
        <v>17</v>
      </c>
      <c r="G41" s="1" t="s">
        <v>17</v>
      </c>
      <c r="H41" t="str">
        <f>IF(ISNA(_xlfn.XLOOKUP(B41, customer_master!$A$2:$A$1649, customer_master!$A$2:$A$1649)), "Orphan", "Valid")</f>
        <v>Valid</v>
      </c>
    </row>
    <row r="42" spans="1:8" x14ac:dyDescent="0.3">
      <c r="A42" s="1" t="s">
        <v>7942</v>
      </c>
      <c r="B42" s="1" t="s">
        <v>1531</v>
      </c>
      <c r="C42" s="41">
        <v>45578</v>
      </c>
      <c r="D42" s="1" t="s">
        <v>7889</v>
      </c>
      <c r="E42" s="1">
        <v>5</v>
      </c>
      <c r="F42" s="1" t="s">
        <v>17</v>
      </c>
      <c r="G42" s="1" t="s">
        <v>30</v>
      </c>
      <c r="H42" t="str">
        <f>IF(ISNA(_xlfn.XLOOKUP(B42, customer_master!$A$2:$A$1649, customer_master!$A$2:$A$1649)), "Orphan", "Valid")</f>
        <v>Valid</v>
      </c>
    </row>
    <row r="43" spans="1:8" x14ac:dyDescent="0.3">
      <c r="A43" s="1" t="s">
        <v>7943</v>
      </c>
      <c r="B43" s="1" t="s">
        <v>905</v>
      </c>
      <c r="C43" s="41">
        <v>45987</v>
      </c>
      <c r="D43" s="1" t="s">
        <v>7906</v>
      </c>
      <c r="E43" s="1">
        <v>4</v>
      </c>
      <c r="F43" s="1" t="s">
        <v>17</v>
      </c>
      <c r="G43" s="1" t="s">
        <v>17</v>
      </c>
      <c r="H43" t="str">
        <f>IF(ISNA(_xlfn.XLOOKUP(B43, customer_master!$A$2:$A$1649, customer_master!$A$2:$A$1649)), "Orphan", "Valid")</f>
        <v>Valid</v>
      </c>
    </row>
    <row r="44" spans="1:8" x14ac:dyDescent="0.3">
      <c r="A44" s="1" t="s">
        <v>7944</v>
      </c>
      <c r="B44" s="1" t="s">
        <v>1043</v>
      </c>
      <c r="C44" s="41">
        <v>46141</v>
      </c>
      <c r="D44" s="1" t="s">
        <v>7899</v>
      </c>
      <c r="E44" s="1">
        <v>2</v>
      </c>
      <c r="F44" s="1" t="s">
        <v>30</v>
      </c>
      <c r="G44" s="1" t="s">
        <v>17</v>
      </c>
      <c r="H44" t="str">
        <f>IF(ISNA(_xlfn.XLOOKUP(B44, customer_master!$A$2:$A$1649, customer_master!$A$2:$A$1649)), "Orphan", "Valid")</f>
        <v>Valid</v>
      </c>
    </row>
    <row r="45" spans="1:8" x14ac:dyDescent="0.3">
      <c r="A45" s="1" t="s">
        <v>7945</v>
      </c>
      <c r="B45" s="1" t="s">
        <v>2678</v>
      </c>
      <c r="C45" s="41">
        <v>45889</v>
      </c>
      <c r="D45" s="1" t="s">
        <v>7881</v>
      </c>
      <c r="E45" s="1">
        <v>4</v>
      </c>
      <c r="F45" s="1" t="s">
        <v>30</v>
      </c>
      <c r="G45" s="1" t="s">
        <v>30</v>
      </c>
      <c r="H45" t="str">
        <f>IF(ISNA(_xlfn.XLOOKUP(B45, customer_master!$A$2:$A$1649, customer_master!$A$2:$A$1649)), "Orphan", "Valid")</f>
        <v>Valid</v>
      </c>
    </row>
    <row r="46" spans="1:8" x14ac:dyDescent="0.3">
      <c r="A46" s="1" t="s">
        <v>7946</v>
      </c>
      <c r="B46" s="1" t="s">
        <v>1562</v>
      </c>
      <c r="C46" s="41">
        <v>45778</v>
      </c>
      <c r="D46" s="1" t="s">
        <v>7899</v>
      </c>
      <c r="E46" s="1">
        <v>2</v>
      </c>
      <c r="F46" s="1" t="s">
        <v>17</v>
      </c>
      <c r="G46" s="1" t="s">
        <v>17</v>
      </c>
      <c r="H46" t="str">
        <f>IF(ISNA(_xlfn.XLOOKUP(B46, customer_master!$A$2:$A$1649, customer_master!$A$2:$A$1649)), "Orphan", "Valid")</f>
        <v>Valid</v>
      </c>
    </row>
    <row r="47" spans="1:8" x14ac:dyDescent="0.3">
      <c r="A47" s="1" t="s">
        <v>7947</v>
      </c>
      <c r="B47" s="1" t="s">
        <v>359</v>
      </c>
      <c r="C47" s="41">
        <v>46119</v>
      </c>
      <c r="D47" s="1" t="s">
        <v>7899</v>
      </c>
      <c r="E47" s="1">
        <v>2</v>
      </c>
      <c r="F47" s="1" t="s">
        <v>17</v>
      </c>
      <c r="G47" s="1" t="s">
        <v>17</v>
      </c>
      <c r="H47" t="str">
        <f>IF(ISNA(_xlfn.XLOOKUP(B47, customer_master!$A$2:$A$1649, customer_master!$A$2:$A$1649)), "Orphan", "Valid")</f>
        <v>Valid</v>
      </c>
    </row>
    <row r="48" spans="1:8" x14ac:dyDescent="0.3">
      <c r="A48" s="1" t="s">
        <v>7948</v>
      </c>
      <c r="B48" s="1" t="s">
        <v>7949</v>
      </c>
      <c r="C48" s="41">
        <v>46104</v>
      </c>
      <c r="D48" s="1" t="s">
        <v>7879</v>
      </c>
      <c r="E48" s="1">
        <v>2</v>
      </c>
      <c r="F48" s="1" t="s">
        <v>30</v>
      </c>
      <c r="G48" s="1" t="s">
        <v>30</v>
      </c>
      <c r="H48" t="str">
        <f>IF(ISNA(_xlfn.XLOOKUP(B48, customer_master!$A$2:$A$1649, customer_master!$A$2:$A$1649)), "Orphan", "Valid")</f>
        <v>Orphan</v>
      </c>
    </row>
    <row r="49" spans="1:8" x14ac:dyDescent="0.3">
      <c r="A49" s="1" t="s">
        <v>7950</v>
      </c>
      <c r="B49" s="1" t="s">
        <v>941</v>
      </c>
      <c r="C49" s="41">
        <v>45349</v>
      </c>
      <c r="D49" s="1" t="s">
        <v>7896</v>
      </c>
      <c r="E49" s="1">
        <v>4</v>
      </c>
      <c r="F49" s="1" t="s">
        <v>17</v>
      </c>
      <c r="G49" s="1" t="s">
        <v>17</v>
      </c>
      <c r="H49" t="str">
        <f>IF(ISNA(_xlfn.XLOOKUP(B49, customer_master!$A$2:$A$1649, customer_master!$A$2:$A$1649)), "Orphan", "Valid")</f>
        <v>Valid</v>
      </c>
    </row>
    <row r="50" spans="1:8" x14ac:dyDescent="0.3">
      <c r="A50" s="1" t="s">
        <v>7951</v>
      </c>
      <c r="B50" s="1" t="s">
        <v>7952</v>
      </c>
      <c r="C50" s="41">
        <v>45577</v>
      </c>
      <c r="D50" s="1" t="s">
        <v>7879</v>
      </c>
      <c r="E50" s="1">
        <v>2</v>
      </c>
      <c r="F50" s="1" t="s">
        <v>17</v>
      </c>
      <c r="G50" s="1" t="s">
        <v>17</v>
      </c>
      <c r="H50" t="str">
        <f>IF(ISNA(_xlfn.XLOOKUP(B50, customer_master!$A$2:$A$1649, customer_master!$A$2:$A$1649)), "Orphan", "Valid")</f>
        <v>Orphan</v>
      </c>
    </row>
    <row r="51" spans="1:8" x14ac:dyDescent="0.3">
      <c r="A51" s="1" t="s">
        <v>7953</v>
      </c>
      <c r="B51" s="1" t="s">
        <v>3154</v>
      </c>
      <c r="C51" s="41">
        <v>46131</v>
      </c>
      <c r="D51" s="1" t="s">
        <v>7906</v>
      </c>
      <c r="E51" s="1">
        <v>5</v>
      </c>
      <c r="F51" s="1" t="s">
        <v>17</v>
      </c>
      <c r="G51" s="1" t="s">
        <v>17</v>
      </c>
      <c r="H51" t="str">
        <f>IF(ISNA(_xlfn.XLOOKUP(B51, customer_master!$A$2:$A$1649, customer_master!$A$2:$A$1649)), "Orphan", "Valid")</f>
        <v>Valid</v>
      </c>
    </row>
    <row r="52" spans="1:8" x14ac:dyDescent="0.3">
      <c r="A52" s="1" t="s">
        <v>7954</v>
      </c>
      <c r="B52" s="1" t="s">
        <v>2327</v>
      </c>
      <c r="C52" s="41">
        <v>45365</v>
      </c>
      <c r="D52" s="1" t="s">
        <v>7906</v>
      </c>
      <c r="E52" s="1">
        <v>5</v>
      </c>
      <c r="F52" s="1" t="s">
        <v>30</v>
      </c>
      <c r="G52" s="1" t="s">
        <v>30</v>
      </c>
      <c r="H52" t="str">
        <f>IF(ISNA(_xlfn.XLOOKUP(B52, customer_master!$A$2:$A$1649, customer_master!$A$2:$A$1649)), "Orphan", "Valid")</f>
        <v>Valid</v>
      </c>
    </row>
    <row r="53" spans="1:8" x14ac:dyDescent="0.3">
      <c r="A53" s="1" t="s">
        <v>7955</v>
      </c>
      <c r="B53" s="1" t="s">
        <v>2533</v>
      </c>
      <c r="C53" s="41">
        <v>46200</v>
      </c>
      <c r="D53" s="1" t="s">
        <v>7899</v>
      </c>
      <c r="E53" s="1">
        <v>2</v>
      </c>
      <c r="F53" s="1" t="s">
        <v>17</v>
      </c>
      <c r="G53" s="1" t="s">
        <v>17</v>
      </c>
      <c r="H53" t="str">
        <f>IF(ISNA(_xlfn.XLOOKUP(B53, customer_master!$A$2:$A$1649, customer_master!$A$2:$A$1649)), "Orphan", "Valid")</f>
        <v>Valid</v>
      </c>
    </row>
    <row r="54" spans="1:8" x14ac:dyDescent="0.3">
      <c r="A54" s="1" t="s">
        <v>7956</v>
      </c>
      <c r="B54" s="1" t="s">
        <v>2897</v>
      </c>
      <c r="C54" s="41">
        <v>46182</v>
      </c>
      <c r="D54" s="1" t="s">
        <v>7899</v>
      </c>
      <c r="E54" s="1">
        <v>2</v>
      </c>
      <c r="F54" s="1" t="s">
        <v>17</v>
      </c>
      <c r="G54" s="1" t="s">
        <v>30</v>
      </c>
      <c r="H54" t="str">
        <f>IF(ISNA(_xlfn.XLOOKUP(B54, customer_master!$A$2:$A$1649, customer_master!$A$2:$A$1649)), "Orphan", "Valid")</f>
        <v>Valid</v>
      </c>
    </row>
    <row r="55" spans="1:8" x14ac:dyDescent="0.3">
      <c r="A55" s="1" t="s">
        <v>7957</v>
      </c>
      <c r="B55" s="1" t="s">
        <v>7958</v>
      </c>
      <c r="C55" s="41">
        <v>45526</v>
      </c>
      <c r="D55" s="1" t="s">
        <v>7889</v>
      </c>
      <c r="E55" s="1">
        <v>5</v>
      </c>
      <c r="F55" s="1" t="s">
        <v>17</v>
      </c>
      <c r="G55" s="1" t="s">
        <v>17</v>
      </c>
      <c r="H55" t="str">
        <f>IF(ISNA(_xlfn.XLOOKUP(B55, customer_master!$A$2:$A$1649, customer_master!$A$2:$A$1649)), "Orphan", "Valid")</f>
        <v>Orphan</v>
      </c>
    </row>
    <row r="56" spans="1:8" x14ac:dyDescent="0.3">
      <c r="A56" s="1" t="s">
        <v>7959</v>
      </c>
      <c r="B56" s="1" t="s">
        <v>425</v>
      </c>
      <c r="C56" s="41">
        <v>45494</v>
      </c>
      <c r="D56" s="1" t="s">
        <v>7887</v>
      </c>
      <c r="E56" s="1">
        <v>2</v>
      </c>
      <c r="F56" s="1" t="s">
        <v>30</v>
      </c>
      <c r="G56" s="1" t="s">
        <v>30</v>
      </c>
      <c r="H56" t="str">
        <f>IF(ISNA(_xlfn.XLOOKUP(B56, customer_master!$A$2:$A$1649, customer_master!$A$2:$A$1649)), "Orphan", "Valid")</f>
        <v>Valid</v>
      </c>
    </row>
    <row r="57" spans="1:8" x14ac:dyDescent="0.3">
      <c r="A57" s="1" t="s">
        <v>7960</v>
      </c>
      <c r="B57" s="1" t="s">
        <v>7961</v>
      </c>
      <c r="C57" s="41">
        <v>46153</v>
      </c>
      <c r="D57" s="1" t="s">
        <v>7887</v>
      </c>
      <c r="E57" s="1">
        <v>2</v>
      </c>
      <c r="F57" s="1" t="s">
        <v>17</v>
      </c>
      <c r="G57" s="1" t="s">
        <v>30</v>
      </c>
      <c r="H57" t="str">
        <f>IF(ISNA(_xlfn.XLOOKUP(B57, customer_master!$A$2:$A$1649, customer_master!$A$2:$A$1649)), "Orphan", "Valid")</f>
        <v>Orphan</v>
      </c>
    </row>
    <row r="58" spans="1:8" x14ac:dyDescent="0.3">
      <c r="A58" s="1" t="s">
        <v>7962</v>
      </c>
      <c r="B58" s="1" t="s">
        <v>2478</v>
      </c>
      <c r="C58" s="41">
        <v>45399</v>
      </c>
      <c r="D58" s="1" t="s">
        <v>7884</v>
      </c>
      <c r="E58" s="1">
        <v>2</v>
      </c>
      <c r="F58" s="1" t="s">
        <v>30</v>
      </c>
      <c r="G58" s="1" t="s">
        <v>30</v>
      </c>
      <c r="H58" t="str">
        <f>IF(ISNA(_xlfn.XLOOKUP(B58, customer_master!$A$2:$A$1649, customer_master!$A$2:$A$1649)), "Orphan", "Valid")</f>
        <v>Valid</v>
      </c>
    </row>
    <row r="59" spans="1:8" x14ac:dyDescent="0.3">
      <c r="A59" s="1" t="s">
        <v>7963</v>
      </c>
      <c r="B59" s="1" t="s">
        <v>1187</v>
      </c>
      <c r="C59" s="41">
        <v>45678</v>
      </c>
      <c r="D59" s="1" t="s">
        <v>7889</v>
      </c>
      <c r="E59" s="1">
        <v>5</v>
      </c>
      <c r="F59" s="1" t="s">
        <v>30</v>
      </c>
      <c r="G59" s="1" t="s">
        <v>30</v>
      </c>
      <c r="H59" t="str">
        <f>IF(ISNA(_xlfn.XLOOKUP(B59, customer_master!$A$2:$A$1649, customer_master!$A$2:$A$1649)), "Orphan", "Valid")</f>
        <v>Valid</v>
      </c>
    </row>
    <row r="60" spans="1:8" x14ac:dyDescent="0.3">
      <c r="A60" s="1" t="s">
        <v>7964</v>
      </c>
      <c r="B60" s="1" t="s">
        <v>1521</v>
      </c>
      <c r="C60" s="41">
        <v>45441</v>
      </c>
      <c r="D60" s="1" t="s">
        <v>7881</v>
      </c>
      <c r="E60" s="1">
        <v>4</v>
      </c>
      <c r="F60" s="1" t="s">
        <v>17</v>
      </c>
      <c r="G60" s="1" t="s">
        <v>17</v>
      </c>
      <c r="H60" t="str">
        <f>IF(ISNA(_xlfn.XLOOKUP(B60, customer_master!$A$2:$A$1649, customer_master!$A$2:$A$1649)), "Orphan", "Valid")</f>
        <v>Valid</v>
      </c>
    </row>
    <row r="61" spans="1:8" x14ac:dyDescent="0.3">
      <c r="A61" s="1" t="s">
        <v>7965</v>
      </c>
      <c r="B61" s="1" t="s">
        <v>7966</v>
      </c>
      <c r="C61" s="41">
        <v>45834</v>
      </c>
      <c r="D61" s="1" t="s">
        <v>7912</v>
      </c>
      <c r="E61" s="1">
        <v>4</v>
      </c>
      <c r="F61" s="1" t="s">
        <v>30</v>
      </c>
      <c r="G61" s="1" t="s">
        <v>30</v>
      </c>
      <c r="H61" t="str">
        <f>IF(ISNA(_xlfn.XLOOKUP(B61, customer_master!$A$2:$A$1649, customer_master!$A$2:$A$1649)), "Orphan", "Valid")</f>
        <v>Orphan</v>
      </c>
    </row>
    <row r="62" spans="1:8" x14ac:dyDescent="0.3">
      <c r="A62" s="1" t="s">
        <v>7967</v>
      </c>
      <c r="B62" s="1" t="s">
        <v>1327</v>
      </c>
      <c r="C62" s="41">
        <v>46257</v>
      </c>
      <c r="D62" s="1" t="s">
        <v>7887</v>
      </c>
      <c r="E62" s="1">
        <v>2</v>
      </c>
      <c r="F62" s="1" t="s">
        <v>30</v>
      </c>
      <c r="G62" s="1" t="s">
        <v>17</v>
      </c>
      <c r="H62" t="str">
        <f>IF(ISNA(_xlfn.XLOOKUP(B62, customer_master!$A$2:$A$1649, customer_master!$A$2:$A$1649)), "Orphan", "Valid")</f>
        <v>Valid</v>
      </c>
    </row>
    <row r="63" spans="1:8" x14ac:dyDescent="0.3">
      <c r="A63" s="1" t="s">
        <v>7968</v>
      </c>
      <c r="B63" s="1" t="s">
        <v>3214</v>
      </c>
      <c r="C63" s="41">
        <v>46046</v>
      </c>
      <c r="D63" s="1" t="s">
        <v>7877</v>
      </c>
      <c r="E63" s="1">
        <v>2</v>
      </c>
      <c r="F63" s="1" t="s">
        <v>17</v>
      </c>
      <c r="G63" s="1" t="s">
        <v>17</v>
      </c>
      <c r="H63" t="str">
        <f>IF(ISNA(_xlfn.XLOOKUP(B63, customer_master!$A$2:$A$1649, customer_master!$A$2:$A$1649)), "Orphan", "Valid")</f>
        <v>Valid</v>
      </c>
    </row>
    <row r="64" spans="1:8" x14ac:dyDescent="0.3">
      <c r="A64" s="1" t="s">
        <v>7969</v>
      </c>
      <c r="B64" s="1" t="s">
        <v>2331</v>
      </c>
      <c r="C64" s="41">
        <v>46239</v>
      </c>
      <c r="D64" s="1" t="s">
        <v>7884</v>
      </c>
      <c r="E64" s="1">
        <v>3</v>
      </c>
      <c r="F64" s="1" t="s">
        <v>30</v>
      </c>
      <c r="G64" s="1" t="s">
        <v>17</v>
      </c>
      <c r="H64" t="str">
        <f>IF(ISNA(_xlfn.XLOOKUP(B64, customer_master!$A$2:$A$1649, customer_master!$A$2:$A$1649)), "Orphan", "Valid")</f>
        <v>Valid</v>
      </c>
    </row>
    <row r="65" spans="1:8" x14ac:dyDescent="0.3">
      <c r="A65" s="1" t="s">
        <v>7970</v>
      </c>
      <c r="B65" s="1" t="s">
        <v>7971</v>
      </c>
      <c r="C65" s="41">
        <v>45721</v>
      </c>
      <c r="D65" s="1" t="s">
        <v>7899</v>
      </c>
      <c r="E65" s="1">
        <v>2</v>
      </c>
      <c r="F65" s="1" t="s">
        <v>30</v>
      </c>
      <c r="G65" s="1" t="s">
        <v>17</v>
      </c>
      <c r="H65" t="str">
        <f>IF(ISNA(_xlfn.XLOOKUP(B65, customer_master!$A$2:$A$1649, customer_master!$A$2:$A$1649)), "Orphan", "Valid")</f>
        <v>Orphan</v>
      </c>
    </row>
    <row r="66" spans="1:8" x14ac:dyDescent="0.3">
      <c r="A66" s="1" t="s">
        <v>7972</v>
      </c>
      <c r="B66" s="1" t="s">
        <v>7973</v>
      </c>
      <c r="C66" s="41">
        <v>45294</v>
      </c>
      <c r="D66" s="1" t="s">
        <v>7887</v>
      </c>
      <c r="E66" s="1">
        <v>2</v>
      </c>
      <c r="F66" s="1" t="s">
        <v>30</v>
      </c>
      <c r="G66" s="1" t="s">
        <v>30</v>
      </c>
      <c r="H66" t="str">
        <f>IF(ISNA(_xlfn.XLOOKUP(B66, customer_master!$A$2:$A$1649, customer_master!$A$2:$A$1649)), "Orphan", "Valid")</f>
        <v>Orphan</v>
      </c>
    </row>
    <row r="67" spans="1:8" x14ac:dyDescent="0.3">
      <c r="A67" s="1" t="s">
        <v>7974</v>
      </c>
      <c r="B67" s="1" t="s">
        <v>1549</v>
      </c>
      <c r="C67" s="41">
        <v>45834</v>
      </c>
      <c r="D67" s="1" t="s">
        <v>7887</v>
      </c>
      <c r="E67" s="1">
        <v>2</v>
      </c>
      <c r="F67" s="1" t="s">
        <v>17</v>
      </c>
      <c r="G67" s="1" t="s">
        <v>17</v>
      </c>
      <c r="H67" t="str">
        <f>IF(ISNA(_xlfn.XLOOKUP(B67, customer_master!$A$2:$A$1649, customer_master!$A$2:$A$1649)), "Orphan", "Valid")</f>
        <v>Valid</v>
      </c>
    </row>
    <row r="68" spans="1:8" x14ac:dyDescent="0.3">
      <c r="A68" s="1" t="s">
        <v>7975</v>
      </c>
      <c r="B68" s="1" t="s">
        <v>7976</v>
      </c>
      <c r="C68" s="41">
        <v>45536</v>
      </c>
      <c r="D68" s="1" t="s">
        <v>7877</v>
      </c>
      <c r="E68" s="1">
        <v>1</v>
      </c>
      <c r="F68" s="1" t="s">
        <v>30</v>
      </c>
      <c r="G68" s="1" t="s">
        <v>17</v>
      </c>
      <c r="H68" t="str">
        <f>IF(ISNA(_xlfn.XLOOKUP(B68, customer_master!$A$2:$A$1649, customer_master!$A$2:$A$1649)), "Orphan", "Valid")</f>
        <v>Orphan</v>
      </c>
    </row>
    <row r="69" spans="1:8" x14ac:dyDescent="0.3">
      <c r="A69" s="1" t="s">
        <v>7977</v>
      </c>
      <c r="B69" s="1" t="s">
        <v>1181</v>
      </c>
      <c r="C69" s="41">
        <v>46181</v>
      </c>
      <c r="D69" s="1" t="s">
        <v>7906</v>
      </c>
      <c r="E69" s="1">
        <v>5</v>
      </c>
      <c r="F69" s="1" t="s">
        <v>17</v>
      </c>
      <c r="G69" s="1" t="s">
        <v>30</v>
      </c>
      <c r="H69" t="str">
        <f>IF(ISNA(_xlfn.XLOOKUP(B69, customer_master!$A$2:$A$1649, customer_master!$A$2:$A$1649)), "Orphan", "Valid")</f>
        <v>Valid</v>
      </c>
    </row>
    <row r="70" spans="1:8" x14ac:dyDescent="0.3">
      <c r="A70" s="1" t="s">
        <v>7978</v>
      </c>
      <c r="B70" s="1" t="s">
        <v>7979</v>
      </c>
      <c r="C70" s="41">
        <v>45347</v>
      </c>
      <c r="D70" s="1" t="s">
        <v>7899</v>
      </c>
      <c r="E70" s="1">
        <v>2</v>
      </c>
      <c r="F70" s="1" t="s">
        <v>30</v>
      </c>
      <c r="G70" s="1" t="s">
        <v>17</v>
      </c>
      <c r="H70" t="str">
        <f>IF(ISNA(_xlfn.XLOOKUP(B70, customer_master!$A$2:$A$1649, customer_master!$A$2:$A$1649)), "Orphan", "Valid")</f>
        <v>Orphan</v>
      </c>
    </row>
    <row r="71" spans="1:8" x14ac:dyDescent="0.3">
      <c r="A71" s="1" t="s">
        <v>7980</v>
      </c>
      <c r="B71" s="1" t="s">
        <v>212</v>
      </c>
      <c r="C71" s="41">
        <v>45679</v>
      </c>
      <c r="D71" s="1" t="s">
        <v>7879</v>
      </c>
      <c r="E71" s="1">
        <v>2</v>
      </c>
      <c r="F71" s="1" t="s">
        <v>17</v>
      </c>
      <c r="G71" s="1" t="s">
        <v>30</v>
      </c>
      <c r="H71" t="str">
        <f>IF(ISNA(_xlfn.XLOOKUP(B71, customer_master!$A$2:$A$1649, customer_master!$A$2:$A$1649)), "Orphan", "Valid")</f>
        <v>Valid</v>
      </c>
    </row>
    <row r="72" spans="1:8" x14ac:dyDescent="0.3">
      <c r="A72" s="1" t="s">
        <v>7981</v>
      </c>
      <c r="B72" s="1" t="s">
        <v>600</v>
      </c>
      <c r="C72" s="41">
        <v>46227</v>
      </c>
      <c r="D72" s="1" t="s">
        <v>7889</v>
      </c>
      <c r="E72" s="1">
        <v>4</v>
      </c>
      <c r="F72" s="1" t="s">
        <v>30</v>
      </c>
      <c r="G72" s="1" t="s">
        <v>17</v>
      </c>
      <c r="H72" t="str">
        <f>IF(ISNA(_xlfn.XLOOKUP(B72, customer_master!$A$2:$A$1649, customer_master!$A$2:$A$1649)), "Orphan", "Valid")</f>
        <v>Valid</v>
      </c>
    </row>
    <row r="73" spans="1:8" x14ac:dyDescent="0.3">
      <c r="A73" s="1" t="s">
        <v>7982</v>
      </c>
      <c r="B73" s="1" t="s">
        <v>2266</v>
      </c>
      <c r="C73" s="41">
        <v>45180</v>
      </c>
      <c r="D73" s="1" t="s">
        <v>7896</v>
      </c>
      <c r="E73" s="1">
        <v>4</v>
      </c>
      <c r="F73" s="1" t="s">
        <v>17</v>
      </c>
      <c r="G73" s="1" t="s">
        <v>17</v>
      </c>
      <c r="H73" t="str">
        <f>IF(ISNA(_xlfn.XLOOKUP(B73, customer_master!$A$2:$A$1649, customer_master!$A$2:$A$1649)), "Orphan", "Valid")</f>
        <v>Valid</v>
      </c>
    </row>
    <row r="74" spans="1:8" x14ac:dyDescent="0.3">
      <c r="A74" s="1" t="s">
        <v>7983</v>
      </c>
      <c r="B74" s="1" t="s">
        <v>2266</v>
      </c>
      <c r="C74" s="41">
        <v>45208</v>
      </c>
      <c r="D74" s="1" t="s">
        <v>7879</v>
      </c>
      <c r="E74" s="1">
        <v>2</v>
      </c>
      <c r="F74" s="1" t="s">
        <v>17</v>
      </c>
      <c r="G74" s="1" t="s">
        <v>17</v>
      </c>
      <c r="H74" t="str">
        <f>IF(ISNA(_xlfn.XLOOKUP(B74, customer_master!$A$2:$A$1649, customer_master!$A$2:$A$1649)), "Orphan", "Valid")</f>
        <v>Valid</v>
      </c>
    </row>
    <row r="75" spans="1:8" x14ac:dyDescent="0.3">
      <c r="A75" s="1" t="s">
        <v>7984</v>
      </c>
      <c r="B75" s="1" t="s">
        <v>3069</v>
      </c>
      <c r="C75" s="41">
        <v>45914</v>
      </c>
      <c r="D75" s="1" t="s">
        <v>7884</v>
      </c>
      <c r="E75" s="1">
        <v>2</v>
      </c>
      <c r="F75" s="1" t="s">
        <v>30</v>
      </c>
      <c r="G75" s="1" t="s">
        <v>17</v>
      </c>
      <c r="H75" t="str">
        <f>IF(ISNA(_xlfn.XLOOKUP(B75, customer_master!$A$2:$A$1649, customer_master!$A$2:$A$1649)), "Orphan", "Valid")</f>
        <v>Valid</v>
      </c>
    </row>
    <row r="76" spans="1:8" x14ac:dyDescent="0.3">
      <c r="A76" s="1" t="s">
        <v>7985</v>
      </c>
      <c r="B76" s="1" t="s">
        <v>1289</v>
      </c>
      <c r="C76" s="41">
        <v>46123</v>
      </c>
      <c r="D76" s="1" t="s">
        <v>7881</v>
      </c>
      <c r="E76" s="1">
        <v>4</v>
      </c>
      <c r="F76" s="1" t="s">
        <v>30</v>
      </c>
      <c r="G76" s="1" t="s">
        <v>17</v>
      </c>
      <c r="H76" t="str">
        <f>IF(ISNA(_xlfn.XLOOKUP(B76, customer_master!$A$2:$A$1649, customer_master!$A$2:$A$1649)), "Orphan", "Valid")</f>
        <v>Valid</v>
      </c>
    </row>
    <row r="77" spans="1:8" x14ac:dyDescent="0.3">
      <c r="A77" s="1" t="s">
        <v>7986</v>
      </c>
      <c r="B77" s="1" t="s">
        <v>903</v>
      </c>
      <c r="C77" s="41">
        <v>46264</v>
      </c>
      <c r="D77" s="1" t="s">
        <v>7884</v>
      </c>
      <c r="E77" s="1">
        <v>2</v>
      </c>
      <c r="F77" s="1" t="s">
        <v>30</v>
      </c>
      <c r="G77" s="1" t="s">
        <v>30</v>
      </c>
      <c r="H77" t="str">
        <f>IF(ISNA(_xlfn.XLOOKUP(B77, customer_master!$A$2:$A$1649, customer_master!$A$2:$A$1649)), "Orphan", "Valid")</f>
        <v>Valid</v>
      </c>
    </row>
    <row r="78" spans="1:8" x14ac:dyDescent="0.3">
      <c r="A78" s="1" t="s">
        <v>7987</v>
      </c>
      <c r="B78" s="1" t="s">
        <v>1745</v>
      </c>
      <c r="C78" s="41">
        <v>46117</v>
      </c>
      <c r="D78" s="1" t="s">
        <v>7912</v>
      </c>
      <c r="E78" s="1">
        <v>5</v>
      </c>
      <c r="F78" s="1" t="s">
        <v>17</v>
      </c>
      <c r="G78" s="1" t="s">
        <v>17</v>
      </c>
      <c r="H78" t="str">
        <f>IF(ISNA(_xlfn.XLOOKUP(B78, customer_master!$A$2:$A$1649, customer_master!$A$2:$A$1649)), "Orphan", "Valid")</f>
        <v>Valid</v>
      </c>
    </row>
    <row r="79" spans="1:8" x14ac:dyDescent="0.3">
      <c r="A79" s="1" t="s">
        <v>7988</v>
      </c>
      <c r="B79" s="1" t="s">
        <v>1612</v>
      </c>
      <c r="C79" s="41">
        <v>45250</v>
      </c>
      <c r="D79" s="1" t="s">
        <v>7906</v>
      </c>
      <c r="E79" s="1">
        <v>4</v>
      </c>
      <c r="F79" s="1" t="s">
        <v>30</v>
      </c>
      <c r="G79" s="1" t="s">
        <v>30</v>
      </c>
      <c r="H79" t="str">
        <f>IF(ISNA(_xlfn.XLOOKUP(B79, customer_master!$A$2:$A$1649, customer_master!$A$2:$A$1649)), "Orphan", "Valid")</f>
        <v>Valid</v>
      </c>
    </row>
    <row r="80" spans="1:8" x14ac:dyDescent="0.3">
      <c r="A80" s="1" t="s">
        <v>7989</v>
      </c>
      <c r="B80" s="1" t="s">
        <v>491</v>
      </c>
      <c r="C80" s="41">
        <v>45630</v>
      </c>
      <c r="D80" s="1" t="s">
        <v>7906</v>
      </c>
      <c r="E80" s="1">
        <v>5</v>
      </c>
      <c r="F80" s="1" t="s">
        <v>17</v>
      </c>
      <c r="G80" s="1" t="s">
        <v>30</v>
      </c>
      <c r="H80" t="str">
        <f>IF(ISNA(_xlfn.XLOOKUP(B80, customer_master!$A$2:$A$1649, customer_master!$A$2:$A$1649)), "Orphan", "Valid")</f>
        <v>Valid</v>
      </c>
    </row>
    <row r="81" spans="1:8" x14ac:dyDescent="0.3">
      <c r="A81" s="1" t="s">
        <v>7990</v>
      </c>
      <c r="B81" s="1" t="s">
        <v>2374</v>
      </c>
      <c r="C81" s="41">
        <v>45457</v>
      </c>
      <c r="D81" s="1" t="s">
        <v>7879</v>
      </c>
      <c r="E81" s="1">
        <v>2</v>
      </c>
      <c r="F81" s="1" t="s">
        <v>30</v>
      </c>
      <c r="G81" s="1" t="s">
        <v>17</v>
      </c>
      <c r="H81" t="str">
        <f>IF(ISNA(_xlfn.XLOOKUP(B81, customer_master!$A$2:$A$1649, customer_master!$A$2:$A$1649)), "Orphan", "Valid")</f>
        <v>Valid</v>
      </c>
    </row>
    <row r="82" spans="1:8" x14ac:dyDescent="0.3">
      <c r="A82" s="1" t="s">
        <v>7991</v>
      </c>
      <c r="B82" s="1" t="s">
        <v>3230</v>
      </c>
      <c r="C82" s="41">
        <v>45957</v>
      </c>
      <c r="D82" s="1" t="s">
        <v>7884</v>
      </c>
      <c r="E82" s="1">
        <v>2</v>
      </c>
      <c r="F82" s="1" t="s">
        <v>17</v>
      </c>
      <c r="G82" s="1" t="s">
        <v>30</v>
      </c>
      <c r="H82" t="str">
        <f>IF(ISNA(_xlfn.XLOOKUP(B82, customer_master!$A$2:$A$1649, customer_master!$A$2:$A$1649)), "Orphan", "Valid")</f>
        <v>Valid</v>
      </c>
    </row>
    <row r="83" spans="1:8" x14ac:dyDescent="0.3">
      <c r="A83" s="1" t="s">
        <v>7992</v>
      </c>
      <c r="B83" s="1" t="s">
        <v>7993</v>
      </c>
      <c r="C83" s="41">
        <v>45305</v>
      </c>
      <c r="D83" s="1" t="s">
        <v>7906</v>
      </c>
      <c r="E83" s="1">
        <v>5</v>
      </c>
      <c r="F83" s="1" t="s">
        <v>30</v>
      </c>
      <c r="G83" s="1" t="s">
        <v>17</v>
      </c>
      <c r="H83" t="str">
        <f>IF(ISNA(_xlfn.XLOOKUP(B83, customer_master!$A$2:$A$1649, customer_master!$A$2:$A$1649)), "Orphan", "Valid")</f>
        <v>Orphan</v>
      </c>
    </row>
    <row r="84" spans="1:8" x14ac:dyDescent="0.3">
      <c r="A84" s="1" t="s">
        <v>7994</v>
      </c>
      <c r="B84" s="1" t="s">
        <v>2198</v>
      </c>
      <c r="C84" s="41">
        <v>46024</v>
      </c>
      <c r="D84" s="1" t="s">
        <v>7877</v>
      </c>
      <c r="E84" s="1">
        <v>1</v>
      </c>
      <c r="F84" s="1" t="s">
        <v>30</v>
      </c>
      <c r="G84" s="1" t="s">
        <v>17</v>
      </c>
      <c r="H84" t="str">
        <f>IF(ISNA(_xlfn.XLOOKUP(B84, customer_master!$A$2:$A$1649, customer_master!$A$2:$A$1649)), "Orphan", "Valid")</f>
        <v>Valid</v>
      </c>
    </row>
    <row r="85" spans="1:8" x14ac:dyDescent="0.3">
      <c r="A85" s="1" t="s">
        <v>7995</v>
      </c>
      <c r="B85" s="1" t="s">
        <v>7996</v>
      </c>
      <c r="C85" s="41">
        <v>45882</v>
      </c>
      <c r="D85" s="1" t="s">
        <v>7884</v>
      </c>
      <c r="E85" s="1">
        <v>2</v>
      </c>
      <c r="F85" s="1" t="s">
        <v>30</v>
      </c>
      <c r="G85" s="1" t="s">
        <v>17</v>
      </c>
      <c r="H85" t="str">
        <f>IF(ISNA(_xlfn.XLOOKUP(B85, customer_master!$A$2:$A$1649, customer_master!$A$2:$A$1649)), "Orphan", "Valid")</f>
        <v>Orphan</v>
      </c>
    </row>
    <row r="86" spans="1:8" x14ac:dyDescent="0.3">
      <c r="A86" s="1" t="s">
        <v>7997</v>
      </c>
      <c r="B86" s="1" t="s">
        <v>1021</v>
      </c>
      <c r="C86" s="41">
        <v>45758</v>
      </c>
      <c r="D86" s="1" t="s">
        <v>7884</v>
      </c>
      <c r="E86" s="1">
        <v>2</v>
      </c>
      <c r="F86" s="1" t="s">
        <v>30</v>
      </c>
      <c r="G86" s="1" t="s">
        <v>17</v>
      </c>
      <c r="H86" t="str">
        <f>IF(ISNA(_xlfn.XLOOKUP(B86, customer_master!$A$2:$A$1649, customer_master!$A$2:$A$1649)), "Orphan", "Valid")</f>
        <v>Valid</v>
      </c>
    </row>
    <row r="87" spans="1:8" x14ac:dyDescent="0.3">
      <c r="A87" s="1" t="s">
        <v>7998</v>
      </c>
      <c r="B87" s="1" t="s">
        <v>2977</v>
      </c>
      <c r="C87" s="41">
        <v>45198</v>
      </c>
      <c r="D87" s="1" t="s">
        <v>7887</v>
      </c>
      <c r="E87" s="1">
        <v>2</v>
      </c>
      <c r="F87" s="1" t="s">
        <v>17</v>
      </c>
      <c r="G87" s="1" t="s">
        <v>17</v>
      </c>
      <c r="H87" t="str">
        <f>IF(ISNA(_xlfn.XLOOKUP(B87, customer_master!$A$2:$A$1649, customer_master!$A$2:$A$1649)), "Orphan", "Valid")</f>
        <v>Valid</v>
      </c>
    </row>
    <row r="88" spans="1:8" x14ac:dyDescent="0.3">
      <c r="A88" s="1" t="s">
        <v>7999</v>
      </c>
      <c r="B88" s="1" t="s">
        <v>1678</v>
      </c>
      <c r="C88" s="41">
        <v>45699</v>
      </c>
      <c r="D88" s="1" t="s">
        <v>7889</v>
      </c>
      <c r="E88" s="1">
        <v>5</v>
      </c>
      <c r="F88" s="1" t="s">
        <v>17</v>
      </c>
      <c r="G88" s="1" t="s">
        <v>30</v>
      </c>
      <c r="H88" t="str">
        <f>IF(ISNA(_xlfn.XLOOKUP(B88, customer_master!$A$2:$A$1649, customer_master!$A$2:$A$1649)), "Orphan", "Valid")</f>
        <v>Valid</v>
      </c>
    </row>
    <row r="89" spans="1:8" x14ac:dyDescent="0.3">
      <c r="A89" s="1" t="s">
        <v>8000</v>
      </c>
      <c r="B89" s="1" t="s">
        <v>369</v>
      </c>
      <c r="C89" s="41">
        <v>45968</v>
      </c>
      <c r="D89" s="1" t="s">
        <v>7884</v>
      </c>
      <c r="E89" s="1">
        <v>2</v>
      </c>
      <c r="F89" s="1" t="s">
        <v>30</v>
      </c>
      <c r="G89" s="1" t="s">
        <v>30</v>
      </c>
      <c r="H89" t="str">
        <f>IF(ISNA(_xlfn.XLOOKUP(B89, customer_master!$A$2:$A$1649, customer_master!$A$2:$A$1649)), "Orphan", "Valid")</f>
        <v>Valid</v>
      </c>
    </row>
    <row r="90" spans="1:8" x14ac:dyDescent="0.3">
      <c r="A90" s="1" t="s">
        <v>8001</v>
      </c>
      <c r="B90" s="1" t="s">
        <v>861</v>
      </c>
      <c r="C90" s="41">
        <v>45494</v>
      </c>
      <c r="D90" s="1" t="s">
        <v>7906</v>
      </c>
      <c r="E90" s="1">
        <v>5</v>
      </c>
      <c r="F90" s="1" t="s">
        <v>30</v>
      </c>
      <c r="G90" s="1" t="s">
        <v>17</v>
      </c>
      <c r="H90" t="str">
        <f>IF(ISNA(_xlfn.XLOOKUP(B90, customer_master!$A$2:$A$1649, customer_master!$A$2:$A$1649)), "Orphan", "Valid")</f>
        <v>Valid</v>
      </c>
    </row>
    <row r="91" spans="1:8" x14ac:dyDescent="0.3">
      <c r="A91" s="1" t="s">
        <v>8002</v>
      </c>
      <c r="B91" s="1" t="s">
        <v>467</v>
      </c>
      <c r="C91" s="41">
        <v>45609</v>
      </c>
      <c r="D91" s="1" t="s">
        <v>7889</v>
      </c>
      <c r="E91" s="1">
        <v>5</v>
      </c>
      <c r="F91" s="1" t="s">
        <v>17</v>
      </c>
      <c r="G91" s="1" t="s">
        <v>17</v>
      </c>
      <c r="H91" t="str">
        <f>IF(ISNA(_xlfn.XLOOKUP(B91, customer_master!$A$2:$A$1649, customer_master!$A$2:$A$1649)), "Orphan", "Valid")</f>
        <v>Valid</v>
      </c>
    </row>
    <row r="92" spans="1:8" x14ac:dyDescent="0.3">
      <c r="A92" s="1" t="s">
        <v>8003</v>
      </c>
      <c r="B92" s="1" t="s">
        <v>8004</v>
      </c>
      <c r="C92" s="41">
        <v>46074</v>
      </c>
      <c r="D92" s="1" t="s">
        <v>7879</v>
      </c>
      <c r="E92" s="1">
        <v>2</v>
      </c>
      <c r="F92" s="1" t="s">
        <v>17</v>
      </c>
      <c r="G92" s="1" t="s">
        <v>17</v>
      </c>
      <c r="H92" t="str">
        <f>IF(ISNA(_xlfn.XLOOKUP(B92, customer_master!$A$2:$A$1649, customer_master!$A$2:$A$1649)), "Orphan", "Valid")</f>
        <v>Orphan</v>
      </c>
    </row>
    <row r="93" spans="1:8" x14ac:dyDescent="0.3">
      <c r="A93" s="1" t="s">
        <v>8005</v>
      </c>
      <c r="B93" s="1" t="s">
        <v>2957</v>
      </c>
      <c r="C93" s="41">
        <v>46015</v>
      </c>
      <c r="D93" s="1" t="s">
        <v>7896</v>
      </c>
      <c r="E93" s="1">
        <v>5</v>
      </c>
      <c r="F93" s="1" t="s">
        <v>30</v>
      </c>
      <c r="G93" s="1" t="s">
        <v>30</v>
      </c>
      <c r="H93" t="str">
        <f>IF(ISNA(_xlfn.XLOOKUP(B93, customer_master!$A$2:$A$1649, customer_master!$A$2:$A$1649)), "Orphan", "Valid")</f>
        <v>Valid</v>
      </c>
    </row>
    <row r="94" spans="1:8" x14ac:dyDescent="0.3">
      <c r="A94" s="1" t="s">
        <v>8006</v>
      </c>
      <c r="B94" s="1" t="s">
        <v>1177</v>
      </c>
      <c r="C94" s="41">
        <v>45571</v>
      </c>
      <c r="D94" s="1" t="s">
        <v>7896</v>
      </c>
      <c r="E94" s="1">
        <v>4</v>
      </c>
      <c r="F94" s="1" t="s">
        <v>30</v>
      </c>
      <c r="G94" s="1" t="s">
        <v>17</v>
      </c>
      <c r="H94" t="str">
        <f>IF(ISNA(_xlfn.XLOOKUP(B94, customer_master!$A$2:$A$1649, customer_master!$A$2:$A$1649)), "Orphan", "Valid")</f>
        <v>Valid</v>
      </c>
    </row>
    <row r="95" spans="1:8" x14ac:dyDescent="0.3">
      <c r="A95" s="1" t="s">
        <v>8007</v>
      </c>
      <c r="B95" s="1" t="s">
        <v>2075</v>
      </c>
      <c r="C95" s="41">
        <v>45958</v>
      </c>
      <c r="D95" s="1" t="s">
        <v>7877</v>
      </c>
      <c r="E95" s="1">
        <v>1</v>
      </c>
      <c r="F95" s="1" t="s">
        <v>17</v>
      </c>
      <c r="G95" s="1" t="s">
        <v>17</v>
      </c>
      <c r="H95" t="str">
        <f>IF(ISNA(_xlfn.XLOOKUP(B95, customer_master!$A$2:$A$1649, customer_master!$A$2:$A$1649)), "Orphan", "Valid")</f>
        <v>Valid</v>
      </c>
    </row>
    <row r="96" spans="1:8" x14ac:dyDescent="0.3">
      <c r="A96" s="1" t="s">
        <v>8008</v>
      </c>
      <c r="B96" s="1" t="s">
        <v>8009</v>
      </c>
      <c r="C96" s="41">
        <v>45733</v>
      </c>
      <c r="D96" s="1" t="s">
        <v>7881</v>
      </c>
      <c r="E96" s="1">
        <v>4</v>
      </c>
      <c r="F96" s="1" t="s">
        <v>17</v>
      </c>
      <c r="G96" s="1" t="s">
        <v>30</v>
      </c>
      <c r="H96" t="str">
        <f>IF(ISNA(_xlfn.XLOOKUP(B96, customer_master!$A$2:$A$1649, customer_master!$A$2:$A$1649)), "Orphan", "Valid")</f>
        <v>Orphan</v>
      </c>
    </row>
    <row r="97" spans="1:8" x14ac:dyDescent="0.3">
      <c r="A97" s="1" t="s">
        <v>8010</v>
      </c>
      <c r="B97" s="1" t="s">
        <v>1398</v>
      </c>
      <c r="C97" s="41">
        <v>45884</v>
      </c>
      <c r="D97" s="1" t="s">
        <v>7881</v>
      </c>
      <c r="E97" s="1">
        <v>4</v>
      </c>
      <c r="F97" s="1" t="s">
        <v>17</v>
      </c>
      <c r="G97" s="1" t="s">
        <v>30</v>
      </c>
      <c r="H97" t="str">
        <f>IF(ISNA(_xlfn.XLOOKUP(B97, customer_master!$A$2:$A$1649, customer_master!$A$2:$A$1649)), "Orphan", "Valid")</f>
        <v>Valid</v>
      </c>
    </row>
    <row r="98" spans="1:8" x14ac:dyDescent="0.3">
      <c r="A98" s="1" t="s">
        <v>8011</v>
      </c>
      <c r="B98" s="1" t="s">
        <v>8012</v>
      </c>
      <c r="C98" s="41">
        <v>45642</v>
      </c>
      <c r="D98" s="1" t="s">
        <v>7884</v>
      </c>
      <c r="E98" s="1">
        <v>2</v>
      </c>
      <c r="F98" s="1" t="s">
        <v>30</v>
      </c>
      <c r="G98" s="1" t="s">
        <v>17</v>
      </c>
      <c r="H98" t="str">
        <f>IF(ISNA(_xlfn.XLOOKUP(B98, customer_master!$A$2:$A$1649, customer_master!$A$2:$A$1649)), "Orphan", "Valid")</f>
        <v>Orphan</v>
      </c>
    </row>
    <row r="99" spans="1:8" x14ac:dyDescent="0.3">
      <c r="A99" s="1" t="s">
        <v>8013</v>
      </c>
      <c r="B99" s="1" t="s">
        <v>8014</v>
      </c>
      <c r="C99" s="41">
        <v>45308</v>
      </c>
      <c r="D99" s="1" t="s">
        <v>7881</v>
      </c>
      <c r="E99" s="1">
        <v>4</v>
      </c>
      <c r="F99" s="1" t="s">
        <v>17</v>
      </c>
      <c r="G99" s="1" t="s">
        <v>30</v>
      </c>
      <c r="H99" t="str">
        <f>IF(ISNA(_xlfn.XLOOKUP(B99, customer_master!$A$2:$A$1649, customer_master!$A$2:$A$1649)), "Orphan", "Valid")</f>
        <v>Orphan</v>
      </c>
    </row>
    <row r="100" spans="1:8" x14ac:dyDescent="0.3">
      <c r="A100" s="1" t="s">
        <v>8015</v>
      </c>
      <c r="B100" s="1" t="s">
        <v>8016</v>
      </c>
      <c r="C100" s="41">
        <v>45332</v>
      </c>
      <c r="D100" s="1" t="s">
        <v>7899</v>
      </c>
      <c r="E100" s="1">
        <v>2</v>
      </c>
      <c r="F100" s="1" t="s">
        <v>17</v>
      </c>
      <c r="G100" s="1" t="s">
        <v>30</v>
      </c>
      <c r="H100" t="str">
        <f>IF(ISNA(_xlfn.XLOOKUP(B100, customer_master!$A$2:$A$1649, customer_master!$A$2:$A$1649)), "Orphan", "Valid")</f>
        <v>Orphan</v>
      </c>
    </row>
    <row r="101" spans="1:8" x14ac:dyDescent="0.3">
      <c r="A101" s="1" t="s">
        <v>8017</v>
      </c>
      <c r="B101" s="1" t="s">
        <v>721</v>
      </c>
      <c r="C101" s="41">
        <v>45460</v>
      </c>
      <c r="D101" s="1" t="s">
        <v>7896</v>
      </c>
      <c r="E101" s="1">
        <v>5</v>
      </c>
      <c r="F101" s="1" t="s">
        <v>17</v>
      </c>
      <c r="G101" s="1" t="s">
        <v>17</v>
      </c>
      <c r="H101" t="str">
        <f>IF(ISNA(_xlfn.XLOOKUP(B101, customer_master!$A$2:$A$1649, customer_master!$A$2:$A$1649)), "Orphan", "Valid")</f>
        <v>Valid</v>
      </c>
    </row>
    <row r="102" spans="1:8" x14ac:dyDescent="0.3">
      <c r="A102" s="1" t="s">
        <v>8018</v>
      </c>
      <c r="B102" s="1" t="s">
        <v>103</v>
      </c>
      <c r="C102" s="41">
        <v>46077</v>
      </c>
      <c r="D102" s="1" t="s">
        <v>7899</v>
      </c>
      <c r="E102" s="1">
        <v>2</v>
      </c>
      <c r="F102" s="1" t="s">
        <v>17</v>
      </c>
      <c r="G102" s="1" t="s">
        <v>17</v>
      </c>
      <c r="H102" t="str">
        <f>IF(ISNA(_xlfn.XLOOKUP(B102, customer_master!$A$2:$A$1649, customer_master!$A$2:$A$1649)), "Orphan", "Valid")</f>
        <v>Valid</v>
      </c>
    </row>
    <row r="103" spans="1:8" x14ac:dyDescent="0.3">
      <c r="A103" s="1" t="s">
        <v>8019</v>
      </c>
      <c r="B103" s="1" t="s">
        <v>1568</v>
      </c>
      <c r="C103" s="41">
        <v>45998</v>
      </c>
      <c r="D103" s="1" t="s">
        <v>7881</v>
      </c>
      <c r="E103" s="1">
        <v>4</v>
      </c>
      <c r="F103" s="1" t="s">
        <v>17</v>
      </c>
      <c r="G103" s="1" t="s">
        <v>17</v>
      </c>
      <c r="H103" t="str">
        <f>IF(ISNA(_xlfn.XLOOKUP(B103, customer_master!$A$2:$A$1649, customer_master!$A$2:$A$1649)), "Orphan", "Valid")</f>
        <v>Valid</v>
      </c>
    </row>
    <row r="104" spans="1:8" x14ac:dyDescent="0.3">
      <c r="A104" s="1" t="s">
        <v>8020</v>
      </c>
      <c r="B104" s="1" t="s">
        <v>3289</v>
      </c>
      <c r="C104" s="41">
        <v>45295</v>
      </c>
      <c r="D104" s="1" t="s">
        <v>7906</v>
      </c>
      <c r="E104" s="1">
        <v>5</v>
      </c>
      <c r="F104" s="1" t="s">
        <v>17</v>
      </c>
      <c r="G104" s="1" t="s">
        <v>30</v>
      </c>
      <c r="H104" t="str">
        <f>IF(ISNA(_xlfn.XLOOKUP(B104, customer_master!$A$2:$A$1649, customer_master!$A$2:$A$1649)), "Orphan", "Valid")</f>
        <v>Valid</v>
      </c>
    </row>
    <row r="105" spans="1:8" x14ac:dyDescent="0.3">
      <c r="A105" s="1" t="s">
        <v>8021</v>
      </c>
      <c r="B105" s="1" t="s">
        <v>2012</v>
      </c>
      <c r="C105" s="41">
        <v>45358</v>
      </c>
      <c r="D105" s="1" t="s">
        <v>7912</v>
      </c>
      <c r="E105" s="1">
        <v>4</v>
      </c>
      <c r="F105" s="1" t="s">
        <v>30</v>
      </c>
      <c r="G105" s="1" t="s">
        <v>17</v>
      </c>
      <c r="H105" t="str">
        <f>IF(ISNA(_xlfn.XLOOKUP(B105, customer_master!$A$2:$A$1649, customer_master!$A$2:$A$1649)), "Orphan", "Valid")</f>
        <v>Valid</v>
      </c>
    </row>
    <row r="106" spans="1:8" x14ac:dyDescent="0.3">
      <c r="A106" s="1" t="s">
        <v>8022</v>
      </c>
      <c r="B106" s="1" t="s">
        <v>8023</v>
      </c>
      <c r="C106" s="41">
        <v>45625</v>
      </c>
      <c r="D106" s="1" t="s">
        <v>7896</v>
      </c>
      <c r="E106" s="1">
        <v>5</v>
      </c>
      <c r="F106" s="1" t="s">
        <v>30</v>
      </c>
      <c r="G106" s="1" t="s">
        <v>17</v>
      </c>
      <c r="H106" t="str">
        <f>IF(ISNA(_xlfn.XLOOKUP(B106, customer_master!$A$2:$A$1649, customer_master!$A$2:$A$1649)), "Orphan", "Valid")</f>
        <v>Orphan</v>
      </c>
    </row>
    <row r="107" spans="1:8" x14ac:dyDescent="0.3">
      <c r="A107" s="1" t="s">
        <v>8024</v>
      </c>
      <c r="B107" s="1" t="s">
        <v>3112</v>
      </c>
      <c r="C107" s="41">
        <v>45545</v>
      </c>
      <c r="D107" s="1" t="s">
        <v>7879</v>
      </c>
      <c r="E107" s="1">
        <v>2</v>
      </c>
      <c r="F107" s="1" t="s">
        <v>17</v>
      </c>
      <c r="G107" s="1" t="s">
        <v>17</v>
      </c>
      <c r="H107" t="str">
        <f>IF(ISNA(_xlfn.XLOOKUP(B107, customer_master!$A$2:$A$1649, customer_master!$A$2:$A$1649)), "Orphan", "Valid")</f>
        <v>Valid</v>
      </c>
    </row>
    <row r="108" spans="1:8" x14ac:dyDescent="0.3">
      <c r="A108" s="1" t="s">
        <v>8025</v>
      </c>
      <c r="B108" s="1" t="s">
        <v>8026</v>
      </c>
      <c r="C108" s="41">
        <v>46173</v>
      </c>
      <c r="D108" s="1" t="s">
        <v>7877</v>
      </c>
      <c r="E108" s="1">
        <v>2</v>
      </c>
      <c r="F108" s="1" t="s">
        <v>17</v>
      </c>
      <c r="G108" s="1" t="s">
        <v>30</v>
      </c>
      <c r="H108" t="str">
        <f>IF(ISNA(_xlfn.XLOOKUP(B108, customer_master!$A$2:$A$1649, customer_master!$A$2:$A$1649)), "Orphan", "Valid")</f>
        <v>Orphan</v>
      </c>
    </row>
    <row r="109" spans="1:8" x14ac:dyDescent="0.3">
      <c r="A109" s="1" t="s">
        <v>8027</v>
      </c>
      <c r="B109" s="1" t="s">
        <v>1073</v>
      </c>
      <c r="C109" s="41">
        <v>46044</v>
      </c>
      <c r="D109" s="1" t="s">
        <v>7906</v>
      </c>
      <c r="E109" s="1">
        <v>5</v>
      </c>
      <c r="F109" s="1" t="s">
        <v>30</v>
      </c>
      <c r="G109" s="1" t="s">
        <v>17</v>
      </c>
      <c r="H109" t="str">
        <f>IF(ISNA(_xlfn.XLOOKUP(B109, customer_master!$A$2:$A$1649, customer_master!$A$2:$A$1649)), "Orphan", "Valid")</f>
        <v>Valid</v>
      </c>
    </row>
    <row r="110" spans="1:8" x14ac:dyDescent="0.3">
      <c r="A110" s="1" t="s">
        <v>8028</v>
      </c>
      <c r="B110" s="1" t="s">
        <v>1083</v>
      </c>
      <c r="C110" s="41">
        <v>45403</v>
      </c>
      <c r="D110" s="1" t="s">
        <v>7912</v>
      </c>
      <c r="E110" s="1">
        <v>5</v>
      </c>
      <c r="F110" s="1" t="s">
        <v>30</v>
      </c>
      <c r="G110" s="1" t="s">
        <v>17</v>
      </c>
      <c r="H110" t="str">
        <f>IF(ISNA(_xlfn.XLOOKUP(B110, customer_master!$A$2:$A$1649, customer_master!$A$2:$A$1649)), "Orphan", "Valid")</f>
        <v>Valid</v>
      </c>
    </row>
    <row r="111" spans="1:8" x14ac:dyDescent="0.3">
      <c r="A111" s="1" t="s">
        <v>8029</v>
      </c>
      <c r="B111" s="1" t="s">
        <v>1127</v>
      </c>
      <c r="C111" s="41">
        <v>45279</v>
      </c>
      <c r="D111" s="1" t="s">
        <v>7877</v>
      </c>
      <c r="E111" s="1">
        <v>1</v>
      </c>
      <c r="F111" s="1" t="s">
        <v>17</v>
      </c>
      <c r="G111" s="1" t="s">
        <v>30</v>
      </c>
      <c r="H111" t="str">
        <f>IF(ISNA(_xlfn.XLOOKUP(B111, customer_master!$A$2:$A$1649, customer_master!$A$2:$A$1649)), "Orphan", "Valid")</f>
        <v>Valid</v>
      </c>
    </row>
    <row r="112" spans="1:8" x14ac:dyDescent="0.3">
      <c r="A112" s="1" t="s">
        <v>8030</v>
      </c>
      <c r="B112" s="1" t="s">
        <v>2885</v>
      </c>
      <c r="C112" s="41">
        <v>45876</v>
      </c>
      <c r="D112" s="1" t="s">
        <v>7889</v>
      </c>
      <c r="E112" s="1">
        <v>4</v>
      </c>
      <c r="F112" s="1" t="s">
        <v>30</v>
      </c>
      <c r="G112" s="1" t="s">
        <v>17</v>
      </c>
      <c r="H112" t="str">
        <f>IF(ISNA(_xlfn.XLOOKUP(B112, customer_master!$A$2:$A$1649, customer_master!$A$2:$A$1649)), "Orphan", "Valid")</f>
        <v>Valid</v>
      </c>
    </row>
    <row r="113" spans="1:8" x14ac:dyDescent="0.3">
      <c r="A113" s="1" t="s">
        <v>8031</v>
      </c>
      <c r="B113" s="1" t="s">
        <v>8032</v>
      </c>
      <c r="C113" s="41">
        <v>45254</v>
      </c>
      <c r="D113" s="1" t="s">
        <v>7887</v>
      </c>
      <c r="E113" s="1">
        <v>2</v>
      </c>
      <c r="F113" s="1" t="s">
        <v>17</v>
      </c>
      <c r="G113" s="1" t="s">
        <v>30</v>
      </c>
      <c r="H113" t="str">
        <f>IF(ISNA(_xlfn.XLOOKUP(B113, customer_master!$A$2:$A$1649, customer_master!$A$2:$A$1649)), "Orphan", "Valid")</f>
        <v>Orphan</v>
      </c>
    </row>
    <row r="114" spans="1:8" x14ac:dyDescent="0.3">
      <c r="A114" s="1" t="s">
        <v>8033</v>
      </c>
      <c r="B114" s="1" t="s">
        <v>3186</v>
      </c>
      <c r="C114" s="41">
        <v>46158</v>
      </c>
      <c r="D114" s="1" t="s">
        <v>7879</v>
      </c>
      <c r="E114" s="1">
        <v>2</v>
      </c>
      <c r="F114" s="1" t="s">
        <v>30</v>
      </c>
      <c r="G114" s="1" t="s">
        <v>17</v>
      </c>
      <c r="H114" t="str">
        <f>IF(ISNA(_xlfn.XLOOKUP(B114, customer_master!$A$2:$A$1649, customer_master!$A$2:$A$1649)), "Orphan", "Valid")</f>
        <v>Valid</v>
      </c>
    </row>
    <row r="115" spans="1:8" x14ac:dyDescent="0.3">
      <c r="A115" s="1" t="s">
        <v>8034</v>
      </c>
      <c r="B115" s="1" t="s">
        <v>222</v>
      </c>
      <c r="C115" s="41">
        <v>45711</v>
      </c>
      <c r="D115" s="1" t="s">
        <v>7881</v>
      </c>
      <c r="E115" s="1">
        <v>4</v>
      </c>
      <c r="F115" s="1" t="s">
        <v>30</v>
      </c>
      <c r="G115" s="1" t="s">
        <v>30</v>
      </c>
      <c r="H115" t="str">
        <f>IF(ISNA(_xlfn.XLOOKUP(B115, customer_master!$A$2:$A$1649, customer_master!$A$2:$A$1649)), "Orphan", "Valid")</f>
        <v>Valid</v>
      </c>
    </row>
    <row r="116" spans="1:8" x14ac:dyDescent="0.3">
      <c r="A116" s="1" t="s">
        <v>8035</v>
      </c>
      <c r="B116" s="1" t="s">
        <v>2657</v>
      </c>
      <c r="C116" s="41">
        <v>45441</v>
      </c>
      <c r="D116" s="1" t="s">
        <v>7877</v>
      </c>
      <c r="E116" s="1">
        <v>1</v>
      </c>
      <c r="F116" s="1" t="s">
        <v>17</v>
      </c>
      <c r="G116" s="1" t="s">
        <v>30</v>
      </c>
      <c r="H116" t="str">
        <f>IF(ISNA(_xlfn.XLOOKUP(B116, customer_master!$A$2:$A$1649, customer_master!$A$2:$A$1649)), "Orphan", "Valid")</f>
        <v>Valid</v>
      </c>
    </row>
    <row r="117" spans="1:8" x14ac:dyDescent="0.3">
      <c r="A117" s="1" t="s">
        <v>8036</v>
      </c>
      <c r="B117" s="1" t="s">
        <v>2294</v>
      </c>
      <c r="C117" s="41">
        <v>45457</v>
      </c>
      <c r="D117" s="1" t="s">
        <v>7877</v>
      </c>
      <c r="E117" s="1">
        <v>2</v>
      </c>
      <c r="F117" s="1" t="s">
        <v>30</v>
      </c>
      <c r="G117" s="1" t="s">
        <v>17</v>
      </c>
      <c r="H117" t="str">
        <f>IF(ISNA(_xlfn.XLOOKUP(B117, customer_master!$A$2:$A$1649, customer_master!$A$2:$A$1649)), "Orphan", "Valid")</f>
        <v>Valid</v>
      </c>
    </row>
    <row r="118" spans="1:8" x14ac:dyDescent="0.3">
      <c r="A118" s="1" t="s">
        <v>8037</v>
      </c>
      <c r="B118" s="1" t="s">
        <v>682</v>
      </c>
      <c r="C118" s="41">
        <v>45496</v>
      </c>
      <c r="D118" s="1" t="s">
        <v>7889</v>
      </c>
      <c r="E118" s="1">
        <v>5</v>
      </c>
      <c r="F118" s="1" t="s">
        <v>17</v>
      </c>
      <c r="G118" s="1" t="s">
        <v>30</v>
      </c>
      <c r="H118" t="str">
        <f>IF(ISNA(_xlfn.XLOOKUP(B118, customer_master!$A$2:$A$1649, customer_master!$A$2:$A$1649)), "Orphan", "Valid")</f>
        <v>Valid</v>
      </c>
    </row>
    <row r="119" spans="1:8" x14ac:dyDescent="0.3">
      <c r="A119" s="1" t="s">
        <v>8038</v>
      </c>
      <c r="B119" s="1" t="s">
        <v>8039</v>
      </c>
      <c r="C119" s="41">
        <v>45660</v>
      </c>
      <c r="D119" s="1" t="s">
        <v>7906</v>
      </c>
      <c r="E119" s="1">
        <v>5</v>
      </c>
      <c r="F119" s="1" t="s">
        <v>17</v>
      </c>
      <c r="G119" s="1" t="s">
        <v>17</v>
      </c>
      <c r="H119" t="str">
        <f>IF(ISNA(_xlfn.XLOOKUP(B119, customer_master!$A$2:$A$1649, customer_master!$A$2:$A$1649)), "Orphan", "Valid")</f>
        <v>Orphan</v>
      </c>
    </row>
    <row r="120" spans="1:8" x14ac:dyDescent="0.3">
      <c r="A120" s="1" t="s">
        <v>8040</v>
      </c>
      <c r="B120" s="1" t="s">
        <v>324</v>
      </c>
      <c r="C120" s="41">
        <v>46035</v>
      </c>
      <c r="D120" s="1" t="s">
        <v>7887</v>
      </c>
      <c r="E120" s="1">
        <v>2</v>
      </c>
      <c r="F120" s="1" t="s">
        <v>17</v>
      </c>
      <c r="G120" s="1" t="s">
        <v>17</v>
      </c>
      <c r="H120" t="str">
        <f>IF(ISNA(_xlfn.XLOOKUP(B120, customer_master!$A$2:$A$1649, customer_master!$A$2:$A$1649)), "Orphan", "Valid")</f>
        <v>Valid</v>
      </c>
    </row>
    <row r="121" spans="1:8" x14ac:dyDescent="0.3">
      <c r="A121" s="1" t="s">
        <v>8041</v>
      </c>
      <c r="B121" s="1" t="s">
        <v>2895</v>
      </c>
      <c r="C121" s="41">
        <v>45939</v>
      </c>
      <c r="D121" s="1" t="s">
        <v>7906</v>
      </c>
      <c r="E121" s="1">
        <v>5</v>
      </c>
      <c r="F121" s="1" t="s">
        <v>17</v>
      </c>
      <c r="G121" s="1" t="s">
        <v>17</v>
      </c>
      <c r="H121" t="str">
        <f>IF(ISNA(_xlfn.XLOOKUP(B121, customer_master!$A$2:$A$1649, customer_master!$A$2:$A$1649)), "Orphan", "Valid")</f>
        <v>Valid</v>
      </c>
    </row>
    <row r="122" spans="1:8" x14ac:dyDescent="0.3">
      <c r="A122" s="1" t="s">
        <v>8042</v>
      </c>
      <c r="B122" s="1" t="s">
        <v>178</v>
      </c>
      <c r="C122" s="41">
        <v>45795</v>
      </c>
      <c r="D122" s="1" t="s">
        <v>7889</v>
      </c>
      <c r="E122" s="1">
        <v>4</v>
      </c>
      <c r="F122" s="1" t="s">
        <v>30</v>
      </c>
      <c r="G122" s="1" t="s">
        <v>30</v>
      </c>
      <c r="H122" t="str">
        <f>IF(ISNA(_xlfn.XLOOKUP(B122, customer_master!$A$2:$A$1649, customer_master!$A$2:$A$1649)), "Orphan", "Valid")</f>
        <v>Valid</v>
      </c>
    </row>
    <row r="123" spans="1:8" x14ac:dyDescent="0.3">
      <c r="A123" s="1" t="s">
        <v>8043</v>
      </c>
      <c r="B123" s="1" t="s">
        <v>8044</v>
      </c>
      <c r="C123" s="41">
        <v>45824</v>
      </c>
      <c r="D123" s="1" t="s">
        <v>7889</v>
      </c>
      <c r="E123" s="1">
        <v>5</v>
      </c>
      <c r="F123" s="1" t="s">
        <v>17</v>
      </c>
      <c r="G123" s="1" t="s">
        <v>30</v>
      </c>
      <c r="H123" t="str">
        <f>IF(ISNA(_xlfn.XLOOKUP(B123, customer_master!$A$2:$A$1649, customer_master!$A$2:$A$1649)), "Orphan", "Valid")</f>
        <v>Orphan</v>
      </c>
    </row>
    <row r="124" spans="1:8" x14ac:dyDescent="0.3">
      <c r="A124" s="1" t="s">
        <v>8045</v>
      </c>
      <c r="B124" s="1" t="s">
        <v>2010</v>
      </c>
      <c r="C124" s="41">
        <v>46007</v>
      </c>
      <c r="D124" s="1" t="s">
        <v>7889</v>
      </c>
      <c r="E124" s="1">
        <v>4</v>
      </c>
      <c r="F124" s="1" t="s">
        <v>30</v>
      </c>
      <c r="G124" s="1" t="s">
        <v>30</v>
      </c>
      <c r="H124" t="str">
        <f>IF(ISNA(_xlfn.XLOOKUP(B124, customer_master!$A$2:$A$1649, customer_master!$A$2:$A$1649)), "Orphan", "Valid")</f>
        <v>Valid</v>
      </c>
    </row>
    <row r="125" spans="1:8" x14ac:dyDescent="0.3">
      <c r="A125" s="1" t="s">
        <v>8046</v>
      </c>
      <c r="B125" s="1" t="s">
        <v>8047</v>
      </c>
      <c r="C125" s="41">
        <v>45335</v>
      </c>
      <c r="D125" s="1" t="s">
        <v>7881</v>
      </c>
      <c r="E125" s="1">
        <v>4</v>
      </c>
      <c r="F125" s="1" t="s">
        <v>30</v>
      </c>
      <c r="G125" s="1" t="s">
        <v>17</v>
      </c>
      <c r="H125" t="str">
        <f>IF(ISNA(_xlfn.XLOOKUP(B125, customer_master!$A$2:$A$1649, customer_master!$A$2:$A$1649)), "Orphan", "Valid")</f>
        <v>Orphan</v>
      </c>
    </row>
    <row r="126" spans="1:8" x14ac:dyDescent="0.3">
      <c r="A126" s="1" t="s">
        <v>8048</v>
      </c>
      <c r="B126" s="1" t="s">
        <v>8049</v>
      </c>
      <c r="C126" s="41">
        <v>45489</v>
      </c>
      <c r="D126" s="1" t="s">
        <v>7912</v>
      </c>
      <c r="E126" s="1">
        <v>4</v>
      </c>
      <c r="F126" s="1" t="s">
        <v>30</v>
      </c>
      <c r="G126" s="1" t="s">
        <v>30</v>
      </c>
      <c r="H126" t="str">
        <f>IF(ISNA(_xlfn.XLOOKUP(B126, customer_master!$A$2:$A$1649, customer_master!$A$2:$A$1649)), "Orphan", "Valid")</f>
        <v>Orphan</v>
      </c>
    </row>
    <row r="127" spans="1:8" x14ac:dyDescent="0.3">
      <c r="A127" s="1" t="s">
        <v>8050</v>
      </c>
      <c r="B127" s="1" t="s">
        <v>8051</v>
      </c>
      <c r="C127" s="41">
        <v>45415</v>
      </c>
      <c r="D127" s="1" t="s">
        <v>7879</v>
      </c>
      <c r="E127" s="1">
        <v>2</v>
      </c>
      <c r="F127" s="1" t="s">
        <v>17</v>
      </c>
      <c r="G127" s="1" t="s">
        <v>17</v>
      </c>
      <c r="H127" t="str">
        <f>IF(ISNA(_xlfn.XLOOKUP(B127, customer_master!$A$2:$A$1649, customer_master!$A$2:$A$1649)), "Orphan", "Valid")</f>
        <v>Orphan</v>
      </c>
    </row>
    <row r="128" spans="1:8" x14ac:dyDescent="0.3">
      <c r="A128" s="1" t="s">
        <v>8052</v>
      </c>
      <c r="B128" s="1" t="s">
        <v>8053</v>
      </c>
      <c r="C128" s="41">
        <v>45579</v>
      </c>
      <c r="D128" s="1" t="s">
        <v>7906</v>
      </c>
      <c r="E128" s="1">
        <v>4</v>
      </c>
      <c r="F128" s="1" t="s">
        <v>30</v>
      </c>
      <c r="G128" s="1" t="s">
        <v>17</v>
      </c>
      <c r="H128" t="str">
        <f>IF(ISNA(_xlfn.XLOOKUP(B128, customer_master!$A$2:$A$1649, customer_master!$A$2:$A$1649)), "Orphan", "Valid")</f>
        <v>Orphan</v>
      </c>
    </row>
    <row r="129" spans="1:8" x14ac:dyDescent="0.3">
      <c r="A129" s="1" t="s">
        <v>8054</v>
      </c>
      <c r="B129" s="1" t="s">
        <v>387</v>
      </c>
      <c r="C129" s="41">
        <v>45570</v>
      </c>
      <c r="D129" s="1" t="s">
        <v>7899</v>
      </c>
      <c r="E129" s="1">
        <v>2</v>
      </c>
      <c r="F129" s="1" t="s">
        <v>17</v>
      </c>
      <c r="G129" s="1" t="s">
        <v>17</v>
      </c>
      <c r="H129" t="str">
        <f>IF(ISNA(_xlfn.XLOOKUP(B129, customer_master!$A$2:$A$1649, customer_master!$A$2:$A$1649)), "Orphan", "Valid")</f>
        <v>Valid</v>
      </c>
    </row>
    <row r="130" spans="1:8" x14ac:dyDescent="0.3">
      <c r="A130" s="1" t="s">
        <v>8055</v>
      </c>
      <c r="B130" s="1" t="s">
        <v>1055</v>
      </c>
      <c r="C130" s="41">
        <v>45492</v>
      </c>
      <c r="D130" s="1" t="s">
        <v>7877</v>
      </c>
      <c r="E130" s="1">
        <v>1</v>
      </c>
      <c r="F130" s="1" t="s">
        <v>30</v>
      </c>
      <c r="G130" s="1" t="s">
        <v>30</v>
      </c>
      <c r="H130" t="str">
        <f>IF(ISNA(_xlfn.XLOOKUP(B130, customer_master!$A$2:$A$1649, customer_master!$A$2:$A$1649)), "Orphan", "Valid")</f>
        <v>Valid</v>
      </c>
    </row>
    <row r="131" spans="1:8" x14ac:dyDescent="0.3">
      <c r="A131" s="1" t="s">
        <v>8056</v>
      </c>
      <c r="B131" s="1" t="s">
        <v>2823</v>
      </c>
      <c r="C131" s="41">
        <v>46208</v>
      </c>
      <c r="D131" s="1" t="s">
        <v>7877</v>
      </c>
      <c r="E131" s="1">
        <v>2</v>
      </c>
      <c r="F131" s="1" t="s">
        <v>30</v>
      </c>
      <c r="G131" s="1" t="s">
        <v>30</v>
      </c>
      <c r="H131" t="str">
        <f>IF(ISNA(_xlfn.XLOOKUP(B131, customer_master!$A$2:$A$1649, customer_master!$A$2:$A$1649)), "Orphan", "Valid")</f>
        <v>Valid</v>
      </c>
    </row>
    <row r="132" spans="1:8" x14ac:dyDescent="0.3">
      <c r="A132" s="1" t="s">
        <v>8057</v>
      </c>
      <c r="B132" s="1" t="s">
        <v>2523</v>
      </c>
      <c r="C132" s="41">
        <v>45346</v>
      </c>
      <c r="D132" s="1" t="s">
        <v>7887</v>
      </c>
      <c r="E132" s="1">
        <v>2</v>
      </c>
      <c r="F132" s="1" t="s">
        <v>17</v>
      </c>
      <c r="G132" s="1" t="s">
        <v>30</v>
      </c>
      <c r="H132" t="str">
        <f>IF(ISNA(_xlfn.XLOOKUP(B132, customer_master!$A$2:$A$1649, customer_master!$A$2:$A$1649)), "Orphan", "Valid")</f>
        <v>Valid</v>
      </c>
    </row>
    <row r="133" spans="1:8" x14ac:dyDescent="0.3">
      <c r="A133" s="1" t="s">
        <v>8058</v>
      </c>
      <c r="B133" s="1" t="s">
        <v>300</v>
      </c>
      <c r="C133" s="41">
        <v>45867</v>
      </c>
      <c r="D133" s="1" t="s">
        <v>7889</v>
      </c>
      <c r="E133" s="1">
        <v>4</v>
      </c>
      <c r="F133" s="1" t="s">
        <v>30</v>
      </c>
      <c r="G133" s="1" t="s">
        <v>17</v>
      </c>
      <c r="H133" t="str">
        <f>IF(ISNA(_xlfn.XLOOKUP(B133, customer_master!$A$2:$A$1649, customer_master!$A$2:$A$1649)), "Orphan", "Valid")</f>
        <v>Valid</v>
      </c>
    </row>
    <row r="134" spans="1:8" x14ac:dyDescent="0.3">
      <c r="A134" s="1" t="s">
        <v>8059</v>
      </c>
      <c r="B134" s="1" t="s">
        <v>795</v>
      </c>
      <c r="C134" s="41">
        <v>45693</v>
      </c>
      <c r="D134" s="1" t="s">
        <v>7879</v>
      </c>
      <c r="E134" s="1">
        <v>2</v>
      </c>
      <c r="F134" s="1" t="s">
        <v>30</v>
      </c>
      <c r="G134" s="1" t="s">
        <v>17</v>
      </c>
      <c r="H134" t="str">
        <f>IF(ISNA(_xlfn.XLOOKUP(B134, customer_master!$A$2:$A$1649, customer_master!$A$2:$A$1649)), "Orphan", "Valid")</f>
        <v>Valid</v>
      </c>
    </row>
    <row r="135" spans="1:8" x14ac:dyDescent="0.3">
      <c r="A135" s="1" t="s">
        <v>8060</v>
      </c>
      <c r="B135" s="1" t="s">
        <v>8061</v>
      </c>
      <c r="C135" s="41">
        <v>45655</v>
      </c>
      <c r="D135" s="1" t="s">
        <v>7899</v>
      </c>
      <c r="E135" s="1">
        <v>2</v>
      </c>
      <c r="F135" s="1" t="s">
        <v>17</v>
      </c>
      <c r="G135" s="1" t="s">
        <v>30</v>
      </c>
      <c r="H135" t="str">
        <f>IF(ISNA(_xlfn.XLOOKUP(B135, customer_master!$A$2:$A$1649, customer_master!$A$2:$A$1649)), "Orphan", "Valid")</f>
        <v>Orphan</v>
      </c>
    </row>
    <row r="136" spans="1:8" x14ac:dyDescent="0.3">
      <c r="A136" s="1" t="s">
        <v>8062</v>
      </c>
      <c r="B136" s="1" t="s">
        <v>8063</v>
      </c>
      <c r="C136" s="41">
        <v>45496</v>
      </c>
      <c r="D136" s="1" t="s">
        <v>7877</v>
      </c>
      <c r="E136" s="1">
        <v>1</v>
      </c>
      <c r="F136" s="1" t="s">
        <v>17</v>
      </c>
      <c r="G136" s="1" t="s">
        <v>17</v>
      </c>
      <c r="H136" t="str">
        <f>IF(ISNA(_xlfn.XLOOKUP(B136, customer_master!$A$2:$A$1649, customer_master!$A$2:$A$1649)), "Orphan", "Valid")</f>
        <v>Orphan</v>
      </c>
    </row>
    <row r="137" spans="1:8" x14ac:dyDescent="0.3">
      <c r="A137" s="1" t="s">
        <v>8064</v>
      </c>
      <c r="B137" s="1" t="s">
        <v>2420</v>
      </c>
      <c r="C137" s="41">
        <v>45988</v>
      </c>
      <c r="D137" s="1" t="s">
        <v>7881</v>
      </c>
      <c r="E137" s="1">
        <v>4</v>
      </c>
      <c r="F137" s="1" t="s">
        <v>17</v>
      </c>
      <c r="G137" s="1" t="s">
        <v>17</v>
      </c>
      <c r="H137" t="str">
        <f>IF(ISNA(_xlfn.XLOOKUP(B137, customer_master!$A$2:$A$1649, customer_master!$A$2:$A$1649)), "Orphan", "Valid")</f>
        <v>Valid</v>
      </c>
    </row>
    <row r="138" spans="1:8" x14ac:dyDescent="0.3">
      <c r="A138" s="1" t="s">
        <v>8065</v>
      </c>
      <c r="B138" s="1" t="s">
        <v>1093</v>
      </c>
      <c r="C138" s="41">
        <v>45934</v>
      </c>
      <c r="D138" s="1" t="s">
        <v>7906</v>
      </c>
      <c r="E138" s="1">
        <v>5</v>
      </c>
      <c r="F138" s="1" t="s">
        <v>17</v>
      </c>
      <c r="G138" s="1" t="s">
        <v>17</v>
      </c>
      <c r="H138" t="str">
        <f>IF(ISNA(_xlfn.XLOOKUP(B138, customer_master!$A$2:$A$1649, customer_master!$A$2:$A$1649)), "Orphan", "Valid")</f>
        <v>Valid</v>
      </c>
    </row>
    <row r="139" spans="1:8" x14ac:dyDescent="0.3">
      <c r="A139" s="1" t="s">
        <v>8066</v>
      </c>
      <c r="B139" s="1" t="s">
        <v>2665</v>
      </c>
      <c r="C139" s="41">
        <v>45333</v>
      </c>
      <c r="D139" s="1" t="s">
        <v>7879</v>
      </c>
      <c r="E139" s="1">
        <v>2</v>
      </c>
      <c r="F139" s="1" t="s">
        <v>30</v>
      </c>
      <c r="G139" s="1" t="s">
        <v>17</v>
      </c>
      <c r="H139" t="str">
        <f>IF(ISNA(_xlfn.XLOOKUP(B139, customer_master!$A$2:$A$1649, customer_master!$A$2:$A$1649)), "Orphan", "Valid")</f>
        <v>Valid</v>
      </c>
    </row>
    <row r="140" spans="1:8" x14ac:dyDescent="0.3">
      <c r="A140" s="1" t="s">
        <v>8067</v>
      </c>
      <c r="B140" s="1" t="s">
        <v>743</v>
      </c>
      <c r="C140" s="41">
        <v>45493</v>
      </c>
      <c r="D140" s="1" t="s">
        <v>7879</v>
      </c>
      <c r="E140" s="1">
        <v>2</v>
      </c>
      <c r="F140" s="1" t="s">
        <v>17</v>
      </c>
      <c r="G140" s="1" t="s">
        <v>30</v>
      </c>
      <c r="H140" t="str">
        <f>IF(ISNA(_xlfn.XLOOKUP(B140, customer_master!$A$2:$A$1649, customer_master!$A$2:$A$1649)), "Orphan", "Valid")</f>
        <v>Valid</v>
      </c>
    </row>
    <row r="141" spans="1:8" x14ac:dyDescent="0.3">
      <c r="A141" s="1" t="s">
        <v>8068</v>
      </c>
      <c r="B141" s="1" t="s">
        <v>1386</v>
      </c>
      <c r="C141" s="41">
        <v>45594</v>
      </c>
      <c r="D141" s="1" t="s">
        <v>7896</v>
      </c>
      <c r="E141" s="1">
        <v>4</v>
      </c>
      <c r="F141" s="1" t="s">
        <v>30</v>
      </c>
      <c r="G141" s="1" t="s">
        <v>30</v>
      </c>
      <c r="H141" t="str">
        <f>IF(ISNA(_xlfn.XLOOKUP(B141, customer_master!$A$2:$A$1649, customer_master!$A$2:$A$1649)), "Orphan", "Valid")</f>
        <v>Valid</v>
      </c>
    </row>
    <row r="142" spans="1:8" x14ac:dyDescent="0.3">
      <c r="A142" s="1" t="s">
        <v>8069</v>
      </c>
      <c r="B142" s="1" t="s">
        <v>2004</v>
      </c>
      <c r="C142" s="41">
        <v>45870</v>
      </c>
      <c r="D142" s="1" t="s">
        <v>7887</v>
      </c>
      <c r="E142" s="1">
        <v>2</v>
      </c>
      <c r="F142" s="1" t="s">
        <v>30</v>
      </c>
      <c r="G142" s="1" t="s">
        <v>30</v>
      </c>
      <c r="H142" t="str">
        <f>IF(ISNA(_xlfn.XLOOKUP(B142, customer_master!$A$2:$A$1649, customer_master!$A$2:$A$1649)), "Orphan", "Valid")</f>
        <v>Valid</v>
      </c>
    </row>
    <row r="143" spans="1:8" x14ac:dyDescent="0.3">
      <c r="A143" s="1" t="s">
        <v>8070</v>
      </c>
      <c r="B143" s="1" t="s">
        <v>8071</v>
      </c>
      <c r="C143" s="41">
        <v>45203</v>
      </c>
      <c r="D143" s="1" t="s">
        <v>7906</v>
      </c>
      <c r="E143" s="1">
        <v>5</v>
      </c>
      <c r="F143" s="1" t="s">
        <v>30</v>
      </c>
      <c r="G143" s="1" t="s">
        <v>17</v>
      </c>
      <c r="H143" t="str">
        <f>IF(ISNA(_xlfn.XLOOKUP(B143, customer_master!$A$2:$A$1649, customer_master!$A$2:$A$1649)), "Orphan", "Valid")</f>
        <v>Orphan</v>
      </c>
    </row>
    <row r="144" spans="1:8" x14ac:dyDescent="0.3">
      <c r="A144" s="1" t="s">
        <v>8072</v>
      </c>
      <c r="B144" s="1" t="s">
        <v>8073</v>
      </c>
      <c r="C144" s="41">
        <v>45404</v>
      </c>
      <c r="D144" s="1" t="s">
        <v>7877</v>
      </c>
      <c r="E144" s="1">
        <v>2</v>
      </c>
      <c r="F144" s="1" t="s">
        <v>17</v>
      </c>
      <c r="G144" s="1" t="s">
        <v>17</v>
      </c>
      <c r="H144" t="str">
        <f>IF(ISNA(_xlfn.XLOOKUP(B144, customer_master!$A$2:$A$1649, customer_master!$A$2:$A$1649)), "Orphan", "Valid")</f>
        <v>Orphan</v>
      </c>
    </row>
    <row r="145" spans="1:8" x14ac:dyDescent="0.3">
      <c r="A145" s="1" t="s">
        <v>8074</v>
      </c>
      <c r="B145" s="1" t="s">
        <v>369</v>
      </c>
      <c r="C145" s="41">
        <v>45505</v>
      </c>
      <c r="D145" s="1" t="s">
        <v>7887</v>
      </c>
      <c r="E145" s="1">
        <v>2</v>
      </c>
      <c r="F145" s="1" t="s">
        <v>30</v>
      </c>
      <c r="G145" s="1" t="s">
        <v>17</v>
      </c>
      <c r="H145" t="str">
        <f>IF(ISNA(_xlfn.XLOOKUP(B145, customer_master!$A$2:$A$1649, customer_master!$A$2:$A$1649)), "Orphan", "Valid")</f>
        <v>Valid</v>
      </c>
    </row>
    <row r="146" spans="1:8" x14ac:dyDescent="0.3">
      <c r="A146" s="1" t="s">
        <v>8075</v>
      </c>
      <c r="B146" s="1" t="s">
        <v>8076</v>
      </c>
      <c r="C146" s="41">
        <v>45813</v>
      </c>
      <c r="D146" s="1" t="s">
        <v>7884</v>
      </c>
      <c r="E146" s="1">
        <v>2</v>
      </c>
      <c r="F146" s="1" t="s">
        <v>17</v>
      </c>
      <c r="G146" s="1" t="s">
        <v>30</v>
      </c>
      <c r="H146" t="str">
        <f>IF(ISNA(_xlfn.XLOOKUP(B146, customer_master!$A$2:$A$1649, customer_master!$A$2:$A$1649)), "Orphan", "Valid")</f>
        <v>Orphan</v>
      </c>
    </row>
    <row r="147" spans="1:8" x14ac:dyDescent="0.3">
      <c r="A147" s="1" t="s">
        <v>8077</v>
      </c>
      <c r="B147" s="1" t="s">
        <v>777</v>
      </c>
      <c r="C147" s="41">
        <v>45457</v>
      </c>
      <c r="D147" s="1" t="s">
        <v>7899</v>
      </c>
      <c r="E147" s="1">
        <v>2</v>
      </c>
      <c r="F147" s="1" t="s">
        <v>17</v>
      </c>
      <c r="G147" s="1" t="s">
        <v>30</v>
      </c>
      <c r="H147" t="str">
        <f>IF(ISNA(_xlfn.XLOOKUP(B147, customer_master!$A$2:$A$1649, customer_master!$A$2:$A$1649)), "Orphan", "Valid")</f>
        <v>Valid</v>
      </c>
    </row>
    <row r="148" spans="1:8" x14ac:dyDescent="0.3">
      <c r="A148" s="1" t="s">
        <v>8078</v>
      </c>
      <c r="B148" s="1" t="s">
        <v>528</v>
      </c>
      <c r="C148" s="41">
        <v>45963</v>
      </c>
      <c r="D148" s="1" t="s">
        <v>7881</v>
      </c>
      <c r="E148" s="1">
        <v>4</v>
      </c>
      <c r="F148" s="1" t="s">
        <v>17</v>
      </c>
      <c r="G148" s="1" t="s">
        <v>30</v>
      </c>
      <c r="H148" t="str">
        <f>IF(ISNA(_xlfn.XLOOKUP(B148, customer_master!$A$2:$A$1649, customer_master!$A$2:$A$1649)), "Orphan", "Valid")</f>
        <v>Valid</v>
      </c>
    </row>
    <row r="149" spans="1:8" x14ac:dyDescent="0.3">
      <c r="A149" s="1" t="s">
        <v>8079</v>
      </c>
      <c r="B149" s="1" t="s">
        <v>2262</v>
      </c>
      <c r="C149" s="41">
        <v>45990</v>
      </c>
      <c r="D149" s="1" t="s">
        <v>7896</v>
      </c>
      <c r="E149" s="1">
        <v>4</v>
      </c>
      <c r="F149" s="1" t="s">
        <v>30</v>
      </c>
      <c r="G149" s="1" t="s">
        <v>17</v>
      </c>
      <c r="H149" t="str">
        <f>IF(ISNA(_xlfn.XLOOKUP(B149, customer_master!$A$2:$A$1649, customer_master!$A$2:$A$1649)), "Orphan", "Valid")</f>
        <v>Valid</v>
      </c>
    </row>
    <row r="150" spans="1:8" x14ac:dyDescent="0.3">
      <c r="A150" s="1" t="s">
        <v>8080</v>
      </c>
      <c r="B150" s="1" t="s">
        <v>2248</v>
      </c>
      <c r="C150" s="41">
        <v>46264</v>
      </c>
      <c r="D150" s="1" t="s">
        <v>7906</v>
      </c>
      <c r="E150" s="1">
        <v>5</v>
      </c>
      <c r="F150" s="1" t="s">
        <v>30</v>
      </c>
      <c r="G150" s="1" t="s">
        <v>17</v>
      </c>
      <c r="H150" t="str">
        <f>IF(ISNA(_xlfn.XLOOKUP(B150, customer_master!$A$2:$A$1649, customer_master!$A$2:$A$1649)), "Orphan", "Valid")</f>
        <v>Valid</v>
      </c>
    </row>
    <row r="151" spans="1:8" x14ac:dyDescent="0.3">
      <c r="A151" s="1" t="s">
        <v>8081</v>
      </c>
      <c r="B151" s="1" t="s">
        <v>1564</v>
      </c>
      <c r="C151" s="41">
        <v>45617</v>
      </c>
      <c r="D151" s="1" t="s">
        <v>7899</v>
      </c>
      <c r="E151" s="1">
        <v>2</v>
      </c>
      <c r="F151" s="1" t="s">
        <v>30</v>
      </c>
      <c r="G151" s="1" t="s">
        <v>30</v>
      </c>
      <c r="H151" t="str">
        <f>IF(ISNA(_xlfn.XLOOKUP(B151, customer_master!$A$2:$A$1649, customer_master!$A$2:$A$1649)), "Orphan", "Valid")</f>
        <v>Valid</v>
      </c>
    </row>
    <row r="152" spans="1:8" x14ac:dyDescent="0.3">
      <c r="A152" s="1" t="s">
        <v>8082</v>
      </c>
      <c r="B152" s="1" t="s">
        <v>8083</v>
      </c>
      <c r="C152" s="41">
        <v>45850</v>
      </c>
      <c r="D152" s="1" t="s">
        <v>7887</v>
      </c>
      <c r="E152" s="1">
        <v>2</v>
      </c>
      <c r="F152" s="1" t="s">
        <v>17</v>
      </c>
      <c r="G152" s="1" t="s">
        <v>30</v>
      </c>
      <c r="H152" t="str">
        <f>IF(ISNA(_xlfn.XLOOKUP(B152, customer_master!$A$2:$A$1649, customer_master!$A$2:$A$1649)), "Orphan", "Valid")</f>
        <v>Orphan</v>
      </c>
    </row>
    <row r="153" spans="1:8" x14ac:dyDescent="0.3">
      <c r="A153" s="1" t="s">
        <v>8084</v>
      </c>
      <c r="B153" s="1" t="s">
        <v>1600</v>
      </c>
      <c r="C153" s="41">
        <v>45359</v>
      </c>
      <c r="D153" s="1" t="s">
        <v>7877</v>
      </c>
      <c r="E153" s="1">
        <v>1</v>
      </c>
      <c r="F153" s="1" t="s">
        <v>17</v>
      </c>
      <c r="G153" s="1" t="s">
        <v>30</v>
      </c>
      <c r="H153" t="str">
        <f>IF(ISNA(_xlfn.XLOOKUP(B153, customer_master!$A$2:$A$1649, customer_master!$A$2:$A$1649)), "Orphan", "Valid")</f>
        <v>Valid</v>
      </c>
    </row>
    <row r="154" spans="1:8" x14ac:dyDescent="0.3">
      <c r="A154" s="1" t="s">
        <v>8085</v>
      </c>
      <c r="B154" s="1" t="s">
        <v>142</v>
      </c>
      <c r="C154" s="41">
        <v>45550</v>
      </c>
      <c r="D154" s="1" t="s">
        <v>7887</v>
      </c>
      <c r="E154" s="1">
        <v>2</v>
      </c>
      <c r="F154" s="1" t="s">
        <v>30</v>
      </c>
      <c r="G154" s="1" t="s">
        <v>30</v>
      </c>
      <c r="H154" t="str">
        <f>IF(ISNA(_xlfn.XLOOKUP(B154, customer_master!$A$2:$A$1649, customer_master!$A$2:$A$1649)), "Orphan", "Valid")</f>
        <v>Valid</v>
      </c>
    </row>
    <row r="155" spans="1:8" x14ac:dyDescent="0.3">
      <c r="A155" s="1" t="s">
        <v>8086</v>
      </c>
      <c r="B155" s="1" t="s">
        <v>678</v>
      </c>
      <c r="C155" s="41">
        <v>45343</v>
      </c>
      <c r="D155" s="1" t="s">
        <v>7912</v>
      </c>
      <c r="E155" s="1">
        <v>5</v>
      </c>
      <c r="F155" s="1" t="s">
        <v>17</v>
      </c>
      <c r="G155" s="1" t="s">
        <v>17</v>
      </c>
      <c r="H155" t="str">
        <f>IF(ISNA(_xlfn.XLOOKUP(B155, customer_master!$A$2:$A$1649, customer_master!$A$2:$A$1649)), "Orphan", "Valid")</f>
        <v>Valid</v>
      </c>
    </row>
    <row r="156" spans="1:8" x14ac:dyDescent="0.3">
      <c r="A156" s="1" t="s">
        <v>8087</v>
      </c>
      <c r="B156" s="1" t="s">
        <v>2460</v>
      </c>
      <c r="C156" s="41">
        <v>46107</v>
      </c>
      <c r="D156" s="1" t="s">
        <v>7899</v>
      </c>
      <c r="E156" s="1">
        <v>2</v>
      </c>
      <c r="F156" s="1" t="s">
        <v>17</v>
      </c>
      <c r="G156" s="1" t="s">
        <v>30</v>
      </c>
      <c r="H156" t="str">
        <f>IF(ISNA(_xlfn.XLOOKUP(B156, customer_master!$A$2:$A$1649, customer_master!$A$2:$A$1649)), "Orphan", "Valid")</f>
        <v>Valid</v>
      </c>
    </row>
    <row r="157" spans="1:8" x14ac:dyDescent="0.3">
      <c r="A157" s="1" t="s">
        <v>8088</v>
      </c>
      <c r="B157" s="1" t="s">
        <v>417</v>
      </c>
      <c r="C157" s="41">
        <v>45517</v>
      </c>
      <c r="D157" s="1" t="s">
        <v>7884</v>
      </c>
      <c r="E157" s="1">
        <v>2</v>
      </c>
      <c r="F157" s="1" t="s">
        <v>17</v>
      </c>
      <c r="G157" s="1" t="s">
        <v>30</v>
      </c>
      <c r="H157" t="str">
        <f>IF(ISNA(_xlfn.XLOOKUP(B157, customer_master!$A$2:$A$1649, customer_master!$A$2:$A$1649)), "Orphan", "Valid")</f>
        <v>Valid</v>
      </c>
    </row>
    <row r="158" spans="1:8" x14ac:dyDescent="0.3">
      <c r="A158" s="1" t="s">
        <v>8089</v>
      </c>
      <c r="B158" s="1" t="s">
        <v>3061</v>
      </c>
      <c r="C158" s="41">
        <v>45583</v>
      </c>
      <c r="D158" s="1" t="s">
        <v>7912</v>
      </c>
      <c r="E158" s="1">
        <v>4</v>
      </c>
      <c r="F158" s="1" t="s">
        <v>17</v>
      </c>
      <c r="G158" s="1" t="s">
        <v>17</v>
      </c>
      <c r="H158" t="str">
        <f>IF(ISNA(_xlfn.XLOOKUP(B158, customer_master!$A$2:$A$1649, customer_master!$A$2:$A$1649)), "Orphan", "Valid")</f>
        <v>Valid</v>
      </c>
    </row>
    <row r="159" spans="1:8" x14ac:dyDescent="0.3">
      <c r="A159" s="1" t="s">
        <v>8090</v>
      </c>
      <c r="B159" s="1" t="s">
        <v>1604</v>
      </c>
      <c r="C159" s="41">
        <v>46121</v>
      </c>
      <c r="D159" s="1" t="s">
        <v>7877</v>
      </c>
      <c r="E159" s="1">
        <v>1</v>
      </c>
      <c r="F159" s="1" t="s">
        <v>17</v>
      </c>
      <c r="G159" s="1" t="s">
        <v>17</v>
      </c>
      <c r="H159" t="str">
        <f>IF(ISNA(_xlfn.XLOOKUP(B159, customer_master!$A$2:$A$1649, customer_master!$A$2:$A$1649)), "Orphan", "Valid")</f>
        <v>Valid</v>
      </c>
    </row>
    <row r="160" spans="1:8" x14ac:dyDescent="0.3">
      <c r="A160" s="1" t="s">
        <v>8091</v>
      </c>
      <c r="B160" s="1" t="s">
        <v>2180</v>
      </c>
      <c r="C160" s="41">
        <v>45704</v>
      </c>
      <c r="D160" s="1" t="s">
        <v>7881</v>
      </c>
      <c r="E160" s="1">
        <v>4</v>
      </c>
      <c r="F160" s="1" t="s">
        <v>30</v>
      </c>
      <c r="G160" s="1" t="s">
        <v>30</v>
      </c>
      <c r="H160" t="str">
        <f>IF(ISNA(_xlfn.XLOOKUP(B160, customer_master!$A$2:$A$1649, customer_master!$A$2:$A$1649)), "Orphan", "Valid")</f>
        <v>Valid</v>
      </c>
    </row>
    <row r="161" spans="1:8" x14ac:dyDescent="0.3">
      <c r="A161" s="1" t="s">
        <v>8092</v>
      </c>
      <c r="B161" s="1" t="s">
        <v>8093</v>
      </c>
      <c r="C161" s="41">
        <v>45358</v>
      </c>
      <c r="D161" s="1" t="s">
        <v>7879</v>
      </c>
      <c r="E161" s="1">
        <v>2</v>
      </c>
      <c r="F161" s="1" t="s">
        <v>30</v>
      </c>
      <c r="G161" s="1" t="s">
        <v>17</v>
      </c>
      <c r="H161" t="str">
        <f>IF(ISNA(_xlfn.XLOOKUP(B161, customer_master!$A$2:$A$1649, customer_master!$A$2:$A$1649)), "Orphan", "Valid")</f>
        <v>Orphan</v>
      </c>
    </row>
    <row r="162" spans="1:8" x14ac:dyDescent="0.3">
      <c r="A162" s="1" t="s">
        <v>8094</v>
      </c>
      <c r="B162" s="1" t="s">
        <v>664</v>
      </c>
      <c r="C162" s="41">
        <v>45748</v>
      </c>
      <c r="D162" s="1" t="s">
        <v>7877</v>
      </c>
      <c r="E162" s="1">
        <v>1</v>
      </c>
      <c r="F162" s="1" t="s">
        <v>17</v>
      </c>
      <c r="G162" s="1" t="s">
        <v>30</v>
      </c>
      <c r="H162" t="str">
        <f>IF(ISNA(_xlfn.XLOOKUP(B162, customer_master!$A$2:$A$1649, customer_master!$A$2:$A$1649)), "Orphan", "Valid")</f>
        <v>Valid</v>
      </c>
    </row>
    <row r="163" spans="1:8" x14ac:dyDescent="0.3">
      <c r="A163" s="1" t="s">
        <v>8095</v>
      </c>
      <c r="B163" s="1" t="s">
        <v>8096</v>
      </c>
      <c r="C163" s="41">
        <v>45365</v>
      </c>
      <c r="D163" s="1" t="s">
        <v>7879</v>
      </c>
      <c r="E163" s="1">
        <v>2</v>
      </c>
      <c r="F163" s="1" t="s">
        <v>30</v>
      </c>
      <c r="G163" s="1" t="s">
        <v>17</v>
      </c>
      <c r="H163" t="str">
        <f>IF(ISNA(_xlfn.XLOOKUP(B163, customer_master!$A$2:$A$1649, customer_master!$A$2:$A$1649)), "Orphan", "Valid")</f>
        <v>Orphan</v>
      </c>
    </row>
    <row r="164" spans="1:8" x14ac:dyDescent="0.3">
      <c r="A164" s="1" t="s">
        <v>8097</v>
      </c>
      <c r="B164" s="1" t="s">
        <v>2914</v>
      </c>
      <c r="C164" s="41">
        <v>46156</v>
      </c>
      <c r="D164" s="1" t="s">
        <v>7877</v>
      </c>
      <c r="E164" s="1">
        <v>1</v>
      </c>
      <c r="F164" s="1" t="s">
        <v>30</v>
      </c>
      <c r="G164" s="1" t="s">
        <v>17</v>
      </c>
      <c r="H164" t="str">
        <f>IF(ISNA(_xlfn.XLOOKUP(B164, customer_master!$A$2:$A$1649, customer_master!$A$2:$A$1649)), "Orphan", "Valid")</f>
        <v>Valid</v>
      </c>
    </row>
    <row r="165" spans="1:8" x14ac:dyDescent="0.3">
      <c r="A165" s="1" t="s">
        <v>8098</v>
      </c>
      <c r="B165" s="1" t="s">
        <v>8099</v>
      </c>
      <c r="C165" s="41">
        <v>45188</v>
      </c>
      <c r="D165" s="1" t="s">
        <v>7906</v>
      </c>
      <c r="E165" s="1">
        <v>5</v>
      </c>
      <c r="F165" s="1" t="s">
        <v>17</v>
      </c>
      <c r="G165" s="1" t="s">
        <v>17</v>
      </c>
      <c r="H165" t="str">
        <f>IF(ISNA(_xlfn.XLOOKUP(B165, customer_master!$A$2:$A$1649, customer_master!$A$2:$A$1649)), "Orphan", "Valid")</f>
        <v>Orphan</v>
      </c>
    </row>
    <row r="166" spans="1:8" x14ac:dyDescent="0.3">
      <c r="A166" s="1" t="s">
        <v>8100</v>
      </c>
      <c r="B166" s="1" t="s">
        <v>8101</v>
      </c>
      <c r="C166" s="41">
        <v>46210</v>
      </c>
      <c r="D166" s="1" t="s">
        <v>7881</v>
      </c>
      <c r="E166" s="1">
        <v>4</v>
      </c>
      <c r="F166" s="1" t="s">
        <v>30</v>
      </c>
      <c r="G166" s="1" t="s">
        <v>30</v>
      </c>
      <c r="H166" t="str">
        <f>IF(ISNA(_xlfn.XLOOKUP(B166, customer_master!$A$2:$A$1649, customer_master!$A$2:$A$1649)), "Orphan", "Valid")</f>
        <v>Orphan</v>
      </c>
    </row>
    <row r="167" spans="1:8" x14ac:dyDescent="0.3">
      <c r="A167" s="1" t="s">
        <v>8102</v>
      </c>
      <c r="B167" s="1" t="s">
        <v>8103</v>
      </c>
      <c r="C167" s="41">
        <v>45548</v>
      </c>
      <c r="D167" s="1" t="s">
        <v>7899</v>
      </c>
      <c r="E167" s="1">
        <v>2</v>
      </c>
      <c r="F167" s="1" t="s">
        <v>30</v>
      </c>
      <c r="G167" s="1" t="s">
        <v>17</v>
      </c>
      <c r="H167" t="str">
        <f>IF(ISNA(_xlfn.XLOOKUP(B167, customer_master!$A$2:$A$1649, customer_master!$A$2:$A$1649)), "Orphan", "Valid")</f>
        <v>Orphan</v>
      </c>
    </row>
    <row r="168" spans="1:8" x14ac:dyDescent="0.3">
      <c r="A168" s="1" t="s">
        <v>8104</v>
      </c>
      <c r="B168" s="1" t="s">
        <v>8105</v>
      </c>
      <c r="C168" s="41">
        <v>45512</v>
      </c>
      <c r="D168" s="1" t="s">
        <v>7912</v>
      </c>
      <c r="E168" s="1">
        <v>4</v>
      </c>
      <c r="F168" s="1" t="s">
        <v>17</v>
      </c>
      <c r="G168" s="1" t="s">
        <v>17</v>
      </c>
      <c r="H168" t="str">
        <f>IF(ISNA(_xlfn.XLOOKUP(B168, customer_master!$A$2:$A$1649, customer_master!$A$2:$A$1649)), "Orphan", "Valid")</f>
        <v>Orphan</v>
      </c>
    </row>
    <row r="169" spans="1:8" x14ac:dyDescent="0.3">
      <c r="A169" s="1" t="s">
        <v>8106</v>
      </c>
      <c r="B169" s="1" t="s">
        <v>8107</v>
      </c>
      <c r="C169" s="41">
        <v>45418</v>
      </c>
      <c r="D169" s="1" t="s">
        <v>7887</v>
      </c>
      <c r="E169" s="1">
        <v>2</v>
      </c>
      <c r="F169" s="1" t="s">
        <v>17</v>
      </c>
      <c r="G169" s="1" t="s">
        <v>30</v>
      </c>
      <c r="H169" t="str">
        <f>IF(ISNA(_xlfn.XLOOKUP(B169, customer_master!$A$2:$A$1649, customer_master!$A$2:$A$1649)), "Orphan", "Valid")</f>
        <v>Orphan</v>
      </c>
    </row>
    <row r="170" spans="1:8" x14ac:dyDescent="0.3">
      <c r="A170" s="1" t="s">
        <v>8108</v>
      </c>
      <c r="B170" s="1" t="s">
        <v>2460</v>
      </c>
      <c r="C170" s="41">
        <v>45478</v>
      </c>
      <c r="D170" s="1" t="s">
        <v>7881</v>
      </c>
      <c r="E170" s="1">
        <v>4</v>
      </c>
      <c r="F170" s="1" t="s">
        <v>30</v>
      </c>
      <c r="G170" s="1" t="s">
        <v>17</v>
      </c>
      <c r="H170" t="str">
        <f>IF(ISNA(_xlfn.XLOOKUP(B170, customer_master!$A$2:$A$1649, customer_master!$A$2:$A$1649)), "Orphan", "Valid")</f>
        <v>Valid</v>
      </c>
    </row>
    <row r="171" spans="1:8" x14ac:dyDescent="0.3">
      <c r="A171" s="1" t="s">
        <v>8109</v>
      </c>
      <c r="B171" s="1" t="s">
        <v>8110</v>
      </c>
      <c r="C171" s="41">
        <v>46025</v>
      </c>
      <c r="D171" s="1" t="s">
        <v>7912</v>
      </c>
      <c r="E171" s="1">
        <v>4</v>
      </c>
      <c r="F171" s="1" t="s">
        <v>17</v>
      </c>
      <c r="G171" s="1" t="s">
        <v>17</v>
      </c>
      <c r="H171" t="str">
        <f>IF(ISNA(_xlfn.XLOOKUP(B171, customer_master!$A$2:$A$1649, customer_master!$A$2:$A$1649)), "Orphan", "Valid")</f>
        <v>Orphan</v>
      </c>
    </row>
    <row r="172" spans="1:8" x14ac:dyDescent="0.3">
      <c r="A172" s="1" t="s">
        <v>8111</v>
      </c>
      <c r="B172" s="1" t="s">
        <v>312</v>
      </c>
      <c r="C172" s="41">
        <v>46038</v>
      </c>
      <c r="D172" s="1" t="s">
        <v>7912</v>
      </c>
      <c r="E172" s="1">
        <v>4</v>
      </c>
      <c r="F172" s="1" t="s">
        <v>17</v>
      </c>
      <c r="G172" s="1" t="s">
        <v>17</v>
      </c>
      <c r="H172" t="str">
        <f>IF(ISNA(_xlfn.XLOOKUP(B172, customer_master!$A$2:$A$1649, customer_master!$A$2:$A$1649)), "Orphan", "Valid")</f>
        <v>Valid</v>
      </c>
    </row>
    <row r="173" spans="1:8" x14ac:dyDescent="0.3">
      <c r="A173" s="1" t="s">
        <v>8112</v>
      </c>
      <c r="B173" s="1" t="s">
        <v>401</v>
      </c>
      <c r="C173" s="41">
        <v>45885</v>
      </c>
      <c r="D173" s="1" t="s">
        <v>7896</v>
      </c>
      <c r="E173" s="1">
        <v>4</v>
      </c>
      <c r="F173" s="1" t="s">
        <v>30</v>
      </c>
      <c r="G173" s="1" t="s">
        <v>17</v>
      </c>
      <c r="H173" t="str">
        <f>IF(ISNA(_xlfn.XLOOKUP(B173, customer_master!$A$2:$A$1649, customer_master!$A$2:$A$1649)), "Orphan", "Valid")</f>
        <v>Valid</v>
      </c>
    </row>
    <row r="174" spans="1:8" x14ac:dyDescent="0.3">
      <c r="A174" s="1" t="s">
        <v>8113</v>
      </c>
      <c r="B174" s="1" t="s">
        <v>691</v>
      </c>
      <c r="C174" s="41">
        <v>45563</v>
      </c>
      <c r="D174" s="1" t="s">
        <v>7912</v>
      </c>
      <c r="E174" s="1">
        <v>4</v>
      </c>
      <c r="F174" s="1" t="s">
        <v>17</v>
      </c>
      <c r="G174" s="1" t="s">
        <v>17</v>
      </c>
      <c r="H174" t="str">
        <f>IF(ISNA(_xlfn.XLOOKUP(B174, customer_master!$A$2:$A$1649, customer_master!$A$2:$A$1649)), "Orphan", "Valid")</f>
        <v>Valid</v>
      </c>
    </row>
    <row r="175" spans="1:8" x14ac:dyDescent="0.3">
      <c r="A175" s="1" t="s">
        <v>8114</v>
      </c>
      <c r="B175" s="1" t="s">
        <v>8115</v>
      </c>
      <c r="C175" s="41">
        <v>45676</v>
      </c>
      <c r="D175" s="1" t="s">
        <v>7881</v>
      </c>
      <c r="E175" s="1">
        <v>4</v>
      </c>
      <c r="F175" s="1" t="s">
        <v>30</v>
      </c>
      <c r="G175" s="1" t="s">
        <v>30</v>
      </c>
      <c r="H175" t="str">
        <f>IF(ISNA(_xlfn.XLOOKUP(B175, customer_master!$A$2:$A$1649, customer_master!$A$2:$A$1649)), "Orphan", "Valid")</f>
        <v>Orphan</v>
      </c>
    </row>
    <row r="176" spans="1:8" x14ac:dyDescent="0.3">
      <c r="A176" s="1" t="s">
        <v>8116</v>
      </c>
      <c r="B176" s="1" t="s">
        <v>8117</v>
      </c>
      <c r="C176" s="41">
        <v>46173</v>
      </c>
      <c r="D176" s="1" t="s">
        <v>7896</v>
      </c>
      <c r="E176" s="1">
        <v>4</v>
      </c>
      <c r="F176" s="1" t="s">
        <v>17</v>
      </c>
      <c r="G176" s="1" t="s">
        <v>30</v>
      </c>
      <c r="H176" t="str">
        <f>IF(ISNA(_xlfn.XLOOKUP(B176, customer_master!$A$2:$A$1649, customer_master!$A$2:$A$1649)), "Orphan", "Valid")</f>
        <v>Orphan</v>
      </c>
    </row>
    <row r="177" spans="1:8" x14ac:dyDescent="0.3">
      <c r="A177" s="1" t="s">
        <v>8118</v>
      </c>
      <c r="B177" s="1" t="s">
        <v>8119</v>
      </c>
      <c r="C177" s="41">
        <v>46166</v>
      </c>
      <c r="D177" s="1" t="s">
        <v>7877</v>
      </c>
      <c r="E177" s="1">
        <v>1</v>
      </c>
      <c r="F177" s="1" t="s">
        <v>30</v>
      </c>
      <c r="G177" s="1" t="s">
        <v>30</v>
      </c>
      <c r="H177" t="str">
        <f>IF(ISNA(_xlfn.XLOOKUP(B177, customer_master!$A$2:$A$1649, customer_master!$A$2:$A$1649)), "Orphan", "Valid")</f>
        <v>Orphan</v>
      </c>
    </row>
    <row r="178" spans="1:8" x14ac:dyDescent="0.3">
      <c r="A178" s="1" t="s">
        <v>8120</v>
      </c>
      <c r="B178" s="1" t="s">
        <v>8121</v>
      </c>
      <c r="C178" s="41">
        <v>46093</v>
      </c>
      <c r="D178" s="1" t="s">
        <v>7887</v>
      </c>
      <c r="E178" s="1">
        <v>2</v>
      </c>
      <c r="F178" s="1" t="s">
        <v>30</v>
      </c>
      <c r="G178" s="1" t="s">
        <v>17</v>
      </c>
      <c r="H178" t="str">
        <f>IF(ISNA(_xlfn.XLOOKUP(B178, customer_master!$A$2:$A$1649, customer_master!$A$2:$A$1649)), "Orphan", "Valid")</f>
        <v>Orphan</v>
      </c>
    </row>
    <row r="179" spans="1:8" x14ac:dyDescent="0.3">
      <c r="A179" s="1" t="s">
        <v>8122</v>
      </c>
      <c r="B179" s="1" t="s">
        <v>2706</v>
      </c>
      <c r="C179" s="41">
        <v>46099</v>
      </c>
      <c r="D179" s="1" t="s">
        <v>7879</v>
      </c>
      <c r="E179" s="1">
        <v>2</v>
      </c>
      <c r="F179" s="1" t="s">
        <v>30</v>
      </c>
      <c r="G179" s="1" t="s">
        <v>17</v>
      </c>
      <c r="H179" t="str">
        <f>IF(ISNA(_xlfn.XLOOKUP(B179, customer_master!$A$2:$A$1649, customer_master!$A$2:$A$1649)), "Orphan", "Valid")</f>
        <v>Valid</v>
      </c>
    </row>
    <row r="180" spans="1:8" x14ac:dyDescent="0.3">
      <c r="A180" s="1" t="s">
        <v>8123</v>
      </c>
      <c r="B180" s="1" t="s">
        <v>986</v>
      </c>
      <c r="C180" s="41">
        <v>46031</v>
      </c>
      <c r="D180" s="1" t="s">
        <v>7881</v>
      </c>
      <c r="E180" s="1">
        <v>4</v>
      </c>
      <c r="F180" s="1" t="s">
        <v>30</v>
      </c>
      <c r="G180" s="1" t="s">
        <v>17</v>
      </c>
      <c r="H180" t="str">
        <f>IF(ISNA(_xlfn.XLOOKUP(B180, customer_master!$A$2:$A$1649, customer_master!$A$2:$A$1649)), "Orphan", "Valid")</f>
        <v>Valid</v>
      </c>
    </row>
    <row r="181" spans="1:8" x14ac:dyDescent="0.3">
      <c r="A181" s="1" t="s">
        <v>8124</v>
      </c>
      <c r="B181" s="1" t="s">
        <v>8125</v>
      </c>
      <c r="C181" s="41">
        <v>45747</v>
      </c>
      <c r="D181" s="1" t="s">
        <v>7896</v>
      </c>
      <c r="E181" s="1">
        <v>4</v>
      </c>
      <c r="F181" s="1" t="s">
        <v>30</v>
      </c>
      <c r="G181" s="1" t="s">
        <v>17</v>
      </c>
      <c r="H181" t="str">
        <f>IF(ISNA(_xlfn.XLOOKUP(B181, customer_master!$A$2:$A$1649, customer_master!$A$2:$A$1649)), "Orphan", "Valid")</f>
        <v>Orphan</v>
      </c>
    </row>
    <row r="182" spans="1:8" x14ac:dyDescent="0.3">
      <c r="A182" s="1" t="s">
        <v>8126</v>
      </c>
      <c r="B182" s="1" t="s">
        <v>1652</v>
      </c>
      <c r="C182" s="41">
        <v>45423</v>
      </c>
      <c r="D182" s="1" t="s">
        <v>7884</v>
      </c>
      <c r="E182" s="1">
        <v>2</v>
      </c>
      <c r="F182" s="1" t="s">
        <v>30</v>
      </c>
      <c r="G182" s="1" t="s">
        <v>17</v>
      </c>
      <c r="H182" t="str">
        <f>IF(ISNA(_xlfn.XLOOKUP(B182, customer_master!$A$2:$A$1649, customer_master!$A$2:$A$1649)), "Orphan", "Valid")</f>
        <v>Valid</v>
      </c>
    </row>
    <row r="183" spans="1:8" x14ac:dyDescent="0.3">
      <c r="A183" s="1" t="s">
        <v>8127</v>
      </c>
      <c r="B183" s="1" t="s">
        <v>576</v>
      </c>
      <c r="C183" s="41">
        <v>45394</v>
      </c>
      <c r="D183" s="1" t="s">
        <v>7879</v>
      </c>
      <c r="E183" s="1">
        <v>2</v>
      </c>
      <c r="F183" s="1" t="s">
        <v>30</v>
      </c>
      <c r="G183" s="1" t="s">
        <v>17</v>
      </c>
      <c r="H183" t="str">
        <f>IF(ISNA(_xlfn.XLOOKUP(B183, customer_master!$A$2:$A$1649, customer_master!$A$2:$A$1649)), "Orphan", "Valid")</f>
        <v>Valid</v>
      </c>
    </row>
    <row r="184" spans="1:8" x14ac:dyDescent="0.3">
      <c r="A184" s="1" t="s">
        <v>8128</v>
      </c>
      <c r="B184" s="1" t="s">
        <v>580</v>
      </c>
      <c r="C184" s="41">
        <v>45901</v>
      </c>
      <c r="D184" s="1" t="s">
        <v>7884</v>
      </c>
      <c r="E184" s="1">
        <v>3</v>
      </c>
      <c r="F184" s="1" t="s">
        <v>30</v>
      </c>
      <c r="G184" s="1" t="s">
        <v>17</v>
      </c>
      <c r="H184" t="str">
        <f>IF(ISNA(_xlfn.XLOOKUP(B184, customer_master!$A$2:$A$1649, customer_master!$A$2:$A$1649)), "Orphan", "Valid")</f>
        <v>Valid</v>
      </c>
    </row>
    <row r="185" spans="1:8" x14ac:dyDescent="0.3">
      <c r="A185" s="1" t="s">
        <v>8129</v>
      </c>
      <c r="B185" s="1" t="s">
        <v>2468</v>
      </c>
      <c r="C185" s="41">
        <v>45609</v>
      </c>
      <c r="D185" s="1" t="s">
        <v>7887</v>
      </c>
      <c r="E185" s="1">
        <v>2</v>
      </c>
      <c r="F185" s="1" t="s">
        <v>17</v>
      </c>
      <c r="G185" s="1" t="s">
        <v>17</v>
      </c>
      <c r="H185" t="str">
        <f>IF(ISNA(_xlfn.XLOOKUP(B185, customer_master!$A$2:$A$1649, customer_master!$A$2:$A$1649)), "Orphan", "Valid")</f>
        <v>Valid</v>
      </c>
    </row>
    <row r="186" spans="1:8" x14ac:dyDescent="0.3">
      <c r="A186" s="1" t="s">
        <v>8130</v>
      </c>
      <c r="B186" s="1" t="s">
        <v>2384</v>
      </c>
      <c r="C186" s="41">
        <v>45281</v>
      </c>
      <c r="D186" s="1" t="s">
        <v>7879</v>
      </c>
      <c r="E186" s="1">
        <v>2</v>
      </c>
      <c r="F186" s="1" t="s">
        <v>30</v>
      </c>
      <c r="G186" s="1" t="s">
        <v>30</v>
      </c>
      <c r="H186" t="str">
        <f>IF(ISNA(_xlfn.XLOOKUP(B186, customer_master!$A$2:$A$1649, customer_master!$A$2:$A$1649)), "Orphan", "Valid")</f>
        <v>Valid</v>
      </c>
    </row>
    <row r="187" spans="1:8" x14ac:dyDescent="0.3">
      <c r="A187" s="1" t="s">
        <v>8131</v>
      </c>
      <c r="B187" s="1" t="s">
        <v>1493</v>
      </c>
      <c r="C187" s="41">
        <v>45534</v>
      </c>
      <c r="D187" s="1" t="s">
        <v>7899</v>
      </c>
      <c r="E187" s="1">
        <v>2</v>
      </c>
      <c r="F187" s="1" t="s">
        <v>30</v>
      </c>
      <c r="G187" s="1" t="s">
        <v>17</v>
      </c>
      <c r="H187" t="str">
        <f>IF(ISNA(_xlfn.XLOOKUP(B187, customer_master!$A$2:$A$1649, customer_master!$A$2:$A$1649)), "Orphan", "Valid")</f>
        <v>Valid</v>
      </c>
    </row>
    <row r="188" spans="1:8" x14ac:dyDescent="0.3">
      <c r="A188" s="1" t="s">
        <v>8132</v>
      </c>
      <c r="B188" s="1" t="s">
        <v>1157</v>
      </c>
      <c r="C188" s="41">
        <v>45246</v>
      </c>
      <c r="D188" s="1" t="s">
        <v>7906</v>
      </c>
      <c r="E188" s="1">
        <v>5</v>
      </c>
      <c r="F188" s="1" t="s">
        <v>17</v>
      </c>
      <c r="G188" s="1" t="s">
        <v>17</v>
      </c>
      <c r="H188" t="str">
        <f>IF(ISNA(_xlfn.XLOOKUP(B188, customer_master!$A$2:$A$1649, customer_master!$A$2:$A$1649)), "Orphan", "Valid")</f>
        <v>Valid</v>
      </c>
    </row>
    <row r="189" spans="1:8" x14ac:dyDescent="0.3">
      <c r="A189" s="1" t="s">
        <v>8133</v>
      </c>
      <c r="B189" s="1" t="s">
        <v>2466</v>
      </c>
      <c r="C189" s="41">
        <v>45779</v>
      </c>
      <c r="D189" s="1" t="s">
        <v>7884</v>
      </c>
      <c r="E189" s="1">
        <v>2</v>
      </c>
      <c r="F189" s="1" t="s">
        <v>30</v>
      </c>
      <c r="G189" s="1" t="s">
        <v>30</v>
      </c>
      <c r="H189" t="str">
        <f>IF(ISNA(_xlfn.XLOOKUP(B189, customer_master!$A$2:$A$1649, customer_master!$A$2:$A$1649)), "Orphan", "Valid")</f>
        <v>Valid</v>
      </c>
    </row>
    <row r="190" spans="1:8" x14ac:dyDescent="0.3">
      <c r="A190" s="1" t="s">
        <v>8134</v>
      </c>
      <c r="B190" s="1" t="s">
        <v>8135</v>
      </c>
      <c r="C190" s="41">
        <v>45759</v>
      </c>
      <c r="D190" s="1" t="s">
        <v>7881</v>
      </c>
      <c r="E190" s="1">
        <v>4</v>
      </c>
      <c r="F190" s="1" t="s">
        <v>17</v>
      </c>
      <c r="G190" s="1" t="s">
        <v>17</v>
      </c>
      <c r="H190" t="str">
        <f>IF(ISNA(_xlfn.XLOOKUP(B190, customer_master!$A$2:$A$1649, customer_master!$A$2:$A$1649)), "Orphan", "Valid")</f>
        <v>Orphan</v>
      </c>
    </row>
    <row r="191" spans="1:8" x14ac:dyDescent="0.3">
      <c r="A191" s="1" t="s">
        <v>8136</v>
      </c>
      <c r="B191" s="1" t="s">
        <v>1604</v>
      </c>
      <c r="C191" s="41">
        <v>45985</v>
      </c>
      <c r="D191" s="1" t="s">
        <v>7887</v>
      </c>
      <c r="E191" s="1">
        <v>2</v>
      </c>
      <c r="F191" s="1" t="s">
        <v>30</v>
      </c>
      <c r="G191" s="1" t="s">
        <v>17</v>
      </c>
      <c r="H191" t="str">
        <f>IF(ISNA(_xlfn.XLOOKUP(B191, customer_master!$A$2:$A$1649, customer_master!$A$2:$A$1649)), "Orphan", "Valid")</f>
        <v>Valid</v>
      </c>
    </row>
    <row r="192" spans="1:8" x14ac:dyDescent="0.3">
      <c r="A192" s="1" t="s">
        <v>8137</v>
      </c>
      <c r="B192" s="1" t="s">
        <v>8138</v>
      </c>
      <c r="C192" s="41">
        <v>46129</v>
      </c>
      <c r="D192" s="1" t="s">
        <v>7889</v>
      </c>
      <c r="E192" s="1">
        <v>4</v>
      </c>
      <c r="F192" s="1" t="s">
        <v>17</v>
      </c>
      <c r="G192" s="1" t="s">
        <v>30</v>
      </c>
      <c r="H192" t="str">
        <f>IF(ISNA(_xlfn.XLOOKUP(B192, customer_master!$A$2:$A$1649, customer_master!$A$2:$A$1649)), "Orphan", "Valid")</f>
        <v>Orphan</v>
      </c>
    </row>
    <row r="193" spans="1:8" x14ac:dyDescent="0.3">
      <c r="A193" s="1" t="s">
        <v>8139</v>
      </c>
      <c r="B193" s="1" t="s">
        <v>1089</v>
      </c>
      <c r="C193" s="41">
        <v>46236</v>
      </c>
      <c r="D193" s="1" t="s">
        <v>7912</v>
      </c>
      <c r="E193" s="1">
        <v>5</v>
      </c>
      <c r="F193" s="1" t="s">
        <v>30</v>
      </c>
      <c r="G193" s="1" t="s">
        <v>17</v>
      </c>
      <c r="H193" t="str">
        <f>IF(ISNA(_xlfn.XLOOKUP(B193, customer_master!$A$2:$A$1649, customer_master!$A$2:$A$1649)), "Orphan", "Valid")</f>
        <v>Valid</v>
      </c>
    </row>
    <row r="194" spans="1:8" x14ac:dyDescent="0.3">
      <c r="A194" s="1" t="s">
        <v>8140</v>
      </c>
      <c r="B194" s="1" t="s">
        <v>1923</v>
      </c>
      <c r="C194" s="41">
        <v>45234</v>
      </c>
      <c r="D194" s="1" t="s">
        <v>7912</v>
      </c>
      <c r="E194" s="1">
        <v>4</v>
      </c>
      <c r="F194" s="1" t="s">
        <v>30</v>
      </c>
      <c r="G194" s="1" t="s">
        <v>30</v>
      </c>
      <c r="H194" t="str">
        <f>IF(ISNA(_xlfn.XLOOKUP(B194, customer_master!$A$2:$A$1649, customer_master!$A$2:$A$1649)), "Orphan", "Valid")</f>
        <v>Valid</v>
      </c>
    </row>
    <row r="195" spans="1:8" x14ac:dyDescent="0.3">
      <c r="A195" s="1" t="s">
        <v>8141</v>
      </c>
      <c r="B195" s="1" t="s">
        <v>8142</v>
      </c>
      <c r="C195" s="41">
        <v>45794</v>
      </c>
      <c r="D195" s="1" t="s">
        <v>7906</v>
      </c>
      <c r="E195" s="1">
        <v>5</v>
      </c>
      <c r="F195" s="1" t="s">
        <v>17</v>
      </c>
      <c r="G195" s="1" t="s">
        <v>17</v>
      </c>
      <c r="H195" t="str">
        <f>IF(ISNA(_xlfn.XLOOKUP(B195, customer_master!$A$2:$A$1649, customer_master!$A$2:$A$1649)), "Orphan", "Valid")</f>
        <v>Orphan</v>
      </c>
    </row>
    <row r="196" spans="1:8" x14ac:dyDescent="0.3">
      <c r="A196" s="1" t="s">
        <v>8143</v>
      </c>
      <c r="B196" s="1" t="s">
        <v>1081</v>
      </c>
      <c r="C196" s="41">
        <v>45444</v>
      </c>
      <c r="D196" s="1" t="s">
        <v>7912</v>
      </c>
      <c r="E196" s="1">
        <v>5</v>
      </c>
      <c r="F196" s="1" t="s">
        <v>17</v>
      </c>
      <c r="G196" s="1" t="s">
        <v>17</v>
      </c>
      <c r="H196" t="str">
        <f>IF(ISNA(_xlfn.XLOOKUP(B196, customer_master!$A$2:$A$1649, customer_master!$A$2:$A$1649)), "Orphan", "Valid")</f>
        <v>Valid</v>
      </c>
    </row>
    <row r="197" spans="1:8" x14ac:dyDescent="0.3">
      <c r="A197" s="1" t="s">
        <v>8144</v>
      </c>
      <c r="B197" s="1" t="s">
        <v>194</v>
      </c>
      <c r="C197" s="41">
        <v>45453</v>
      </c>
      <c r="D197" s="1" t="s">
        <v>7884</v>
      </c>
      <c r="E197" s="1">
        <v>2</v>
      </c>
      <c r="F197" s="1" t="s">
        <v>30</v>
      </c>
      <c r="G197" s="1" t="s">
        <v>17</v>
      </c>
      <c r="H197" t="str">
        <f>IF(ISNA(_xlfn.XLOOKUP(B197, customer_master!$A$2:$A$1649, customer_master!$A$2:$A$1649)), "Orphan", "Valid")</f>
        <v>Valid</v>
      </c>
    </row>
    <row r="198" spans="1:8" x14ac:dyDescent="0.3">
      <c r="A198" s="1" t="s">
        <v>8145</v>
      </c>
      <c r="B198" s="1" t="s">
        <v>8146</v>
      </c>
      <c r="C198" s="41">
        <v>45983</v>
      </c>
      <c r="D198" s="1" t="s">
        <v>7889</v>
      </c>
      <c r="E198" s="1">
        <v>4</v>
      </c>
      <c r="F198" s="1" t="s">
        <v>30</v>
      </c>
      <c r="G198" s="1" t="s">
        <v>17</v>
      </c>
      <c r="H198" t="str">
        <f>IF(ISNA(_xlfn.XLOOKUP(B198, customer_master!$A$2:$A$1649, customer_master!$A$2:$A$1649)), "Orphan", "Valid")</f>
        <v>Orphan</v>
      </c>
    </row>
    <row r="199" spans="1:8" x14ac:dyDescent="0.3">
      <c r="A199" s="1" t="s">
        <v>8147</v>
      </c>
      <c r="B199" s="1" t="s">
        <v>8148</v>
      </c>
      <c r="C199" s="41">
        <v>45928</v>
      </c>
      <c r="D199" s="1" t="s">
        <v>7906</v>
      </c>
      <c r="E199" s="1">
        <v>5</v>
      </c>
      <c r="F199" s="1" t="s">
        <v>17</v>
      </c>
      <c r="G199" s="1" t="s">
        <v>17</v>
      </c>
      <c r="H199" t="str">
        <f>IF(ISNA(_xlfn.XLOOKUP(B199, customer_master!$A$2:$A$1649, customer_master!$A$2:$A$1649)), "Orphan", "Valid")</f>
        <v>Orphan</v>
      </c>
    </row>
    <row r="200" spans="1:8" x14ac:dyDescent="0.3">
      <c r="A200" s="1" t="s">
        <v>8149</v>
      </c>
      <c r="B200" s="1" t="s">
        <v>8150</v>
      </c>
      <c r="C200" s="41">
        <v>45886</v>
      </c>
      <c r="D200" s="1" t="s">
        <v>7889</v>
      </c>
      <c r="E200" s="1">
        <v>4</v>
      </c>
      <c r="F200" s="1" t="s">
        <v>30</v>
      </c>
      <c r="G200" s="1" t="s">
        <v>30</v>
      </c>
      <c r="H200" t="str">
        <f>IF(ISNA(_xlfn.XLOOKUP(B200, customer_master!$A$2:$A$1649, customer_master!$A$2:$A$1649)), "Orphan", "Valid")</f>
        <v>Orphan</v>
      </c>
    </row>
    <row r="201" spans="1:8" x14ac:dyDescent="0.3">
      <c r="A201" s="1" t="s">
        <v>8151</v>
      </c>
      <c r="B201" s="1" t="s">
        <v>146</v>
      </c>
      <c r="C201" s="41">
        <v>45441</v>
      </c>
      <c r="D201" s="1" t="s">
        <v>7889</v>
      </c>
      <c r="E201" s="1">
        <v>5</v>
      </c>
      <c r="F201" s="1" t="s">
        <v>17</v>
      </c>
      <c r="G201" s="1" t="s">
        <v>17</v>
      </c>
      <c r="H201" t="str">
        <f>IF(ISNA(_xlfn.XLOOKUP(B201, customer_master!$A$2:$A$1649, customer_master!$A$2:$A$1649)), "Orphan", "Valid")</f>
        <v>Valid</v>
      </c>
    </row>
    <row r="202" spans="1:8" x14ac:dyDescent="0.3">
      <c r="A202" s="1" t="s">
        <v>8152</v>
      </c>
      <c r="B202" s="1" t="s">
        <v>1493</v>
      </c>
      <c r="C202" s="41">
        <v>45928</v>
      </c>
      <c r="D202" s="1" t="s">
        <v>7887</v>
      </c>
      <c r="E202" s="1">
        <v>2</v>
      </c>
      <c r="F202" s="1" t="s">
        <v>30</v>
      </c>
      <c r="G202" s="1" t="s">
        <v>17</v>
      </c>
      <c r="H202" t="str">
        <f>IF(ISNA(_xlfn.XLOOKUP(B202, customer_master!$A$2:$A$1649, customer_master!$A$2:$A$1649)), "Orphan", "Valid")</f>
        <v>Valid</v>
      </c>
    </row>
    <row r="203" spans="1:8" x14ac:dyDescent="0.3">
      <c r="A203" s="1" t="s">
        <v>8153</v>
      </c>
      <c r="B203" s="1" t="s">
        <v>2935</v>
      </c>
      <c r="C203" s="41">
        <v>45672</v>
      </c>
      <c r="D203" s="1" t="s">
        <v>7884</v>
      </c>
      <c r="E203" s="1">
        <v>3</v>
      </c>
      <c r="F203" s="1" t="s">
        <v>30</v>
      </c>
      <c r="G203" s="1" t="s">
        <v>30</v>
      </c>
      <c r="H203" t="str">
        <f>IF(ISNA(_xlfn.XLOOKUP(B203, customer_master!$A$2:$A$1649, customer_master!$A$2:$A$1649)), "Orphan", "Valid")</f>
        <v>Valid</v>
      </c>
    </row>
    <row r="204" spans="1:8" x14ac:dyDescent="0.3">
      <c r="A204" s="1" t="s">
        <v>8154</v>
      </c>
      <c r="B204" s="1" t="s">
        <v>8155</v>
      </c>
      <c r="C204" s="41">
        <v>45217</v>
      </c>
      <c r="D204" s="1" t="s">
        <v>7906</v>
      </c>
      <c r="E204" s="1">
        <v>5</v>
      </c>
      <c r="F204" s="1" t="s">
        <v>17</v>
      </c>
      <c r="G204" s="1" t="s">
        <v>17</v>
      </c>
      <c r="H204" t="str">
        <f>IF(ISNA(_xlfn.XLOOKUP(B204, customer_master!$A$2:$A$1649, customer_master!$A$2:$A$1649)), "Orphan", "Valid")</f>
        <v>Orphan</v>
      </c>
    </row>
    <row r="205" spans="1:8" x14ac:dyDescent="0.3">
      <c r="A205" s="1" t="s">
        <v>8156</v>
      </c>
      <c r="B205" s="1" t="s">
        <v>2256</v>
      </c>
      <c r="C205" s="41">
        <v>45840</v>
      </c>
      <c r="D205" s="1" t="s">
        <v>7887</v>
      </c>
      <c r="E205" s="1">
        <v>2</v>
      </c>
      <c r="F205" s="1" t="s">
        <v>30</v>
      </c>
      <c r="G205" s="1" t="s">
        <v>17</v>
      </c>
      <c r="H205" t="str">
        <f>IF(ISNA(_xlfn.XLOOKUP(B205, customer_master!$A$2:$A$1649, customer_master!$A$2:$A$1649)), "Orphan", "Valid")</f>
        <v>Valid</v>
      </c>
    </row>
    <row r="206" spans="1:8" x14ac:dyDescent="0.3">
      <c r="A206" s="1" t="s">
        <v>8157</v>
      </c>
      <c r="B206" s="1" t="s">
        <v>314</v>
      </c>
      <c r="C206" s="41">
        <v>45777</v>
      </c>
      <c r="D206" s="1" t="s">
        <v>7884</v>
      </c>
      <c r="E206" s="1">
        <v>2</v>
      </c>
      <c r="F206" s="1" t="s">
        <v>30</v>
      </c>
      <c r="G206" s="1" t="s">
        <v>17</v>
      </c>
      <c r="H206" t="str">
        <f>IF(ISNA(_xlfn.XLOOKUP(B206, customer_master!$A$2:$A$1649, customer_master!$A$2:$A$1649)), "Orphan", "Valid")</f>
        <v>Valid</v>
      </c>
    </row>
    <row r="207" spans="1:8" x14ac:dyDescent="0.3">
      <c r="A207" s="1" t="s">
        <v>8158</v>
      </c>
      <c r="B207" s="1" t="s">
        <v>2653</v>
      </c>
      <c r="C207" s="41">
        <v>45273</v>
      </c>
      <c r="D207" s="1" t="s">
        <v>7912</v>
      </c>
      <c r="E207" s="1">
        <v>5</v>
      </c>
      <c r="F207" s="1" t="s">
        <v>30</v>
      </c>
      <c r="G207" s="1" t="s">
        <v>17</v>
      </c>
      <c r="H207" t="str">
        <f>IF(ISNA(_xlfn.XLOOKUP(B207, customer_master!$A$2:$A$1649, customer_master!$A$2:$A$1649)), "Orphan", "Valid")</f>
        <v>Valid</v>
      </c>
    </row>
    <row r="208" spans="1:8" x14ac:dyDescent="0.3">
      <c r="A208" s="1" t="s">
        <v>8159</v>
      </c>
      <c r="B208" s="1" t="s">
        <v>8160</v>
      </c>
      <c r="C208" s="41">
        <v>45381</v>
      </c>
      <c r="D208" s="1" t="s">
        <v>7899</v>
      </c>
      <c r="E208" s="1">
        <v>2</v>
      </c>
      <c r="F208" s="1" t="s">
        <v>30</v>
      </c>
      <c r="G208" s="1" t="s">
        <v>30</v>
      </c>
      <c r="H208" t="str">
        <f>IF(ISNA(_xlfn.XLOOKUP(B208, customer_master!$A$2:$A$1649, customer_master!$A$2:$A$1649)), "Orphan", "Valid")</f>
        <v>Orphan</v>
      </c>
    </row>
    <row r="209" spans="1:8" x14ac:dyDescent="0.3">
      <c r="A209" s="1" t="s">
        <v>8161</v>
      </c>
      <c r="B209" s="1" t="s">
        <v>1313</v>
      </c>
      <c r="C209" s="41">
        <v>46083</v>
      </c>
      <c r="D209" s="1" t="s">
        <v>7884</v>
      </c>
      <c r="E209" s="1">
        <v>2</v>
      </c>
      <c r="F209" s="1" t="s">
        <v>17</v>
      </c>
      <c r="G209" s="1" t="s">
        <v>17</v>
      </c>
      <c r="H209" t="str">
        <f>IF(ISNA(_xlfn.XLOOKUP(B209, customer_master!$A$2:$A$1649, customer_master!$A$2:$A$1649)), "Orphan", "Valid")</f>
        <v>Valid</v>
      </c>
    </row>
    <row r="210" spans="1:8" x14ac:dyDescent="0.3">
      <c r="A210" s="1" t="s">
        <v>8162</v>
      </c>
      <c r="B210" s="1" t="s">
        <v>8163</v>
      </c>
      <c r="C210" s="41">
        <v>45242</v>
      </c>
      <c r="D210" s="1" t="s">
        <v>7889</v>
      </c>
      <c r="E210" s="1">
        <v>5</v>
      </c>
      <c r="F210" s="1" t="s">
        <v>17</v>
      </c>
      <c r="G210" s="1" t="s">
        <v>17</v>
      </c>
      <c r="H210" t="str">
        <f>IF(ISNA(_xlfn.XLOOKUP(B210, customer_master!$A$2:$A$1649, customer_master!$A$2:$A$1649)), "Orphan", "Valid")</f>
        <v>Orphan</v>
      </c>
    </row>
    <row r="211" spans="1:8" x14ac:dyDescent="0.3">
      <c r="A211" s="1" t="s">
        <v>8164</v>
      </c>
      <c r="B211" s="1" t="s">
        <v>8165</v>
      </c>
      <c r="C211" s="41">
        <v>46162</v>
      </c>
      <c r="D211" s="1" t="s">
        <v>7877</v>
      </c>
      <c r="E211" s="1">
        <v>1</v>
      </c>
      <c r="F211" s="1" t="s">
        <v>30</v>
      </c>
      <c r="G211" s="1" t="s">
        <v>17</v>
      </c>
      <c r="H211" t="str">
        <f>IF(ISNA(_xlfn.XLOOKUP(B211, customer_master!$A$2:$A$1649, customer_master!$A$2:$A$1649)), "Orphan", "Valid")</f>
        <v>Orphan</v>
      </c>
    </row>
    <row r="212" spans="1:8" x14ac:dyDescent="0.3">
      <c r="A212" s="1" t="s">
        <v>8166</v>
      </c>
      <c r="B212" s="1" t="s">
        <v>1125</v>
      </c>
      <c r="C212" s="41">
        <v>45745</v>
      </c>
      <c r="D212" s="1" t="s">
        <v>7877</v>
      </c>
      <c r="E212" s="1">
        <v>1</v>
      </c>
      <c r="F212" s="1" t="s">
        <v>17</v>
      </c>
      <c r="G212" s="1" t="s">
        <v>17</v>
      </c>
      <c r="H212" t="str">
        <f>IF(ISNA(_xlfn.XLOOKUP(B212, customer_master!$A$2:$A$1649, customer_master!$A$2:$A$1649)), "Orphan", "Valid")</f>
        <v>Valid</v>
      </c>
    </row>
    <row r="213" spans="1:8" x14ac:dyDescent="0.3">
      <c r="A213" s="1" t="s">
        <v>8167</v>
      </c>
      <c r="B213" s="1" t="s">
        <v>2402</v>
      </c>
      <c r="C213" s="41">
        <v>45239</v>
      </c>
      <c r="D213" s="1" t="s">
        <v>7899</v>
      </c>
      <c r="E213" s="1">
        <v>2</v>
      </c>
      <c r="F213" s="1" t="s">
        <v>17</v>
      </c>
      <c r="G213" s="1" t="s">
        <v>30</v>
      </c>
      <c r="H213" t="str">
        <f>IF(ISNA(_xlfn.XLOOKUP(B213, customer_master!$A$2:$A$1649, customer_master!$A$2:$A$1649)), "Orphan", "Valid")</f>
        <v>Valid</v>
      </c>
    </row>
    <row r="214" spans="1:8" x14ac:dyDescent="0.3">
      <c r="A214" s="1" t="s">
        <v>8168</v>
      </c>
      <c r="B214" s="1" t="s">
        <v>855</v>
      </c>
      <c r="C214" s="41">
        <v>45422</v>
      </c>
      <c r="D214" s="1" t="s">
        <v>7881</v>
      </c>
      <c r="E214" s="1">
        <v>4</v>
      </c>
      <c r="F214" s="1" t="s">
        <v>17</v>
      </c>
      <c r="G214" s="1" t="s">
        <v>17</v>
      </c>
      <c r="H214" t="str">
        <f>IF(ISNA(_xlfn.XLOOKUP(B214, customer_master!$A$2:$A$1649, customer_master!$A$2:$A$1649)), "Orphan", "Valid")</f>
        <v>Valid</v>
      </c>
    </row>
    <row r="215" spans="1:8" x14ac:dyDescent="0.3">
      <c r="A215" s="1" t="s">
        <v>8169</v>
      </c>
      <c r="B215" s="1" t="s">
        <v>2937</v>
      </c>
      <c r="C215" s="41">
        <v>45814</v>
      </c>
      <c r="D215" s="1" t="s">
        <v>7884</v>
      </c>
      <c r="E215" s="1">
        <v>3</v>
      </c>
      <c r="F215" s="1" t="s">
        <v>17</v>
      </c>
      <c r="G215" s="1" t="s">
        <v>17</v>
      </c>
      <c r="H215" t="str">
        <f>IF(ISNA(_xlfn.XLOOKUP(B215, customer_master!$A$2:$A$1649, customer_master!$A$2:$A$1649)), "Orphan", "Valid")</f>
        <v>Valid</v>
      </c>
    </row>
    <row r="216" spans="1:8" x14ac:dyDescent="0.3">
      <c r="A216" s="1" t="s">
        <v>8170</v>
      </c>
      <c r="B216" s="1" t="s">
        <v>8171</v>
      </c>
      <c r="C216" s="41">
        <v>45810</v>
      </c>
      <c r="D216" s="1" t="s">
        <v>7899</v>
      </c>
      <c r="E216" s="1">
        <v>2</v>
      </c>
      <c r="F216" s="1" t="s">
        <v>30</v>
      </c>
      <c r="G216" s="1" t="s">
        <v>17</v>
      </c>
      <c r="H216" t="str">
        <f>IF(ISNA(_xlfn.XLOOKUP(B216, customer_master!$A$2:$A$1649, customer_master!$A$2:$A$1649)), "Orphan", "Valid")</f>
        <v>Orphan</v>
      </c>
    </row>
    <row r="217" spans="1:8" x14ac:dyDescent="0.3">
      <c r="A217" s="1" t="s">
        <v>8172</v>
      </c>
      <c r="B217" s="1" t="s">
        <v>1628</v>
      </c>
      <c r="C217" s="41">
        <v>45681</v>
      </c>
      <c r="D217" s="1" t="s">
        <v>7912</v>
      </c>
      <c r="E217" s="1">
        <v>5</v>
      </c>
      <c r="F217" s="1" t="s">
        <v>30</v>
      </c>
      <c r="G217" s="1" t="s">
        <v>30</v>
      </c>
      <c r="H217" t="str">
        <f>IF(ISNA(_xlfn.XLOOKUP(B217, customer_master!$A$2:$A$1649, customer_master!$A$2:$A$1649)), "Orphan", "Valid")</f>
        <v>Valid</v>
      </c>
    </row>
    <row r="218" spans="1:8" x14ac:dyDescent="0.3">
      <c r="A218" s="1" t="s">
        <v>8173</v>
      </c>
      <c r="B218" s="1" t="s">
        <v>626</v>
      </c>
      <c r="C218" s="41">
        <v>45761</v>
      </c>
      <c r="D218" s="1" t="s">
        <v>7877</v>
      </c>
      <c r="E218" s="1">
        <v>1</v>
      </c>
      <c r="F218" s="1" t="s">
        <v>30</v>
      </c>
      <c r="G218" s="1" t="s">
        <v>17</v>
      </c>
      <c r="H218" t="str">
        <f>IF(ISNA(_xlfn.XLOOKUP(B218, customer_master!$A$2:$A$1649, customer_master!$A$2:$A$1649)), "Orphan", "Valid")</f>
        <v>Valid</v>
      </c>
    </row>
    <row r="219" spans="1:8" x14ac:dyDescent="0.3">
      <c r="A219" s="1" t="s">
        <v>8174</v>
      </c>
      <c r="B219" s="1" t="s">
        <v>328</v>
      </c>
      <c r="C219" s="41">
        <v>46029</v>
      </c>
      <c r="D219" s="1" t="s">
        <v>7912</v>
      </c>
      <c r="E219" s="1">
        <v>4</v>
      </c>
      <c r="F219" s="1" t="s">
        <v>17</v>
      </c>
      <c r="G219" s="1" t="s">
        <v>30</v>
      </c>
      <c r="H219" t="str">
        <f>IF(ISNA(_xlfn.XLOOKUP(B219, customer_master!$A$2:$A$1649, customer_master!$A$2:$A$1649)), "Orphan", "Valid")</f>
        <v>Valid</v>
      </c>
    </row>
    <row r="220" spans="1:8" x14ac:dyDescent="0.3">
      <c r="A220" s="1" t="s">
        <v>8175</v>
      </c>
      <c r="B220" s="1" t="s">
        <v>925</v>
      </c>
      <c r="C220" s="41">
        <v>45522</v>
      </c>
      <c r="D220" s="1" t="s">
        <v>7887</v>
      </c>
      <c r="E220" s="1">
        <v>2</v>
      </c>
      <c r="F220" s="1" t="s">
        <v>17</v>
      </c>
      <c r="G220" s="1" t="s">
        <v>30</v>
      </c>
      <c r="H220" t="str">
        <f>IF(ISNA(_xlfn.XLOOKUP(B220, customer_master!$A$2:$A$1649, customer_master!$A$2:$A$1649)), "Orphan", "Valid")</f>
        <v>Valid</v>
      </c>
    </row>
    <row r="221" spans="1:8" x14ac:dyDescent="0.3">
      <c r="A221" s="1" t="s">
        <v>8176</v>
      </c>
      <c r="B221" s="1" t="s">
        <v>8177</v>
      </c>
      <c r="C221" s="41">
        <v>45867</v>
      </c>
      <c r="D221" s="1" t="s">
        <v>7877</v>
      </c>
      <c r="E221" s="1">
        <v>2</v>
      </c>
      <c r="F221" s="1" t="s">
        <v>17</v>
      </c>
      <c r="G221" s="1" t="s">
        <v>17</v>
      </c>
      <c r="H221" t="str">
        <f>IF(ISNA(_xlfn.XLOOKUP(B221, customer_master!$A$2:$A$1649, customer_master!$A$2:$A$1649)), "Orphan", "Valid")</f>
        <v>Orphan</v>
      </c>
    </row>
    <row r="222" spans="1:8" x14ac:dyDescent="0.3">
      <c r="A222" s="1" t="s">
        <v>8178</v>
      </c>
      <c r="B222" s="1" t="s">
        <v>2593</v>
      </c>
      <c r="C222" s="41">
        <v>45388</v>
      </c>
      <c r="D222" s="1" t="s">
        <v>7887</v>
      </c>
      <c r="E222" s="1">
        <v>2</v>
      </c>
      <c r="F222" s="1" t="s">
        <v>30</v>
      </c>
      <c r="G222" s="1" t="s">
        <v>30</v>
      </c>
      <c r="H222" t="str">
        <f>IF(ISNA(_xlfn.XLOOKUP(B222, customer_master!$A$2:$A$1649, customer_master!$A$2:$A$1649)), "Orphan", "Valid")</f>
        <v>Valid</v>
      </c>
    </row>
    <row r="223" spans="1:8" x14ac:dyDescent="0.3">
      <c r="A223" s="1" t="s">
        <v>8179</v>
      </c>
      <c r="B223" s="1" t="s">
        <v>2188</v>
      </c>
      <c r="C223" s="41">
        <v>45300</v>
      </c>
      <c r="D223" s="1" t="s">
        <v>7887</v>
      </c>
      <c r="E223" s="1">
        <v>2</v>
      </c>
      <c r="F223" s="1" t="s">
        <v>30</v>
      </c>
      <c r="G223" s="1" t="s">
        <v>17</v>
      </c>
      <c r="H223" t="str">
        <f>IF(ISNA(_xlfn.XLOOKUP(B223, customer_master!$A$2:$A$1649, customer_master!$A$2:$A$1649)), "Orphan", "Valid")</f>
        <v>Valid</v>
      </c>
    </row>
    <row r="224" spans="1:8" x14ac:dyDescent="0.3">
      <c r="A224" s="1" t="s">
        <v>8180</v>
      </c>
      <c r="B224" s="1" t="s">
        <v>8181</v>
      </c>
      <c r="C224" s="41">
        <v>45264</v>
      </c>
      <c r="D224" s="1" t="s">
        <v>7889</v>
      </c>
      <c r="E224" s="1">
        <v>5</v>
      </c>
      <c r="F224" s="1" t="s">
        <v>30</v>
      </c>
      <c r="G224" s="1" t="s">
        <v>17</v>
      </c>
      <c r="H224" t="str">
        <f>IF(ISNA(_xlfn.XLOOKUP(B224, customer_master!$A$2:$A$1649, customer_master!$A$2:$A$1649)), "Orphan", "Valid")</f>
        <v>Orphan</v>
      </c>
    </row>
    <row r="225" spans="1:8" x14ac:dyDescent="0.3">
      <c r="A225" s="1" t="s">
        <v>8182</v>
      </c>
      <c r="B225" s="1" t="s">
        <v>8183</v>
      </c>
      <c r="C225" s="41">
        <v>45389</v>
      </c>
      <c r="D225" s="1" t="s">
        <v>7881</v>
      </c>
      <c r="E225" s="1">
        <v>4</v>
      </c>
      <c r="F225" s="1" t="s">
        <v>17</v>
      </c>
      <c r="G225" s="1" t="s">
        <v>17</v>
      </c>
      <c r="H225" t="str">
        <f>IF(ISNA(_xlfn.XLOOKUP(B225, customer_master!$A$2:$A$1649, customer_master!$A$2:$A$1649)), "Orphan", "Valid")</f>
        <v>Orphan</v>
      </c>
    </row>
    <row r="226" spans="1:8" x14ac:dyDescent="0.3">
      <c r="A226" s="1" t="s">
        <v>8184</v>
      </c>
      <c r="B226" s="1" t="s">
        <v>250</v>
      </c>
      <c r="C226" s="41">
        <v>45767</v>
      </c>
      <c r="D226" s="1" t="s">
        <v>7877</v>
      </c>
      <c r="E226" s="1">
        <v>2</v>
      </c>
      <c r="F226" s="1" t="s">
        <v>30</v>
      </c>
      <c r="G226" s="1" t="s">
        <v>17</v>
      </c>
      <c r="H226" t="str">
        <f>IF(ISNA(_xlfn.XLOOKUP(B226, customer_master!$A$2:$A$1649, customer_master!$A$2:$A$1649)), "Orphan", "Valid")</f>
        <v>Valid</v>
      </c>
    </row>
    <row r="227" spans="1:8" x14ac:dyDescent="0.3">
      <c r="A227" s="1" t="s">
        <v>8185</v>
      </c>
      <c r="B227" s="1" t="s">
        <v>2949</v>
      </c>
      <c r="C227" s="41">
        <v>45408</v>
      </c>
      <c r="D227" s="1" t="s">
        <v>7881</v>
      </c>
      <c r="E227" s="1">
        <v>4</v>
      </c>
      <c r="F227" s="1" t="s">
        <v>30</v>
      </c>
      <c r="G227" s="1" t="s">
        <v>17</v>
      </c>
      <c r="H227" t="str">
        <f>IF(ISNA(_xlfn.XLOOKUP(B227, customer_master!$A$2:$A$1649, customer_master!$A$2:$A$1649)), "Orphan", "Valid")</f>
        <v>Valid</v>
      </c>
    </row>
    <row r="228" spans="1:8" x14ac:dyDescent="0.3">
      <c r="A228" s="1" t="s">
        <v>8186</v>
      </c>
      <c r="B228" s="1" t="s">
        <v>8187</v>
      </c>
      <c r="C228" s="41">
        <v>45707</v>
      </c>
      <c r="D228" s="1" t="s">
        <v>7906</v>
      </c>
      <c r="E228" s="1">
        <v>5</v>
      </c>
      <c r="F228" s="1" t="s">
        <v>30</v>
      </c>
      <c r="G228" s="1" t="s">
        <v>17</v>
      </c>
      <c r="H228" t="str">
        <f>IF(ISNA(_xlfn.XLOOKUP(B228, customer_master!$A$2:$A$1649, customer_master!$A$2:$A$1649)), "Orphan", "Valid")</f>
        <v>Orphan</v>
      </c>
    </row>
    <row r="229" spans="1:8" x14ac:dyDescent="0.3">
      <c r="A229" s="1" t="s">
        <v>8188</v>
      </c>
      <c r="B229" s="1" t="s">
        <v>282</v>
      </c>
      <c r="C229" s="41">
        <v>45796</v>
      </c>
      <c r="D229" s="1" t="s">
        <v>7899</v>
      </c>
      <c r="E229" s="1">
        <v>2</v>
      </c>
      <c r="F229" s="1" t="s">
        <v>17</v>
      </c>
      <c r="G229" s="1" t="s">
        <v>30</v>
      </c>
      <c r="H229" t="str">
        <f>IF(ISNA(_xlfn.XLOOKUP(B229, customer_master!$A$2:$A$1649, customer_master!$A$2:$A$1649)), "Orphan", "Valid")</f>
        <v>Valid</v>
      </c>
    </row>
    <row r="230" spans="1:8" x14ac:dyDescent="0.3">
      <c r="A230" s="1" t="s">
        <v>8189</v>
      </c>
      <c r="B230" s="1" t="s">
        <v>8190</v>
      </c>
      <c r="C230" s="41">
        <v>45810</v>
      </c>
      <c r="D230" s="1" t="s">
        <v>7879</v>
      </c>
      <c r="E230" s="1">
        <v>2</v>
      </c>
      <c r="F230" s="1" t="s">
        <v>30</v>
      </c>
      <c r="G230" s="1" t="s">
        <v>17</v>
      </c>
      <c r="H230" t="str">
        <f>IF(ISNA(_xlfn.XLOOKUP(B230, customer_master!$A$2:$A$1649, customer_master!$A$2:$A$1649)), "Orphan", "Valid")</f>
        <v>Orphan</v>
      </c>
    </row>
    <row r="231" spans="1:8" x14ac:dyDescent="0.3">
      <c r="A231" s="1" t="s">
        <v>8191</v>
      </c>
      <c r="B231" s="1" t="s">
        <v>8192</v>
      </c>
      <c r="C231" s="41">
        <v>46116</v>
      </c>
      <c r="D231" s="1" t="s">
        <v>7884</v>
      </c>
      <c r="E231" s="1">
        <v>2</v>
      </c>
      <c r="F231" s="1" t="s">
        <v>30</v>
      </c>
      <c r="G231" s="1" t="s">
        <v>17</v>
      </c>
      <c r="H231" t="str">
        <f>IF(ISNA(_xlfn.XLOOKUP(B231, customer_master!$A$2:$A$1649, customer_master!$A$2:$A$1649)), "Orphan", "Valid")</f>
        <v>Orphan</v>
      </c>
    </row>
    <row r="232" spans="1:8" x14ac:dyDescent="0.3">
      <c r="A232" s="1" t="s">
        <v>8193</v>
      </c>
      <c r="B232" s="1" t="s">
        <v>8194</v>
      </c>
      <c r="C232" s="41">
        <v>45295</v>
      </c>
      <c r="D232" s="1" t="s">
        <v>7884</v>
      </c>
      <c r="E232" s="1">
        <v>2</v>
      </c>
      <c r="F232" s="1" t="s">
        <v>30</v>
      </c>
      <c r="G232" s="1" t="s">
        <v>30</v>
      </c>
      <c r="H232" t="str">
        <f>IF(ISNA(_xlfn.XLOOKUP(B232, customer_master!$A$2:$A$1649, customer_master!$A$2:$A$1649)), "Orphan", "Valid")</f>
        <v>Orphan</v>
      </c>
    </row>
    <row r="233" spans="1:8" x14ac:dyDescent="0.3">
      <c r="A233" s="1" t="s">
        <v>8195</v>
      </c>
      <c r="B233" s="1" t="s">
        <v>8196</v>
      </c>
      <c r="C233" s="41">
        <v>46144</v>
      </c>
      <c r="D233" s="1" t="s">
        <v>7881</v>
      </c>
      <c r="E233" s="1">
        <v>4</v>
      </c>
      <c r="F233" s="1" t="s">
        <v>30</v>
      </c>
      <c r="G233" s="1" t="s">
        <v>30</v>
      </c>
      <c r="H233" t="str">
        <f>IF(ISNA(_xlfn.XLOOKUP(B233, customer_master!$A$2:$A$1649, customer_master!$A$2:$A$1649)), "Orphan", "Valid")</f>
        <v>Orphan</v>
      </c>
    </row>
    <row r="234" spans="1:8" x14ac:dyDescent="0.3">
      <c r="A234" s="1" t="s">
        <v>8197</v>
      </c>
      <c r="B234" s="1" t="s">
        <v>8198</v>
      </c>
      <c r="C234" s="41">
        <v>46025</v>
      </c>
      <c r="D234" s="1" t="s">
        <v>7889</v>
      </c>
      <c r="E234" s="1">
        <v>4</v>
      </c>
      <c r="F234" s="1" t="s">
        <v>30</v>
      </c>
      <c r="G234" s="1" t="s">
        <v>30</v>
      </c>
      <c r="H234" t="str">
        <f>IF(ISNA(_xlfn.XLOOKUP(B234, customer_master!$A$2:$A$1649, customer_master!$A$2:$A$1649)), "Orphan", "Valid")</f>
        <v>Orphan</v>
      </c>
    </row>
    <row r="235" spans="1:8" x14ac:dyDescent="0.3">
      <c r="A235" s="1" t="s">
        <v>8199</v>
      </c>
      <c r="B235" s="1" t="s">
        <v>1883</v>
      </c>
      <c r="C235" s="41">
        <v>45386</v>
      </c>
      <c r="D235" s="1" t="s">
        <v>7879</v>
      </c>
      <c r="E235" s="1">
        <v>2</v>
      </c>
      <c r="F235" s="1" t="s">
        <v>17</v>
      </c>
      <c r="G235" s="1" t="s">
        <v>30</v>
      </c>
      <c r="H235" t="str">
        <f>IF(ISNA(_xlfn.XLOOKUP(B235, customer_master!$A$2:$A$1649, customer_master!$A$2:$A$1649)), "Orphan", "Valid")</f>
        <v>Valid</v>
      </c>
    </row>
    <row r="236" spans="1:8" x14ac:dyDescent="0.3">
      <c r="A236" s="1" t="s">
        <v>8200</v>
      </c>
      <c r="B236" s="1" t="s">
        <v>172</v>
      </c>
      <c r="C236" s="41">
        <v>46056</v>
      </c>
      <c r="D236" s="1" t="s">
        <v>7899</v>
      </c>
      <c r="E236" s="1">
        <v>2</v>
      </c>
      <c r="F236" s="1" t="s">
        <v>17</v>
      </c>
      <c r="G236" s="1" t="s">
        <v>17</v>
      </c>
      <c r="H236" t="str">
        <f>IF(ISNA(_xlfn.XLOOKUP(B236, customer_master!$A$2:$A$1649, customer_master!$A$2:$A$1649)), "Orphan", "Valid")</f>
        <v>Valid</v>
      </c>
    </row>
    <row r="237" spans="1:8" x14ac:dyDescent="0.3">
      <c r="A237" s="1" t="s">
        <v>8201</v>
      </c>
      <c r="B237" s="1" t="s">
        <v>8202</v>
      </c>
      <c r="C237" s="41">
        <v>45846</v>
      </c>
      <c r="D237" s="1" t="s">
        <v>7884</v>
      </c>
      <c r="E237" s="1">
        <v>2</v>
      </c>
      <c r="F237" s="1" t="s">
        <v>30</v>
      </c>
      <c r="G237" s="1" t="s">
        <v>17</v>
      </c>
      <c r="H237" t="str">
        <f>IF(ISNA(_xlfn.XLOOKUP(B237, customer_master!$A$2:$A$1649, customer_master!$A$2:$A$1649)), "Orphan", "Valid")</f>
        <v>Orphan</v>
      </c>
    </row>
    <row r="238" spans="1:8" x14ac:dyDescent="0.3">
      <c r="A238" s="1" t="s">
        <v>8203</v>
      </c>
      <c r="B238" s="1" t="s">
        <v>8204</v>
      </c>
      <c r="C238" s="41">
        <v>45673</v>
      </c>
      <c r="D238" s="1" t="s">
        <v>7896</v>
      </c>
      <c r="E238" s="1">
        <v>4</v>
      </c>
      <c r="F238" s="1" t="s">
        <v>30</v>
      </c>
      <c r="G238" s="1" t="s">
        <v>17</v>
      </c>
      <c r="H238" t="str">
        <f>IF(ISNA(_xlfn.XLOOKUP(B238, customer_master!$A$2:$A$1649, customer_master!$A$2:$A$1649)), "Orphan", "Valid")</f>
        <v>Orphan</v>
      </c>
    </row>
    <row r="239" spans="1:8" x14ac:dyDescent="0.3">
      <c r="A239" s="1" t="s">
        <v>8205</v>
      </c>
      <c r="B239" s="1" t="s">
        <v>8206</v>
      </c>
      <c r="C239" s="41">
        <v>45173</v>
      </c>
      <c r="D239" s="1" t="s">
        <v>7889</v>
      </c>
      <c r="E239" s="1">
        <v>4</v>
      </c>
      <c r="F239" s="1" t="s">
        <v>30</v>
      </c>
      <c r="G239" s="1" t="s">
        <v>17</v>
      </c>
      <c r="H239" t="str">
        <f>IF(ISNA(_xlfn.XLOOKUP(B239, customer_master!$A$2:$A$1649, customer_master!$A$2:$A$1649)), "Orphan", "Valid")</f>
        <v>Orphan</v>
      </c>
    </row>
    <row r="240" spans="1:8" x14ac:dyDescent="0.3">
      <c r="A240" s="1" t="s">
        <v>8207</v>
      </c>
      <c r="B240" s="1" t="s">
        <v>2911</v>
      </c>
      <c r="C240" s="41">
        <v>45999</v>
      </c>
      <c r="D240" s="1" t="s">
        <v>7912</v>
      </c>
      <c r="E240" s="1">
        <v>4</v>
      </c>
      <c r="F240" s="1" t="s">
        <v>30</v>
      </c>
      <c r="G240" s="1" t="s">
        <v>30</v>
      </c>
      <c r="H240" t="str">
        <f>IF(ISNA(_xlfn.XLOOKUP(B240, customer_master!$A$2:$A$1649, customer_master!$A$2:$A$1649)), "Orphan", "Valid")</f>
        <v>Valid</v>
      </c>
    </row>
    <row r="241" spans="1:8" x14ac:dyDescent="0.3">
      <c r="A241" s="1" t="s">
        <v>8208</v>
      </c>
      <c r="B241" s="1" t="s">
        <v>8209</v>
      </c>
      <c r="C241" s="41">
        <v>45832</v>
      </c>
      <c r="D241" s="1" t="s">
        <v>7896</v>
      </c>
      <c r="E241" s="1">
        <v>4</v>
      </c>
      <c r="F241" s="1" t="s">
        <v>17</v>
      </c>
      <c r="G241" s="1" t="s">
        <v>17</v>
      </c>
      <c r="H241" t="str">
        <f>IF(ISNA(_xlfn.XLOOKUP(B241, customer_master!$A$2:$A$1649, customer_master!$A$2:$A$1649)), "Orphan", "Valid")</f>
        <v>Orphan</v>
      </c>
    </row>
    <row r="242" spans="1:8" x14ac:dyDescent="0.3">
      <c r="A242" s="1" t="s">
        <v>8210</v>
      </c>
      <c r="B242" s="1" t="s">
        <v>2294</v>
      </c>
      <c r="C242" s="41">
        <v>45712</v>
      </c>
      <c r="D242" s="1" t="s">
        <v>7896</v>
      </c>
      <c r="E242" s="1">
        <v>4</v>
      </c>
      <c r="F242" s="1" t="s">
        <v>30</v>
      </c>
      <c r="G242" s="1" t="s">
        <v>17</v>
      </c>
      <c r="H242" t="str">
        <f>IF(ISNA(_xlfn.XLOOKUP(B242, customer_master!$A$2:$A$1649, customer_master!$A$2:$A$1649)), "Orphan", "Valid")</f>
        <v>Valid</v>
      </c>
    </row>
    <row r="243" spans="1:8" x14ac:dyDescent="0.3">
      <c r="A243" s="1" t="s">
        <v>8211</v>
      </c>
      <c r="B243" s="1" t="s">
        <v>8212</v>
      </c>
      <c r="C243" s="41">
        <v>45366</v>
      </c>
      <c r="D243" s="1" t="s">
        <v>7906</v>
      </c>
      <c r="E243" s="1">
        <v>5</v>
      </c>
      <c r="F243" s="1" t="s">
        <v>17</v>
      </c>
      <c r="G243" s="1" t="s">
        <v>17</v>
      </c>
      <c r="H243" t="str">
        <f>IF(ISNA(_xlfn.XLOOKUP(B243, customer_master!$A$2:$A$1649, customer_master!$A$2:$A$1649)), "Orphan", "Valid")</f>
        <v>Orphan</v>
      </c>
    </row>
    <row r="244" spans="1:8" x14ac:dyDescent="0.3">
      <c r="A244" s="1" t="s">
        <v>8213</v>
      </c>
      <c r="B244" s="1" t="s">
        <v>8214</v>
      </c>
      <c r="C244" s="41">
        <v>45728</v>
      </c>
      <c r="D244" s="1" t="s">
        <v>7899</v>
      </c>
      <c r="E244" s="1">
        <v>2</v>
      </c>
      <c r="F244" s="1" t="s">
        <v>17</v>
      </c>
      <c r="G244" s="1" t="s">
        <v>30</v>
      </c>
      <c r="H244" t="str">
        <f>IF(ISNA(_xlfn.XLOOKUP(B244, customer_master!$A$2:$A$1649, customer_master!$A$2:$A$1649)), "Orphan", "Valid")</f>
        <v>Orphan</v>
      </c>
    </row>
    <row r="245" spans="1:8" x14ac:dyDescent="0.3">
      <c r="A245" s="1" t="s">
        <v>8215</v>
      </c>
      <c r="B245" s="1" t="s">
        <v>1027</v>
      </c>
      <c r="C245" s="41">
        <v>45736</v>
      </c>
      <c r="D245" s="1" t="s">
        <v>7889</v>
      </c>
      <c r="E245" s="1">
        <v>5</v>
      </c>
      <c r="F245" s="1" t="s">
        <v>17</v>
      </c>
      <c r="G245" s="1" t="s">
        <v>17</v>
      </c>
      <c r="H245" t="str">
        <f>IF(ISNA(_xlfn.XLOOKUP(B245, customer_master!$A$2:$A$1649, customer_master!$A$2:$A$1649)), "Orphan", "Valid")</f>
        <v>Valid</v>
      </c>
    </row>
    <row r="246" spans="1:8" x14ac:dyDescent="0.3">
      <c r="A246" s="1" t="s">
        <v>8216</v>
      </c>
      <c r="B246" s="1" t="s">
        <v>699</v>
      </c>
      <c r="C246" s="41">
        <v>46215</v>
      </c>
      <c r="D246" s="1" t="s">
        <v>7881</v>
      </c>
      <c r="E246" s="1">
        <v>4</v>
      </c>
      <c r="F246" s="1" t="s">
        <v>17</v>
      </c>
      <c r="G246" s="1" t="s">
        <v>17</v>
      </c>
      <c r="H246" t="str">
        <f>IF(ISNA(_xlfn.XLOOKUP(B246, customer_master!$A$2:$A$1649, customer_master!$A$2:$A$1649)), "Orphan", "Valid")</f>
        <v>Valid</v>
      </c>
    </row>
    <row r="247" spans="1:8" x14ac:dyDescent="0.3">
      <c r="A247" s="1" t="s">
        <v>8217</v>
      </c>
      <c r="B247" s="1" t="s">
        <v>2708</v>
      </c>
      <c r="C247" s="41">
        <v>45501</v>
      </c>
      <c r="D247" s="1" t="s">
        <v>7879</v>
      </c>
      <c r="E247" s="1">
        <v>2</v>
      </c>
      <c r="F247" s="1" t="s">
        <v>30</v>
      </c>
      <c r="G247" s="1" t="s">
        <v>17</v>
      </c>
      <c r="H247" t="str">
        <f>IF(ISNA(_xlfn.XLOOKUP(B247, customer_master!$A$2:$A$1649, customer_master!$A$2:$A$1649)), "Orphan", "Valid")</f>
        <v>Valid</v>
      </c>
    </row>
    <row r="248" spans="1:8" x14ac:dyDescent="0.3">
      <c r="A248" s="1" t="s">
        <v>8218</v>
      </c>
      <c r="B248" s="1" t="s">
        <v>264</v>
      </c>
      <c r="C248" s="41">
        <v>46123</v>
      </c>
      <c r="D248" s="1" t="s">
        <v>7896</v>
      </c>
      <c r="E248" s="1">
        <v>4</v>
      </c>
      <c r="F248" s="1" t="s">
        <v>30</v>
      </c>
      <c r="G248" s="1" t="s">
        <v>30</v>
      </c>
      <c r="H248" t="str">
        <f>IF(ISNA(_xlfn.XLOOKUP(B248, customer_master!$A$2:$A$1649, customer_master!$A$2:$A$1649)), "Orphan", "Valid")</f>
        <v>Valid</v>
      </c>
    </row>
    <row r="249" spans="1:8" x14ac:dyDescent="0.3">
      <c r="A249" s="1" t="s">
        <v>8219</v>
      </c>
      <c r="B249" s="1" t="s">
        <v>182</v>
      </c>
      <c r="C249" s="41">
        <v>45445</v>
      </c>
      <c r="D249" s="1" t="s">
        <v>7899</v>
      </c>
      <c r="E249" s="1">
        <v>2</v>
      </c>
      <c r="F249" s="1" t="s">
        <v>30</v>
      </c>
      <c r="G249" s="1" t="s">
        <v>17</v>
      </c>
      <c r="H249" t="str">
        <f>IF(ISNA(_xlfn.XLOOKUP(B249, customer_master!$A$2:$A$1649, customer_master!$A$2:$A$1649)), "Orphan", "Valid")</f>
        <v>Valid</v>
      </c>
    </row>
    <row r="250" spans="1:8" x14ac:dyDescent="0.3">
      <c r="A250" s="1" t="s">
        <v>8220</v>
      </c>
      <c r="B250" s="1" t="s">
        <v>1845</v>
      </c>
      <c r="C250" s="41">
        <v>45474</v>
      </c>
      <c r="D250" s="1" t="s">
        <v>7906</v>
      </c>
      <c r="E250" s="1">
        <v>5</v>
      </c>
      <c r="F250" s="1" t="s">
        <v>17</v>
      </c>
      <c r="G250" s="1" t="s">
        <v>17</v>
      </c>
      <c r="H250" t="str">
        <f>IF(ISNA(_xlfn.XLOOKUP(B250, customer_master!$A$2:$A$1649, customer_master!$A$2:$A$1649)), "Orphan", "Valid")</f>
        <v>Valid</v>
      </c>
    </row>
    <row r="251" spans="1:8" x14ac:dyDescent="0.3">
      <c r="A251" s="1" t="s">
        <v>8221</v>
      </c>
      <c r="B251" s="1" t="s">
        <v>8222</v>
      </c>
      <c r="C251" s="41">
        <v>45788</v>
      </c>
      <c r="D251" s="1" t="s">
        <v>7899</v>
      </c>
      <c r="E251" s="1">
        <v>2</v>
      </c>
      <c r="F251" s="1" t="s">
        <v>17</v>
      </c>
      <c r="G251" s="1" t="s">
        <v>30</v>
      </c>
      <c r="H251" t="str">
        <f>IF(ISNA(_xlfn.XLOOKUP(B251, customer_master!$A$2:$A$1649, customer_master!$A$2:$A$1649)), "Orphan", "Valid")</f>
        <v>Orphan</v>
      </c>
    </row>
    <row r="252" spans="1:8" x14ac:dyDescent="0.3">
      <c r="A252" s="1" t="s">
        <v>8223</v>
      </c>
      <c r="B252" s="1" t="s">
        <v>1376</v>
      </c>
      <c r="C252" s="41">
        <v>45511</v>
      </c>
      <c r="D252" s="1" t="s">
        <v>7877</v>
      </c>
      <c r="E252" s="1">
        <v>2</v>
      </c>
      <c r="F252" s="1" t="s">
        <v>17</v>
      </c>
      <c r="G252" s="1" t="s">
        <v>30</v>
      </c>
      <c r="H252" t="str">
        <f>IF(ISNA(_xlfn.XLOOKUP(B252, customer_master!$A$2:$A$1649, customer_master!$A$2:$A$1649)), "Orphan", "Valid")</f>
        <v>Valid</v>
      </c>
    </row>
    <row r="253" spans="1:8" x14ac:dyDescent="0.3">
      <c r="A253" s="1" t="s">
        <v>8224</v>
      </c>
      <c r="B253" s="1" t="s">
        <v>877</v>
      </c>
      <c r="C253" s="41">
        <v>45655</v>
      </c>
      <c r="D253" s="1" t="s">
        <v>7879</v>
      </c>
      <c r="E253" s="1">
        <v>2</v>
      </c>
      <c r="F253" s="1" t="s">
        <v>17</v>
      </c>
      <c r="G253" s="1" t="s">
        <v>17</v>
      </c>
      <c r="H253" t="str">
        <f>IF(ISNA(_xlfn.XLOOKUP(B253, customer_master!$A$2:$A$1649, customer_master!$A$2:$A$1649)), "Orphan", "Valid")</f>
        <v>Valid</v>
      </c>
    </row>
    <row r="254" spans="1:8" x14ac:dyDescent="0.3">
      <c r="A254" s="1" t="s">
        <v>8225</v>
      </c>
      <c r="B254" s="1" t="s">
        <v>8226</v>
      </c>
      <c r="C254" s="41">
        <v>46244</v>
      </c>
      <c r="D254" s="1" t="s">
        <v>7877</v>
      </c>
      <c r="E254" s="1">
        <v>2</v>
      </c>
      <c r="F254" s="1" t="s">
        <v>30</v>
      </c>
      <c r="G254" s="1" t="s">
        <v>17</v>
      </c>
      <c r="H254" t="str">
        <f>IF(ISNA(_xlfn.XLOOKUP(B254, customer_master!$A$2:$A$1649, customer_master!$A$2:$A$1649)), "Orphan", "Valid")</f>
        <v>Orphan</v>
      </c>
    </row>
    <row r="255" spans="1:8" x14ac:dyDescent="0.3">
      <c r="A255" s="1" t="s">
        <v>8227</v>
      </c>
      <c r="B255" s="1" t="s">
        <v>407</v>
      </c>
      <c r="C255" s="41">
        <v>46209</v>
      </c>
      <c r="D255" s="1" t="s">
        <v>7884</v>
      </c>
      <c r="E255" s="1">
        <v>2</v>
      </c>
      <c r="F255" s="1" t="s">
        <v>30</v>
      </c>
      <c r="G255" s="1" t="s">
        <v>17</v>
      </c>
      <c r="H255" t="str">
        <f>IF(ISNA(_xlfn.XLOOKUP(B255, customer_master!$A$2:$A$1649, customer_master!$A$2:$A$1649)), "Orphan", "Valid")</f>
        <v>Valid</v>
      </c>
    </row>
    <row r="256" spans="1:8" x14ac:dyDescent="0.3">
      <c r="A256" s="1" t="s">
        <v>8228</v>
      </c>
      <c r="B256" s="1" t="s">
        <v>2075</v>
      </c>
      <c r="C256" s="41">
        <v>45707</v>
      </c>
      <c r="D256" s="1" t="s">
        <v>7906</v>
      </c>
      <c r="E256" s="1">
        <v>5</v>
      </c>
      <c r="F256" s="1" t="s">
        <v>30</v>
      </c>
      <c r="G256" s="1" t="s">
        <v>17</v>
      </c>
      <c r="H256" t="str">
        <f>IF(ISNA(_xlfn.XLOOKUP(B256, customer_master!$A$2:$A$1649, customer_master!$A$2:$A$1649)), "Orphan", "Valid")</f>
        <v>Valid</v>
      </c>
    </row>
    <row r="257" spans="1:8" x14ac:dyDescent="0.3">
      <c r="A257" s="1" t="s">
        <v>8229</v>
      </c>
      <c r="B257" s="1" t="s">
        <v>8230</v>
      </c>
      <c r="C257" s="41">
        <v>45522</v>
      </c>
      <c r="D257" s="1" t="s">
        <v>7906</v>
      </c>
      <c r="E257" s="1">
        <v>5</v>
      </c>
      <c r="F257" s="1" t="s">
        <v>30</v>
      </c>
      <c r="G257" s="1" t="s">
        <v>17</v>
      </c>
      <c r="H257" t="str">
        <f>IF(ISNA(_xlfn.XLOOKUP(B257, customer_master!$A$2:$A$1649, customer_master!$A$2:$A$1649)), "Orphan", "Valid")</f>
        <v>Orphan</v>
      </c>
    </row>
    <row r="258" spans="1:8" x14ac:dyDescent="0.3">
      <c r="A258" s="1" t="s">
        <v>8231</v>
      </c>
      <c r="B258" s="1" t="s">
        <v>1495</v>
      </c>
      <c r="C258" s="41">
        <v>46240</v>
      </c>
      <c r="D258" s="1" t="s">
        <v>7879</v>
      </c>
      <c r="E258" s="1">
        <v>2</v>
      </c>
      <c r="F258" s="1" t="s">
        <v>30</v>
      </c>
      <c r="G258" s="1" t="s">
        <v>17</v>
      </c>
      <c r="H258" t="str">
        <f>IF(ISNA(_xlfn.XLOOKUP(B258, customer_master!$A$2:$A$1649, customer_master!$A$2:$A$1649)), "Orphan", "Valid")</f>
        <v>Valid</v>
      </c>
    </row>
    <row r="259" spans="1:8" x14ac:dyDescent="0.3">
      <c r="A259" s="1" t="s">
        <v>8232</v>
      </c>
      <c r="B259" s="1" t="s">
        <v>3010</v>
      </c>
      <c r="C259" s="41">
        <v>45688</v>
      </c>
      <c r="D259" s="1" t="s">
        <v>7881</v>
      </c>
      <c r="E259" s="1">
        <v>4</v>
      </c>
      <c r="F259" s="1" t="s">
        <v>30</v>
      </c>
      <c r="G259" s="1" t="s">
        <v>17</v>
      </c>
      <c r="H259" t="str">
        <f>IF(ISNA(_xlfn.XLOOKUP(B259, customer_master!$A$2:$A$1649, customer_master!$A$2:$A$1649)), "Orphan", "Valid")</f>
        <v>Valid</v>
      </c>
    </row>
    <row r="260" spans="1:8" x14ac:dyDescent="0.3">
      <c r="A260" s="1" t="s">
        <v>8233</v>
      </c>
      <c r="B260" s="1" t="s">
        <v>8234</v>
      </c>
      <c r="C260" s="41">
        <v>45351</v>
      </c>
      <c r="D260" s="1" t="s">
        <v>7906</v>
      </c>
      <c r="E260" s="1">
        <v>5</v>
      </c>
      <c r="F260" s="1" t="s">
        <v>17</v>
      </c>
      <c r="G260" s="1" t="s">
        <v>17</v>
      </c>
      <c r="H260" t="str">
        <f>IF(ISNA(_xlfn.XLOOKUP(B260, customer_master!$A$2:$A$1649, customer_master!$A$2:$A$1649)), "Orphan", "Valid")</f>
        <v>Orphan</v>
      </c>
    </row>
    <row r="261" spans="1:8" x14ac:dyDescent="0.3">
      <c r="A261" s="1" t="s">
        <v>8235</v>
      </c>
      <c r="B261" s="1" t="s">
        <v>749</v>
      </c>
      <c r="C261" s="41">
        <v>45244</v>
      </c>
      <c r="D261" s="1" t="s">
        <v>7896</v>
      </c>
      <c r="E261" s="1">
        <v>4</v>
      </c>
      <c r="F261" s="1" t="s">
        <v>17</v>
      </c>
      <c r="G261" s="1" t="s">
        <v>17</v>
      </c>
      <c r="H261" t="str">
        <f>IF(ISNA(_xlfn.XLOOKUP(B261, customer_master!$A$2:$A$1649, customer_master!$A$2:$A$1649)), "Orphan", "Valid")</f>
        <v>Valid</v>
      </c>
    </row>
    <row r="262" spans="1:8" x14ac:dyDescent="0.3">
      <c r="A262" s="1" t="s">
        <v>8236</v>
      </c>
      <c r="B262" s="1" t="s">
        <v>2955</v>
      </c>
      <c r="C262" s="41">
        <v>45646</v>
      </c>
      <c r="D262" s="1" t="s">
        <v>7881</v>
      </c>
      <c r="E262" s="1">
        <v>4</v>
      </c>
      <c r="F262" s="1" t="s">
        <v>17</v>
      </c>
      <c r="G262" s="1" t="s">
        <v>17</v>
      </c>
      <c r="H262" t="str">
        <f>IF(ISNA(_xlfn.XLOOKUP(B262, customer_master!$A$2:$A$1649, customer_master!$A$2:$A$1649)), "Orphan", "Valid")</f>
        <v>Valid</v>
      </c>
    </row>
    <row r="263" spans="1:8" x14ac:dyDescent="0.3">
      <c r="A263" s="1" t="s">
        <v>8237</v>
      </c>
      <c r="B263" s="1" t="s">
        <v>2312</v>
      </c>
      <c r="C263" s="41">
        <v>45506</v>
      </c>
      <c r="D263" s="1" t="s">
        <v>7877</v>
      </c>
      <c r="E263" s="1">
        <v>1</v>
      </c>
      <c r="F263" s="1" t="s">
        <v>17</v>
      </c>
      <c r="G263" s="1" t="s">
        <v>17</v>
      </c>
      <c r="H263" t="str">
        <f>IF(ISNA(_xlfn.XLOOKUP(B263, customer_master!$A$2:$A$1649, customer_master!$A$2:$A$1649)), "Orphan", "Valid")</f>
        <v>Valid</v>
      </c>
    </row>
    <row r="264" spans="1:8" x14ac:dyDescent="0.3">
      <c r="A264" s="1" t="s">
        <v>8238</v>
      </c>
      <c r="B264" s="1" t="s">
        <v>8239</v>
      </c>
      <c r="C264" s="41">
        <v>46187</v>
      </c>
      <c r="D264" s="1" t="s">
        <v>7879</v>
      </c>
      <c r="E264" s="1">
        <v>2</v>
      </c>
      <c r="F264" s="1" t="s">
        <v>17</v>
      </c>
      <c r="G264" s="1" t="s">
        <v>17</v>
      </c>
      <c r="H264" t="str">
        <f>IF(ISNA(_xlfn.XLOOKUP(B264, customer_master!$A$2:$A$1649, customer_master!$A$2:$A$1649)), "Orphan", "Valid")</f>
        <v>Orphan</v>
      </c>
    </row>
    <row r="265" spans="1:8" x14ac:dyDescent="0.3">
      <c r="A265" s="1" t="s">
        <v>8240</v>
      </c>
      <c r="B265" s="1" t="s">
        <v>1805</v>
      </c>
      <c r="C265" s="41">
        <v>45658</v>
      </c>
      <c r="D265" s="1" t="s">
        <v>7887</v>
      </c>
      <c r="E265" s="1">
        <v>2</v>
      </c>
      <c r="F265" s="1" t="s">
        <v>30</v>
      </c>
      <c r="G265" s="1" t="s">
        <v>30</v>
      </c>
      <c r="H265" t="str">
        <f>IF(ISNA(_xlfn.XLOOKUP(B265, customer_master!$A$2:$A$1649, customer_master!$A$2:$A$1649)), "Orphan", "Valid")</f>
        <v>Valid</v>
      </c>
    </row>
    <row r="266" spans="1:8" x14ac:dyDescent="0.3">
      <c r="A266" s="1" t="s">
        <v>8241</v>
      </c>
      <c r="B266" s="1" t="s">
        <v>1666</v>
      </c>
      <c r="C266" s="41">
        <v>45872</v>
      </c>
      <c r="D266" s="1" t="s">
        <v>7879</v>
      </c>
      <c r="E266" s="1">
        <v>2</v>
      </c>
      <c r="F266" s="1" t="s">
        <v>17</v>
      </c>
      <c r="G266" s="1" t="s">
        <v>17</v>
      </c>
      <c r="H266" t="str">
        <f>IF(ISNA(_xlfn.XLOOKUP(B266, customer_master!$A$2:$A$1649, customer_master!$A$2:$A$1649)), "Orphan", "Valid")</f>
        <v>Valid</v>
      </c>
    </row>
    <row r="267" spans="1:8" x14ac:dyDescent="0.3">
      <c r="A267" s="1" t="s">
        <v>8242</v>
      </c>
      <c r="B267" s="1" t="s">
        <v>8243</v>
      </c>
      <c r="C267" s="41">
        <v>45763</v>
      </c>
      <c r="D267" s="1" t="s">
        <v>7912</v>
      </c>
      <c r="E267" s="1">
        <v>5</v>
      </c>
      <c r="F267" s="1" t="s">
        <v>30</v>
      </c>
      <c r="G267" s="1" t="s">
        <v>30</v>
      </c>
      <c r="H267" t="str">
        <f>IF(ISNA(_xlfn.XLOOKUP(B267, customer_master!$A$2:$A$1649, customer_master!$A$2:$A$1649)), "Orphan", "Valid")</f>
        <v>Orphan</v>
      </c>
    </row>
    <row r="268" spans="1:8" x14ac:dyDescent="0.3">
      <c r="A268" s="1" t="s">
        <v>8244</v>
      </c>
      <c r="B268" s="1" t="s">
        <v>1143</v>
      </c>
      <c r="C268" s="41">
        <v>45373</v>
      </c>
      <c r="D268" s="1" t="s">
        <v>7877</v>
      </c>
      <c r="E268" s="1">
        <v>1</v>
      </c>
      <c r="F268" s="1" t="s">
        <v>17</v>
      </c>
      <c r="G268" s="1" t="s">
        <v>17</v>
      </c>
      <c r="H268" t="str">
        <f>IF(ISNA(_xlfn.XLOOKUP(B268, customer_master!$A$2:$A$1649, customer_master!$A$2:$A$1649)), "Orphan", "Valid")</f>
        <v>Valid</v>
      </c>
    </row>
    <row r="269" spans="1:8" x14ac:dyDescent="0.3">
      <c r="A269" s="1" t="s">
        <v>8245</v>
      </c>
      <c r="B269" s="1" t="s">
        <v>2444</v>
      </c>
      <c r="C269" s="41">
        <v>46026</v>
      </c>
      <c r="D269" s="1" t="s">
        <v>7889</v>
      </c>
      <c r="E269" s="1">
        <v>4</v>
      </c>
      <c r="F269" s="1" t="s">
        <v>30</v>
      </c>
      <c r="G269" s="1" t="s">
        <v>17</v>
      </c>
      <c r="H269" t="str">
        <f>IF(ISNA(_xlfn.XLOOKUP(B269, customer_master!$A$2:$A$1649, customer_master!$A$2:$A$1649)), "Orphan", "Valid")</f>
        <v>Valid</v>
      </c>
    </row>
    <row r="270" spans="1:8" x14ac:dyDescent="0.3">
      <c r="A270" s="1" t="s">
        <v>8246</v>
      </c>
      <c r="B270" s="1" t="s">
        <v>8247</v>
      </c>
      <c r="C270" s="41">
        <v>46009</v>
      </c>
      <c r="D270" s="1" t="s">
        <v>7912</v>
      </c>
      <c r="E270" s="1">
        <v>4</v>
      </c>
      <c r="F270" s="1" t="s">
        <v>30</v>
      </c>
      <c r="G270" s="1" t="s">
        <v>30</v>
      </c>
      <c r="H270" t="str">
        <f>IF(ISNA(_xlfn.XLOOKUP(B270, customer_master!$A$2:$A$1649, customer_master!$A$2:$A$1649)), "Orphan", "Valid")</f>
        <v>Orphan</v>
      </c>
    </row>
    <row r="271" spans="1:8" x14ac:dyDescent="0.3">
      <c r="A271" s="1" t="s">
        <v>8248</v>
      </c>
      <c r="B271" s="1" t="s">
        <v>642</v>
      </c>
      <c r="C271" s="41">
        <v>45406</v>
      </c>
      <c r="D271" s="1" t="s">
        <v>7879</v>
      </c>
      <c r="E271" s="1">
        <v>2</v>
      </c>
      <c r="F271" s="1" t="s">
        <v>17</v>
      </c>
      <c r="G271" s="1" t="s">
        <v>17</v>
      </c>
      <c r="H271" t="str">
        <f>IF(ISNA(_xlfn.XLOOKUP(B271, customer_master!$A$2:$A$1649, customer_master!$A$2:$A$1649)), "Orphan", "Valid")</f>
        <v>Valid</v>
      </c>
    </row>
    <row r="272" spans="1:8" x14ac:dyDescent="0.3">
      <c r="A272" s="1" t="s">
        <v>8249</v>
      </c>
      <c r="B272" s="1" t="s">
        <v>2127</v>
      </c>
      <c r="C272" s="41">
        <v>45722</v>
      </c>
      <c r="D272" s="1" t="s">
        <v>7887</v>
      </c>
      <c r="E272" s="1">
        <v>2</v>
      </c>
      <c r="F272" s="1" t="s">
        <v>30</v>
      </c>
      <c r="G272" s="1" t="s">
        <v>30</v>
      </c>
      <c r="H272" t="str">
        <f>IF(ISNA(_xlfn.XLOOKUP(B272, customer_master!$A$2:$A$1649, customer_master!$A$2:$A$1649)), "Orphan", "Valid")</f>
        <v>Valid</v>
      </c>
    </row>
    <row r="273" spans="1:8" x14ac:dyDescent="0.3">
      <c r="A273" s="1" t="s">
        <v>8250</v>
      </c>
      <c r="B273" s="1" t="s">
        <v>841</v>
      </c>
      <c r="C273" s="41">
        <v>45523</v>
      </c>
      <c r="D273" s="1" t="s">
        <v>7884</v>
      </c>
      <c r="E273" s="1">
        <v>3</v>
      </c>
      <c r="F273" s="1" t="s">
        <v>30</v>
      </c>
      <c r="G273" s="1" t="s">
        <v>17</v>
      </c>
      <c r="H273" t="str">
        <f>IF(ISNA(_xlfn.XLOOKUP(B273, customer_master!$A$2:$A$1649, customer_master!$A$2:$A$1649)), "Orphan", "Valid")</f>
        <v>Valid</v>
      </c>
    </row>
    <row r="274" spans="1:8" x14ac:dyDescent="0.3">
      <c r="A274" s="1" t="s">
        <v>8251</v>
      </c>
      <c r="B274" s="1" t="s">
        <v>8252</v>
      </c>
      <c r="C274" s="41">
        <v>45754</v>
      </c>
      <c r="D274" s="1" t="s">
        <v>7879</v>
      </c>
      <c r="E274" s="1">
        <v>2</v>
      </c>
      <c r="F274" s="1" t="s">
        <v>30</v>
      </c>
      <c r="G274" s="1" t="s">
        <v>30</v>
      </c>
      <c r="H274" t="str">
        <f>IF(ISNA(_xlfn.XLOOKUP(B274, customer_master!$A$2:$A$1649, customer_master!$A$2:$A$1649)), "Orphan", "Valid")</f>
        <v>Orphan</v>
      </c>
    </row>
    <row r="275" spans="1:8" x14ac:dyDescent="0.3">
      <c r="A275" s="1" t="s">
        <v>8253</v>
      </c>
      <c r="B275" s="1" t="s">
        <v>1209</v>
      </c>
      <c r="C275" s="41">
        <v>45285</v>
      </c>
      <c r="D275" s="1" t="s">
        <v>7889</v>
      </c>
      <c r="E275" s="1">
        <v>5</v>
      </c>
      <c r="F275" s="1" t="s">
        <v>17</v>
      </c>
      <c r="G275" s="1" t="s">
        <v>17</v>
      </c>
      <c r="H275" t="str">
        <f>IF(ISNA(_xlfn.XLOOKUP(B275, customer_master!$A$2:$A$1649, customer_master!$A$2:$A$1649)), "Orphan", "Valid")</f>
        <v>Valid</v>
      </c>
    </row>
    <row r="276" spans="1:8" x14ac:dyDescent="0.3">
      <c r="A276" s="1" t="s">
        <v>8254</v>
      </c>
      <c r="B276" s="1" t="s">
        <v>3236</v>
      </c>
      <c r="C276" s="41">
        <v>45501</v>
      </c>
      <c r="D276" s="1" t="s">
        <v>7877</v>
      </c>
      <c r="E276" s="1">
        <v>1</v>
      </c>
      <c r="F276" s="1" t="s">
        <v>17</v>
      </c>
      <c r="G276" s="1" t="s">
        <v>17</v>
      </c>
      <c r="H276" t="str">
        <f>IF(ISNA(_xlfn.XLOOKUP(B276, customer_master!$A$2:$A$1649, customer_master!$A$2:$A$1649)), "Orphan", "Valid")</f>
        <v>Valid</v>
      </c>
    </row>
    <row r="277" spans="1:8" x14ac:dyDescent="0.3">
      <c r="A277" s="1" t="s">
        <v>8255</v>
      </c>
      <c r="B277" s="1" t="s">
        <v>3287</v>
      </c>
      <c r="C277" s="41">
        <v>45841</v>
      </c>
      <c r="D277" s="1" t="s">
        <v>7879</v>
      </c>
      <c r="E277" s="1">
        <v>2</v>
      </c>
      <c r="F277" s="1" t="s">
        <v>30</v>
      </c>
      <c r="G277" s="1" t="s">
        <v>30</v>
      </c>
      <c r="H277" t="str">
        <f>IF(ISNA(_xlfn.XLOOKUP(B277, customer_master!$A$2:$A$1649, customer_master!$A$2:$A$1649)), "Orphan", "Valid")</f>
        <v>Valid</v>
      </c>
    </row>
    <row r="278" spans="1:8" x14ac:dyDescent="0.3">
      <c r="A278" s="1" t="s">
        <v>8256</v>
      </c>
      <c r="B278" s="1" t="s">
        <v>8257</v>
      </c>
      <c r="C278" s="41">
        <v>45798</v>
      </c>
      <c r="D278" s="1" t="s">
        <v>7912</v>
      </c>
      <c r="E278" s="1">
        <v>4</v>
      </c>
      <c r="F278" s="1" t="s">
        <v>17</v>
      </c>
      <c r="G278" s="1" t="s">
        <v>30</v>
      </c>
      <c r="H278" t="str">
        <f>IF(ISNA(_xlfn.XLOOKUP(B278, customer_master!$A$2:$A$1649, customer_master!$A$2:$A$1649)), "Orphan", "Valid")</f>
        <v>Orphan</v>
      </c>
    </row>
    <row r="279" spans="1:8" x14ac:dyDescent="0.3">
      <c r="A279" s="1" t="s">
        <v>8258</v>
      </c>
      <c r="B279" s="1" t="s">
        <v>2400</v>
      </c>
      <c r="C279" s="41">
        <v>45342</v>
      </c>
      <c r="D279" s="1" t="s">
        <v>7912</v>
      </c>
      <c r="E279" s="1">
        <v>5</v>
      </c>
      <c r="F279" s="1" t="s">
        <v>17</v>
      </c>
      <c r="G279" s="1" t="s">
        <v>30</v>
      </c>
      <c r="H279" t="str">
        <f>IF(ISNA(_xlfn.XLOOKUP(B279, customer_master!$A$2:$A$1649, customer_master!$A$2:$A$1649)), "Orphan", "Valid")</f>
        <v>Valid</v>
      </c>
    </row>
    <row r="280" spans="1:8" x14ac:dyDescent="0.3">
      <c r="A280" s="1" t="s">
        <v>8259</v>
      </c>
      <c r="B280" s="1" t="s">
        <v>891</v>
      </c>
      <c r="C280" s="41">
        <v>45344</v>
      </c>
      <c r="D280" s="1" t="s">
        <v>7879</v>
      </c>
      <c r="E280" s="1">
        <v>2</v>
      </c>
      <c r="F280" s="1" t="s">
        <v>17</v>
      </c>
      <c r="G280" s="1" t="s">
        <v>17</v>
      </c>
      <c r="H280" t="str">
        <f>IF(ISNA(_xlfn.XLOOKUP(B280, customer_master!$A$2:$A$1649, customer_master!$A$2:$A$1649)), "Orphan", "Valid")</f>
        <v>Valid</v>
      </c>
    </row>
    <row r="281" spans="1:8" x14ac:dyDescent="0.3">
      <c r="A281" s="1" t="s">
        <v>8260</v>
      </c>
      <c r="B281" s="1" t="s">
        <v>1392</v>
      </c>
      <c r="C281" s="41">
        <v>46012</v>
      </c>
      <c r="D281" s="1" t="s">
        <v>7879</v>
      </c>
      <c r="E281" s="1">
        <v>2</v>
      </c>
      <c r="F281" s="1" t="s">
        <v>17</v>
      </c>
      <c r="G281" s="1" t="s">
        <v>17</v>
      </c>
      <c r="H281" t="str">
        <f>IF(ISNA(_xlfn.XLOOKUP(B281, customer_master!$A$2:$A$1649, customer_master!$A$2:$A$1649)), "Orphan", "Valid")</f>
        <v>Valid</v>
      </c>
    </row>
    <row r="282" spans="1:8" x14ac:dyDescent="0.3">
      <c r="A282" s="1" t="s">
        <v>8261</v>
      </c>
      <c r="B282" s="1" t="s">
        <v>1936</v>
      </c>
      <c r="C282" s="41">
        <v>46034</v>
      </c>
      <c r="D282" s="1" t="s">
        <v>7912</v>
      </c>
      <c r="E282" s="1">
        <v>5</v>
      </c>
      <c r="F282" s="1" t="s">
        <v>17</v>
      </c>
      <c r="G282" s="1" t="s">
        <v>17</v>
      </c>
      <c r="H282" t="str">
        <f>IF(ISNA(_xlfn.XLOOKUP(B282, customer_master!$A$2:$A$1649, customer_master!$A$2:$A$1649)), "Orphan", "Valid")</f>
        <v>Valid</v>
      </c>
    </row>
    <row r="283" spans="1:8" x14ac:dyDescent="0.3">
      <c r="A283" s="1" t="s">
        <v>8262</v>
      </c>
      <c r="B283" s="1" t="s">
        <v>1109</v>
      </c>
      <c r="C283" s="41">
        <v>46107</v>
      </c>
      <c r="D283" s="1" t="s">
        <v>7899</v>
      </c>
      <c r="E283" s="1">
        <v>2</v>
      </c>
      <c r="F283" s="1" t="s">
        <v>30</v>
      </c>
      <c r="G283" s="1" t="s">
        <v>30</v>
      </c>
      <c r="H283" t="str">
        <f>IF(ISNA(_xlfn.XLOOKUP(B283, customer_master!$A$2:$A$1649, customer_master!$A$2:$A$1649)), "Orphan", "Valid")</f>
        <v>Valid</v>
      </c>
    </row>
    <row r="284" spans="1:8" x14ac:dyDescent="0.3">
      <c r="A284" s="1" t="s">
        <v>8263</v>
      </c>
      <c r="B284" s="1" t="s">
        <v>8264</v>
      </c>
      <c r="C284" s="41">
        <v>45841</v>
      </c>
      <c r="D284" s="1" t="s">
        <v>7879</v>
      </c>
      <c r="E284" s="1">
        <v>2</v>
      </c>
      <c r="F284" s="1" t="s">
        <v>30</v>
      </c>
      <c r="G284" s="1" t="s">
        <v>30</v>
      </c>
      <c r="H284" t="str">
        <f>IF(ISNA(_xlfn.XLOOKUP(B284, customer_master!$A$2:$A$1649, customer_master!$A$2:$A$1649)), "Orphan", "Valid")</f>
        <v>Orphan</v>
      </c>
    </row>
    <row r="285" spans="1:8" x14ac:dyDescent="0.3">
      <c r="A285" s="1" t="s">
        <v>8265</v>
      </c>
      <c r="B285" s="1" t="s">
        <v>3090</v>
      </c>
      <c r="C285" s="41">
        <v>45345</v>
      </c>
      <c r="D285" s="1" t="s">
        <v>7912</v>
      </c>
      <c r="E285" s="1">
        <v>4</v>
      </c>
      <c r="F285" s="1" t="s">
        <v>17</v>
      </c>
      <c r="G285" s="1" t="s">
        <v>17</v>
      </c>
      <c r="H285" t="str">
        <f>IF(ISNA(_xlfn.XLOOKUP(B285, customer_master!$A$2:$A$1649, customer_master!$A$2:$A$1649)), "Orphan", "Valid")</f>
        <v>Valid</v>
      </c>
    </row>
    <row r="286" spans="1:8" x14ac:dyDescent="0.3">
      <c r="A286" s="1" t="s">
        <v>8266</v>
      </c>
      <c r="B286" s="1" t="s">
        <v>2865</v>
      </c>
      <c r="C286" s="41">
        <v>46221</v>
      </c>
      <c r="D286" s="1" t="s">
        <v>7881</v>
      </c>
      <c r="E286" s="1">
        <v>4</v>
      </c>
      <c r="F286" s="1" t="s">
        <v>30</v>
      </c>
      <c r="G286" s="1" t="s">
        <v>17</v>
      </c>
      <c r="H286" t="str">
        <f>IF(ISNA(_xlfn.XLOOKUP(B286, customer_master!$A$2:$A$1649, customer_master!$A$2:$A$1649)), "Orphan", "Valid")</f>
        <v>Valid</v>
      </c>
    </row>
    <row r="287" spans="1:8" x14ac:dyDescent="0.3">
      <c r="A287" s="1" t="s">
        <v>8267</v>
      </c>
      <c r="B287" s="1" t="s">
        <v>1069</v>
      </c>
      <c r="C287" s="41">
        <v>46248</v>
      </c>
      <c r="D287" s="1" t="s">
        <v>7881</v>
      </c>
      <c r="E287" s="1">
        <v>4</v>
      </c>
      <c r="F287" s="1" t="s">
        <v>17</v>
      </c>
      <c r="G287" s="1" t="s">
        <v>30</v>
      </c>
      <c r="H287" t="str">
        <f>IF(ISNA(_xlfn.XLOOKUP(B287, customer_master!$A$2:$A$1649, customer_master!$A$2:$A$1649)), "Orphan", "Valid")</f>
        <v>Valid</v>
      </c>
    </row>
    <row r="288" spans="1:8" x14ac:dyDescent="0.3">
      <c r="A288" s="1" t="s">
        <v>8268</v>
      </c>
      <c r="B288" s="1" t="s">
        <v>8269</v>
      </c>
      <c r="C288" s="41">
        <v>45889</v>
      </c>
      <c r="D288" s="1" t="s">
        <v>7881</v>
      </c>
      <c r="E288" s="1">
        <v>4</v>
      </c>
      <c r="F288" s="1" t="s">
        <v>30</v>
      </c>
      <c r="G288" s="1" t="s">
        <v>17</v>
      </c>
      <c r="H288" t="str">
        <f>IF(ISNA(_xlfn.XLOOKUP(B288, customer_master!$A$2:$A$1649, customer_master!$A$2:$A$1649)), "Orphan", "Valid")</f>
        <v>Orphan</v>
      </c>
    </row>
    <row r="289" spans="1:8" x14ac:dyDescent="0.3">
      <c r="A289" s="1" t="s">
        <v>8270</v>
      </c>
      <c r="B289" s="1" t="s">
        <v>268</v>
      </c>
      <c r="C289" s="41">
        <v>46037</v>
      </c>
      <c r="D289" s="1" t="s">
        <v>7906</v>
      </c>
      <c r="E289" s="1">
        <v>4</v>
      </c>
      <c r="F289" s="1" t="s">
        <v>30</v>
      </c>
      <c r="G289" s="1" t="s">
        <v>30</v>
      </c>
      <c r="H289" t="str">
        <f>IF(ISNA(_xlfn.XLOOKUP(B289, customer_master!$A$2:$A$1649, customer_master!$A$2:$A$1649)), "Orphan", "Valid")</f>
        <v>Valid</v>
      </c>
    </row>
    <row r="290" spans="1:8" x14ac:dyDescent="0.3">
      <c r="A290" s="1" t="s">
        <v>8271</v>
      </c>
      <c r="B290" s="1" t="s">
        <v>2999</v>
      </c>
      <c r="C290" s="41">
        <v>46027</v>
      </c>
      <c r="D290" s="1" t="s">
        <v>7906</v>
      </c>
      <c r="E290" s="1">
        <v>5</v>
      </c>
      <c r="F290" s="1" t="s">
        <v>30</v>
      </c>
      <c r="G290" s="1" t="s">
        <v>17</v>
      </c>
      <c r="H290" t="str">
        <f>IF(ISNA(_xlfn.XLOOKUP(B290, customer_master!$A$2:$A$1649, customer_master!$A$2:$A$1649)), "Orphan", "Valid")</f>
        <v>Valid</v>
      </c>
    </row>
    <row r="291" spans="1:8" x14ac:dyDescent="0.3">
      <c r="A291" s="1" t="s">
        <v>8272</v>
      </c>
      <c r="B291" s="1" t="s">
        <v>8273</v>
      </c>
      <c r="C291" s="41">
        <v>45468</v>
      </c>
      <c r="D291" s="1" t="s">
        <v>7912</v>
      </c>
      <c r="E291" s="1">
        <v>4</v>
      </c>
      <c r="F291" s="1" t="s">
        <v>30</v>
      </c>
      <c r="G291" s="1" t="s">
        <v>17</v>
      </c>
      <c r="H291" t="str">
        <f>IF(ISNA(_xlfn.XLOOKUP(B291, customer_master!$A$2:$A$1649, customer_master!$A$2:$A$1649)), "Orphan", "Valid")</f>
        <v>Orphan</v>
      </c>
    </row>
    <row r="292" spans="1:8" x14ac:dyDescent="0.3">
      <c r="A292" s="1" t="s">
        <v>8274</v>
      </c>
      <c r="B292" s="1" t="s">
        <v>831</v>
      </c>
      <c r="C292" s="41">
        <v>46195</v>
      </c>
      <c r="D292" s="1" t="s">
        <v>7887</v>
      </c>
      <c r="E292" s="1">
        <v>2</v>
      </c>
      <c r="F292" s="1" t="s">
        <v>30</v>
      </c>
      <c r="G292" s="1" t="s">
        <v>17</v>
      </c>
      <c r="H292" t="str">
        <f>IF(ISNA(_xlfn.XLOOKUP(B292, customer_master!$A$2:$A$1649, customer_master!$A$2:$A$1649)), "Orphan", "Valid")</f>
        <v>Valid</v>
      </c>
    </row>
    <row r="293" spans="1:8" x14ac:dyDescent="0.3">
      <c r="A293" s="1" t="s">
        <v>8275</v>
      </c>
      <c r="B293" s="1" t="s">
        <v>2378</v>
      </c>
      <c r="C293" s="41">
        <v>45690</v>
      </c>
      <c r="D293" s="1" t="s">
        <v>7899</v>
      </c>
      <c r="E293" s="1">
        <v>2</v>
      </c>
      <c r="F293" s="1" t="s">
        <v>30</v>
      </c>
      <c r="G293" s="1" t="s">
        <v>30</v>
      </c>
      <c r="H293" t="str">
        <f>IF(ISNA(_xlfn.XLOOKUP(B293, customer_master!$A$2:$A$1649, customer_master!$A$2:$A$1649)), "Orphan", "Valid")</f>
        <v>Valid</v>
      </c>
    </row>
    <row r="294" spans="1:8" x14ac:dyDescent="0.3">
      <c r="A294" s="1" t="s">
        <v>8276</v>
      </c>
      <c r="B294" s="1" t="s">
        <v>328</v>
      </c>
      <c r="C294" s="41">
        <v>46111</v>
      </c>
      <c r="D294" s="1" t="s">
        <v>7877</v>
      </c>
      <c r="E294" s="1">
        <v>2</v>
      </c>
      <c r="F294" s="1" t="s">
        <v>17</v>
      </c>
      <c r="G294" s="1" t="s">
        <v>17</v>
      </c>
      <c r="H294" t="str">
        <f>IF(ISNA(_xlfn.XLOOKUP(B294, customer_master!$A$2:$A$1649, customer_master!$A$2:$A$1649)), "Orphan", "Valid")</f>
        <v>Valid</v>
      </c>
    </row>
    <row r="295" spans="1:8" x14ac:dyDescent="0.3">
      <c r="A295" s="1" t="s">
        <v>8277</v>
      </c>
      <c r="B295" s="1" t="s">
        <v>8278</v>
      </c>
      <c r="C295" s="41">
        <v>45505</v>
      </c>
      <c r="D295" s="1" t="s">
        <v>7896</v>
      </c>
      <c r="E295" s="1">
        <v>4</v>
      </c>
      <c r="F295" s="1" t="s">
        <v>17</v>
      </c>
      <c r="G295" s="1" t="s">
        <v>17</v>
      </c>
      <c r="H295" t="str">
        <f>IF(ISNA(_xlfn.XLOOKUP(B295, customer_master!$A$2:$A$1649, customer_master!$A$2:$A$1649)), "Orphan", "Valid")</f>
        <v>Orphan</v>
      </c>
    </row>
    <row r="296" spans="1:8" x14ac:dyDescent="0.3">
      <c r="A296" s="1" t="s">
        <v>8279</v>
      </c>
      <c r="B296" s="1" t="s">
        <v>350</v>
      </c>
      <c r="C296" s="41">
        <v>45331</v>
      </c>
      <c r="D296" s="1" t="s">
        <v>7884</v>
      </c>
      <c r="E296" s="1">
        <v>2</v>
      </c>
      <c r="F296" s="1" t="s">
        <v>17</v>
      </c>
      <c r="G296" s="1" t="s">
        <v>30</v>
      </c>
      <c r="H296" t="str">
        <f>IF(ISNA(_xlfn.XLOOKUP(B296, customer_master!$A$2:$A$1649, customer_master!$A$2:$A$1649)), "Orphan", "Valid")</f>
        <v>Valid</v>
      </c>
    </row>
    <row r="297" spans="1:8" x14ac:dyDescent="0.3">
      <c r="A297" s="1" t="s">
        <v>8280</v>
      </c>
      <c r="B297" s="1" t="s">
        <v>897</v>
      </c>
      <c r="C297" s="41">
        <v>45538</v>
      </c>
      <c r="D297" s="1" t="s">
        <v>7879</v>
      </c>
      <c r="E297" s="1">
        <v>2</v>
      </c>
      <c r="F297" s="1" t="s">
        <v>30</v>
      </c>
      <c r="G297" s="1" t="s">
        <v>30</v>
      </c>
      <c r="H297" t="str">
        <f>IF(ISNA(_xlfn.XLOOKUP(B297, customer_master!$A$2:$A$1649, customer_master!$A$2:$A$1649)), "Orphan", "Valid")</f>
        <v>Valid</v>
      </c>
    </row>
    <row r="298" spans="1:8" x14ac:dyDescent="0.3">
      <c r="A298" s="1" t="s">
        <v>8281</v>
      </c>
      <c r="B298" s="1" t="s">
        <v>8282</v>
      </c>
      <c r="C298" s="41">
        <v>45560</v>
      </c>
      <c r="D298" s="1" t="s">
        <v>7879</v>
      </c>
      <c r="E298" s="1">
        <v>2</v>
      </c>
      <c r="F298" s="1" t="s">
        <v>30</v>
      </c>
      <c r="G298" s="1" t="s">
        <v>17</v>
      </c>
      <c r="H298" t="str">
        <f>IF(ISNA(_xlfn.XLOOKUP(B298, customer_master!$A$2:$A$1649, customer_master!$A$2:$A$1649)), "Orphan", "Valid")</f>
        <v>Orphan</v>
      </c>
    </row>
    <row r="299" spans="1:8" x14ac:dyDescent="0.3">
      <c r="A299" s="1" t="s">
        <v>8283</v>
      </c>
      <c r="B299" s="1" t="s">
        <v>1775</v>
      </c>
      <c r="C299" s="41">
        <v>45989</v>
      </c>
      <c r="D299" s="1" t="s">
        <v>7887</v>
      </c>
      <c r="E299" s="1">
        <v>2</v>
      </c>
      <c r="F299" s="1" t="s">
        <v>17</v>
      </c>
      <c r="G299" s="1" t="s">
        <v>30</v>
      </c>
      <c r="H299" t="str">
        <f>IF(ISNA(_xlfn.XLOOKUP(B299, customer_master!$A$2:$A$1649, customer_master!$A$2:$A$1649)), "Orphan", "Valid")</f>
        <v>Valid</v>
      </c>
    </row>
    <row r="300" spans="1:8" x14ac:dyDescent="0.3">
      <c r="A300" s="1" t="s">
        <v>8284</v>
      </c>
      <c r="B300" s="1" t="s">
        <v>1014</v>
      </c>
      <c r="C300" s="41">
        <v>45665</v>
      </c>
      <c r="D300" s="1" t="s">
        <v>7887</v>
      </c>
      <c r="E300" s="1">
        <v>2</v>
      </c>
      <c r="F300" s="1" t="s">
        <v>17</v>
      </c>
      <c r="G300" s="1" t="s">
        <v>17</v>
      </c>
      <c r="H300" t="str">
        <f>IF(ISNA(_xlfn.XLOOKUP(B300, customer_master!$A$2:$A$1649, customer_master!$A$2:$A$1649)), "Orphan", "Valid")</f>
        <v>Valid</v>
      </c>
    </row>
    <row r="301" spans="1:8" x14ac:dyDescent="0.3">
      <c r="A301" s="1" t="s">
        <v>8285</v>
      </c>
      <c r="B301" s="1" t="s">
        <v>1333</v>
      </c>
      <c r="C301" s="41">
        <v>45639</v>
      </c>
      <c r="D301" s="1" t="s">
        <v>7889</v>
      </c>
      <c r="E301" s="1">
        <v>4</v>
      </c>
      <c r="F301" s="1" t="s">
        <v>17</v>
      </c>
      <c r="G301" s="1" t="s">
        <v>30</v>
      </c>
      <c r="H301" t="str">
        <f>IF(ISNA(_xlfn.XLOOKUP(B301, customer_master!$A$2:$A$1649, customer_master!$A$2:$A$1649)), "Orphan", "Valid")</f>
        <v>Valid</v>
      </c>
    </row>
    <row r="302" spans="1:8" x14ac:dyDescent="0.3">
      <c r="A302" s="1" t="s">
        <v>8286</v>
      </c>
      <c r="B302" s="1" t="s">
        <v>1477</v>
      </c>
      <c r="C302" s="41">
        <v>45604</v>
      </c>
      <c r="D302" s="1" t="s">
        <v>7889</v>
      </c>
      <c r="E302" s="1">
        <v>5</v>
      </c>
      <c r="F302" s="1" t="s">
        <v>30</v>
      </c>
      <c r="G302" s="1" t="s">
        <v>17</v>
      </c>
      <c r="H302" t="str">
        <f>IF(ISNA(_xlfn.XLOOKUP(B302, customer_master!$A$2:$A$1649, customer_master!$A$2:$A$1649)), "Orphan", "Valid")</f>
        <v>Valid</v>
      </c>
    </row>
    <row r="303" spans="1:8" x14ac:dyDescent="0.3">
      <c r="A303" s="1" t="s">
        <v>8287</v>
      </c>
      <c r="B303" s="1" t="s">
        <v>8288</v>
      </c>
      <c r="C303" s="41">
        <v>45630</v>
      </c>
      <c r="D303" s="1" t="s">
        <v>7881</v>
      </c>
      <c r="E303" s="1">
        <v>4</v>
      </c>
      <c r="F303" s="1" t="s">
        <v>17</v>
      </c>
      <c r="G303" s="1" t="s">
        <v>17</v>
      </c>
      <c r="H303" t="str">
        <f>IF(ISNA(_xlfn.XLOOKUP(B303, customer_master!$A$2:$A$1649, customer_master!$A$2:$A$1649)), "Orphan", "Valid")</f>
        <v>Orphan</v>
      </c>
    </row>
    <row r="304" spans="1:8" x14ac:dyDescent="0.3">
      <c r="A304" s="1" t="s">
        <v>8289</v>
      </c>
      <c r="B304" s="1" t="s">
        <v>144</v>
      </c>
      <c r="C304" s="41">
        <v>46008</v>
      </c>
      <c r="D304" s="1" t="s">
        <v>7887</v>
      </c>
      <c r="E304" s="1">
        <v>2</v>
      </c>
      <c r="F304" s="1" t="s">
        <v>30</v>
      </c>
      <c r="G304" s="1" t="s">
        <v>17</v>
      </c>
      <c r="H304" t="str">
        <f>IF(ISNA(_xlfn.XLOOKUP(B304, customer_master!$A$2:$A$1649, customer_master!$A$2:$A$1649)), "Orphan", "Valid")</f>
        <v>Valid</v>
      </c>
    </row>
    <row r="305" spans="1:8" x14ac:dyDescent="0.3">
      <c r="A305" s="1" t="s">
        <v>8290</v>
      </c>
      <c r="B305" s="1" t="s">
        <v>1382</v>
      </c>
      <c r="C305" s="41">
        <v>45615</v>
      </c>
      <c r="D305" s="1" t="s">
        <v>7879</v>
      </c>
      <c r="E305" s="1">
        <v>2</v>
      </c>
      <c r="F305" s="1" t="s">
        <v>17</v>
      </c>
      <c r="G305" s="1" t="s">
        <v>17</v>
      </c>
      <c r="H305" t="str">
        <f>IF(ISNA(_xlfn.XLOOKUP(B305, customer_master!$A$2:$A$1649, customer_master!$A$2:$A$1649)), "Orphan", "Valid")</f>
        <v>Valid</v>
      </c>
    </row>
    <row r="306" spans="1:8" x14ac:dyDescent="0.3">
      <c r="A306" s="1" t="s">
        <v>8291</v>
      </c>
      <c r="B306" s="1" t="s">
        <v>3249</v>
      </c>
      <c r="C306" s="41">
        <v>46234</v>
      </c>
      <c r="D306" s="1" t="s">
        <v>7884</v>
      </c>
      <c r="E306" s="1">
        <v>2</v>
      </c>
      <c r="F306" s="1" t="s">
        <v>30</v>
      </c>
      <c r="G306" s="1" t="s">
        <v>17</v>
      </c>
      <c r="H306" t="str">
        <f>IF(ISNA(_xlfn.XLOOKUP(B306, customer_master!$A$2:$A$1649, customer_master!$A$2:$A$1649)), "Orphan", "Valid")</f>
        <v>Valid</v>
      </c>
    </row>
    <row r="307" spans="1:8" x14ac:dyDescent="0.3">
      <c r="A307" s="1" t="s">
        <v>8292</v>
      </c>
      <c r="B307" s="1" t="s">
        <v>8293</v>
      </c>
      <c r="C307" s="41">
        <v>45560</v>
      </c>
      <c r="D307" s="1" t="s">
        <v>7906</v>
      </c>
      <c r="E307" s="1">
        <v>5</v>
      </c>
      <c r="F307" s="1" t="s">
        <v>17</v>
      </c>
      <c r="G307" s="1" t="s">
        <v>30</v>
      </c>
      <c r="H307" t="str">
        <f>IF(ISNA(_xlfn.XLOOKUP(B307, customer_master!$A$2:$A$1649, customer_master!$A$2:$A$1649)), "Orphan", "Valid")</f>
        <v>Orphan</v>
      </c>
    </row>
    <row r="308" spans="1:8" x14ac:dyDescent="0.3">
      <c r="A308" s="1" t="s">
        <v>8294</v>
      </c>
      <c r="B308" s="1" t="s">
        <v>648</v>
      </c>
      <c r="C308" s="41">
        <v>46055</v>
      </c>
      <c r="D308" s="1" t="s">
        <v>7877</v>
      </c>
      <c r="E308" s="1">
        <v>1</v>
      </c>
      <c r="F308" s="1" t="s">
        <v>30</v>
      </c>
      <c r="G308" s="1" t="s">
        <v>17</v>
      </c>
      <c r="H308" t="str">
        <f>IF(ISNA(_xlfn.XLOOKUP(B308, customer_master!$A$2:$A$1649, customer_master!$A$2:$A$1649)), "Orphan", "Valid")</f>
        <v>Valid</v>
      </c>
    </row>
    <row r="309" spans="1:8" x14ac:dyDescent="0.3">
      <c r="A309" s="1" t="s">
        <v>8295</v>
      </c>
      <c r="B309" s="1" t="s">
        <v>2200</v>
      </c>
      <c r="C309" s="41">
        <v>46241</v>
      </c>
      <c r="D309" s="1" t="s">
        <v>7879</v>
      </c>
      <c r="E309" s="1">
        <v>2</v>
      </c>
      <c r="F309" s="1" t="s">
        <v>17</v>
      </c>
      <c r="G309" s="1" t="s">
        <v>17</v>
      </c>
      <c r="H309" t="str">
        <f>IF(ISNA(_xlfn.XLOOKUP(B309, customer_master!$A$2:$A$1649, customer_master!$A$2:$A$1649)), "Orphan", "Valid")</f>
        <v>Valid</v>
      </c>
    </row>
    <row r="310" spans="1:8" x14ac:dyDescent="0.3">
      <c r="A310" s="1" t="s">
        <v>8296</v>
      </c>
      <c r="B310" s="1" t="s">
        <v>943</v>
      </c>
      <c r="C310" s="41">
        <v>46013</v>
      </c>
      <c r="D310" s="1" t="s">
        <v>7899</v>
      </c>
      <c r="E310" s="1">
        <v>2</v>
      </c>
      <c r="F310" s="1" t="s">
        <v>30</v>
      </c>
      <c r="G310" s="1" t="s">
        <v>17</v>
      </c>
      <c r="H310" t="str">
        <f>IF(ISNA(_xlfn.XLOOKUP(B310, customer_master!$A$2:$A$1649, customer_master!$A$2:$A$1649)), "Orphan", "Valid")</f>
        <v>Valid</v>
      </c>
    </row>
    <row r="311" spans="1:8" x14ac:dyDescent="0.3">
      <c r="A311" s="1" t="s">
        <v>8297</v>
      </c>
      <c r="B311" s="1" t="s">
        <v>612</v>
      </c>
      <c r="C311" s="41">
        <v>45194</v>
      </c>
      <c r="D311" s="1" t="s">
        <v>7884</v>
      </c>
      <c r="E311" s="1">
        <v>2</v>
      </c>
      <c r="F311" s="1" t="s">
        <v>30</v>
      </c>
      <c r="G311" s="1" t="s">
        <v>17</v>
      </c>
      <c r="H311" t="str">
        <f>IF(ISNA(_xlfn.XLOOKUP(B311, customer_master!$A$2:$A$1649, customer_master!$A$2:$A$1649)), "Orphan", "Valid")</f>
        <v>Valid</v>
      </c>
    </row>
    <row r="312" spans="1:8" x14ac:dyDescent="0.3">
      <c r="A312" s="1" t="s">
        <v>8298</v>
      </c>
      <c r="B312" s="1" t="s">
        <v>678</v>
      </c>
      <c r="C312" s="41">
        <v>45944</v>
      </c>
      <c r="D312" s="1" t="s">
        <v>7896</v>
      </c>
      <c r="E312" s="1">
        <v>5</v>
      </c>
      <c r="F312" s="1" t="s">
        <v>17</v>
      </c>
      <c r="G312" s="1" t="s">
        <v>17</v>
      </c>
      <c r="H312" t="str">
        <f>IF(ISNA(_xlfn.XLOOKUP(B312, customer_master!$A$2:$A$1649, customer_master!$A$2:$A$1649)), "Orphan", "Valid")</f>
        <v>Valid</v>
      </c>
    </row>
    <row r="313" spans="1:8" x14ac:dyDescent="0.3">
      <c r="A313" s="1" t="s">
        <v>8299</v>
      </c>
      <c r="B313" s="1" t="s">
        <v>8300</v>
      </c>
      <c r="C313" s="41">
        <v>45401</v>
      </c>
      <c r="D313" s="1" t="s">
        <v>7899</v>
      </c>
      <c r="E313" s="1">
        <v>2</v>
      </c>
      <c r="F313" s="1" t="s">
        <v>30</v>
      </c>
      <c r="G313" s="1" t="s">
        <v>30</v>
      </c>
      <c r="H313" t="str">
        <f>IF(ISNA(_xlfn.XLOOKUP(B313, customer_master!$A$2:$A$1649, customer_master!$A$2:$A$1649)), "Orphan", "Valid")</f>
        <v>Orphan</v>
      </c>
    </row>
    <row r="314" spans="1:8" x14ac:dyDescent="0.3">
      <c r="A314" s="1" t="s">
        <v>8301</v>
      </c>
      <c r="B314" s="1" t="s">
        <v>8302</v>
      </c>
      <c r="C314" s="41">
        <v>45958</v>
      </c>
      <c r="D314" s="1" t="s">
        <v>7889</v>
      </c>
      <c r="E314" s="1">
        <v>4</v>
      </c>
      <c r="F314" s="1" t="s">
        <v>30</v>
      </c>
      <c r="G314" s="1" t="s">
        <v>17</v>
      </c>
      <c r="H314" t="str">
        <f>IF(ISNA(_xlfn.XLOOKUP(B314, customer_master!$A$2:$A$1649, customer_master!$A$2:$A$1649)), "Orphan", "Valid")</f>
        <v>Orphan</v>
      </c>
    </row>
    <row r="315" spans="1:8" x14ac:dyDescent="0.3">
      <c r="A315" s="1" t="s">
        <v>8303</v>
      </c>
      <c r="B315" s="1" t="s">
        <v>2577</v>
      </c>
      <c r="C315" s="41">
        <v>45496</v>
      </c>
      <c r="D315" s="1" t="s">
        <v>7896</v>
      </c>
      <c r="E315" s="1">
        <v>5</v>
      </c>
      <c r="F315" s="1" t="s">
        <v>30</v>
      </c>
      <c r="G315" s="1" t="s">
        <v>17</v>
      </c>
      <c r="H315" t="str">
        <f>IF(ISNA(_xlfn.XLOOKUP(B315, customer_master!$A$2:$A$1649, customer_master!$A$2:$A$1649)), "Orphan", "Valid")</f>
        <v>Valid</v>
      </c>
    </row>
    <row r="316" spans="1:8" x14ac:dyDescent="0.3">
      <c r="A316" s="1" t="s">
        <v>8304</v>
      </c>
      <c r="B316" s="1" t="s">
        <v>1676</v>
      </c>
      <c r="C316" s="41">
        <v>45582</v>
      </c>
      <c r="D316" s="1" t="s">
        <v>7889</v>
      </c>
      <c r="E316" s="1">
        <v>5</v>
      </c>
      <c r="F316" s="1" t="s">
        <v>17</v>
      </c>
      <c r="G316" s="1" t="s">
        <v>17</v>
      </c>
      <c r="H316" t="str">
        <f>IF(ISNA(_xlfn.XLOOKUP(B316, customer_master!$A$2:$A$1649, customer_master!$A$2:$A$1649)), "Orphan", "Valid")</f>
        <v>Valid</v>
      </c>
    </row>
    <row r="317" spans="1:8" x14ac:dyDescent="0.3">
      <c r="A317" s="1" t="s">
        <v>8305</v>
      </c>
      <c r="B317" s="1" t="s">
        <v>8306</v>
      </c>
      <c r="C317" s="41">
        <v>45525</v>
      </c>
      <c r="D317" s="1" t="s">
        <v>7881</v>
      </c>
      <c r="E317" s="1">
        <v>4</v>
      </c>
      <c r="F317" s="1" t="s">
        <v>30</v>
      </c>
      <c r="G317" s="1" t="s">
        <v>17</v>
      </c>
      <c r="H317" t="str">
        <f>IF(ISNA(_xlfn.XLOOKUP(B317, customer_master!$A$2:$A$1649, customer_master!$A$2:$A$1649)), "Orphan", "Valid")</f>
        <v>Orphan</v>
      </c>
    </row>
    <row r="318" spans="1:8" x14ac:dyDescent="0.3">
      <c r="A318" s="1" t="s">
        <v>8307</v>
      </c>
      <c r="B318" s="1" t="s">
        <v>841</v>
      </c>
      <c r="C318" s="41">
        <v>46039</v>
      </c>
      <c r="D318" s="1" t="s">
        <v>7877</v>
      </c>
      <c r="E318" s="1">
        <v>1</v>
      </c>
      <c r="F318" s="1" t="s">
        <v>30</v>
      </c>
      <c r="G318" s="1" t="s">
        <v>17</v>
      </c>
      <c r="H318" t="str">
        <f>IF(ISNA(_xlfn.XLOOKUP(B318, customer_master!$A$2:$A$1649, customer_master!$A$2:$A$1649)), "Orphan", "Valid")</f>
        <v>Valid</v>
      </c>
    </row>
    <row r="319" spans="1:8" x14ac:dyDescent="0.3">
      <c r="A319" s="1" t="s">
        <v>8308</v>
      </c>
      <c r="B319" s="1" t="s">
        <v>3092</v>
      </c>
      <c r="C319" s="41">
        <v>45529</v>
      </c>
      <c r="D319" s="1" t="s">
        <v>7877</v>
      </c>
      <c r="E319" s="1">
        <v>1</v>
      </c>
      <c r="F319" s="1" t="s">
        <v>17</v>
      </c>
      <c r="G319" s="1" t="s">
        <v>30</v>
      </c>
      <c r="H319" t="str">
        <f>IF(ISNA(_xlfn.XLOOKUP(B319, customer_master!$A$2:$A$1649, customer_master!$A$2:$A$1649)), "Orphan", "Valid")</f>
        <v>Valid</v>
      </c>
    </row>
    <row r="320" spans="1:8" x14ac:dyDescent="0.3">
      <c r="A320" s="1" t="s">
        <v>8309</v>
      </c>
      <c r="B320" s="1" t="s">
        <v>8310</v>
      </c>
      <c r="C320" s="41">
        <v>45786</v>
      </c>
      <c r="D320" s="1" t="s">
        <v>7877</v>
      </c>
      <c r="E320" s="1">
        <v>1</v>
      </c>
      <c r="F320" s="1" t="s">
        <v>30</v>
      </c>
      <c r="G320" s="1" t="s">
        <v>17</v>
      </c>
      <c r="H320" t="str">
        <f>IF(ISNA(_xlfn.XLOOKUP(B320, customer_master!$A$2:$A$1649, customer_master!$A$2:$A$1649)), "Orphan", "Valid")</f>
        <v>Orphan</v>
      </c>
    </row>
    <row r="321" spans="1:8" x14ac:dyDescent="0.3">
      <c r="A321" s="1" t="s">
        <v>8311</v>
      </c>
      <c r="B321" s="1" t="s">
        <v>1781</v>
      </c>
      <c r="C321" s="41">
        <v>45391</v>
      </c>
      <c r="D321" s="1" t="s">
        <v>7884</v>
      </c>
      <c r="E321" s="1">
        <v>3</v>
      </c>
      <c r="F321" s="1" t="s">
        <v>30</v>
      </c>
      <c r="G321" s="1" t="s">
        <v>30</v>
      </c>
      <c r="H321" t="str">
        <f>IF(ISNA(_xlfn.XLOOKUP(B321, customer_master!$A$2:$A$1649, customer_master!$A$2:$A$1649)), "Orphan", "Valid")</f>
        <v>Valid</v>
      </c>
    </row>
    <row r="322" spans="1:8" x14ac:dyDescent="0.3">
      <c r="A322" s="1" t="s">
        <v>8312</v>
      </c>
      <c r="B322" s="1" t="s">
        <v>2603</v>
      </c>
      <c r="C322" s="41">
        <v>45408</v>
      </c>
      <c r="D322" s="1" t="s">
        <v>7912</v>
      </c>
      <c r="E322" s="1">
        <v>5</v>
      </c>
      <c r="F322" s="1" t="s">
        <v>30</v>
      </c>
      <c r="G322" s="1" t="s">
        <v>17</v>
      </c>
      <c r="H322" t="str">
        <f>IF(ISNA(_xlfn.XLOOKUP(B322, customer_master!$A$2:$A$1649, customer_master!$A$2:$A$1649)), "Orphan", "Valid")</f>
        <v>Valid</v>
      </c>
    </row>
    <row r="323" spans="1:8" x14ac:dyDescent="0.3">
      <c r="A323" s="1" t="s">
        <v>8313</v>
      </c>
      <c r="B323" s="1" t="s">
        <v>1103</v>
      </c>
      <c r="C323" s="41">
        <v>45724</v>
      </c>
      <c r="D323" s="1" t="s">
        <v>7887</v>
      </c>
      <c r="E323" s="1">
        <v>2</v>
      </c>
      <c r="F323" s="1" t="s">
        <v>30</v>
      </c>
      <c r="G323" s="1" t="s">
        <v>17</v>
      </c>
      <c r="H323" t="str">
        <f>IF(ISNA(_xlfn.XLOOKUP(B323, customer_master!$A$2:$A$1649, customer_master!$A$2:$A$1649)), "Orphan", "Valid")</f>
        <v>Valid</v>
      </c>
    </row>
    <row r="324" spans="1:8" x14ac:dyDescent="0.3">
      <c r="A324" s="1" t="s">
        <v>8314</v>
      </c>
      <c r="B324" s="1" t="s">
        <v>982</v>
      </c>
      <c r="C324" s="41">
        <v>46111</v>
      </c>
      <c r="D324" s="1" t="s">
        <v>7887</v>
      </c>
      <c r="E324" s="1">
        <v>2</v>
      </c>
      <c r="F324" s="1" t="s">
        <v>30</v>
      </c>
      <c r="G324" s="1" t="s">
        <v>17</v>
      </c>
      <c r="H324" t="str">
        <f>IF(ISNA(_xlfn.XLOOKUP(B324, customer_master!$A$2:$A$1649, customer_master!$A$2:$A$1649)), "Orphan", "Valid")</f>
        <v>Valid</v>
      </c>
    </row>
    <row r="325" spans="1:8" x14ac:dyDescent="0.3">
      <c r="A325" s="1" t="s">
        <v>8315</v>
      </c>
      <c r="B325" s="1" t="s">
        <v>1701</v>
      </c>
      <c r="C325" s="41">
        <v>45290</v>
      </c>
      <c r="D325" s="1" t="s">
        <v>7877</v>
      </c>
      <c r="E325" s="1">
        <v>2</v>
      </c>
      <c r="F325" s="1" t="s">
        <v>30</v>
      </c>
      <c r="G325" s="1" t="s">
        <v>17</v>
      </c>
      <c r="H325" t="str">
        <f>IF(ISNA(_xlfn.XLOOKUP(B325, customer_master!$A$2:$A$1649, customer_master!$A$2:$A$1649)), "Orphan", "Valid")</f>
        <v>Valid</v>
      </c>
    </row>
    <row r="326" spans="1:8" x14ac:dyDescent="0.3">
      <c r="A326" s="1" t="s">
        <v>8316</v>
      </c>
      <c r="B326" s="1" t="s">
        <v>2869</v>
      </c>
      <c r="C326" s="41">
        <v>45439</v>
      </c>
      <c r="D326" s="1" t="s">
        <v>7887</v>
      </c>
      <c r="E326" s="1">
        <v>2</v>
      </c>
      <c r="F326" s="1" t="s">
        <v>30</v>
      </c>
      <c r="G326" s="1" t="s">
        <v>17</v>
      </c>
      <c r="H326" t="str">
        <f>IF(ISNA(_xlfn.XLOOKUP(B326, customer_master!$A$2:$A$1649, customer_master!$A$2:$A$1649)), "Orphan", "Valid")</f>
        <v>Valid</v>
      </c>
    </row>
    <row r="327" spans="1:8" x14ac:dyDescent="0.3">
      <c r="A327" s="1" t="s">
        <v>8317</v>
      </c>
      <c r="B327" s="1" t="s">
        <v>8318</v>
      </c>
      <c r="C327" s="41">
        <v>45529</v>
      </c>
      <c r="D327" s="1" t="s">
        <v>7896</v>
      </c>
      <c r="E327" s="1">
        <v>4</v>
      </c>
      <c r="F327" s="1" t="s">
        <v>30</v>
      </c>
      <c r="G327" s="1" t="s">
        <v>30</v>
      </c>
      <c r="H327" t="str">
        <f>IF(ISNA(_xlfn.XLOOKUP(B327, customer_master!$A$2:$A$1649, customer_master!$A$2:$A$1649)), "Orphan", "Valid")</f>
        <v>Orphan</v>
      </c>
    </row>
    <row r="328" spans="1:8" x14ac:dyDescent="0.3">
      <c r="A328" s="1" t="s">
        <v>8319</v>
      </c>
      <c r="B328" s="1" t="s">
        <v>8320</v>
      </c>
      <c r="C328" s="41">
        <v>45698</v>
      </c>
      <c r="D328" s="1" t="s">
        <v>7884</v>
      </c>
      <c r="E328" s="1">
        <v>3</v>
      </c>
      <c r="F328" s="1" t="s">
        <v>17</v>
      </c>
      <c r="G328" s="1" t="s">
        <v>30</v>
      </c>
      <c r="H328" t="str">
        <f>IF(ISNA(_xlfn.XLOOKUP(B328, customer_master!$A$2:$A$1649, customer_master!$A$2:$A$1649)), "Orphan", "Valid")</f>
        <v>Orphan</v>
      </c>
    </row>
    <row r="329" spans="1:8" x14ac:dyDescent="0.3">
      <c r="A329" s="1" t="s">
        <v>8321</v>
      </c>
      <c r="B329" s="1" t="s">
        <v>2324</v>
      </c>
      <c r="C329" s="41">
        <v>45963</v>
      </c>
      <c r="D329" s="1" t="s">
        <v>7881</v>
      </c>
      <c r="E329" s="1">
        <v>4</v>
      </c>
      <c r="F329" s="1" t="s">
        <v>30</v>
      </c>
      <c r="G329" s="1" t="s">
        <v>17</v>
      </c>
      <c r="H329" t="str">
        <f>IF(ISNA(_xlfn.XLOOKUP(B329, customer_master!$A$2:$A$1649, customer_master!$A$2:$A$1649)), "Orphan", "Valid")</f>
        <v>Valid</v>
      </c>
    </row>
    <row r="330" spans="1:8" x14ac:dyDescent="0.3">
      <c r="A330" s="1" t="s">
        <v>8322</v>
      </c>
      <c r="B330" s="1" t="s">
        <v>2064</v>
      </c>
      <c r="C330" s="41">
        <v>45687</v>
      </c>
      <c r="D330" s="1" t="s">
        <v>7887</v>
      </c>
      <c r="E330" s="1">
        <v>2</v>
      </c>
      <c r="F330" s="1" t="s">
        <v>17</v>
      </c>
      <c r="G330" s="1" t="s">
        <v>17</v>
      </c>
      <c r="H330" t="str">
        <f>IF(ISNA(_xlfn.XLOOKUP(B330, customer_master!$A$2:$A$1649, customer_master!$A$2:$A$1649)), "Orphan", "Valid")</f>
        <v>Valid</v>
      </c>
    </row>
    <row r="331" spans="1:8" x14ac:dyDescent="0.3">
      <c r="A331" s="1" t="s">
        <v>8323</v>
      </c>
      <c r="B331" s="1" t="s">
        <v>361</v>
      </c>
      <c r="C331" s="41">
        <v>46237</v>
      </c>
      <c r="D331" s="1" t="s">
        <v>7881</v>
      </c>
      <c r="E331" s="1">
        <v>4</v>
      </c>
      <c r="F331" s="1" t="s">
        <v>30</v>
      </c>
      <c r="G331" s="1" t="s">
        <v>17</v>
      </c>
      <c r="H331" t="str">
        <f>IF(ISNA(_xlfn.XLOOKUP(B331, customer_master!$A$2:$A$1649, customer_master!$A$2:$A$1649)), "Orphan", "Valid")</f>
        <v>Valid</v>
      </c>
    </row>
    <row r="332" spans="1:8" x14ac:dyDescent="0.3">
      <c r="A332" s="1" t="s">
        <v>8324</v>
      </c>
      <c r="B332" s="1" t="s">
        <v>2676</v>
      </c>
      <c r="C332" s="41">
        <v>45223</v>
      </c>
      <c r="D332" s="1" t="s">
        <v>7889</v>
      </c>
      <c r="E332" s="1">
        <v>5</v>
      </c>
      <c r="F332" s="1" t="s">
        <v>17</v>
      </c>
      <c r="G332" s="1" t="s">
        <v>17</v>
      </c>
      <c r="H332" t="str">
        <f>IF(ISNA(_xlfn.XLOOKUP(B332, customer_master!$A$2:$A$1649, customer_master!$A$2:$A$1649)), "Orphan", "Valid")</f>
        <v>Valid</v>
      </c>
    </row>
    <row r="333" spans="1:8" x14ac:dyDescent="0.3">
      <c r="A333" s="1" t="s">
        <v>8325</v>
      </c>
      <c r="B333" s="1" t="s">
        <v>1855</v>
      </c>
      <c r="C333" s="41">
        <v>45895</v>
      </c>
      <c r="D333" s="1" t="s">
        <v>7877</v>
      </c>
      <c r="E333" s="1">
        <v>2</v>
      </c>
      <c r="F333" s="1" t="s">
        <v>30</v>
      </c>
      <c r="G333" s="1" t="s">
        <v>30</v>
      </c>
      <c r="H333" t="str">
        <f>IF(ISNA(_xlfn.XLOOKUP(B333, customer_master!$A$2:$A$1649, customer_master!$A$2:$A$1649)), "Orphan", "Valid")</f>
        <v>Valid</v>
      </c>
    </row>
    <row r="334" spans="1:8" x14ac:dyDescent="0.3">
      <c r="A334" s="1" t="s">
        <v>8326</v>
      </c>
      <c r="B334" s="1" t="s">
        <v>8327</v>
      </c>
      <c r="C334" s="41">
        <v>45926</v>
      </c>
      <c r="D334" s="1" t="s">
        <v>7912</v>
      </c>
      <c r="E334" s="1">
        <v>5</v>
      </c>
      <c r="F334" s="1" t="s">
        <v>30</v>
      </c>
      <c r="G334" s="1" t="s">
        <v>17</v>
      </c>
      <c r="H334" t="str">
        <f>IF(ISNA(_xlfn.XLOOKUP(B334, customer_master!$A$2:$A$1649, customer_master!$A$2:$A$1649)), "Orphan", "Valid")</f>
        <v>Orphan</v>
      </c>
    </row>
    <row r="335" spans="1:8" x14ac:dyDescent="0.3">
      <c r="A335" s="1" t="s">
        <v>8328</v>
      </c>
      <c r="B335" s="1" t="s">
        <v>668</v>
      </c>
      <c r="C335" s="41">
        <v>46169</v>
      </c>
      <c r="D335" s="1" t="s">
        <v>7896</v>
      </c>
      <c r="E335" s="1">
        <v>5</v>
      </c>
      <c r="F335" s="1" t="s">
        <v>30</v>
      </c>
      <c r="G335" s="1" t="s">
        <v>17</v>
      </c>
      <c r="H335" t="str">
        <f>IF(ISNA(_xlfn.XLOOKUP(B335, customer_master!$A$2:$A$1649, customer_master!$A$2:$A$1649)), "Orphan", "Valid")</f>
        <v>Valid</v>
      </c>
    </row>
    <row r="336" spans="1:8" x14ac:dyDescent="0.3">
      <c r="A336" s="1" t="s">
        <v>8329</v>
      </c>
      <c r="B336" s="1" t="s">
        <v>2525</v>
      </c>
      <c r="C336" s="41">
        <v>45706</v>
      </c>
      <c r="D336" s="1" t="s">
        <v>7889</v>
      </c>
      <c r="E336" s="1">
        <v>4</v>
      </c>
      <c r="F336" s="1" t="s">
        <v>17</v>
      </c>
      <c r="G336" s="1" t="s">
        <v>17</v>
      </c>
      <c r="H336" t="str">
        <f>IF(ISNA(_xlfn.XLOOKUP(B336, customer_master!$A$2:$A$1649, customer_master!$A$2:$A$1649)), "Orphan", "Valid")</f>
        <v>Valid</v>
      </c>
    </row>
    <row r="337" spans="1:8" x14ac:dyDescent="0.3">
      <c r="A337" s="1" t="s">
        <v>8330</v>
      </c>
      <c r="B337" s="1" t="s">
        <v>2756</v>
      </c>
      <c r="C337" s="41">
        <v>45480</v>
      </c>
      <c r="D337" s="1" t="s">
        <v>7877</v>
      </c>
      <c r="E337" s="1">
        <v>2</v>
      </c>
      <c r="F337" s="1" t="s">
        <v>30</v>
      </c>
      <c r="G337" s="1" t="s">
        <v>17</v>
      </c>
      <c r="H337" t="str">
        <f>IF(ISNA(_xlfn.XLOOKUP(B337, customer_master!$A$2:$A$1649, customer_master!$A$2:$A$1649)), "Orphan", "Valid")</f>
        <v>Valid</v>
      </c>
    </row>
    <row r="338" spans="1:8" x14ac:dyDescent="0.3">
      <c r="A338" s="1" t="s">
        <v>8331</v>
      </c>
      <c r="B338" s="1" t="s">
        <v>2196</v>
      </c>
      <c r="C338" s="41">
        <v>45837</v>
      </c>
      <c r="D338" s="1" t="s">
        <v>7877</v>
      </c>
      <c r="E338" s="1">
        <v>1</v>
      </c>
      <c r="F338" s="1" t="s">
        <v>17</v>
      </c>
      <c r="G338" s="1" t="s">
        <v>30</v>
      </c>
      <c r="H338" t="str">
        <f>IF(ISNA(_xlfn.XLOOKUP(B338, customer_master!$A$2:$A$1649, customer_master!$A$2:$A$1649)), "Orphan", "Valid")</f>
        <v>Valid</v>
      </c>
    </row>
    <row r="339" spans="1:8" x14ac:dyDescent="0.3">
      <c r="A339" s="1" t="s">
        <v>8332</v>
      </c>
      <c r="B339" s="1" t="s">
        <v>8333</v>
      </c>
      <c r="C339" s="41">
        <v>45584</v>
      </c>
      <c r="D339" s="1" t="s">
        <v>7879</v>
      </c>
      <c r="E339" s="1">
        <v>2</v>
      </c>
      <c r="F339" s="1" t="s">
        <v>30</v>
      </c>
      <c r="G339" s="1" t="s">
        <v>30</v>
      </c>
      <c r="H339" t="str">
        <f>IF(ISNA(_xlfn.XLOOKUP(B339, customer_master!$A$2:$A$1649, customer_master!$A$2:$A$1649)), "Orphan", "Valid")</f>
        <v>Orphan</v>
      </c>
    </row>
    <row r="340" spans="1:8" x14ac:dyDescent="0.3">
      <c r="A340" s="1" t="s">
        <v>8334</v>
      </c>
      <c r="B340" s="1" t="s">
        <v>8335</v>
      </c>
      <c r="C340" s="41">
        <v>45284</v>
      </c>
      <c r="D340" s="1" t="s">
        <v>7881</v>
      </c>
      <c r="E340" s="1">
        <v>4</v>
      </c>
      <c r="F340" s="1" t="s">
        <v>30</v>
      </c>
      <c r="G340" s="1" t="s">
        <v>17</v>
      </c>
      <c r="H340" t="str">
        <f>IF(ISNA(_xlfn.XLOOKUP(B340, customer_master!$A$2:$A$1649, customer_master!$A$2:$A$1649)), "Orphan", "Valid")</f>
        <v>Orphan</v>
      </c>
    </row>
    <row r="341" spans="1:8" x14ac:dyDescent="0.3">
      <c r="A341" s="1" t="s">
        <v>8336</v>
      </c>
      <c r="B341" s="1" t="s">
        <v>2577</v>
      </c>
      <c r="C341" s="41">
        <v>45874</v>
      </c>
      <c r="D341" s="1" t="s">
        <v>7889</v>
      </c>
      <c r="E341" s="1">
        <v>5</v>
      </c>
      <c r="F341" s="1" t="s">
        <v>30</v>
      </c>
      <c r="G341" s="1" t="s">
        <v>17</v>
      </c>
      <c r="H341" t="str">
        <f>IF(ISNA(_xlfn.XLOOKUP(B341, customer_master!$A$2:$A$1649, customer_master!$A$2:$A$1649)), "Orphan", "Valid")</f>
        <v>Valid</v>
      </c>
    </row>
    <row r="342" spans="1:8" x14ac:dyDescent="0.3">
      <c r="A342" s="1" t="s">
        <v>8337</v>
      </c>
      <c r="B342" s="1" t="s">
        <v>8338</v>
      </c>
      <c r="C342" s="41">
        <v>45475</v>
      </c>
      <c r="D342" s="1" t="s">
        <v>7912</v>
      </c>
      <c r="E342" s="1">
        <v>4</v>
      </c>
      <c r="F342" s="1" t="s">
        <v>30</v>
      </c>
      <c r="G342" s="1" t="s">
        <v>30</v>
      </c>
      <c r="H342" t="str">
        <f>IF(ISNA(_xlfn.XLOOKUP(B342, customer_master!$A$2:$A$1649, customer_master!$A$2:$A$1649)), "Orphan", "Valid")</f>
        <v>Orphan</v>
      </c>
    </row>
    <row r="343" spans="1:8" x14ac:dyDescent="0.3">
      <c r="A343" s="1" t="s">
        <v>8339</v>
      </c>
      <c r="B343" s="1" t="s">
        <v>8340</v>
      </c>
      <c r="C343" s="41">
        <v>45577</v>
      </c>
      <c r="D343" s="1" t="s">
        <v>7877</v>
      </c>
      <c r="E343" s="1">
        <v>1</v>
      </c>
      <c r="F343" s="1" t="s">
        <v>17</v>
      </c>
      <c r="G343" s="1" t="s">
        <v>30</v>
      </c>
      <c r="H343" t="str">
        <f>IF(ISNA(_xlfn.XLOOKUP(B343, customer_master!$A$2:$A$1649, customer_master!$A$2:$A$1649)), "Orphan", "Valid")</f>
        <v>Orphan</v>
      </c>
    </row>
    <row r="344" spans="1:8" x14ac:dyDescent="0.3">
      <c r="A344" s="1" t="s">
        <v>8341</v>
      </c>
      <c r="B344" s="1" t="s">
        <v>459</v>
      </c>
      <c r="C344" s="41">
        <v>46185</v>
      </c>
      <c r="D344" s="1" t="s">
        <v>7881</v>
      </c>
      <c r="E344" s="1">
        <v>4</v>
      </c>
      <c r="F344" s="1" t="s">
        <v>30</v>
      </c>
      <c r="G344" s="1" t="s">
        <v>17</v>
      </c>
      <c r="H344" t="str">
        <f>IF(ISNA(_xlfn.XLOOKUP(B344, customer_master!$A$2:$A$1649, customer_master!$A$2:$A$1649)), "Orphan", "Valid")</f>
        <v>Valid</v>
      </c>
    </row>
    <row r="345" spans="1:8" x14ac:dyDescent="0.3">
      <c r="A345" s="1" t="s">
        <v>8342</v>
      </c>
      <c r="B345" s="1" t="s">
        <v>8343</v>
      </c>
      <c r="C345" s="41">
        <v>45294</v>
      </c>
      <c r="D345" s="1" t="s">
        <v>7889</v>
      </c>
      <c r="E345" s="1">
        <v>5</v>
      </c>
      <c r="F345" s="1" t="s">
        <v>17</v>
      </c>
      <c r="G345" s="1" t="s">
        <v>30</v>
      </c>
      <c r="H345" t="str">
        <f>IF(ISNA(_xlfn.XLOOKUP(B345, customer_master!$A$2:$A$1649, customer_master!$A$2:$A$1649)), "Orphan", "Valid")</f>
        <v>Orphan</v>
      </c>
    </row>
    <row r="346" spans="1:8" x14ac:dyDescent="0.3">
      <c r="A346" s="1" t="s">
        <v>8344</v>
      </c>
      <c r="B346" s="1" t="s">
        <v>1091</v>
      </c>
      <c r="C346" s="41">
        <v>45320</v>
      </c>
      <c r="D346" s="1" t="s">
        <v>7884</v>
      </c>
      <c r="E346" s="1">
        <v>3</v>
      </c>
      <c r="F346" s="1" t="s">
        <v>30</v>
      </c>
      <c r="G346" s="1" t="s">
        <v>17</v>
      </c>
      <c r="H346" t="str">
        <f>IF(ISNA(_xlfn.XLOOKUP(B346, customer_master!$A$2:$A$1649, customer_master!$A$2:$A$1649)), "Orphan", "Valid")</f>
        <v>Valid</v>
      </c>
    </row>
    <row r="347" spans="1:8" x14ac:dyDescent="0.3">
      <c r="A347" s="1" t="s">
        <v>8345</v>
      </c>
      <c r="B347" s="1" t="s">
        <v>8346</v>
      </c>
      <c r="C347" s="41">
        <v>45994</v>
      </c>
      <c r="D347" s="1" t="s">
        <v>7887</v>
      </c>
      <c r="E347" s="1">
        <v>2</v>
      </c>
      <c r="F347" s="1" t="s">
        <v>17</v>
      </c>
      <c r="G347" s="1" t="s">
        <v>17</v>
      </c>
      <c r="H347" t="str">
        <f>IF(ISNA(_xlfn.XLOOKUP(B347, customer_master!$A$2:$A$1649, customer_master!$A$2:$A$1649)), "Orphan", "Valid")</f>
        <v>Orphan</v>
      </c>
    </row>
    <row r="348" spans="1:8" x14ac:dyDescent="0.3">
      <c r="A348" s="1" t="s">
        <v>8347</v>
      </c>
      <c r="B348" s="1" t="s">
        <v>582</v>
      </c>
      <c r="C348" s="41">
        <v>45528</v>
      </c>
      <c r="D348" s="1" t="s">
        <v>7877</v>
      </c>
      <c r="E348" s="1">
        <v>1</v>
      </c>
      <c r="F348" s="1" t="s">
        <v>30</v>
      </c>
      <c r="G348" s="1" t="s">
        <v>17</v>
      </c>
      <c r="H348" t="str">
        <f>IF(ISNA(_xlfn.XLOOKUP(B348, customer_master!$A$2:$A$1649, customer_master!$A$2:$A$1649)), "Orphan", "Valid")</f>
        <v>Valid</v>
      </c>
    </row>
    <row r="349" spans="1:8" x14ac:dyDescent="0.3">
      <c r="A349" s="1" t="s">
        <v>8348</v>
      </c>
      <c r="B349" s="1" t="s">
        <v>2478</v>
      </c>
      <c r="C349" s="41">
        <v>46022</v>
      </c>
      <c r="D349" s="1" t="s">
        <v>7884</v>
      </c>
      <c r="E349" s="1">
        <v>2</v>
      </c>
      <c r="F349" s="1" t="s">
        <v>17</v>
      </c>
      <c r="G349" s="1" t="s">
        <v>17</v>
      </c>
      <c r="H349" t="str">
        <f>IF(ISNA(_xlfn.XLOOKUP(B349, customer_master!$A$2:$A$1649, customer_master!$A$2:$A$1649)), "Orphan", "Valid")</f>
        <v>Valid</v>
      </c>
    </row>
    <row r="350" spans="1:8" x14ac:dyDescent="0.3">
      <c r="A350" s="1" t="s">
        <v>8349</v>
      </c>
      <c r="B350" s="1" t="s">
        <v>2372</v>
      </c>
      <c r="C350" s="41">
        <v>45626</v>
      </c>
      <c r="D350" s="1" t="s">
        <v>7896</v>
      </c>
      <c r="E350" s="1">
        <v>4</v>
      </c>
      <c r="F350" s="1" t="s">
        <v>30</v>
      </c>
      <c r="G350" s="1" t="s">
        <v>30</v>
      </c>
      <c r="H350" t="str">
        <f>IF(ISNA(_xlfn.XLOOKUP(B350, customer_master!$A$2:$A$1649, customer_master!$A$2:$A$1649)), "Orphan", "Valid")</f>
        <v>Valid</v>
      </c>
    </row>
    <row r="351" spans="1:8" x14ac:dyDescent="0.3">
      <c r="A351" s="1" t="s">
        <v>8350</v>
      </c>
      <c r="B351" s="1" t="s">
        <v>705</v>
      </c>
      <c r="C351" s="41">
        <v>45339</v>
      </c>
      <c r="D351" s="1" t="s">
        <v>7887</v>
      </c>
      <c r="E351" s="1">
        <v>2</v>
      </c>
      <c r="F351" s="1" t="s">
        <v>17</v>
      </c>
      <c r="G351" s="1" t="s">
        <v>17</v>
      </c>
      <c r="H351" t="str">
        <f>IF(ISNA(_xlfn.XLOOKUP(B351, customer_master!$A$2:$A$1649, customer_master!$A$2:$A$1649)), "Orphan", "Valid")</f>
        <v>Valid</v>
      </c>
    </row>
    <row r="352" spans="1:8" x14ac:dyDescent="0.3">
      <c r="A352" s="1" t="s">
        <v>8351</v>
      </c>
      <c r="B352" s="1" t="s">
        <v>1035</v>
      </c>
      <c r="C352" s="41">
        <v>45337</v>
      </c>
      <c r="D352" s="1" t="s">
        <v>7906</v>
      </c>
      <c r="E352" s="1">
        <v>5</v>
      </c>
      <c r="F352" s="1" t="s">
        <v>30</v>
      </c>
      <c r="G352" s="1" t="s">
        <v>17</v>
      </c>
      <c r="H352" t="str">
        <f>IF(ISNA(_xlfn.XLOOKUP(B352, customer_master!$A$2:$A$1649, customer_master!$A$2:$A$1649)), "Orphan", "Valid")</f>
        <v>Valid</v>
      </c>
    </row>
    <row r="353" spans="1:8" x14ac:dyDescent="0.3">
      <c r="A353" s="1" t="s">
        <v>8352</v>
      </c>
      <c r="B353" s="1" t="s">
        <v>2535</v>
      </c>
      <c r="C353" s="41">
        <v>45500</v>
      </c>
      <c r="D353" s="1" t="s">
        <v>7906</v>
      </c>
      <c r="E353" s="1">
        <v>5</v>
      </c>
      <c r="F353" s="1" t="s">
        <v>17</v>
      </c>
      <c r="G353" s="1" t="s">
        <v>30</v>
      </c>
      <c r="H353" t="str">
        <f>IF(ISNA(_xlfn.XLOOKUP(B353, customer_master!$A$2:$A$1649, customer_master!$A$2:$A$1649)), "Orphan", "Valid")</f>
        <v>Valid</v>
      </c>
    </row>
    <row r="354" spans="1:8" x14ac:dyDescent="0.3">
      <c r="A354" s="1" t="s">
        <v>8353</v>
      </c>
      <c r="B354" s="1" t="s">
        <v>1887</v>
      </c>
      <c r="C354" s="41">
        <v>45392</v>
      </c>
      <c r="D354" s="1" t="s">
        <v>7889</v>
      </c>
      <c r="E354" s="1">
        <v>4</v>
      </c>
      <c r="F354" s="1" t="s">
        <v>17</v>
      </c>
      <c r="G354" s="1" t="s">
        <v>30</v>
      </c>
      <c r="H354" t="str">
        <f>IF(ISNA(_xlfn.XLOOKUP(B354, customer_master!$A$2:$A$1649, customer_master!$A$2:$A$1649)), "Orphan", "Valid")</f>
        <v>Valid</v>
      </c>
    </row>
    <row r="355" spans="1:8" x14ac:dyDescent="0.3">
      <c r="A355" s="1" t="s">
        <v>8354</v>
      </c>
      <c r="B355" s="1" t="s">
        <v>60</v>
      </c>
      <c r="C355" s="41">
        <v>45269</v>
      </c>
      <c r="D355" s="1" t="s">
        <v>7887</v>
      </c>
      <c r="E355" s="1">
        <v>2</v>
      </c>
      <c r="F355" s="1" t="s">
        <v>17</v>
      </c>
      <c r="G355" s="1" t="s">
        <v>17</v>
      </c>
      <c r="H355" t="str">
        <f>IF(ISNA(_xlfn.XLOOKUP(B355, customer_master!$A$2:$A$1649, customer_master!$A$2:$A$1649)), "Orphan", "Valid")</f>
        <v>Valid</v>
      </c>
    </row>
    <row r="356" spans="1:8" x14ac:dyDescent="0.3">
      <c r="A356" s="1" t="s">
        <v>8355</v>
      </c>
      <c r="B356" s="1" t="s">
        <v>2914</v>
      </c>
      <c r="C356" s="41">
        <v>45441</v>
      </c>
      <c r="D356" s="1" t="s">
        <v>7889</v>
      </c>
      <c r="E356" s="1">
        <v>5</v>
      </c>
      <c r="F356" s="1" t="s">
        <v>30</v>
      </c>
      <c r="G356" s="1" t="s">
        <v>17</v>
      </c>
      <c r="H356" t="str">
        <f>IF(ISNA(_xlfn.XLOOKUP(B356, customer_master!$A$2:$A$1649, customer_master!$A$2:$A$1649)), "Orphan", "Valid")</f>
        <v>Valid</v>
      </c>
    </row>
    <row r="357" spans="1:8" x14ac:dyDescent="0.3">
      <c r="A357" s="1" t="s">
        <v>8356</v>
      </c>
      <c r="B357" s="1" t="s">
        <v>1992</v>
      </c>
      <c r="C357" s="41">
        <v>45800</v>
      </c>
      <c r="D357" s="1" t="s">
        <v>7877</v>
      </c>
      <c r="E357" s="1">
        <v>2</v>
      </c>
      <c r="F357" s="1" t="s">
        <v>30</v>
      </c>
      <c r="G357" s="1" t="s">
        <v>17</v>
      </c>
      <c r="H357" t="str">
        <f>IF(ISNA(_xlfn.XLOOKUP(B357, customer_master!$A$2:$A$1649, customer_master!$A$2:$A$1649)), "Orphan", "Valid")</f>
        <v>Valid</v>
      </c>
    </row>
    <row r="358" spans="1:8" x14ac:dyDescent="0.3">
      <c r="A358" s="1" t="s">
        <v>8357</v>
      </c>
      <c r="B358" s="1" t="s">
        <v>3065</v>
      </c>
      <c r="C358" s="41">
        <v>46009</v>
      </c>
      <c r="D358" s="1" t="s">
        <v>7881</v>
      </c>
      <c r="E358" s="1">
        <v>4</v>
      </c>
      <c r="F358" s="1" t="s">
        <v>30</v>
      </c>
      <c r="G358" s="1" t="s">
        <v>17</v>
      </c>
      <c r="H358" t="str">
        <f>IF(ISNA(_xlfn.XLOOKUP(B358, customer_master!$A$2:$A$1649, customer_master!$A$2:$A$1649)), "Orphan", "Valid")</f>
        <v>Valid</v>
      </c>
    </row>
    <row r="359" spans="1:8" x14ac:dyDescent="0.3">
      <c r="A359" s="1" t="s">
        <v>8358</v>
      </c>
      <c r="B359" s="1" t="s">
        <v>1825</v>
      </c>
      <c r="C359" s="41">
        <v>45458</v>
      </c>
      <c r="D359" s="1" t="s">
        <v>7899</v>
      </c>
      <c r="E359" s="1">
        <v>2</v>
      </c>
      <c r="F359" s="1" t="s">
        <v>30</v>
      </c>
      <c r="G359" s="1" t="s">
        <v>30</v>
      </c>
      <c r="H359" t="str">
        <f>IF(ISNA(_xlfn.XLOOKUP(B359, customer_master!$A$2:$A$1649, customer_master!$A$2:$A$1649)), "Orphan", "Valid")</f>
        <v>Valid</v>
      </c>
    </row>
    <row r="360" spans="1:8" x14ac:dyDescent="0.3">
      <c r="A360" s="1" t="s">
        <v>8359</v>
      </c>
      <c r="B360" s="1" t="s">
        <v>2133</v>
      </c>
      <c r="C360" s="41">
        <v>45755</v>
      </c>
      <c r="D360" s="1" t="s">
        <v>7879</v>
      </c>
      <c r="E360" s="1">
        <v>2</v>
      </c>
      <c r="F360" s="1" t="s">
        <v>17</v>
      </c>
      <c r="G360" s="1" t="s">
        <v>17</v>
      </c>
      <c r="H360" t="str">
        <f>IF(ISNA(_xlfn.XLOOKUP(B360, customer_master!$A$2:$A$1649, customer_master!$A$2:$A$1649)), "Orphan", "Valid")</f>
        <v>Valid</v>
      </c>
    </row>
    <row r="361" spans="1:8" x14ac:dyDescent="0.3">
      <c r="A361" s="1" t="s">
        <v>8360</v>
      </c>
      <c r="B361" s="1" t="s">
        <v>8361</v>
      </c>
      <c r="C361" s="41">
        <v>45492</v>
      </c>
      <c r="D361" s="1" t="s">
        <v>7887</v>
      </c>
      <c r="E361" s="1">
        <v>2</v>
      </c>
      <c r="F361" s="1" t="s">
        <v>17</v>
      </c>
      <c r="G361" s="1" t="s">
        <v>30</v>
      </c>
      <c r="H361" t="str">
        <f>IF(ISNA(_xlfn.XLOOKUP(B361, customer_master!$A$2:$A$1649, customer_master!$A$2:$A$1649)), "Orphan", "Valid")</f>
        <v>Orphan</v>
      </c>
    </row>
    <row r="362" spans="1:8" x14ac:dyDescent="0.3">
      <c r="A362" s="1" t="s">
        <v>8362</v>
      </c>
      <c r="B362" s="1" t="s">
        <v>8363</v>
      </c>
      <c r="C362" s="41">
        <v>45196</v>
      </c>
      <c r="D362" s="1" t="s">
        <v>7912</v>
      </c>
      <c r="E362" s="1">
        <v>4</v>
      </c>
      <c r="F362" s="1" t="s">
        <v>17</v>
      </c>
      <c r="G362" s="1" t="s">
        <v>30</v>
      </c>
      <c r="H362" t="str">
        <f>IF(ISNA(_xlfn.XLOOKUP(B362, customer_master!$A$2:$A$1649, customer_master!$A$2:$A$1649)), "Orphan", "Valid")</f>
        <v>Orphan</v>
      </c>
    </row>
    <row r="363" spans="1:8" x14ac:dyDescent="0.3">
      <c r="A363" s="1" t="s">
        <v>8364</v>
      </c>
      <c r="B363" s="1" t="s">
        <v>628</v>
      </c>
      <c r="C363" s="41">
        <v>46019</v>
      </c>
      <c r="D363" s="1" t="s">
        <v>7906</v>
      </c>
      <c r="E363" s="1">
        <v>5</v>
      </c>
      <c r="F363" s="1" t="s">
        <v>30</v>
      </c>
      <c r="G363" s="1" t="s">
        <v>17</v>
      </c>
      <c r="H363" t="str">
        <f>IF(ISNA(_xlfn.XLOOKUP(B363, customer_master!$A$2:$A$1649, customer_master!$A$2:$A$1649)), "Orphan", "Valid")</f>
        <v>Valid</v>
      </c>
    </row>
    <row r="364" spans="1:8" x14ac:dyDescent="0.3">
      <c r="A364" s="1" t="s">
        <v>8365</v>
      </c>
      <c r="B364" s="1" t="s">
        <v>8366</v>
      </c>
      <c r="C364" s="41">
        <v>45247</v>
      </c>
      <c r="D364" s="1" t="s">
        <v>7887</v>
      </c>
      <c r="E364" s="1">
        <v>2</v>
      </c>
      <c r="F364" s="1" t="s">
        <v>30</v>
      </c>
      <c r="G364" s="1" t="s">
        <v>17</v>
      </c>
      <c r="H364" t="str">
        <f>IF(ISNA(_xlfn.XLOOKUP(B364, customer_master!$A$2:$A$1649, customer_master!$A$2:$A$1649)), "Orphan", "Valid")</f>
        <v>Orphan</v>
      </c>
    </row>
    <row r="365" spans="1:8" x14ac:dyDescent="0.3">
      <c r="A365" s="1" t="s">
        <v>8367</v>
      </c>
      <c r="B365" s="1" t="s">
        <v>2111</v>
      </c>
      <c r="C365" s="41">
        <v>46034</v>
      </c>
      <c r="D365" s="1" t="s">
        <v>7912</v>
      </c>
      <c r="E365" s="1">
        <v>4</v>
      </c>
      <c r="F365" s="1" t="s">
        <v>30</v>
      </c>
      <c r="G365" s="1" t="s">
        <v>30</v>
      </c>
      <c r="H365" t="str">
        <f>IF(ISNA(_xlfn.XLOOKUP(B365, customer_master!$A$2:$A$1649, customer_master!$A$2:$A$1649)), "Orphan", "Valid")</f>
        <v>Valid</v>
      </c>
    </row>
    <row r="366" spans="1:8" x14ac:dyDescent="0.3">
      <c r="A366" s="1" t="s">
        <v>8368</v>
      </c>
      <c r="B366" s="1" t="s">
        <v>8369</v>
      </c>
      <c r="C366" s="41">
        <v>45952</v>
      </c>
      <c r="D366" s="1" t="s">
        <v>7887</v>
      </c>
      <c r="E366" s="1">
        <v>2</v>
      </c>
      <c r="F366" s="1" t="s">
        <v>30</v>
      </c>
      <c r="G366" s="1" t="s">
        <v>17</v>
      </c>
      <c r="H366" t="str">
        <f>IF(ISNA(_xlfn.XLOOKUP(B366, customer_master!$A$2:$A$1649, customer_master!$A$2:$A$1649)), "Orphan", "Valid")</f>
        <v>Orphan</v>
      </c>
    </row>
    <row r="367" spans="1:8" x14ac:dyDescent="0.3">
      <c r="A367" s="1" t="s">
        <v>8370</v>
      </c>
      <c r="B367" s="1" t="s">
        <v>8371</v>
      </c>
      <c r="C367" s="41">
        <v>45517</v>
      </c>
      <c r="D367" s="1" t="s">
        <v>7896</v>
      </c>
      <c r="E367" s="1">
        <v>5</v>
      </c>
      <c r="F367" s="1" t="s">
        <v>30</v>
      </c>
      <c r="G367" s="1" t="s">
        <v>17</v>
      </c>
      <c r="H367" t="str">
        <f>IF(ISNA(_xlfn.XLOOKUP(B367, customer_master!$A$2:$A$1649, customer_master!$A$2:$A$1649)), "Orphan", "Valid")</f>
        <v>Orphan</v>
      </c>
    </row>
    <row r="368" spans="1:8" x14ac:dyDescent="0.3">
      <c r="A368" s="1" t="s">
        <v>8372</v>
      </c>
      <c r="B368" s="1" t="s">
        <v>668</v>
      </c>
      <c r="C368" s="41">
        <v>46108</v>
      </c>
      <c r="D368" s="1" t="s">
        <v>7889</v>
      </c>
      <c r="E368" s="1">
        <v>5</v>
      </c>
      <c r="F368" s="1" t="s">
        <v>30</v>
      </c>
      <c r="G368" s="1" t="s">
        <v>30</v>
      </c>
      <c r="H368" t="str">
        <f>IF(ISNA(_xlfn.XLOOKUP(B368, customer_master!$A$2:$A$1649, customer_master!$A$2:$A$1649)), "Orphan", "Valid")</f>
        <v>Valid</v>
      </c>
    </row>
    <row r="369" spans="1:8" x14ac:dyDescent="0.3">
      <c r="A369" s="1" t="s">
        <v>8373</v>
      </c>
      <c r="B369" s="1" t="s">
        <v>701</v>
      </c>
      <c r="C369" s="41">
        <v>46164</v>
      </c>
      <c r="D369" s="1" t="s">
        <v>7881</v>
      </c>
      <c r="E369" s="1">
        <v>4</v>
      </c>
      <c r="F369" s="1" t="s">
        <v>17</v>
      </c>
      <c r="G369" s="1" t="s">
        <v>30</v>
      </c>
      <c r="H369" t="str">
        <f>IF(ISNA(_xlfn.XLOOKUP(B369, customer_master!$A$2:$A$1649, customer_master!$A$2:$A$1649)), "Orphan", "Valid")</f>
        <v>Valid</v>
      </c>
    </row>
    <row r="370" spans="1:8" x14ac:dyDescent="0.3">
      <c r="A370" s="1" t="s">
        <v>8374</v>
      </c>
      <c r="B370" s="1" t="s">
        <v>8375</v>
      </c>
      <c r="C370" s="41">
        <v>45661</v>
      </c>
      <c r="D370" s="1" t="s">
        <v>7899</v>
      </c>
      <c r="E370" s="1">
        <v>2</v>
      </c>
      <c r="F370" s="1" t="s">
        <v>17</v>
      </c>
      <c r="G370" s="1" t="s">
        <v>17</v>
      </c>
      <c r="H370" t="str">
        <f>IF(ISNA(_xlfn.XLOOKUP(B370, customer_master!$A$2:$A$1649, customer_master!$A$2:$A$1649)), "Orphan", "Valid")</f>
        <v>Orphan</v>
      </c>
    </row>
    <row r="371" spans="1:8" x14ac:dyDescent="0.3">
      <c r="A371" s="1" t="s">
        <v>8376</v>
      </c>
      <c r="B371" s="1" t="s">
        <v>2044</v>
      </c>
      <c r="C371" s="41">
        <v>46142</v>
      </c>
      <c r="D371" s="1" t="s">
        <v>7887</v>
      </c>
      <c r="E371" s="1">
        <v>2</v>
      </c>
      <c r="F371" s="1" t="s">
        <v>30</v>
      </c>
      <c r="G371" s="1" t="s">
        <v>17</v>
      </c>
      <c r="H371" t="str">
        <f>IF(ISNA(_xlfn.XLOOKUP(B371, customer_master!$A$2:$A$1649, customer_master!$A$2:$A$1649)), "Orphan", "Valid")</f>
        <v>Valid</v>
      </c>
    </row>
    <row r="372" spans="1:8" x14ac:dyDescent="0.3">
      <c r="A372" s="1" t="s">
        <v>8377</v>
      </c>
      <c r="B372" s="1" t="s">
        <v>8378</v>
      </c>
      <c r="C372" s="41">
        <v>45374</v>
      </c>
      <c r="D372" s="1" t="s">
        <v>7896</v>
      </c>
      <c r="E372" s="1">
        <v>4</v>
      </c>
      <c r="F372" s="1" t="s">
        <v>30</v>
      </c>
      <c r="G372" s="1" t="s">
        <v>30</v>
      </c>
      <c r="H372" t="str">
        <f>IF(ISNA(_xlfn.XLOOKUP(B372, customer_master!$A$2:$A$1649, customer_master!$A$2:$A$1649)), "Orphan", "Valid")</f>
        <v>Orphan</v>
      </c>
    </row>
    <row r="373" spans="1:8" x14ac:dyDescent="0.3">
      <c r="A373" s="1" t="s">
        <v>8379</v>
      </c>
      <c r="B373" s="1" t="s">
        <v>8380</v>
      </c>
      <c r="C373" s="41">
        <v>45686</v>
      </c>
      <c r="D373" s="1" t="s">
        <v>7906</v>
      </c>
      <c r="E373" s="1">
        <v>5</v>
      </c>
      <c r="F373" s="1" t="s">
        <v>30</v>
      </c>
      <c r="G373" s="1" t="s">
        <v>17</v>
      </c>
      <c r="H373" t="str">
        <f>IF(ISNA(_xlfn.XLOOKUP(B373, customer_master!$A$2:$A$1649, customer_master!$A$2:$A$1649)), "Orphan", "Valid")</f>
        <v>Orphan</v>
      </c>
    </row>
    <row r="374" spans="1:8" x14ac:dyDescent="0.3">
      <c r="A374" s="1" t="s">
        <v>8381</v>
      </c>
      <c r="B374" s="1" t="s">
        <v>1345</v>
      </c>
      <c r="C374" s="41">
        <v>45678</v>
      </c>
      <c r="D374" s="1" t="s">
        <v>7896</v>
      </c>
      <c r="E374" s="1">
        <v>5</v>
      </c>
      <c r="F374" s="1" t="s">
        <v>30</v>
      </c>
      <c r="G374" s="1" t="s">
        <v>30</v>
      </c>
      <c r="H374" t="str">
        <f>IF(ISNA(_xlfn.XLOOKUP(B374, customer_master!$A$2:$A$1649, customer_master!$A$2:$A$1649)), "Orphan", "Valid")</f>
        <v>Valid</v>
      </c>
    </row>
    <row r="375" spans="1:8" x14ac:dyDescent="0.3">
      <c r="A375" s="1" t="s">
        <v>8382</v>
      </c>
      <c r="B375" s="1" t="s">
        <v>409</v>
      </c>
      <c r="C375" s="41">
        <v>45537</v>
      </c>
      <c r="D375" s="1" t="s">
        <v>7906</v>
      </c>
      <c r="E375" s="1">
        <v>5</v>
      </c>
      <c r="F375" s="1" t="s">
        <v>17</v>
      </c>
      <c r="G375" s="1" t="s">
        <v>17</v>
      </c>
      <c r="H375" t="str">
        <f>IF(ISNA(_xlfn.XLOOKUP(B375, customer_master!$A$2:$A$1649, customer_master!$A$2:$A$1649)), "Orphan", "Valid")</f>
        <v>Valid</v>
      </c>
    </row>
    <row r="376" spans="1:8" x14ac:dyDescent="0.3">
      <c r="A376" s="1" t="s">
        <v>8383</v>
      </c>
      <c r="B376" s="1" t="s">
        <v>8384</v>
      </c>
      <c r="C376" s="41">
        <v>45915</v>
      </c>
      <c r="D376" s="1" t="s">
        <v>7896</v>
      </c>
      <c r="E376" s="1">
        <v>4</v>
      </c>
      <c r="F376" s="1" t="s">
        <v>30</v>
      </c>
      <c r="G376" s="1" t="s">
        <v>30</v>
      </c>
      <c r="H376" t="str">
        <f>IF(ISNA(_xlfn.XLOOKUP(B376, customer_master!$A$2:$A$1649, customer_master!$A$2:$A$1649)), "Orphan", "Valid")</f>
        <v>Orphan</v>
      </c>
    </row>
    <row r="377" spans="1:8" x14ac:dyDescent="0.3">
      <c r="A377" s="1" t="s">
        <v>8385</v>
      </c>
      <c r="B377" s="1" t="s">
        <v>8386</v>
      </c>
      <c r="C377" s="41">
        <v>45944</v>
      </c>
      <c r="D377" s="1" t="s">
        <v>7889</v>
      </c>
      <c r="E377" s="1">
        <v>4</v>
      </c>
      <c r="F377" s="1" t="s">
        <v>17</v>
      </c>
      <c r="G377" s="1" t="s">
        <v>17</v>
      </c>
      <c r="H377" t="str">
        <f>IF(ISNA(_xlfn.XLOOKUP(B377, customer_master!$A$2:$A$1649, customer_master!$A$2:$A$1649)), "Orphan", "Valid")</f>
        <v>Orphan</v>
      </c>
    </row>
    <row r="378" spans="1:8" x14ac:dyDescent="0.3">
      <c r="A378" s="1" t="s">
        <v>8387</v>
      </c>
      <c r="B378" s="1" t="s">
        <v>1537</v>
      </c>
      <c r="C378" s="41">
        <v>45452</v>
      </c>
      <c r="D378" s="1" t="s">
        <v>7884</v>
      </c>
      <c r="E378" s="1">
        <v>3</v>
      </c>
      <c r="F378" s="1" t="s">
        <v>17</v>
      </c>
      <c r="G378" s="1" t="s">
        <v>17</v>
      </c>
      <c r="H378" t="str">
        <f>IF(ISNA(_xlfn.XLOOKUP(B378, customer_master!$A$2:$A$1649, customer_master!$A$2:$A$1649)), "Orphan", "Valid")</f>
        <v>Valid</v>
      </c>
    </row>
    <row r="379" spans="1:8" x14ac:dyDescent="0.3">
      <c r="A379" s="1" t="s">
        <v>8388</v>
      </c>
      <c r="B379" s="1" t="s">
        <v>741</v>
      </c>
      <c r="C379" s="41">
        <v>45992</v>
      </c>
      <c r="D379" s="1" t="s">
        <v>7912</v>
      </c>
      <c r="E379" s="1">
        <v>5</v>
      </c>
      <c r="F379" s="1" t="s">
        <v>17</v>
      </c>
      <c r="G379" s="1" t="s">
        <v>17</v>
      </c>
      <c r="H379" t="str">
        <f>IF(ISNA(_xlfn.XLOOKUP(B379, customer_master!$A$2:$A$1649, customer_master!$A$2:$A$1649)), "Orphan", "Valid")</f>
        <v>Valid</v>
      </c>
    </row>
    <row r="380" spans="1:8" x14ac:dyDescent="0.3">
      <c r="A380" s="1" t="s">
        <v>8389</v>
      </c>
      <c r="B380" s="1" t="s">
        <v>2018</v>
      </c>
      <c r="C380" s="41">
        <v>45198</v>
      </c>
      <c r="D380" s="1" t="s">
        <v>7912</v>
      </c>
      <c r="E380" s="1">
        <v>4</v>
      </c>
      <c r="F380" s="1" t="s">
        <v>17</v>
      </c>
      <c r="G380" s="1" t="s">
        <v>30</v>
      </c>
      <c r="H380" t="str">
        <f>IF(ISNA(_xlfn.XLOOKUP(B380, customer_master!$A$2:$A$1649, customer_master!$A$2:$A$1649)), "Orphan", "Valid")</f>
        <v>Valid</v>
      </c>
    </row>
    <row r="381" spans="1:8" x14ac:dyDescent="0.3">
      <c r="A381" s="1" t="s">
        <v>8390</v>
      </c>
      <c r="B381" s="1" t="s">
        <v>8391</v>
      </c>
      <c r="C381" s="41">
        <v>45303</v>
      </c>
      <c r="D381" s="1" t="s">
        <v>7887</v>
      </c>
      <c r="E381" s="1">
        <v>2</v>
      </c>
      <c r="F381" s="1" t="s">
        <v>17</v>
      </c>
      <c r="G381" s="1" t="s">
        <v>17</v>
      </c>
      <c r="H381" t="str">
        <f>IF(ISNA(_xlfn.XLOOKUP(B381, customer_master!$A$2:$A$1649, customer_master!$A$2:$A$1649)), "Orphan", "Valid")</f>
        <v>Orphan</v>
      </c>
    </row>
    <row r="382" spans="1:8" x14ac:dyDescent="0.3">
      <c r="A382" s="1" t="s">
        <v>8392</v>
      </c>
      <c r="B382" s="1" t="s">
        <v>1869</v>
      </c>
      <c r="C382" s="41">
        <v>45623</v>
      </c>
      <c r="D382" s="1" t="s">
        <v>7884</v>
      </c>
      <c r="E382" s="1">
        <v>3</v>
      </c>
      <c r="F382" s="1" t="s">
        <v>30</v>
      </c>
      <c r="G382" s="1" t="s">
        <v>17</v>
      </c>
      <c r="H382" t="str">
        <f>IF(ISNA(_xlfn.XLOOKUP(B382, customer_master!$A$2:$A$1649, customer_master!$A$2:$A$1649)), "Orphan", "Valid")</f>
        <v>Valid</v>
      </c>
    </row>
    <row r="383" spans="1:8" x14ac:dyDescent="0.3">
      <c r="A383" s="1" t="s">
        <v>8393</v>
      </c>
      <c r="B383" s="1" t="s">
        <v>1191</v>
      </c>
      <c r="C383" s="41">
        <v>45607</v>
      </c>
      <c r="D383" s="1" t="s">
        <v>7889</v>
      </c>
      <c r="E383" s="1">
        <v>5</v>
      </c>
      <c r="F383" s="1" t="s">
        <v>17</v>
      </c>
      <c r="G383" s="1" t="s">
        <v>17</v>
      </c>
      <c r="H383" t="str">
        <f>IF(ISNA(_xlfn.XLOOKUP(B383, customer_master!$A$2:$A$1649, customer_master!$A$2:$A$1649)), "Orphan", "Valid")</f>
        <v>Valid</v>
      </c>
    </row>
    <row r="384" spans="1:8" x14ac:dyDescent="0.3">
      <c r="A384" s="1" t="s">
        <v>8394</v>
      </c>
      <c r="B384" s="1" t="s">
        <v>2798</v>
      </c>
      <c r="C384" s="41">
        <v>45706</v>
      </c>
      <c r="D384" s="1" t="s">
        <v>7881</v>
      </c>
      <c r="E384" s="1">
        <v>4</v>
      </c>
      <c r="F384" s="1" t="s">
        <v>30</v>
      </c>
      <c r="G384" s="1" t="s">
        <v>17</v>
      </c>
      <c r="H384" t="str">
        <f>IF(ISNA(_xlfn.XLOOKUP(B384, customer_master!$A$2:$A$1649, customer_master!$A$2:$A$1649)), "Orphan", "Valid")</f>
        <v>Valid</v>
      </c>
    </row>
    <row r="385" spans="1:8" x14ac:dyDescent="0.3">
      <c r="A385" s="1" t="s">
        <v>8395</v>
      </c>
      <c r="B385" s="1" t="s">
        <v>2327</v>
      </c>
      <c r="C385" s="41">
        <v>45225</v>
      </c>
      <c r="D385" s="1" t="s">
        <v>7912</v>
      </c>
      <c r="E385" s="1">
        <v>4</v>
      </c>
      <c r="F385" s="1" t="s">
        <v>30</v>
      </c>
      <c r="G385" s="1" t="s">
        <v>17</v>
      </c>
      <c r="H385" t="str">
        <f>IF(ISNA(_xlfn.XLOOKUP(B385, customer_master!$A$2:$A$1649, customer_master!$A$2:$A$1649)), "Orphan", "Valid")</f>
        <v>Valid</v>
      </c>
    </row>
    <row r="386" spans="1:8" x14ac:dyDescent="0.3">
      <c r="A386" s="1" t="s">
        <v>8396</v>
      </c>
      <c r="B386" s="1" t="s">
        <v>8397</v>
      </c>
      <c r="C386" s="41">
        <v>45752</v>
      </c>
      <c r="D386" s="1" t="s">
        <v>7884</v>
      </c>
      <c r="E386" s="1">
        <v>3</v>
      </c>
      <c r="F386" s="1" t="s">
        <v>17</v>
      </c>
      <c r="G386" s="1" t="s">
        <v>17</v>
      </c>
      <c r="H386" t="str">
        <f>IF(ISNA(_xlfn.XLOOKUP(B386, customer_master!$A$2:$A$1649, customer_master!$A$2:$A$1649)), "Orphan", "Valid")</f>
        <v>Orphan</v>
      </c>
    </row>
    <row r="387" spans="1:8" x14ac:dyDescent="0.3">
      <c r="A387" s="1" t="s">
        <v>8398</v>
      </c>
      <c r="B387" s="1" t="s">
        <v>1315</v>
      </c>
      <c r="C387" s="41">
        <v>46173</v>
      </c>
      <c r="D387" s="1" t="s">
        <v>7899</v>
      </c>
      <c r="E387" s="1">
        <v>2</v>
      </c>
      <c r="F387" s="1" t="s">
        <v>17</v>
      </c>
      <c r="G387" s="1" t="s">
        <v>17</v>
      </c>
      <c r="H387" t="str">
        <f>IF(ISNA(_xlfn.XLOOKUP(B387, customer_master!$A$2:$A$1649, customer_master!$A$2:$A$1649)), "Orphan", "Valid")</f>
        <v>Valid</v>
      </c>
    </row>
    <row r="388" spans="1:8" x14ac:dyDescent="0.3">
      <c r="A388" s="1" t="s">
        <v>8399</v>
      </c>
      <c r="B388" s="1" t="s">
        <v>8400</v>
      </c>
      <c r="C388" s="41">
        <v>45734</v>
      </c>
      <c r="D388" s="1" t="s">
        <v>7879</v>
      </c>
      <c r="E388" s="1">
        <v>2</v>
      </c>
      <c r="F388" s="1" t="s">
        <v>17</v>
      </c>
      <c r="G388" s="1" t="s">
        <v>30</v>
      </c>
      <c r="H388" t="str">
        <f>IF(ISNA(_xlfn.XLOOKUP(B388, customer_master!$A$2:$A$1649, customer_master!$A$2:$A$1649)), "Orphan", "Valid")</f>
        <v>Orphan</v>
      </c>
    </row>
    <row r="389" spans="1:8" x14ac:dyDescent="0.3">
      <c r="A389" s="1" t="s">
        <v>8401</v>
      </c>
      <c r="B389" s="1" t="s">
        <v>8402</v>
      </c>
      <c r="C389" s="41">
        <v>45190</v>
      </c>
      <c r="D389" s="1" t="s">
        <v>7889</v>
      </c>
      <c r="E389" s="1">
        <v>4</v>
      </c>
      <c r="F389" s="1" t="s">
        <v>30</v>
      </c>
      <c r="G389" s="1" t="s">
        <v>30</v>
      </c>
      <c r="H389" t="str">
        <f>IF(ISNA(_xlfn.XLOOKUP(B389, customer_master!$A$2:$A$1649, customer_master!$A$2:$A$1649)), "Orphan", "Valid")</f>
        <v>Orphan</v>
      </c>
    </row>
    <row r="390" spans="1:8" x14ac:dyDescent="0.3">
      <c r="A390" s="1" t="s">
        <v>8403</v>
      </c>
      <c r="B390" s="1" t="s">
        <v>1582</v>
      </c>
      <c r="C390" s="41">
        <v>45652</v>
      </c>
      <c r="D390" s="1" t="s">
        <v>7896</v>
      </c>
      <c r="E390" s="1">
        <v>4</v>
      </c>
      <c r="F390" s="1" t="s">
        <v>17</v>
      </c>
      <c r="G390" s="1" t="s">
        <v>17</v>
      </c>
      <c r="H390" t="str">
        <f>IF(ISNA(_xlfn.XLOOKUP(B390, customer_master!$A$2:$A$1649, customer_master!$A$2:$A$1649)), "Orphan", "Valid")</f>
        <v>Valid</v>
      </c>
    </row>
    <row r="391" spans="1:8" x14ac:dyDescent="0.3">
      <c r="A391" s="1" t="s">
        <v>8404</v>
      </c>
      <c r="B391" s="1" t="s">
        <v>2418</v>
      </c>
      <c r="C391" s="41">
        <v>45208</v>
      </c>
      <c r="D391" s="1" t="s">
        <v>7906</v>
      </c>
      <c r="E391" s="1">
        <v>4</v>
      </c>
      <c r="F391" s="1" t="s">
        <v>30</v>
      </c>
      <c r="G391" s="1" t="s">
        <v>17</v>
      </c>
      <c r="H391" t="str">
        <f>IF(ISNA(_xlfn.XLOOKUP(B391, customer_master!$A$2:$A$1649, customer_master!$A$2:$A$1649)), "Orphan", "Valid")</f>
        <v>Valid</v>
      </c>
    </row>
    <row r="392" spans="1:8" x14ac:dyDescent="0.3">
      <c r="A392" s="1" t="s">
        <v>8405</v>
      </c>
      <c r="B392" s="1" t="s">
        <v>1942</v>
      </c>
      <c r="C392" s="41">
        <v>45725</v>
      </c>
      <c r="D392" s="1" t="s">
        <v>7881</v>
      </c>
      <c r="E392" s="1">
        <v>4</v>
      </c>
      <c r="F392" s="1" t="s">
        <v>30</v>
      </c>
      <c r="G392" s="1" t="s">
        <v>30</v>
      </c>
      <c r="H392" t="str">
        <f>IF(ISNA(_xlfn.XLOOKUP(B392, customer_master!$A$2:$A$1649, customer_master!$A$2:$A$1649)), "Orphan", "Valid")</f>
        <v>Valid</v>
      </c>
    </row>
    <row r="393" spans="1:8" x14ac:dyDescent="0.3">
      <c r="A393" s="1" t="s">
        <v>8406</v>
      </c>
      <c r="B393" s="1" t="s">
        <v>855</v>
      </c>
      <c r="C393" s="41">
        <v>46047</v>
      </c>
      <c r="D393" s="1" t="s">
        <v>7887</v>
      </c>
      <c r="E393" s="1">
        <v>2</v>
      </c>
      <c r="F393" s="1" t="s">
        <v>30</v>
      </c>
      <c r="G393" s="1" t="s">
        <v>17</v>
      </c>
      <c r="H393" t="str">
        <f>IF(ISNA(_xlfn.XLOOKUP(B393, customer_master!$A$2:$A$1649, customer_master!$A$2:$A$1649)), "Orphan", "Valid")</f>
        <v>Valid</v>
      </c>
    </row>
    <row r="394" spans="1:8" x14ac:dyDescent="0.3">
      <c r="A394" s="1" t="s">
        <v>8407</v>
      </c>
      <c r="B394" s="1" t="s">
        <v>8408</v>
      </c>
      <c r="C394" s="41">
        <v>46038</v>
      </c>
      <c r="D394" s="1" t="s">
        <v>7877</v>
      </c>
      <c r="E394" s="1">
        <v>2</v>
      </c>
      <c r="F394" s="1" t="s">
        <v>17</v>
      </c>
      <c r="G394" s="1" t="s">
        <v>17</v>
      </c>
      <c r="H394" t="str">
        <f>IF(ISNA(_xlfn.XLOOKUP(B394, customer_master!$A$2:$A$1649, customer_master!$A$2:$A$1649)), "Orphan", "Valid")</f>
        <v>Orphan</v>
      </c>
    </row>
    <row r="395" spans="1:8" x14ac:dyDescent="0.3">
      <c r="A395" s="1" t="s">
        <v>8409</v>
      </c>
      <c r="B395" s="1" t="s">
        <v>8410</v>
      </c>
      <c r="C395" s="41">
        <v>45712</v>
      </c>
      <c r="D395" s="1" t="s">
        <v>7912</v>
      </c>
      <c r="E395" s="1">
        <v>5</v>
      </c>
      <c r="F395" s="1" t="s">
        <v>30</v>
      </c>
      <c r="G395" s="1" t="s">
        <v>17</v>
      </c>
      <c r="H395" t="str">
        <f>IF(ISNA(_xlfn.XLOOKUP(B395, customer_master!$A$2:$A$1649, customer_master!$A$2:$A$1649)), "Orphan", "Valid")</f>
        <v>Orphan</v>
      </c>
    </row>
    <row r="396" spans="1:8" x14ac:dyDescent="0.3">
      <c r="A396" s="1" t="s">
        <v>8411</v>
      </c>
      <c r="B396" s="1" t="s">
        <v>682</v>
      </c>
      <c r="C396" s="41">
        <v>45802</v>
      </c>
      <c r="D396" s="1" t="s">
        <v>7887</v>
      </c>
      <c r="E396" s="1">
        <v>2</v>
      </c>
      <c r="F396" s="1" t="s">
        <v>30</v>
      </c>
      <c r="G396" s="1" t="s">
        <v>17</v>
      </c>
      <c r="H396" t="str">
        <f>IF(ISNA(_xlfn.XLOOKUP(B396, customer_master!$A$2:$A$1649, customer_master!$A$2:$A$1649)), "Orphan", "Valid")</f>
        <v>Valid</v>
      </c>
    </row>
    <row r="397" spans="1:8" x14ac:dyDescent="0.3">
      <c r="A397" s="1" t="s">
        <v>8412</v>
      </c>
      <c r="B397" s="1" t="s">
        <v>2734</v>
      </c>
      <c r="C397" s="41">
        <v>45868</v>
      </c>
      <c r="D397" s="1" t="s">
        <v>7912</v>
      </c>
      <c r="E397" s="1">
        <v>4</v>
      </c>
      <c r="F397" s="1" t="s">
        <v>30</v>
      </c>
      <c r="G397" s="1" t="s">
        <v>17</v>
      </c>
      <c r="H397" t="str">
        <f>IF(ISNA(_xlfn.XLOOKUP(B397, customer_master!$A$2:$A$1649, customer_master!$A$2:$A$1649)), "Orphan", "Valid")</f>
        <v>Valid</v>
      </c>
    </row>
    <row r="398" spans="1:8" x14ac:dyDescent="0.3">
      <c r="A398" s="1" t="s">
        <v>8413</v>
      </c>
      <c r="B398" s="1" t="s">
        <v>8414</v>
      </c>
      <c r="C398" s="41">
        <v>45977</v>
      </c>
      <c r="D398" s="1" t="s">
        <v>7899</v>
      </c>
      <c r="E398" s="1">
        <v>2</v>
      </c>
      <c r="F398" s="1" t="s">
        <v>30</v>
      </c>
      <c r="G398" s="1" t="s">
        <v>17</v>
      </c>
      <c r="H398" t="str">
        <f>IF(ISNA(_xlfn.XLOOKUP(B398, customer_master!$A$2:$A$1649, customer_master!$A$2:$A$1649)), "Orphan", "Valid")</f>
        <v>Orphan</v>
      </c>
    </row>
    <row r="399" spans="1:8" x14ac:dyDescent="0.3">
      <c r="A399" s="1" t="s">
        <v>8415</v>
      </c>
      <c r="B399" s="1" t="s">
        <v>8416</v>
      </c>
      <c r="C399" s="41">
        <v>45792</v>
      </c>
      <c r="D399" s="1" t="s">
        <v>7906</v>
      </c>
      <c r="E399" s="1">
        <v>5</v>
      </c>
      <c r="F399" s="1" t="s">
        <v>30</v>
      </c>
      <c r="G399" s="1" t="s">
        <v>17</v>
      </c>
      <c r="H399" t="str">
        <f>IF(ISNA(_xlfn.XLOOKUP(B399, customer_master!$A$2:$A$1649, customer_master!$A$2:$A$1649)), "Orphan", "Valid")</f>
        <v>Orphan</v>
      </c>
    </row>
    <row r="400" spans="1:8" x14ac:dyDescent="0.3">
      <c r="A400" s="1" t="s">
        <v>8417</v>
      </c>
      <c r="B400" s="1" t="s">
        <v>3140</v>
      </c>
      <c r="C400" s="41">
        <v>46240</v>
      </c>
      <c r="D400" s="1" t="s">
        <v>7881</v>
      </c>
      <c r="E400" s="1">
        <v>4</v>
      </c>
      <c r="F400" s="1" t="s">
        <v>17</v>
      </c>
      <c r="G400" s="1" t="s">
        <v>17</v>
      </c>
      <c r="H400" t="str">
        <f>IF(ISNA(_xlfn.XLOOKUP(B400, customer_master!$A$2:$A$1649, customer_master!$A$2:$A$1649)), "Orphan", "Valid")</f>
        <v>Valid</v>
      </c>
    </row>
    <row r="401" spans="1:8" x14ac:dyDescent="0.3">
      <c r="A401" s="1" t="s">
        <v>8418</v>
      </c>
      <c r="B401" s="1" t="s">
        <v>1049</v>
      </c>
      <c r="C401" s="41">
        <v>46028</v>
      </c>
      <c r="D401" s="1" t="s">
        <v>7881</v>
      </c>
      <c r="E401" s="1">
        <v>4</v>
      </c>
      <c r="F401" s="1" t="s">
        <v>30</v>
      </c>
      <c r="G401" s="1" t="s">
        <v>30</v>
      </c>
      <c r="H401" t="str">
        <f>IF(ISNA(_xlfn.XLOOKUP(B401, customer_master!$A$2:$A$1649, customer_master!$A$2:$A$1649)), "Orphan", "Valid")</f>
        <v>Valid</v>
      </c>
    </row>
    <row r="402" spans="1:8" x14ac:dyDescent="0.3">
      <c r="A402" s="1" t="s">
        <v>8419</v>
      </c>
      <c r="B402" s="1" t="s">
        <v>1165</v>
      </c>
      <c r="C402" s="41">
        <v>45755</v>
      </c>
      <c r="D402" s="1" t="s">
        <v>7896</v>
      </c>
      <c r="E402" s="1">
        <v>4</v>
      </c>
      <c r="F402" s="1" t="s">
        <v>17</v>
      </c>
      <c r="G402" s="1" t="s">
        <v>30</v>
      </c>
      <c r="H402" t="str">
        <f>IF(ISNA(_xlfn.XLOOKUP(B402, customer_master!$A$2:$A$1649, customer_master!$A$2:$A$1649)), "Orphan", "Valid")</f>
        <v>Valid</v>
      </c>
    </row>
    <row r="403" spans="1:8" x14ac:dyDescent="0.3">
      <c r="A403" s="1" t="s">
        <v>8420</v>
      </c>
      <c r="B403" s="1" t="s">
        <v>1364</v>
      </c>
      <c r="C403" s="41">
        <v>46048</v>
      </c>
      <c r="D403" s="1" t="s">
        <v>7877</v>
      </c>
      <c r="E403" s="1">
        <v>1</v>
      </c>
      <c r="F403" s="1" t="s">
        <v>17</v>
      </c>
      <c r="G403" s="1" t="s">
        <v>17</v>
      </c>
      <c r="H403" t="str">
        <f>IF(ISNA(_xlfn.XLOOKUP(B403, customer_master!$A$2:$A$1649, customer_master!$A$2:$A$1649)), "Orphan", "Valid")</f>
        <v>Valid</v>
      </c>
    </row>
    <row r="404" spans="1:8" x14ac:dyDescent="0.3">
      <c r="A404" s="1" t="s">
        <v>8421</v>
      </c>
      <c r="B404" s="1" t="s">
        <v>1137</v>
      </c>
      <c r="C404" s="41">
        <v>46100</v>
      </c>
      <c r="D404" s="1" t="s">
        <v>7887</v>
      </c>
      <c r="E404" s="1">
        <v>2</v>
      </c>
      <c r="F404" s="1" t="s">
        <v>17</v>
      </c>
      <c r="G404" s="1" t="s">
        <v>30</v>
      </c>
      <c r="H404" t="str">
        <f>IF(ISNA(_xlfn.XLOOKUP(B404, customer_master!$A$2:$A$1649, customer_master!$A$2:$A$1649)), "Orphan", "Valid")</f>
        <v>Valid</v>
      </c>
    </row>
    <row r="405" spans="1:8" x14ac:dyDescent="0.3">
      <c r="A405" s="1" t="s">
        <v>8422</v>
      </c>
      <c r="B405" s="1" t="s">
        <v>8423</v>
      </c>
      <c r="C405" s="41">
        <v>45269</v>
      </c>
      <c r="D405" s="1" t="s">
        <v>7912</v>
      </c>
      <c r="E405" s="1">
        <v>4</v>
      </c>
      <c r="F405" s="1" t="s">
        <v>17</v>
      </c>
      <c r="G405" s="1" t="s">
        <v>17</v>
      </c>
      <c r="H405" t="str">
        <f>IF(ISNA(_xlfn.XLOOKUP(B405, customer_master!$A$2:$A$1649, customer_master!$A$2:$A$1649)), "Orphan", "Valid")</f>
        <v>Orphan</v>
      </c>
    </row>
    <row r="406" spans="1:8" x14ac:dyDescent="0.3">
      <c r="A406" s="1" t="s">
        <v>8424</v>
      </c>
      <c r="B406" s="1" t="s">
        <v>1191</v>
      </c>
      <c r="C406" s="41">
        <v>46184</v>
      </c>
      <c r="D406" s="1" t="s">
        <v>7889</v>
      </c>
      <c r="E406" s="1">
        <v>5</v>
      </c>
      <c r="F406" s="1" t="s">
        <v>17</v>
      </c>
      <c r="G406" s="1" t="s">
        <v>30</v>
      </c>
      <c r="H406" t="str">
        <f>IF(ISNA(_xlfn.XLOOKUP(B406, customer_master!$A$2:$A$1649, customer_master!$A$2:$A$1649)), "Orphan", "Valid")</f>
        <v>Valid</v>
      </c>
    </row>
    <row r="407" spans="1:8" x14ac:dyDescent="0.3">
      <c r="A407" s="1" t="s">
        <v>8425</v>
      </c>
      <c r="B407" s="1" t="s">
        <v>8426</v>
      </c>
      <c r="C407" s="41">
        <v>45841</v>
      </c>
      <c r="D407" s="1" t="s">
        <v>7879</v>
      </c>
      <c r="E407" s="1">
        <v>2</v>
      </c>
      <c r="F407" s="1" t="s">
        <v>30</v>
      </c>
      <c r="G407" s="1" t="s">
        <v>17</v>
      </c>
      <c r="H407" t="str">
        <f>IF(ISNA(_xlfn.XLOOKUP(B407, customer_master!$A$2:$A$1649, customer_master!$A$2:$A$1649)), "Orphan", "Valid")</f>
        <v>Orphan</v>
      </c>
    </row>
    <row r="408" spans="1:8" x14ac:dyDescent="0.3">
      <c r="A408" s="1" t="s">
        <v>8427</v>
      </c>
      <c r="B408" s="1" t="s">
        <v>901</v>
      </c>
      <c r="C408" s="41">
        <v>46261</v>
      </c>
      <c r="D408" s="1" t="s">
        <v>7899</v>
      </c>
      <c r="E408" s="1">
        <v>2</v>
      </c>
      <c r="F408" s="1" t="s">
        <v>30</v>
      </c>
      <c r="G408" s="1" t="s">
        <v>17</v>
      </c>
      <c r="H408" t="str">
        <f>IF(ISNA(_xlfn.XLOOKUP(B408, customer_master!$A$2:$A$1649, customer_master!$A$2:$A$1649)), "Orphan", "Valid")</f>
        <v>Valid</v>
      </c>
    </row>
    <row r="409" spans="1:8" x14ac:dyDescent="0.3">
      <c r="A409" s="1" t="s">
        <v>8428</v>
      </c>
      <c r="B409" s="1" t="s">
        <v>3008</v>
      </c>
      <c r="C409" s="41">
        <v>45997</v>
      </c>
      <c r="D409" s="1" t="s">
        <v>7884</v>
      </c>
      <c r="E409" s="1">
        <v>2</v>
      </c>
      <c r="F409" s="1" t="s">
        <v>17</v>
      </c>
      <c r="G409" s="1" t="s">
        <v>17</v>
      </c>
      <c r="H409" t="str">
        <f>IF(ISNA(_xlfn.XLOOKUP(B409, customer_master!$A$2:$A$1649, customer_master!$A$2:$A$1649)), "Orphan", "Valid")</f>
        <v>Valid</v>
      </c>
    </row>
    <row r="410" spans="1:8" x14ac:dyDescent="0.3">
      <c r="A410" s="1" t="s">
        <v>8429</v>
      </c>
      <c r="B410" s="1" t="s">
        <v>2162</v>
      </c>
      <c r="C410" s="41">
        <v>46013</v>
      </c>
      <c r="D410" s="1" t="s">
        <v>7912</v>
      </c>
      <c r="E410" s="1">
        <v>4</v>
      </c>
      <c r="F410" s="1" t="s">
        <v>30</v>
      </c>
      <c r="G410" s="1" t="s">
        <v>17</v>
      </c>
      <c r="H410" t="str">
        <f>IF(ISNA(_xlfn.XLOOKUP(B410, customer_master!$A$2:$A$1649, customer_master!$A$2:$A$1649)), "Orphan", "Valid")</f>
        <v>Valid</v>
      </c>
    </row>
    <row r="411" spans="1:8" x14ac:dyDescent="0.3">
      <c r="A411" s="1" t="s">
        <v>8430</v>
      </c>
      <c r="B411" s="1" t="s">
        <v>1235</v>
      </c>
      <c r="C411" s="41">
        <v>45645</v>
      </c>
      <c r="D411" s="1" t="s">
        <v>7879</v>
      </c>
      <c r="E411" s="1">
        <v>2</v>
      </c>
      <c r="F411" s="1" t="s">
        <v>30</v>
      </c>
      <c r="G411" s="1" t="s">
        <v>17</v>
      </c>
      <c r="H411" t="str">
        <f>IF(ISNA(_xlfn.XLOOKUP(B411, customer_master!$A$2:$A$1649, customer_master!$A$2:$A$1649)), "Orphan", "Valid")</f>
        <v>Valid</v>
      </c>
    </row>
    <row r="412" spans="1:8" x14ac:dyDescent="0.3">
      <c r="A412" s="1" t="s">
        <v>8431</v>
      </c>
      <c r="B412" s="1" t="s">
        <v>2800</v>
      </c>
      <c r="C412" s="41">
        <v>45476</v>
      </c>
      <c r="D412" s="1" t="s">
        <v>7899</v>
      </c>
      <c r="E412" s="1">
        <v>2</v>
      </c>
      <c r="F412" s="1" t="s">
        <v>30</v>
      </c>
      <c r="G412" s="1" t="s">
        <v>30</v>
      </c>
      <c r="H412" t="str">
        <f>IF(ISNA(_xlfn.XLOOKUP(B412, customer_master!$A$2:$A$1649, customer_master!$A$2:$A$1649)), "Orphan", "Valid")</f>
        <v>Valid</v>
      </c>
    </row>
    <row r="413" spans="1:8" x14ac:dyDescent="0.3">
      <c r="A413" s="1" t="s">
        <v>8432</v>
      </c>
      <c r="B413" s="1" t="s">
        <v>8433</v>
      </c>
      <c r="C413" s="41">
        <v>45667</v>
      </c>
      <c r="D413" s="1" t="s">
        <v>7884</v>
      </c>
      <c r="E413" s="1">
        <v>3</v>
      </c>
      <c r="F413" s="1" t="s">
        <v>30</v>
      </c>
      <c r="G413" s="1" t="s">
        <v>30</v>
      </c>
      <c r="H413" t="str">
        <f>IF(ISNA(_xlfn.XLOOKUP(B413, customer_master!$A$2:$A$1649, customer_master!$A$2:$A$1649)), "Orphan", "Valid")</f>
        <v>Orphan</v>
      </c>
    </row>
    <row r="414" spans="1:8" x14ac:dyDescent="0.3">
      <c r="A414" s="1" t="s">
        <v>8434</v>
      </c>
      <c r="B414" s="1" t="s">
        <v>8435</v>
      </c>
      <c r="C414" s="41">
        <v>46138</v>
      </c>
      <c r="D414" s="1" t="s">
        <v>7906</v>
      </c>
      <c r="E414" s="1">
        <v>5</v>
      </c>
      <c r="F414" s="1" t="s">
        <v>30</v>
      </c>
      <c r="G414" s="1" t="s">
        <v>17</v>
      </c>
      <c r="H414" t="str">
        <f>IF(ISNA(_xlfn.XLOOKUP(B414, customer_master!$A$2:$A$1649, customer_master!$A$2:$A$1649)), "Orphan", "Valid")</f>
        <v>Orphan</v>
      </c>
    </row>
    <row r="415" spans="1:8" x14ac:dyDescent="0.3">
      <c r="A415" s="1" t="s">
        <v>8436</v>
      </c>
      <c r="B415" s="1" t="s">
        <v>228</v>
      </c>
      <c r="C415" s="41">
        <v>45982</v>
      </c>
      <c r="D415" s="1" t="s">
        <v>7879</v>
      </c>
      <c r="E415" s="1">
        <v>2</v>
      </c>
      <c r="F415" s="1" t="s">
        <v>30</v>
      </c>
      <c r="G415" s="1" t="s">
        <v>17</v>
      </c>
      <c r="H415" t="str">
        <f>IF(ISNA(_xlfn.XLOOKUP(B415, customer_master!$A$2:$A$1649, customer_master!$A$2:$A$1649)), "Orphan", "Valid")</f>
        <v>Valid</v>
      </c>
    </row>
    <row r="416" spans="1:8" x14ac:dyDescent="0.3">
      <c r="A416" s="1" t="s">
        <v>8437</v>
      </c>
      <c r="B416" s="1" t="s">
        <v>8438</v>
      </c>
      <c r="C416" s="41">
        <v>45885</v>
      </c>
      <c r="D416" s="1" t="s">
        <v>7879</v>
      </c>
      <c r="E416" s="1">
        <v>2</v>
      </c>
      <c r="F416" s="1" t="s">
        <v>30</v>
      </c>
      <c r="G416" s="1" t="s">
        <v>17</v>
      </c>
      <c r="H416" t="str">
        <f>IF(ISNA(_xlfn.XLOOKUP(B416, customer_master!$A$2:$A$1649, customer_master!$A$2:$A$1649)), "Orphan", "Valid")</f>
        <v>Orphan</v>
      </c>
    </row>
    <row r="417" spans="1:8" x14ac:dyDescent="0.3">
      <c r="A417" s="1" t="s">
        <v>8439</v>
      </c>
      <c r="B417" s="1" t="s">
        <v>2637</v>
      </c>
      <c r="C417" s="41">
        <v>45253</v>
      </c>
      <c r="D417" s="1" t="s">
        <v>7884</v>
      </c>
      <c r="E417" s="1">
        <v>2</v>
      </c>
      <c r="F417" s="1" t="s">
        <v>30</v>
      </c>
      <c r="G417" s="1" t="s">
        <v>17</v>
      </c>
      <c r="H417" t="str">
        <f>IF(ISNA(_xlfn.XLOOKUP(B417, customer_master!$A$2:$A$1649, customer_master!$A$2:$A$1649)), "Orphan", "Valid")</f>
        <v>Valid</v>
      </c>
    </row>
    <row r="418" spans="1:8" x14ac:dyDescent="0.3">
      <c r="A418" s="1" t="s">
        <v>8440</v>
      </c>
      <c r="B418" s="1" t="s">
        <v>222</v>
      </c>
      <c r="C418" s="41">
        <v>45883</v>
      </c>
      <c r="D418" s="1" t="s">
        <v>7896</v>
      </c>
      <c r="E418" s="1">
        <v>5</v>
      </c>
      <c r="F418" s="1" t="s">
        <v>30</v>
      </c>
      <c r="G418" s="1" t="s">
        <v>17</v>
      </c>
      <c r="H418" t="str">
        <f>IF(ISNA(_xlfn.XLOOKUP(B418, customer_master!$A$2:$A$1649, customer_master!$A$2:$A$1649)), "Orphan", "Valid")</f>
        <v>Valid</v>
      </c>
    </row>
    <row r="419" spans="1:8" x14ac:dyDescent="0.3">
      <c r="A419" s="1" t="s">
        <v>8441</v>
      </c>
      <c r="B419" s="1" t="s">
        <v>739</v>
      </c>
      <c r="C419" s="41">
        <v>45545</v>
      </c>
      <c r="D419" s="1" t="s">
        <v>7896</v>
      </c>
      <c r="E419" s="1">
        <v>4</v>
      </c>
      <c r="F419" s="1" t="s">
        <v>30</v>
      </c>
      <c r="G419" s="1" t="s">
        <v>17</v>
      </c>
      <c r="H419" t="str">
        <f>IF(ISNA(_xlfn.XLOOKUP(B419, customer_master!$A$2:$A$1649, customer_master!$A$2:$A$1649)), "Orphan", "Valid")</f>
        <v>Valid</v>
      </c>
    </row>
    <row r="420" spans="1:8" x14ac:dyDescent="0.3">
      <c r="A420" s="1" t="s">
        <v>8442</v>
      </c>
      <c r="B420" s="1" t="s">
        <v>1851</v>
      </c>
      <c r="C420" s="41">
        <v>45751</v>
      </c>
      <c r="D420" s="1" t="s">
        <v>7887</v>
      </c>
      <c r="E420" s="1">
        <v>2</v>
      </c>
      <c r="F420" s="1" t="s">
        <v>30</v>
      </c>
      <c r="G420" s="1" t="s">
        <v>17</v>
      </c>
      <c r="H420" t="str">
        <f>IF(ISNA(_xlfn.XLOOKUP(B420, customer_master!$A$2:$A$1649, customer_master!$A$2:$A$1649)), "Orphan", "Valid")</f>
        <v>Valid</v>
      </c>
    </row>
    <row r="421" spans="1:8" x14ac:dyDescent="0.3">
      <c r="A421" s="1" t="s">
        <v>8443</v>
      </c>
      <c r="B421" s="1" t="s">
        <v>8444</v>
      </c>
      <c r="C421" s="41">
        <v>45932</v>
      </c>
      <c r="D421" s="1" t="s">
        <v>7879</v>
      </c>
      <c r="E421" s="1">
        <v>2</v>
      </c>
      <c r="F421" s="1" t="s">
        <v>30</v>
      </c>
      <c r="G421" s="1" t="s">
        <v>17</v>
      </c>
      <c r="H421" t="str">
        <f>IF(ISNA(_xlfn.XLOOKUP(B421, customer_master!$A$2:$A$1649, customer_master!$A$2:$A$1649)), "Orphan", "Valid")</f>
        <v>Orphan</v>
      </c>
    </row>
    <row r="422" spans="1:8" x14ac:dyDescent="0.3">
      <c r="A422" s="1" t="s">
        <v>8445</v>
      </c>
      <c r="B422" s="1" t="s">
        <v>63</v>
      </c>
      <c r="C422" s="41">
        <v>46071</v>
      </c>
      <c r="D422" s="1" t="s">
        <v>7912</v>
      </c>
      <c r="E422" s="1">
        <v>4</v>
      </c>
      <c r="F422" s="1" t="s">
        <v>30</v>
      </c>
      <c r="G422" s="1" t="s">
        <v>30</v>
      </c>
      <c r="H422" t="str">
        <f>IF(ISNA(_xlfn.XLOOKUP(B422, customer_master!$A$2:$A$1649, customer_master!$A$2:$A$1649)), "Orphan", "Valid")</f>
        <v>Valid</v>
      </c>
    </row>
    <row r="423" spans="1:8" x14ac:dyDescent="0.3">
      <c r="A423" s="1" t="s">
        <v>8446</v>
      </c>
      <c r="B423" s="1" t="s">
        <v>2625</v>
      </c>
      <c r="C423" s="41">
        <v>45646</v>
      </c>
      <c r="D423" s="1" t="s">
        <v>7877</v>
      </c>
      <c r="E423" s="1">
        <v>2</v>
      </c>
      <c r="F423" s="1" t="s">
        <v>30</v>
      </c>
      <c r="G423" s="1" t="s">
        <v>17</v>
      </c>
      <c r="H423" t="str">
        <f>IF(ISNA(_xlfn.XLOOKUP(B423, customer_master!$A$2:$A$1649, customer_master!$A$2:$A$1649)), "Orphan", "Valid")</f>
        <v>Valid</v>
      </c>
    </row>
    <row r="424" spans="1:8" x14ac:dyDescent="0.3">
      <c r="A424" s="1" t="s">
        <v>8447</v>
      </c>
      <c r="B424" s="1" t="s">
        <v>8448</v>
      </c>
      <c r="C424" s="41">
        <v>45196</v>
      </c>
      <c r="D424" s="1" t="s">
        <v>7896</v>
      </c>
      <c r="E424" s="1">
        <v>5</v>
      </c>
      <c r="F424" s="1" t="s">
        <v>30</v>
      </c>
      <c r="G424" s="1" t="s">
        <v>17</v>
      </c>
      <c r="H424" t="str">
        <f>IF(ISNA(_xlfn.XLOOKUP(B424, customer_master!$A$2:$A$1649, customer_master!$A$2:$A$1649)), "Orphan", "Valid")</f>
        <v>Orphan</v>
      </c>
    </row>
    <row r="425" spans="1:8" x14ac:dyDescent="0.3">
      <c r="A425" s="1" t="s">
        <v>8449</v>
      </c>
      <c r="B425" s="1" t="s">
        <v>8450</v>
      </c>
      <c r="C425" s="41">
        <v>45802</v>
      </c>
      <c r="D425" s="1" t="s">
        <v>7884</v>
      </c>
      <c r="E425" s="1">
        <v>2</v>
      </c>
      <c r="F425" s="1" t="s">
        <v>30</v>
      </c>
      <c r="G425" s="1" t="s">
        <v>17</v>
      </c>
      <c r="H425" t="str">
        <f>IF(ISNA(_xlfn.XLOOKUP(B425, customer_master!$A$2:$A$1649, customer_master!$A$2:$A$1649)), "Orphan", "Valid")</f>
        <v>Orphan</v>
      </c>
    </row>
    <row r="426" spans="1:8" x14ac:dyDescent="0.3">
      <c r="A426" s="1" t="s">
        <v>8451</v>
      </c>
      <c r="B426" s="1" t="s">
        <v>8452</v>
      </c>
      <c r="C426" s="41">
        <v>45179</v>
      </c>
      <c r="D426" s="1" t="s">
        <v>7896</v>
      </c>
      <c r="E426" s="1">
        <v>4</v>
      </c>
      <c r="F426" s="1" t="s">
        <v>30</v>
      </c>
      <c r="G426" s="1" t="s">
        <v>30</v>
      </c>
      <c r="H426" t="str">
        <f>IF(ISNA(_xlfn.XLOOKUP(B426, customer_master!$A$2:$A$1649, customer_master!$A$2:$A$1649)), "Orphan", "Valid")</f>
        <v>Orphan</v>
      </c>
    </row>
    <row r="427" spans="1:8" x14ac:dyDescent="0.3">
      <c r="A427" s="1" t="s">
        <v>8453</v>
      </c>
      <c r="B427" s="1" t="s">
        <v>1535</v>
      </c>
      <c r="C427" s="41">
        <v>46080</v>
      </c>
      <c r="D427" s="1" t="s">
        <v>7879</v>
      </c>
      <c r="E427" s="1">
        <v>2</v>
      </c>
      <c r="F427" s="1" t="s">
        <v>17</v>
      </c>
      <c r="G427" s="1" t="s">
        <v>17</v>
      </c>
      <c r="H427" t="str">
        <f>IF(ISNA(_xlfn.XLOOKUP(B427, customer_master!$A$2:$A$1649, customer_master!$A$2:$A$1649)), "Orphan", "Valid")</f>
        <v>Valid</v>
      </c>
    </row>
    <row r="428" spans="1:8" x14ac:dyDescent="0.3">
      <c r="A428" s="1" t="s">
        <v>8454</v>
      </c>
      <c r="B428" s="1" t="s">
        <v>751</v>
      </c>
      <c r="C428" s="41">
        <v>45193</v>
      </c>
      <c r="D428" s="1" t="s">
        <v>7881</v>
      </c>
      <c r="E428" s="1">
        <v>4</v>
      </c>
      <c r="F428" s="1" t="s">
        <v>17</v>
      </c>
      <c r="G428" s="1" t="s">
        <v>30</v>
      </c>
      <c r="H428" t="str">
        <f>IF(ISNA(_xlfn.XLOOKUP(B428, customer_master!$A$2:$A$1649, customer_master!$A$2:$A$1649)), "Orphan", "Valid")</f>
        <v>Valid</v>
      </c>
    </row>
    <row r="429" spans="1:8" x14ac:dyDescent="0.3">
      <c r="A429" s="1" t="s">
        <v>8455</v>
      </c>
      <c r="B429" s="1" t="s">
        <v>8456</v>
      </c>
      <c r="C429" s="41">
        <v>45419</v>
      </c>
      <c r="D429" s="1" t="s">
        <v>7906</v>
      </c>
      <c r="E429" s="1">
        <v>5</v>
      </c>
      <c r="F429" s="1" t="s">
        <v>30</v>
      </c>
      <c r="G429" s="1" t="s">
        <v>17</v>
      </c>
      <c r="H429" t="str">
        <f>IF(ISNA(_xlfn.XLOOKUP(B429, customer_master!$A$2:$A$1649, customer_master!$A$2:$A$1649)), "Orphan", "Valid")</f>
        <v>Orphan</v>
      </c>
    </row>
    <row r="430" spans="1:8" x14ac:dyDescent="0.3">
      <c r="A430" s="1" t="s">
        <v>8457</v>
      </c>
      <c r="B430" s="1" t="s">
        <v>2129</v>
      </c>
      <c r="C430" s="41">
        <v>45641</v>
      </c>
      <c r="D430" s="1" t="s">
        <v>7906</v>
      </c>
      <c r="E430" s="1">
        <v>5</v>
      </c>
      <c r="F430" s="1" t="s">
        <v>30</v>
      </c>
      <c r="G430" s="1" t="s">
        <v>17</v>
      </c>
      <c r="H430" t="str">
        <f>IF(ISNA(_xlfn.XLOOKUP(B430, customer_master!$A$2:$A$1649, customer_master!$A$2:$A$1649)), "Orphan", "Valid")</f>
        <v>Valid</v>
      </c>
    </row>
    <row r="431" spans="1:8" x14ac:dyDescent="0.3">
      <c r="A431" s="1" t="s">
        <v>8458</v>
      </c>
      <c r="B431" s="1" t="s">
        <v>8459</v>
      </c>
      <c r="C431" s="41">
        <v>45456</v>
      </c>
      <c r="D431" s="1" t="s">
        <v>7896</v>
      </c>
      <c r="E431" s="1">
        <v>5</v>
      </c>
      <c r="F431" s="1" t="s">
        <v>30</v>
      </c>
      <c r="G431" s="1" t="s">
        <v>30</v>
      </c>
      <c r="H431" t="str">
        <f>IF(ISNA(_xlfn.XLOOKUP(B431, customer_master!$A$2:$A$1649, customer_master!$A$2:$A$1649)), "Orphan", "Valid")</f>
        <v>Orphan</v>
      </c>
    </row>
    <row r="432" spans="1:8" x14ac:dyDescent="0.3">
      <c r="A432" s="1" t="s">
        <v>8460</v>
      </c>
      <c r="B432" s="1" t="s">
        <v>1291</v>
      </c>
      <c r="C432" s="41">
        <v>45417</v>
      </c>
      <c r="D432" s="1" t="s">
        <v>7912</v>
      </c>
      <c r="E432" s="1">
        <v>5</v>
      </c>
      <c r="F432" s="1" t="s">
        <v>17</v>
      </c>
      <c r="G432" s="1" t="s">
        <v>17</v>
      </c>
      <c r="H432" t="str">
        <f>IF(ISNA(_xlfn.XLOOKUP(B432, customer_master!$A$2:$A$1649, customer_master!$A$2:$A$1649)), "Orphan", "Valid")</f>
        <v>Valid</v>
      </c>
    </row>
    <row r="433" spans="1:8" x14ac:dyDescent="0.3">
      <c r="A433" s="1" t="s">
        <v>8461</v>
      </c>
      <c r="B433" s="1" t="s">
        <v>972</v>
      </c>
      <c r="C433" s="41">
        <v>45912</v>
      </c>
      <c r="D433" s="1" t="s">
        <v>7912</v>
      </c>
      <c r="E433" s="1">
        <v>4</v>
      </c>
      <c r="F433" s="1" t="s">
        <v>17</v>
      </c>
      <c r="G433" s="1" t="s">
        <v>30</v>
      </c>
      <c r="H433" t="str">
        <f>IF(ISNA(_xlfn.XLOOKUP(B433, customer_master!$A$2:$A$1649, customer_master!$A$2:$A$1649)), "Orphan", "Valid")</f>
        <v>Valid</v>
      </c>
    </row>
    <row r="434" spans="1:8" x14ac:dyDescent="0.3">
      <c r="A434" s="1" t="s">
        <v>8462</v>
      </c>
      <c r="B434" s="1" t="s">
        <v>2404</v>
      </c>
      <c r="C434" s="41">
        <v>45530</v>
      </c>
      <c r="D434" s="1" t="s">
        <v>7899</v>
      </c>
      <c r="E434" s="1">
        <v>2</v>
      </c>
      <c r="F434" s="1" t="s">
        <v>17</v>
      </c>
      <c r="G434" s="1" t="s">
        <v>17</v>
      </c>
      <c r="H434" t="str">
        <f>IF(ISNA(_xlfn.XLOOKUP(B434, customer_master!$A$2:$A$1649, customer_master!$A$2:$A$1649)), "Orphan", "Valid")</f>
        <v>Valid</v>
      </c>
    </row>
    <row r="435" spans="1:8" x14ac:dyDescent="0.3">
      <c r="A435" s="1" t="s">
        <v>8463</v>
      </c>
      <c r="B435" s="1" t="s">
        <v>2360</v>
      </c>
      <c r="C435" s="41">
        <v>45674</v>
      </c>
      <c r="D435" s="1" t="s">
        <v>7881</v>
      </c>
      <c r="E435" s="1">
        <v>4</v>
      </c>
      <c r="F435" s="1" t="s">
        <v>17</v>
      </c>
      <c r="G435" s="1" t="s">
        <v>17</v>
      </c>
      <c r="H435" t="str">
        <f>IF(ISNA(_xlfn.XLOOKUP(B435, customer_master!$A$2:$A$1649, customer_master!$A$2:$A$1649)), "Orphan", "Valid")</f>
        <v>Valid</v>
      </c>
    </row>
    <row r="436" spans="1:8" x14ac:dyDescent="0.3">
      <c r="A436" s="1" t="s">
        <v>8464</v>
      </c>
      <c r="B436" s="1" t="s">
        <v>2064</v>
      </c>
      <c r="C436" s="41">
        <v>45902</v>
      </c>
      <c r="D436" s="1" t="s">
        <v>7912</v>
      </c>
      <c r="E436" s="1">
        <v>5</v>
      </c>
      <c r="F436" s="1" t="s">
        <v>30</v>
      </c>
      <c r="G436" s="1" t="s">
        <v>17</v>
      </c>
      <c r="H436" t="str">
        <f>IF(ISNA(_xlfn.XLOOKUP(B436, customer_master!$A$2:$A$1649, customer_master!$A$2:$A$1649)), "Orphan", "Valid")</f>
        <v>Valid</v>
      </c>
    </row>
    <row r="437" spans="1:8" x14ac:dyDescent="0.3">
      <c r="A437" s="1" t="s">
        <v>8465</v>
      </c>
      <c r="B437" s="1" t="s">
        <v>8466</v>
      </c>
      <c r="C437" s="41">
        <v>46016</v>
      </c>
      <c r="D437" s="1" t="s">
        <v>7887</v>
      </c>
      <c r="E437" s="1">
        <v>2</v>
      </c>
      <c r="F437" s="1" t="s">
        <v>30</v>
      </c>
      <c r="G437" s="1" t="s">
        <v>17</v>
      </c>
      <c r="H437" t="str">
        <f>IF(ISNA(_xlfn.XLOOKUP(B437, customer_master!$A$2:$A$1649, customer_master!$A$2:$A$1649)), "Orphan", "Valid")</f>
        <v>Orphan</v>
      </c>
    </row>
    <row r="438" spans="1:8" x14ac:dyDescent="0.3">
      <c r="A438" s="1" t="s">
        <v>8467</v>
      </c>
      <c r="B438" s="1" t="s">
        <v>1990</v>
      </c>
      <c r="C438" s="41">
        <v>45802</v>
      </c>
      <c r="D438" s="1" t="s">
        <v>7884</v>
      </c>
      <c r="E438" s="1">
        <v>3</v>
      </c>
      <c r="F438" s="1" t="s">
        <v>17</v>
      </c>
      <c r="G438" s="1" t="s">
        <v>17</v>
      </c>
      <c r="H438" t="str">
        <f>IF(ISNA(_xlfn.XLOOKUP(B438, customer_master!$A$2:$A$1649, customer_master!$A$2:$A$1649)), "Orphan", "Valid")</f>
        <v>Valid</v>
      </c>
    </row>
    <row r="439" spans="1:8" x14ac:dyDescent="0.3">
      <c r="A439" s="1" t="s">
        <v>8468</v>
      </c>
      <c r="B439" s="1" t="s">
        <v>8469</v>
      </c>
      <c r="C439" s="41">
        <v>45561</v>
      </c>
      <c r="D439" s="1" t="s">
        <v>7896</v>
      </c>
      <c r="E439" s="1">
        <v>4</v>
      </c>
      <c r="F439" s="1" t="s">
        <v>30</v>
      </c>
      <c r="G439" s="1" t="s">
        <v>17</v>
      </c>
      <c r="H439" t="str">
        <f>IF(ISNA(_xlfn.XLOOKUP(B439, customer_master!$A$2:$A$1649, customer_master!$A$2:$A$1649)), "Orphan", "Valid")</f>
        <v>Orphan</v>
      </c>
    </row>
    <row r="440" spans="1:8" x14ac:dyDescent="0.3">
      <c r="A440" s="1" t="s">
        <v>8470</v>
      </c>
      <c r="B440" s="1" t="s">
        <v>8471</v>
      </c>
      <c r="C440" s="41">
        <v>46137</v>
      </c>
      <c r="D440" s="1" t="s">
        <v>7906</v>
      </c>
      <c r="E440" s="1">
        <v>5</v>
      </c>
      <c r="F440" s="1" t="s">
        <v>30</v>
      </c>
      <c r="G440" s="1" t="s">
        <v>17</v>
      </c>
      <c r="H440" t="str">
        <f>IF(ISNA(_xlfn.XLOOKUP(B440, customer_master!$A$2:$A$1649, customer_master!$A$2:$A$1649)), "Orphan", "Valid")</f>
        <v>Orphan</v>
      </c>
    </row>
    <row r="441" spans="1:8" x14ac:dyDescent="0.3">
      <c r="A441" s="1" t="s">
        <v>8472</v>
      </c>
      <c r="B441" s="1" t="s">
        <v>395</v>
      </c>
      <c r="C441" s="41">
        <v>46123</v>
      </c>
      <c r="D441" s="1" t="s">
        <v>7879</v>
      </c>
      <c r="E441" s="1">
        <v>2</v>
      </c>
      <c r="F441" s="1" t="s">
        <v>30</v>
      </c>
      <c r="G441" s="1" t="s">
        <v>17</v>
      </c>
      <c r="H441" t="str">
        <f>IF(ISNA(_xlfn.XLOOKUP(B441, customer_master!$A$2:$A$1649, customer_master!$A$2:$A$1649)), "Orphan", "Valid")</f>
        <v>Valid</v>
      </c>
    </row>
    <row r="442" spans="1:8" x14ac:dyDescent="0.3">
      <c r="A442" s="1" t="s">
        <v>8473</v>
      </c>
      <c r="B442" s="1" t="s">
        <v>260</v>
      </c>
      <c r="C442" s="41">
        <v>45340</v>
      </c>
      <c r="D442" s="1" t="s">
        <v>7887</v>
      </c>
      <c r="E442" s="1">
        <v>2</v>
      </c>
      <c r="F442" s="1" t="s">
        <v>17</v>
      </c>
      <c r="G442" s="1" t="s">
        <v>30</v>
      </c>
      <c r="H442" t="str">
        <f>IF(ISNA(_xlfn.XLOOKUP(B442, customer_master!$A$2:$A$1649, customer_master!$A$2:$A$1649)), "Orphan", "Valid")</f>
        <v>Valid</v>
      </c>
    </row>
    <row r="443" spans="1:8" x14ac:dyDescent="0.3">
      <c r="A443" s="1" t="s">
        <v>8474</v>
      </c>
      <c r="B443" s="1" t="s">
        <v>8475</v>
      </c>
      <c r="C443" s="41">
        <v>46020</v>
      </c>
      <c r="D443" s="1" t="s">
        <v>7889</v>
      </c>
      <c r="E443" s="1">
        <v>4</v>
      </c>
      <c r="F443" s="1" t="s">
        <v>30</v>
      </c>
      <c r="G443" s="1" t="s">
        <v>17</v>
      </c>
      <c r="H443" t="str">
        <f>IF(ISNA(_xlfn.XLOOKUP(B443, customer_master!$A$2:$A$1649, customer_master!$A$2:$A$1649)), "Orphan", "Valid")</f>
        <v>Orphan</v>
      </c>
    </row>
    <row r="444" spans="1:8" x14ac:dyDescent="0.3">
      <c r="A444" s="1" t="s">
        <v>8476</v>
      </c>
      <c r="B444" s="1" t="s">
        <v>8477</v>
      </c>
      <c r="C444" s="41">
        <v>45398</v>
      </c>
      <c r="D444" s="1" t="s">
        <v>7879</v>
      </c>
      <c r="E444" s="1">
        <v>2</v>
      </c>
      <c r="F444" s="1" t="s">
        <v>17</v>
      </c>
      <c r="G444" s="1" t="s">
        <v>17</v>
      </c>
      <c r="H444" t="str">
        <f>IF(ISNA(_xlfn.XLOOKUP(B444, customer_master!$A$2:$A$1649, customer_master!$A$2:$A$1649)), "Orphan", "Valid")</f>
        <v>Orphan</v>
      </c>
    </row>
    <row r="445" spans="1:8" x14ac:dyDescent="0.3">
      <c r="A445" s="1" t="s">
        <v>8478</v>
      </c>
      <c r="B445" s="1" t="s">
        <v>2466</v>
      </c>
      <c r="C445" s="41">
        <v>45372</v>
      </c>
      <c r="D445" s="1" t="s">
        <v>7884</v>
      </c>
      <c r="E445" s="1">
        <v>3</v>
      </c>
      <c r="F445" s="1" t="s">
        <v>30</v>
      </c>
      <c r="G445" s="1" t="s">
        <v>30</v>
      </c>
      <c r="H445" t="str">
        <f>IF(ISNA(_xlfn.XLOOKUP(B445, customer_master!$A$2:$A$1649, customer_master!$A$2:$A$1649)), "Orphan", "Valid")</f>
        <v>Valid</v>
      </c>
    </row>
    <row r="446" spans="1:8" x14ac:dyDescent="0.3">
      <c r="A446" s="1" t="s">
        <v>8479</v>
      </c>
      <c r="B446" s="1" t="s">
        <v>2676</v>
      </c>
      <c r="C446" s="41">
        <v>45201</v>
      </c>
      <c r="D446" s="1" t="s">
        <v>7906</v>
      </c>
      <c r="E446" s="1">
        <v>5</v>
      </c>
      <c r="F446" s="1" t="s">
        <v>30</v>
      </c>
      <c r="G446" s="1" t="s">
        <v>17</v>
      </c>
      <c r="H446" t="str">
        <f>IF(ISNA(_xlfn.XLOOKUP(B446, customer_master!$A$2:$A$1649, customer_master!$A$2:$A$1649)), "Orphan", "Valid")</f>
        <v>Valid</v>
      </c>
    </row>
    <row r="447" spans="1:8" x14ac:dyDescent="0.3">
      <c r="A447" s="1" t="s">
        <v>8480</v>
      </c>
      <c r="B447" s="1" t="s">
        <v>449</v>
      </c>
      <c r="C447" s="41">
        <v>45832</v>
      </c>
      <c r="D447" s="1" t="s">
        <v>7896</v>
      </c>
      <c r="E447" s="1">
        <v>4</v>
      </c>
      <c r="F447" s="1" t="s">
        <v>30</v>
      </c>
      <c r="G447" s="1" t="s">
        <v>17</v>
      </c>
      <c r="H447" t="str">
        <f>IF(ISNA(_xlfn.XLOOKUP(B447, customer_master!$A$2:$A$1649, customer_master!$A$2:$A$1649)), "Orphan", "Valid")</f>
        <v>Valid</v>
      </c>
    </row>
    <row r="448" spans="1:8" x14ac:dyDescent="0.3">
      <c r="A448" s="1" t="s">
        <v>8481</v>
      </c>
      <c r="B448" s="1" t="s">
        <v>8482</v>
      </c>
      <c r="C448" s="41">
        <v>46098</v>
      </c>
      <c r="D448" s="1" t="s">
        <v>7889</v>
      </c>
      <c r="E448" s="1">
        <v>5</v>
      </c>
      <c r="F448" s="1" t="s">
        <v>30</v>
      </c>
      <c r="G448" s="1" t="s">
        <v>30</v>
      </c>
      <c r="H448" t="str">
        <f>IF(ISNA(_xlfn.XLOOKUP(B448, customer_master!$A$2:$A$1649, customer_master!$A$2:$A$1649)), "Orphan", "Valid")</f>
        <v>Orphan</v>
      </c>
    </row>
    <row r="449" spans="1:8" x14ac:dyDescent="0.3">
      <c r="A449" s="1" t="s">
        <v>8483</v>
      </c>
      <c r="B449" s="1" t="s">
        <v>2414</v>
      </c>
      <c r="C449" s="41">
        <v>46027</v>
      </c>
      <c r="D449" s="1" t="s">
        <v>7881</v>
      </c>
      <c r="E449" s="1">
        <v>4</v>
      </c>
      <c r="F449" s="1" t="s">
        <v>17</v>
      </c>
      <c r="G449" s="1" t="s">
        <v>30</v>
      </c>
      <c r="H449" t="str">
        <f>IF(ISNA(_xlfn.XLOOKUP(B449, customer_master!$A$2:$A$1649, customer_master!$A$2:$A$1649)), "Orphan", "Valid")</f>
        <v>Valid</v>
      </c>
    </row>
    <row r="450" spans="1:8" x14ac:dyDescent="0.3">
      <c r="A450" s="1" t="s">
        <v>8484</v>
      </c>
      <c r="B450" s="1" t="s">
        <v>626</v>
      </c>
      <c r="C450" s="41">
        <v>45764</v>
      </c>
      <c r="D450" s="1" t="s">
        <v>7877</v>
      </c>
      <c r="E450" s="1">
        <v>2</v>
      </c>
      <c r="F450" s="1" t="s">
        <v>30</v>
      </c>
      <c r="G450" s="1" t="s">
        <v>17</v>
      </c>
      <c r="H450" t="str">
        <f>IF(ISNA(_xlfn.XLOOKUP(B450, customer_master!$A$2:$A$1649, customer_master!$A$2:$A$1649)), "Orphan", "Valid")</f>
        <v>Valid</v>
      </c>
    </row>
    <row r="451" spans="1:8" x14ac:dyDescent="0.3">
      <c r="A451" s="1" t="s">
        <v>8485</v>
      </c>
      <c r="B451" s="1" t="s">
        <v>154</v>
      </c>
      <c r="C451" s="41">
        <v>46219</v>
      </c>
      <c r="D451" s="1" t="s">
        <v>7912</v>
      </c>
      <c r="E451" s="1">
        <v>5</v>
      </c>
      <c r="F451" s="1" t="s">
        <v>30</v>
      </c>
      <c r="G451" s="1" t="s">
        <v>17</v>
      </c>
      <c r="H451" t="str">
        <f>IF(ISNA(_xlfn.XLOOKUP(B451, customer_master!$A$2:$A$1649, customer_master!$A$2:$A$1649)), "Orphan", "Valid")</f>
        <v>Valid</v>
      </c>
    </row>
    <row r="452" spans="1:8" x14ac:dyDescent="0.3">
      <c r="A452" s="1" t="s">
        <v>8486</v>
      </c>
      <c r="B452" s="1" t="s">
        <v>791</v>
      </c>
      <c r="C452" s="41">
        <v>45531</v>
      </c>
      <c r="D452" s="1" t="s">
        <v>7906</v>
      </c>
      <c r="E452" s="1">
        <v>5</v>
      </c>
      <c r="F452" s="1" t="s">
        <v>30</v>
      </c>
      <c r="G452" s="1" t="s">
        <v>17</v>
      </c>
      <c r="H452" t="str">
        <f>IF(ISNA(_xlfn.XLOOKUP(B452, customer_master!$A$2:$A$1649, customer_master!$A$2:$A$1649)), "Orphan", "Valid")</f>
        <v>Valid</v>
      </c>
    </row>
    <row r="453" spans="1:8" x14ac:dyDescent="0.3">
      <c r="A453" s="1" t="s">
        <v>8487</v>
      </c>
      <c r="B453" s="1" t="s">
        <v>1461</v>
      </c>
      <c r="C453" s="41">
        <v>45518</v>
      </c>
      <c r="D453" s="1" t="s">
        <v>7906</v>
      </c>
      <c r="E453" s="1">
        <v>5</v>
      </c>
      <c r="F453" s="1" t="s">
        <v>30</v>
      </c>
      <c r="G453" s="1" t="s">
        <v>17</v>
      </c>
      <c r="H453" t="str">
        <f>IF(ISNA(_xlfn.XLOOKUP(B453, customer_master!$A$2:$A$1649, customer_master!$A$2:$A$1649)), "Orphan", "Valid")</f>
        <v>Valid</v>
      </c>
    </row>
    <row r="454" spans="1:8" x14ac:dyDescent="0.3">
      <c r="A454" s="1" t="s">
        <v>8488</v>
      </c>
      <c r="B454" s="1" t="s">
        <v>8489</v>
      </c>
      <c r="C454" s="41">
        <v>45425</v>
      </c>
      <c r="D454" s="1" t="s">
        <v>7879</v>
      </c>
      <c r="E454" s="1">
        <v>2</v>
      </c>
      <c r="F454" s="1" t="s">
        <v>30</v>
      </c>
      <c r="G454" s="1" t="s">
        <v>17</v>
      </c>
      <c r="H454" t="str">
        <f>IF(ISNA(_xlfn.XLOOKUP(B454, customer_master!$A$2:$A$1649, customer_master!$A$2:$A$1649)), "Orphan", "Valid")</f>
        <v>Orphan</v>
      </c>
    </row>
    <row r="455" spans="1:8" x14ac:dyDescent="0.3">
      <c r="A455" s="1" t="s">
        <v>8490</v>
      </c>
      <c r="B455" s="1" t="s">
        <v>2875</v>
      </c>
      <c r="C455" s="41">
        <v>45401</v>
      </c>
      <c r="D455" s="1" t="s">
        <v>7877</v>
      </c>
      <c r="E455" s="1">
        <v>2</v>
      </c>
      <c r="F455" s="1" t="s">
        <v>17</v>
      </c>
      <c r="G455" s="1" t="s">
        <v>17</v>
      </c>
      <c r="H455" t="str">
        <f>IF(ISNA(_xlfn.XLOOKUP(B455, customer_master!$A$2:$A$1649, customer_master!$A$2:$A$1649)), "Orphan", "Valid")</f>
        <v>Valid</v>
      </c>
    </row>
    <row r="456" spans="1:8" x14ac:dyDescent="0.3">
      <c r="A456" s="1" t="s">
        <v>8491</v>
      </c>
      <c r="B456" s="1" t="s">
        <v>8492</v>
      </c>
      <c r="C456" s="41">
        <v>45505</v>
      </c>
      <c r="D456" s="1" t="s">
        <v>7887</v>
      </c>
      <c r="E456" s="1">
        <v>2</v>
      </c>
      <c r="F456" s="1" t="s">
        <v>30</v>
      </c>
      <c r="G456" s="1" t="s">
        <v>30</v>
      </c>
      <c r="H456" t="str">
        <f>IF(ISNA(_xlfn.XLOOKUP(B456, customer_master!$A$2:$A$1649, customer_master!$A$2:$A$1649)), "Orphan", "Valid")</f>
        <v>Orphan</v>
      </c>
    </row>
    <row r="457" spans="1:8" x14ac:dyDescent="0.3">
      <c r="A457" s="1" t="s">
        <v>8493</v>
      </c>
      <c r="B457" s="1" t="s">
        <v>2603</v>
      </c>
      <c r="C457" s="41">
        <v>45638</v>
      </c>
      <c r="D457" s="1" t="s">
        <v>7887</v>
      </c>
      <c r="E457" s="1">
        <v>2</v>
      </c>
      <c r="F457" s="1" t="s">
        <v>17</v>
      </c>
      <c r="G457" s="1" t="s">
        <v>30</v>
      </c>
      <c r="H457" t="str">
        <f>IF(ISNA(_xlfn.XLOOKUP(B457, customer_master!$A$2:$A$1649, customer_master!$A$2:$A$1649)), "Orphan", "Valid")</f>
        <v>Valid</v>
      </c>
    </row>
    <row r="458" spans="1:8" x14ac:dyDescent="0.3">
      <c r="A458" s="1" t="s">
        <v>8494</v>
      </c>
      <c r="B458" s="1" t="s">
        <v>1083</v>
      </c>
      <c r="C458" s="41">
        <v>45470</v>
      </c>
      <c r="D458" s="1" t="s">
        <v>7912</v>
      </c>
      <c r="E458" s="1">
        <v>4</v>
      </c>
      <c r="F458" s="1" t="s">
        <v>17</v>
      </c>
      <c r="G458" s="1" t="s">
        <v>17</v>
      </c>
      <c r="H458" t="str">
        <f>IF(ISNA(_xlfn.XLOOKUP(B458, customer_master!$A$2:$A$1649, customer_master!$A$2:$A$1649)), "Orphan", "Valid")</f>
        <v>Valid</v>
      </c>
    </row>
    <row r="459" spans="1:8" x14ac:dyDescent="0.3">
      <c r="A459" s="1" t="s">
        <v>8495</v>
      </c>
      <c r="B459" s="1" t="s">
        <v>8496</v>
      </c>
      <c r="C459" s="41">
        <v>46199</v>
      </c>
      <c r="D459" s="1" t="s">
        <v>7912</v>
      </c>
      <c r="E459" s="1">
        <v>5</v>
      </c>
      <c r="F459" s="1" t="s">
        <v>17</v>
      </c>
      <c r="G459" s="1" t="s">
        <v>17</v>
      </c>
      <c r="H459" t="str">
        <f>IF(ISNA(_xlfn.XLOOKUP(B459, customer_master!$A$2:$A$1649, customer_master!$A$2:$A$1649)), "Orphan", "Valid")</f>
        <v>Orphan</v>
      </c>
    </row>
    <row r="460" spans="1:8" x14ac:dyDescent="0.3">
      <c r="A460" s="1" t="s">
        <v>8497</v>
      </c>
      <c r="B460" s="1" t="s">
        <v>8498</v>
      </c>
      <c r="C460" s="41">
        <v>45411</v>
      </c>
      <c r="D460" s="1" t="s">
        <v>7896</v>
      </c>
      <c r="E460" s="1">
        <v>5</v>
      </c>
      <c r="F460" s="1" t="s">
        <v>30</v>
      </c>
      <c r="G460" s="1" t="s">
        <v>17</v>
      </c>
      <c r="H460" t="str">
        <f>IF(ISNA(_xlfn.XLOOKUP(B460, customer_master!$A$2:$A$1649, customer_master!$A$2:$A$1649)), "Orphan", "Valid")</f>
        <v>Orphan</v>
      </c>
    </row>
    <row r="461" spans="1:8" x14ac:dyDescent="0.3">
      <c r="A461" s="1" t="s">
        <v>8499</v>
      </c>
      <c r="B461" s="1" t="s">
        <v>8500</v>
      </c>
      <c r="C461" s="41">
        <v>45562</v>
      </c>
      <c r="D461" s="1" t="s">
        <v>7899</v>
      </c>
      <c r="E461" s="1">
        <v>2</v>
      </c>
      <c r="F461" s="1" t="s">
        <v>17</v>
      </c>
      <c r="G461" s="1" t="s">
        <v>30</v>
      </c>
      <c r="H461" t="str">
        <f>IF(ISNA(_xlfn.XLOOKUP(B461, customer_master!$A$2:$A$1649, customer_master!$A$2:$A$1649)), "Orphan", "Valid")</f>
        <v>Orphan</v>
      </c>
    </row>
    <row r="462" spans="1:8" x14ac:dyDescent="0.3">
      <c r="A462" s="1" t="s">
        <v>8501</v>
      </c>
      <c r="B462" s="1" t="s">
        <v>8502</v>
      </c>
      <c r="C462" s="41">
        <v>45323</v>
      </c>
      <c r="D462" s="1" t="s">
        <v>7887</v>
      </c>
      <c r="E462" s="1">
        <v>2</v>
      </c>
      <c r="F462" s="1" t="s">
        <v>17</v>
      </c>
      <c r="G462" s="1" t="s">
        <v>17</v>
      </c>
      <c r="H462" t="str">
        <f>IF(ISNA(_xlfn.XLOOKUP(B462, customer_master!$A$2:$A$1649, customer_master!$A$2:$A$1649)), "Orphan", "Valid")</f>
        <v>Orphan</v>
      </c>
    </row>
    <row r="463" spans="1:8" x14ac:dyDescent="0.3">
      <c r="A463" s="1" t="s">
        <v>8503</v>
      </c>
      <c r="B463" s="1" t="s">
        <v>491</v>
      </c>
      <c r="C463" s="41">
        <v>46158</v>
      </c>
      <c r="D463" s="1" t="s">
        <v>7906</v>
      </c>
      <c r="E463" s="1">
        <v>5</v>
      </c>
      <c r="F463" s="1" t="s">
        <v>17</v>
      </c>
      <c r="G463" s="1" t="s">
        <v>17</v>
      </c>
      <c r="H463" t="str">
        <f>IF(ISNA(_xlfn.XLOOKUP(B463, customer_master!$A$2:$A$1649, customer_master!$A$2:$A$1649)), "Orphan", "Valid")</f>
        <v>Valid</v>
      </c>
    </row>
    <row r="464" spans="1:8" x14ac:dyDescent="0.3">
      <c r="A464" s="1" t="s">
        <v>8504</v>
      </c>
      <c r="B464" s="1" t="s">
        <v>1519</v>
      </c>
      <c r="C464" s="41">
        <v>45654</v>
      </c>
      <c r="D464" s="1" t="s">
        <v>7881</v>
      </c>
      <c r="E464" s="1">
        <v>4</v>
      </c>
      <c r="F464" s="1" t="s">
        <v>17</v>
      </c>
      <c r="G464" s="1" t="s">
        <v>30</v>
      </c>
      <c r="H464" t="str">
        <f>IF(ISNA(_xlfn.XLOOKUP(B464, customer_master!$A$2:$A$1649, customer_master!$A$2:$A$1649)), "Orphan", "Valid")</f>
        <v>Valid</v>
      </c>
    </row>
    <row r="465" spans="1:8" x14ac:dyDescent="0.3">
      <c r="A465" s="1" t="s">
        <v>8505</v>
      </c>
      <c r="B465" s="1" t="s">
        <v>1203</v>
      </c>
      <c r="C465" s="41">
        <v>46087</v>
      </c>
      <c r="D465" s="1" t="s">
        <v>7884</v>
      </c>
      <c r="E465" s="1">
        <v>2</v>
      </c>
      <c r="F465" s="1" t="s">
        <v>17</v>
      </c>
      <c r="G465" s="1" t="s">
        <v>17</v>
      </c>
      <c r="H465" t="str">
        <f>IF(ISNA(_xlfn.XLOOKUP(B465, customer_master!$A$2:$A$1649, customer_master!$A$2:$A$1649)), "Orphan", "Valid")</f>
        <v>Valid</v>
      </c>
    </row>
    <row r="466" spans="1:8" x14ac:dyDescent="0.3">
      <c r="A466" s="1" t="s">
        <v>8506</v>
      </c>
      <c r="B466" s="1" t="s">
        <v>8507</v>
      </c>
      <c r="C466" s="41">
        <v>45584</v>
      </c>
      <c r="D466" s="1" t="s">
        <v>7906</v>
      </c>
      <c r="E466" s="1">
        <v>5</v>
      </c>
      <c r="F466" s="1" t="s">
        <v>30</v>
      </c>
      <c r="G466" s="1" t="s">
        <v>17</v>
      </c>
      <c r="H466" t="str">
        <f>IF(ISNA(_xlfn.XLOOKUP(B466, customer_master!$A$2:$A$1649, customer_master!$A$2:$A$1649)), "Orphan", "Valid")</f>
        <v>Orphan</v>
      </c>
    </row>
    <row r="467" spans="1:8" x14ac:dyDescent="0.3">
      <c r="A467" s="1" t="s">
        <v>8508</v>
      </c>
      <c r="B467" s="1" t="s">
        <v>693</v>
      </c>
      <c r="C467" s="41">
        <v>45659</v>
      </c>
      <c r="D467" s="1" t="s">
        <v>7899</v>
      </c>
      <c r="E467" s="1">
        <v>2</v>
      </c>
      <c r="F467" s="1" t="s">
        <v>17</v>
      </c>
      <c r="G467" s="1" t="s">
        <v>17</v>
      </c>
      <c r="H467" t="str">
        <f>IF(ISNA(_xlfn.XLOOKUP(B467, customer_master!$A$2:$A$1649, customer_master!$A$2:$A$1649)), "Orphan", "Valid")</f>
        <v>Valid</v>
      </c>
    </row>
    <row r="468" spans="1:8" x14ac:dyDescent="0.3">
      <c r="A468" s="1" t="s">
        <v>8509</v>
      </c>
      <c r="B468" s="1" t="s">
        <v>8510</v>
      </c>
      <c r="C468" s="41">
        <v>45988</v>
      </c>
      <c r="D468" s="1" t="s">
        <v>7912</v>
      </c>
      <c r="E468" s="1">
        <v>4</v>
      </c>
      <c r="F468" s="1" t="s">
        <v>30</v>
      </c>
      <c r="G468" s="1" t="s">
        <v>17</v>
      </c>
      <c r="H468" t="str">
        <f>IF(ISNA(_xlfn.XLOOKUP(B468, customer_master!$A$2:$A$1649, customer_master!$A$2:$A$1649)), "Orphan", "Valid")</f>
        <v>Orphan</v>
      </c>
    </row>
    <row r="469" spans="1:8" x14ac:dyDescent="0.3">
      <c r="A469" s="1" t="s">
        <v>8511</v>
      </c>
      <c r="B469" s="1" t="s">
        <v>8512</v>
      </c>
      <c r="C469" s="41">
        <v>45983</v>
      </c>
      <c r="D469" s="1" t="s">
        <v>7906</v>
      </c>
      <c r="E469" s="1">
        <v>5</v>
      </c>
      <c r="F469" s="1" t="s">
        <v>30</v>
      </c>
      <c r="G469" s="1" t="s">
        <v>17</v>
      </c>
      <c r="H469" t="str">
        <f>IF(ISNA(_xlfn.XLOOKUP(B469, customer_master!$A$2:$A$1649, customer_master!$A$2:$A$1649)), "Orphan", "Valid")</f>
        <v>Orphan</v>
      </c>
    </row>
    <row r="470" spans="1:8" x14ac:dyDescent="0.3">
      <c r="A470" s="1" t="s">
        <v>8513</v>
      </c>
      <c r="B470" s="1" t="s">
        <v>1684</v>
      </c>
      <c r="C470" s="41">
        <v>45589</v>
      </c>
      <c r="D470" s="1" t="s">
        <v>7889</v>
      </c>
      <c r="E470" s="1">
        <v>4</v>
      </c>
      <c r="F470" s="1" t="s">
        <v>17</v>
      </c>
      <c r="G470" s="1" t="s">
        <v>30</v>
      </c>
      <c r="H470" t="str">
        <f>IF(ISNA(_xlfn.XLOOKUP(B470, customer_master!$A$2:$A$1649, customer_master!$A$2:$A$1649)), "Orphan", "Valid")</f>
        <v>Valid</v>
      </c>
    </row>
    <row r="471" spans="1:8" x14ac:dyDescent="0.3">
      <c r="A471" s="1" t="s">
        <v>8514</v>
      </c>
      <c r="B471" s="1" t="s">
        <v>2071</v>
      </c>
      <c r="C471" s="41">
        <v>45662</v>
      </c>
      <c r="D471" s="1" t="s">
        <v>7889</v>
      </c>
      <c r="E471" s="1">
        <v>5</v>
      </c>
      <c r="F471" s="1" t="s">
        <v>17</v>
      </c>
      <c r="G471" s="1" t="s">
        <v>17</v>
      </c>
      <c r="H471" t="str">
        <f>IF(ISNA(_xlfn.XLOOKUP(B471, customer_master!$A$2:$A$1649, customer_master!$A$2:$A$1649)), "Orphan", "Valid")</f>
        <v>Valid</v>
      </c>
    </row>
    <row r="472" spans="1:8" x14ac:dyDescent="0.3">
      <c r="A472" s="1" t="s">
        <v>8515</v>
      </c>
      <c r="B472" s="1" t="s">
        <v>931</v>
      </c>
      <c r="C472" s="41">
        <v>45610</v>
      </c>
      <c r="D472" s="1" t="s">
        <v>7899</v>
      </c>
      <c r="E472" s="1">
        <v>2</v>
      </c>
      <c r="F472" s="1" t="s">
        <v>17</v>
      </c>
      <c r="G472" s="1" t="s">
        <v>17</v>
      </c>
      <c r="H472" t="str">
        <f>IF(ISNA(_xlfn.XLOOKUP(B472, customer_master!$A$2:$A$1649, customer_master!$A$2:$A$1649)), "Orphan", "Valid")</f>
        <v>Valid</v>
      </c>
    </row>
    <row r="473" spans="1:8" x14ac:dyDescent="0.3">
      <c r="A473" s="1" t="s">
        <v>8516</v>
      </c>
      <c r="B473" s="1" t="s">
        <v>2768</v>
      </c>
      <c r="C473" s="41">
        <v>45398</v>
      </c>
      <c r="D473" s="1" t="s">
        <v>7889</v>
      </c>
      <c r="E473" s="1">
        <v>5</v>
      </c>
      <c r="F473" s="1" t="s">
        <v>17</v>
      </c>
      <c r="G473" s="1" t="s">
        <v>17</v>
      </c>
      <c r="H473" t="str">
        <f>IF(ISNA(_xlfn.XLOOKUP(B473, customer_master!$A$2:$A$1649, customer_master!$A$2:$A$1649)), "Orphan", "Valid")</f>
        <v>Valid</v>
      </c>
    </row>
    <row r="474" spans="1:8" x14ac:dyDescent="0.3">
      <c r="A474" s="1" t="s">
        <v>8517</v>
      </c>
      <c r="B474" s="1" t="s">
        <v>2372</v>
      </c>
      <c r="C474" s="41">
        <v>45590</v>
      </c>
      <c r="D474" s="1" t="s">
        <v>7887</v>
      </c>
      <c r="E474" s="1">
        <v>2</v>
      </c>
      <c r="F474" s="1" t="s">
        <v>30</v>
      </c>
      <c r="G474" s="1" t="s">
        <v>17</v>
      </c>
      <c r="H474" t="str">
        <f>IF(ISNA(_xlfn.XLOOKUP(B474, customer_master!$A$2:$A$1649, customer_master!$A$2:$A$1649)), "Orphan", "Valid")</f>
        <v>Valid</v>
      </c>
    </row>
    <row r="475" spans="1:8" x14ac:dyDescent="0.3">
      <c r="A475" s="1" t="s">
        <v>8518</v>
      </c>
      <c r="B475" s="1" t="s">
        <v>8519</v>
      </c>
      <c r="C475" s="41">
        <v>46065</v>
      </c>
      <c r="D475" s="1" t="s">
        <v>7884</v>
      </c>
      <c r="E475" s="1">
        <v>3</v>
      </c>
      <c r="F475" s="1" t="s">
        <v>30</v>
      </c>
      <c r="G475" s="1" t="s">
        <v>17</v>
      </c>
      <c r="H475" t="str">
        <f>IF(ISNA(_xlfn.XLOOKUP(B475, customer_master!$A$2:$A$1649, customer_master!$A$2:$A$1649)), "Orphan", "Valid")</f>
        <v>Orphan</v>
      </c>
    </row>
    <row r="476" spans="1:8" x14ac:dyDescent="0.3">
      <c r="A476" s="1" t="s">
        <v>8520</v>
      </c>
      <c r="B476" s="1" t="s">
        <v>8521</v>
      </c>
      <c r="C476" s="41">
        <v>45274</v>
      </c>
      <c r="D476" s="1" t="s">
        <v>7881</v>
      </c>
      <c r="E476" s="1">
        <v>4</v>
      </c>
      <c r="F476" s="1" t="s">
        <v>17</v>
      </c>
      <c r="G476" s="1" t="s">
        <v>17</v>
      </c>
      <c r="H476" t="str">
        <f>IF(ISNA(_xlfn.XLOOKUP(B476, customer_master!$A$2:$A$1649, customer_master!$A$2:$A$1649)), "Orphan", "Valid")</f>
        <v>Orphan</v>
      </c>
    </row>
    <row r="477" spans="1:8" x14ac:dyDescent="0.3">
      <c r="A477" s="1" t="s">
        <v>8522</v>
      </c>
      <c r="B477" s="1" t="s">
        <v>8523</v>
      </c>
      <c r="C477" s="41">
        <v>45364</v>
      </c>
      <c r="D477" s="1" t="s">
        <v>7906</v>
      </c>
      <c r="E477" s="1">
        <v>5</v>
      </c>
      <c r="F477" s="1" t="s">
        <v>30</v>
      </c>
      <c r="G477" s="1" t="s">
        <v>30</v>
      </c>
      <c r="H477" t="str">
        <f>IF(ISNA(_xlfn.XLOOKUP(B477, customer_master!$A$2:$A$1649, customer_master!$A$2:$A$1649)), "Orphan", "Valid")</f>
        <v>Orphan</v>
      </c>
    </row>
    <row r="478" spans="1:8" x14ac:dyDescent="0.3">
      <c r="A478" s="1" t="s">
        <v>8524</v>
      </c>
      <c r="B478" s="1" t="s">
        <v>117</v>
      </c>
      <c r="C478" s="41">
        <v>46173</v>
      </c>
      <c r="D478" s="1" t="s">
        <v>7912</v>
      </c>
      <c r="E478" s="1">
        <v>4</v>
      </c>
      <c r="F478" s="1" t="s">
        <v>17</v>
      </c>
      <c r="G478" s="1" t="s">
        <v>30</v>
      </c>
      <c r="H478" t="str">
        <f>IF(ISNA(_xlfn.XLOOKUP(B478, customer_master!$A$2:$A$1649, customer_master!$A$2:$A$1649)), "Orphan", "Valid")</f>
        <v>Valid</v>
      </c>
    </row>
    <row r="479" spans="1:8" x14ac:dyDescent="0.3">
      <c r="A479" s="1" t="s">
        <v>8525</v>
      </c>
      <c r="B479" s="1" t="s">
        <v>717</v>
      </c>
      <c r="C479" s="41">
        <v>45967</v>
      </c>
      <c r="D479" s="1" t="s">
        <v>7877</v>
      </c>
      <c r="E479" s="1">
        <v>2</v>
      </c>
      <c r="F479" s="1" t="s">
        <v>17</v>
      </c>
      <c r="G479" s="1" t="s">
        <v>30</v>
      </c>
      <c r="H479" t="str">
        <f>IF(ISNA(_xlfn.XLOOKUP(B479, customer_master!$A$2:$A$1649, customer_master!$A$2:$A$1649)), "Orphan", "Valid")</f>
        <v>Valid</v>
      </c>
    </row>
    <row r="480" spans="1:8" x14ac:dyDescent="0.3">
      <c r="A480" s="1" t="s">
        <v>8526</v>
      </c>
      <c r="B480" s="1" t="s">
        <v>8527</v>
      </c>
      <c r="C480" s="41">
        <v>45306</v>
      </c>
      <c r="D480" s="1" t="s">
        <v>7906</v>
      </c>
      <c r="E480" s="1">
        <v>5</v>
      </c>
      <c r="F480" s="1" t="s">
        <v>30</v>
      </c>
      <c r="G480" s="1" t="s">
        <v>17</v>
      </c>
      <c r="H480" t="str">
        <f>IF(ISNA(_xlfn.XLOOKUP(B480, customer_master!$A$2:$A$1649, customer_master!$A$2:$A$1649)), "Orphan", "Valid")</f>
        <v>Orphan</v>
      </c>
    </row>
    <row r="481" spans="1:8" x14ac:dyDescent="0.3">
      <c r="A481" s="1" t="s">
        <v>8528</v>
      </c>
      <c r="B481" s="1" t="s">
        <v>2714</v>
      </c>
      <c r="C481" s="41">
        <v>46002</v>
      </c>
      <c r="D481" s="1" t="s">
        <v>7896</v>
      </c>
      <c r="E481" s="1">
        <v>5</v>
      </c>
      <c r="F481" s="1" t="s">
        <v>30</v>
      </c>
      <c r="G481" s="1" t="s">
        <v>17</v>
      </c>
      <c r="H481" t="str">
        <f>IF(ISNA(_xlfn.XLOOKUP(B481, customer_master!$A$2:$A$1649, customer_master!$A$2:$A$1649)), "Orphan", "Valid")</f>
        <v>Valid</v>
      </c>
    </row>
    <row r="482" spans="1:8" x14ac:dyDescent="0.3">
      <c r="A482" s="1" t="s">
        <v>8529</v>
      </c>
      <c r="B482" s="1" t="s">
        <v>103</v>
      </c>
      <c r="C482" s="41">
        <v>45304</v>
      </c>
      <c r="D482" s="1" t="s">
        <v>7879</v>
      </c>
      <c r="E482" s="1">
        <v>2</v>
      </c>
      <c r="F482" s="1" t="s">
        <v>30</v>
      </c>
      <c r="G482" s="1" t="s">
        <v>30</v>
      </c>
      <c r="H482" t="str">
        <f>IF(ISNA(_xlfn.XLOOKUP(B482, customer_master!$A$2:$A$1649, customer_master!$A$2:$A$1649)), "Orphan", "Valid")</f>
        <v>Valid</v>
      </c>
    </row>
    <row r="483" spans="1:8" x14ac:dyDescent="0.3">
      <c r="A483" s="1" t="s">
        <v>8530</v>
      </c>
      <c r="B483" s="1" t="s">
        <v>2975</v>
      </c>
      <c r="C483" s="41">
        <v>45709</v>
      </c>
      <c r="D483" s="1" t="s">
        <v>7912</v>
      </c>
      <c r="E483" s="1">
        <v>5</v>
      </c>
      <c r="F483" s="1" t="s">
        <v>17</v>
      </c>
      <c r="G483" s="1" t="s">
        <v>17</v>
      </c>
      <c r="H483" t="str">
        <f>IF(ISNA(_xlfn.XLOOKUP(B483, customer_master!$A$2:$A$1649, customer_master!$A$2:$A$1649)), "Orphan", "Valid")</f>
        <v>Valid</v>
      </c>
    </row>
    <row r="484" spans="1:8" x14ac:dyDescent="0.3">
      <c r="A484" s="1" t="s">
        <v>8531</v>
      </c>
      <c r="B484" s="1" t="s">
        <v>2531</v>
      </c>
      <c r="C484" s="41">
        <v>45835</v>
      </c>
      <c r="D484" s="1" t="s">
        <v>7906</v>
      </c>
      <c r="E484" s="1">
        <v>5</v>
      </c>
      <c r="F484" s="1" t="s">
        <v>17</v>
      </c>
      <c r="G484" s="1" t="s">
        <v>17</v>
      </c>
      <c r="H484" t="str">
        <f>IF(ISNA(_xlfn.XLOOKUP(B484, customer_master!$A$2:$A$1649, customer_master!$A$2:$A$1649)), "Orphan", "Valid")</f>
        <v>Valid</v>
      </c>
    </row>
    <row r="485" spans="1:8" x14ac:dyDescent="0.3">
      <c r="A485" s="1" t="s">
        <v>8532</v>
      </c>
      <c r="B485" s="1" t="s">
        <v>178</v>
      </c>
      <c r="C485" s="41">
        <v>45994</v>
      </c>
      <c r="D485" s="1" t="s">
        <v>7887</v>
      </c>
      <c r="E485" s="1">
        <v>2</v>
      </c>
      <c r="F485" s="1" t="s">
        <v>30</v>
      </c>
      <c r="G485" s="1" t="s">
        <v>30</v>
      </c>
      <c r="H485" t="str">
        <f>IF(ISNA(_xlfn.XLOOKUP(B485, customer_master!$A$2:$A$1649, customer_master!$A$2:$A$1649)), "Orphan", "Valid")</f>
        <v>Valid</v>
      </c>
    </row>
    <row r="486" spans="1:8" x14ac:dyDescent="0.3">
      <c r="A486" s="1" t="s">
        <v>8533</v>
      </c>
      <c r="B486" s="1" t="s">
        <v>8534</v>
      </c>
      <c r="C486" s="41">
        <v>45520</v>
      </c>
      <c r="D486" s="1" t="s">
        <v>7896</v>
      </c>
      <c r="E486" s="1">
        <v>4</v>
      </c>
      <c r="F486" s="1" t="s">
        <v>17</v>
      </c>
      <c r="G486" s="1" t="s">
        <v>30</v>
      </c>
      <c r="H486" t="str">
        <f>IF(ISNA(_xlfn.XLOOKUP(B486, customer_master!$A$2:$A$1649, customer_master!$A$2:$A$1649)), "Orphan", "Valid")</f>
        <v>Orphan</v>
      </c>
    </row>
    <row r="487" spans="1:8" x14ac:dyDescent="0.3">
      <c r="A487" s="1" t="s">
        <v>8535</v>
      </c>
      <c r="B487" s="1" t="s">
        <v>8536</v>
      </c>
      <c r="C487" s="41">
        <v>45382</v>
      </c>
      <c r="D487" s="1" t="s">
        <v>7884</v>
      </c>
      <c r="E487" s="1">
        <v>3</v>
      </c>
      <c r="F487" s="1" t="s">
        <v>30</v>
      </c>
      <c r="G487" s="1" t="s">
        <v>17</v>
      </c>
      <c r="H487" t="str">
        <f>IF(ISNA(_xlfn.XLOOKUP(B487, customer_master!$A$2:$A$1649, customer_master!$A$2:$A$1649)), "Orphan", "Valid")</f>
        <v>Orphan</v>
      </c>
    </row>
    <row r="488" spans="1:8" x14ac:dyDescent="0.3">
      <c r="A488" s="1" t="s">
        <v>8537</v>
      </c>
      <c r="B488" s="1" t="s">
        <v>3303</v>
      </c>
      <c r="C488" s="41">
        <v>46252</v>
      </c>
      <c r="D488" s="1" t="s">
        <v>7884</v>
      </c>
      <c r="E488" s="1">
        <v>2</v>
      </c>
      <c r="F488" s="1" t="s">
        <v>30</v>
      </c>
      <c r="G488" s="1" t="s">
        <v>17</v>
      </c>
      <c r="H488" t="str">
        <f>IF(ISNA(_xlfn.XLOOKUP(B488, customer_master!$A$2:$A$1649, customer_master!$A$2:$A$1649)), "Orphan", "Valid")</f>
        <v>Valid</v>
      </c>
    </row>
    <row r="489" spans="1:8" x14ac:dyDescent="0.3">
      <c r="A489" s="1" t="s">
        <v>8538</v>
      </c>
      <c r="B489" s="1" t="s">
        <v>2807</v>
      </c>
      <c r="C489" s="41">
        <v>46049</v>
      </c>
      <c r="D489" s="1" t="s">
        <v>7906</v>
      </c>
      <c r="E489" s="1">
        <v>5</v>
      </c>
      <c r="F489" s="1" t="s">
        <v>30</v>
      </c>
      <c r="G489" s="1" t="s">
        <v>17</v>
      </c>
      <c r="H489" t="str">
        <f>IF(ISNA(_xlfn.XLOOKUP(B489, customer_master!$A$2:$A$1649, customer_master!$A$2:$A$1649)), "Orphan", "Valid")</f>
        <v>Valid</v>
      </c>
    </row>
    <row r="490" spans="1:8" x14ac:dyDescent="0.3">
      <c r="A490" s="1" t="s">
        <v>8539</v>
      </c>
      <c r="B490" s="1" t="s">
        <v>610</v>
      </c>
      <c r="C490" s="41">
        <v>45567</v>
      </c>
      <c r="D490" s="1" t="s">
        <v>7887</v>
      </c>
      <c r="E490" s="1">
        <v>2</v>
      </c>
      <c r="F490" s="1" t="s">
        <v>30</v>
      </c>
      <c r="G490" s="1" t="s">
        <v>30</v>
      </c>
      <c r="H490" t="str">
        <f>IF(ISNA(_xlfn.XLOOKUP(B490, customer_master!$A$2:$A$1649, customer_master!$A$2:$A$1649)), "Orphan", "Valid")</f>
        <v>Valid</v>
      </c>
    </row>
    <row r="491" spans="1:8" x14ac:dyDescent="0.3">
      <c r="A491" s="1" t="s">
        <v>8540</v>
      </c>
      <c r="B491" s="1" t="s">
        <v>1879</v>
      </c>
      <c r="C491" s="41">
        <v>45452</v>
      </c>
      <c r="D491" s="1" t="s">
        <v>7889</v>
      </c>
      <c r="E491" s="1">
        <v>5</v>
      </c>
      <c r="F491" s="1" t="s">
        <v>30</v>
      </c>
      <c r="G491" s="1" t="s">
        <v>17</v>
      </c>
      <c r="H491" t="str">
        <f>IF(ISNA(_xlfn.XLOOKUP(B491, customer_master!$A$2:$A$1649, customer_master!$A$2:$A$1649)), "Orphan", "Valid")</f>
        <v>Valid</v>
      </c>
    </row>
    <row r="492" spans="1:8" x14ac:dyDescent="0.3">
      <c r="A492" s="1" t="s">
        <v>8541</v>
      </c>
      <c r="B492" s="1" t="s">
        <v>2308</v>
      </c>
      <c r="C492" s="41">
        <v>45295</v>
      </c>
      <c r="D492" s="1" t="s">
        <v>7899</v>
      </c>
      <c r="E492" s="1">
        <v>2</v>
      </c>
      <c r="F492" s="1" t="s">
        <v>30</v>
      </c>
      <c r="G492" s="1" t="s">
        <v>30</v>
      </c>
      <c r="H492" t="str">
        <f>IF(ISNA(_xlfn.XLOOKUP(B492, customer_master!$A$2:$A$1649, customer_master!$A$2:$A$1649)), "Orphan", "Valid")</f>
        <v>Valid</v>
      </c>
    </row>
    <row r="493" spans="1:8" x14ac:dyDescent="0.3">
      <c r="A493" s="1" t="s">
        <v>8542</v>
      </c>
      <c r="B493" s="1" t="s">
        <v>288</v>
      </c>
      <c r="C493" s="41">
        <v>45673</v>
      </c>
      <c r="D493" s="1" t="s">
        <v>7899</v>
      </c>
      <c r="E493" s="1">
        <v>2</v>
      </c>
      <c r="F493" s="1" t="s">
        <v>30</v>
      </c>
      <c r="G493" s="1" t="s">
        <v>30</v>
      </c>
      <c r="H493" t="str">
        <f>IF(ISNA(_xlfn.XLOOKUP(B493, customer_master!$A$2:$A$1649, customer_master!$A$2:$A$1649)), "Orphan", "Valid")</f>
        <v>Valid</v>
      </c>
    </row>
    <row r="494" spans="1:8" x14ac:dyDescent="0.3">
      <c r="A494" s="1" t="s">
        <v>8543</v>
      </c>
      <c r="B494" s="1" t="s">
        <v>801</v>
      </c>
      <c r="C494" s="41">
        <v>45180</v>
      </c>
      <c r="D494" s="1" t="s">
        <v>7879</v>
      </c>
      <c r="E494" s="1">
        <v>2</v>
      </c>
      <c r="F494" s="1" t="s">
        <v>30</v>
      </c>
      <c r="G494" s="1" t="s">
        <v>30</v>
      </c>
      <c r="H494" t="str">
        <f>IF(ISNA(_xlfn.XLOOKUP(B494, customer_master!$A$2:$A$1649, customer_master!$A$2:$A$1649)), "Orphan", "Valid")</f>
        <v>Valid</v>
      </c>
    </row>
    <row r="495" spans="1:8" x14ac:dyDescent="0.3">
      <c r="A495" s="1" t="s">
        <v>8544</v>
      </c>
      <c r="B495" s="1" t="s">
        <v>1972</v>
      </c>
      <c r="C495" s="41">
        <v>46053</v>
      </c>
      <c r="D495" s="1" t="s">
        <v>7889</v>
      </c>
      <c r="E495" s="1">
        <v>4</v>
      </c>
      <c r="F495" s="1" t="s">
        <v>30</v>
      </c>
      <c r="G495" s="1" t="s">
        <v>17</v>
      </c>
      <c r="H495" t="str">
        <f>IF(ISNA(_xlfn.XLOOKUP(B495, customer_master!$A$2:$A$1649, customer_master!$A$2:$A$1649)), "Orphan", "Valid")</f>
        <v>Valid</v>
      </c>
    </row>
    <row r="496" spans="1:8" x14ac:dyDescent="0.3">
      <c r="A496" s="1" t="s">
        <v>8545</v>
      </c>
      <c r="B496" s="1" t="s">
        <v>262</v>
      </c>
      <c r="C496" s="41">
        <v>45611</v>
      </c>
      <c r="D496" s="1" t="s">
        <v>7887</v>
      </c>
      <c r="E496" s="1">
        <v>2</v>
      </c>
      <c r="F496" s="1" t="s">
        <v>17</v>
      </c>
      <c r="G496" s="1" t="s">
        <v>17</v>
      </c>
      <c r="H496" t="str">
        <f>IF(ISNA(_xlfn.XLOOKUP(B496, customer_master!$A$2:$A$1649, customer_master!$A$2:$A$1649)), "Orphan", "Valid")</f>
        <v>Valid</v>
      </c>
    </row>
    <row r="497" spans="1:8" x14ac:dyDescent="0.3">
      <c r="A497" s="1" t="s">
        <v>8546</v>
      </c>
      <c r="B497" s="1" t="s">
        <v>2081</v>
      </c>
      <c r="C497" s="41">
        <v>46112</v>
      </c>
      <c r="D497" s="1" t="s">
        <v>7896</v>
      </c>
      <c r="E497" s="1">
        <v>4</v>
      </c>
      <c r="F497" s="1" t="s">
        <v>30</v>
      </c>
      <c r="G497" s="1" t="s">
        <v>17</v>
      </c>
      <c r="H497" t="str">
        <f>IF(ISNA(_xlfn.XLOOKUP(B497, customer_master!$A$2:$A$1649, customer_master!$A$2:$A$1649)), "Orphan", "Valid")</f>
        <v>Valid</v>
      </c>
    </row>
    <row r="498" spans="1:8" x14ac:dyDescent="0.3">
      <c r="A498" s="1" t="s">
        <v>8547</v>
      </c>
      <c r="B498" s="1" t="s">
        <v>8548</v>
      </c>
      <c r="C498" s="41">
        <v>45561</v>
      </c>
      <c r="D498" s="1" t="s">
        <v>7881</v>
      </c>
      <c r="E498" s="1">
        <v>4</v>
      </c>
      <c r="F498" s="1" t="s">
        <v>30</v>
      </c>
      <c r="G498" s="1" t="s">
        <v>30</v>
      </c>
      <c r="H498" t="str">
        <f>IF(ISNA(_xlfn.XLOOKUP(B498, customer_master!$A$2:$A$1649, customer_master!$A$2:$A$1649)), "Orphan", "Valid")</f>
        <v>Orphan</v>
      </c>
    </row>
    <row r="499" spans="1:8" x14ac:dyDescent="0.3">
      <c r="A499" s="1" t="s">
        <v>8549</v>
      </c>
      <c r="B499" s="1" t="s">
        <v>8550</v>
      </c>
      <c r="C499" s="41">
        <v>46209</v>
      </c>
      <c r="D499" s="1" t="s">
        <v>7889</v>
      </c>
      <c r="E499" s="1">
        <v>5</v>
      </c>
      <c r="F499" s="1" t="s">
        <v>30</v>
      </c>
      <c r="G499" s="1" t="s">
        <v>17</v>
      </c>
      <c r="H499" t="str">
        <f>IF(ISNA(_xlfn.XLOOKUP(B499, customer_master!$A$2:$A$1649, customer_master!$A$2:$A$1649)), "Orphan", "Valid")</f>
        <v>Orphan</v>
      </c>
    </row>
    <row r="500" spans="1:8" x14ac:dyDescent="0.3">
      <c r="A500" s="1" t="s">
        <v>8551</v>
      </c>
      <c r="B500" s="1" t="s">
        <v>1950</v>
      </c>
      <c r="C500" s="41">
        <v>46089</v>
      </c>
      <c r="D500" s="1" t="s">
        <v>7877</v>
      </c>
      <c r="E500" s="1">
        <v>1</v>
      </c>
      <c r="F500" s="1" t="s">
        <v>30</v>
      </c>
      <c r="G500" s="1" t="s">
        <v>17</v>
      </c>
      <c r="H500" t="str">
        <f>IF(ISNA(_xlfn.XLOOKUP(B500, customer_master!$A$2:$A$1649, customer_master!$A$2:$A$1649)), "Orphan", "Valid")</f>
        <v>Valid</v>
      </c>
    </row>
    <row r="501" spans="1:8" x14ac:dyDescent="0.3">
      <c r="A501" s="1" t="s">
        <v>8552</v>
      </c>
      <c r="B501" s="1" t="s">
        <v>8553</v>
      </c>
      <c r="C501" s="41">
        <v>45648</v>
      </c>
      <c r="D501" s="1" t="s">
        <v>7881</v>
      </c>
      <c r="E501" s="1">
        <v>4</v>
      </c>
      <c r="F501" s="1" t="s">
        <v>30</v>
      </c>
      <c r="G501" s="1" t="s">
        <v>30</v>
      </c>
      <c r="H501" t="str">
        <f>IF(ISNA(_xlfn.XLOOKUP(B501, customer_master!$A$2:$A$1649, customer_master!$A$2:$A$1649)), "Orphan", "Valid")</f>
        <v>Orphan</v>
      </c>
    </row>
    <row r="502" spans="1:8" x14ac:dyDescent="0.3">
      <c r="A502" s="1" t="s">
        <v>8554</v>
      </c>
      <c r="B502" s="1" t="s">
        <v>1471</v>
      </c>
      <c r="C502" s="41">
        <v>46102</v>
      </c>
      <c r="D502" s="1" t="s">
        <v>7906</v>
      </c>
      <c r="E502" s="1">
        <v>5</v>
      </c>
      <c r="F502" s="1" t="s">
        <v>30</v>
      </c>
      <c r="G502" s="1" t="s">
        <v>17</v>
      </c>
      <c r="H502" t="str">
        <f>IF(ISNA(_xlfn.XLOOKUP(B502, customer_master!$A$2:$A$1649, customer_master!$A$2:$A$1649)), "Orphan", "Valid")</f>
        <v>Valid</v>
      </c>
    </row>
    <row r="503" spans="1:8" x14ac:dyDescent="0.3">
      <c r="A503" s="1" t="s">
        <v>8555</v>
      </c>
      <c r="B503" s="1" t="s">
        <v>8556</v>
      </c>
      <c r="C503" s="41">
        <v>45502</v>
      </c>
      <c r="D503" s="1" t="s">
        <v>7912</v>
      </c>
      <c r="E503" s="1">
        <v>5</v>
      </c>
      <c r="F503" s="1" t="s">
        <v>17</v>
      </c>
      <c r="G503" s="1" t="s">
        <v>17</v>
      </c>
      <c r="H503" t="str">
        <f>IF(ISNA(_xlfn.XLOOKUP(B503, customer_master!$A$2:$A$1649, customer_master!$A$2:$A$1649)), "Orphan", "Valid")</f>
        <v>Orphan</v>
      </c>
    </row>
    <row r="504" spans="1:8" x14ac:dyDescent="0.3">
      <c r="A504" s="1" t="s">
        <v>8557</v>
      </c>
      <c r="B504" s="1" t="s">
        <v>8558</v>
      </c>
      <c r="C504" s="41">
        <v>46268</v>
      </c>
      <c r="D504" s="1" t="s">
        <v>7881</v>
      </c>
      <c r="E504" s="1">
        <v>4</v>
      </c>
      <c r="F504" s="1" t="s">
        <v>30</v>
      </c>
      <c r="G504" s="1" t="s">
        <v>30</v>
      </c>
      <c r="H504" t="str">
        <f>IF(ISNA(_xlfn.XLOOKUP(B504, customer_master!$A$2:$A$1649, customer_master!$A$2:$A$1649)), "Orphan", "Valid")</f>
        <v>Orphan</v>
      </c>
    </row>
    <row r="505" spans="1:8" x14ac:dyDescent="0.3">
      <c r="A505" s="1" t="s">
        <v>8559</v>
      </c>
      <c r="B505" s="1" t="s">
        <v>8560</v>
      </c>
      <c r="C505" s="41">
        <v>45265</v>
      </c>
      <c r="D505" s="1" t="s">
        <v>7889</v>
      </c>
      <c r="E505" s="1">
        <v>5</v>
      </c>
      <c r="F505" s="1" t="s">
        <v>30</v>
      </c>
      <c r="G505" s="1" t="s">
        <v>30</v>
      </c>
      <c r="H505" t="str">
        <f>IF(ISNA(_xlfn.XLOOKUP(B505, customer_master!$A$2:$A$1649, customer_master!$A$2:$A$1649)), "Orphan", "Valid")</f>
        <v>Orphan</v>
      </c>
    </row>
    <row r="506" spans="1:8" x14ac:dyDescent="0.3">
      <c r="A506" s="1" t="s">
        <v>8561</v>
      </c>
      <c r="B506" s="1" t="s">
        <v>8562</v>
      </c>
      <c r="C506" s="41">
        <v>45878</v>
      </c>
      <c r="D506" s="1" t="s">
        <v>7881</v>
      </c>
      <c r="E506" s="1">
        <v>4</v>
      </c>
      <c r="F506" s="1" t="s">
        <v>17</v>
      </c>
      <c r="G506" s="1" t="s">
        <v>30</v>
      </c>
      <c r="H506" t="str">
        <f>IF(ISNA(_xlfn.XLOOKUP(B506, customer_master!$A$2:$A$1649, customer_master!$A$2:$A$1649)), "Orphan", "Valid")</f>
        <v>Orphan</v>
      </c>
    </row>
    <row r="507" spans="1:8" x14ac:dyDescent="0.3">
      <c r="A507" s="1" t="s">
        <v>8563</v>
      </c>
      <c r="B507" s="1" t="s">
        <v>2621</v>
      </c>
      <c r="C507" s="41">
        <v>45600</v>
      </c>
      <c r="D507" s="1" t="s">
        <v>7889</v>
      </c>
      <c r="E507" s="1">
        <v>5</v>
      </c>
      <c r="F507" s="1" t="s">
        <v>30</v>
      </c>
      <c r="G507" s="1" t="s">
        <v>17</v>
      </c>
      <c r="H507" t="str">
        <f>IF(ISNA(_xlfn.XLOOKUP(B507, customer_master!$A$2:$A$1649, customer_master!$A$2:$A$1649)), "Orphan", "Valid")</f>
        <v>Valid</v>
      </c>
    </row>
    <row r="508" spans="1:8" x14ac:dyDescent="0.3">
      <c r="A508" s="1" t="s">
        <v>8564</v>
      </c>
      <c r="B508" s="1" t="s">
        <v>8565</v>
      </c>
      <c r="C508" s="41">
        <v>45689</v>
      </c>
      <c r="D508" s="1" t="s">
        <v>7889</v>
      </c>
      <c r="E508" s="1">
        <v>5</v>
      </c>
      <c r="F508" s="1" t="s">
        <v>17</v>
      </c>
      <c r="G508" s="1" t="s">
        <v>17</v>
      </c>
      <c r="H508" t="str">
        <f>IF(ISNA(_xlfn.XLOOKUP(B508, customer_master!$A$2:$A$1649, customer_master!$A$2:$A$1649)), "Orphan", "Valid")</f>
        <v>Orphan</v>
      </c>
    </row>
    <row r="509" spans="1:8" x14ac:dyDescent="0.3">
      <c r="A509" s="1" t="s">
        <v>8566</v>
      </c>
      <c r="B509" s="1" t="s">
        <v>1131</v>
      </c>
      <c r="C509" s="41">
        <v>46215</v>
      </c>
      <c r="D509" s="1" t="s">
        <v>7912</v>
      </c>
      <c r="E509" s="1">
        <v>4</v>
      </c>
      <c r="F509" s="1" t="s">
        <v>17</v>
      </c>
      <c r="G509" s="1" t="s">
        <v>17</v>
      </c>
      <c r="H509" t="str">
        <f>IF(ISNA(_xlfn.XLOOKUP(B509, customer_master!$A$2:$A$1649, customer_master!$A$2:$A$1649)), "Orphan", "Valid")</f>
        <v>Valid</v>
      </c>
    </row>
    <row r="510" spans="1:8" x14ac:dyDescent="0.3">
      <c r="A510" s="1" t="s">
        <v>8567</v>
      </c>
      <c r="B510" s="1" t="s">
        <v>8568</v>
      </c>
      <c r="C510" s="41">
        <v>45474</v>
      </c>
      <c r="D510" s="1" t="s">
        <v>7906</v>
      </c>
      <c r="E510" s="1">
        <v>5</v>
      </c>
      <c r="F510" s="1" t="s">
        <v>17</v>
      </c>
      <c r="G510" s="1" t="s">
        <v>17</v>
      </c>
      <c r="H510" t="str">
        <f>IF(ISNA(_xlfn.XLOOKUP(B510, customer_master!$A$2:$A$1649, customer_master!$A$2:$A$1649)), "Orphan", "Valid")</f>
        <v>Orphan</v>
      </c>
    </row>
    <row r="511" spans="1:8" x14ac:dyDescent="0.3">
      <c r="A511" s="1" t="s">
        <v>8569</v>
      </c>
      <c r="B511" s="1" t="s">
        <v>2073</v>
      </c>
      <c r="C511" s="41">
        <v>45882</v>
      </c>
      <c r="D511" s="1" t="s">
        <v>7912</v>
      </c>
      <c r="E511" s="1">
        <v>5</v>
      </c>
      <c r="F511" s="1" t="s">
        <v>30</v>
      </c>
      <c r="G511" s="1" t="s">
        <v>17</v>
      </c>
      <c r="H511" t="str">
        <f>IF(ISNA(_xlfn.XLOOKUP(B511, customer_master!$A$2:$A$1649, customer_master!$A$2:$A$1649)), "Orphan", "Valid")</f>
        <v>Valid</v>
      </c>
    </row>
    <row r="512" spans="1:8" x14ac:dyDescent="0.3">
      <c r="A512" s="1" t="s">
        <v>8570</v>
      </c>
      <c r="B512" s="1" t="s">
        <v>8571</v>
      </c>
      <c r="C512" s="41">
        <v>45527</v>
      </c>
      <c r="D512" s="1" t="s">
        <v>7887</v>
      </c>
      <c r="E512" s="1">
        <v>2</v>
      </c>
      <c r="F512" s="1" t="s">
        <v>30</v>
      </c>
      <c r="G512" s="1" t="s">
        <v>30</v>
      </c>
      <c r="H512" t="str">
        <f>IF(ISNA(_xlfn.XLOOKUP(B512, customer_master!$A$2:$A$1649, customer_master!$A$2:$A$1649)), "Orphan", "Valid")</f>
        <v>Orphan</v>
      </c>
    </row>
    <row r="513" spans="1:8" x14ac:dyDescent="0.3">
      <c r="A513" s="1" t="s">
        <v>8572</v>
      </c>
      <c r="B513" s="1" t="s">
        <v>1037</v>
      </c>
      <c r="C513" s="41">
        <v>45327</v>
      </c>
      <c r="D513" s="1" t="s">
        <v>7887</v>
      </c>
      <c r="E513" s="1">
        <v>2</v>
      </c>
      <c r="F513" s="1" t="s">
        <v>30</v>
      </c>
      <c r="G513" s="1" t="s">
        <v>30</v>
      </c>
      <c r="H513" t="str">
        <f>IF(ISNA(_xlfn.XLOOKUP(B513, customer_master!$A$2:$A$1649, customer_master!$A$2:$A$1649)), "Orphan", "Valid")</f>
        <v>Valid</v>
      </c>
    </row>
    <row r="514" spans="1:8" x14ac:dyDescent="0.3">
      <c r="A514" s="1" t="s">
        <v>8573</v>
      </c>
      <c r="B514" s="1" t="s">
        <v>3295</v>
      </c>
      <c r="C514" s="41">
        <v>45445</v>
      </c>
      <c r="D514" s="1" t="s">
        <v>7906</v>
      </c>
      <c r="E514" s="1">
        <v>5</v>
      </c>
      <c r="F514" s="1" t="s">
        <v>17</v>
      </c>
      <c r="G514" s="1" t="s">
        <v>17</v>
      </c>
      <c r="H514" t="str">
        <f>IF(ISNA(_xlfn.XLOOKUP(B514, customer_master!$A$2:$A$1649, customer_master!$A$2:$A$1649)), "Orphan", "Valid")</f>
        <v>Valid</v>
      </c>
    </row>
    <row r="515" spans="1:8" x14ac:dyDescent="0.3">
      <c r="A515" s="1" t="s">
        <v>8574</v>
      </c>
      <c r="B515" s="1" t="s">
        <v>966</v>
      </c>
      <c r="C515" s="41">
        <v>45791</v>
      </c>
      <c r="D515" s="1" t="s">
        <v>7887</v>
      </c>
      <c r="E515" s="1">
        <v>2</v>
      </c>
      <c r="F515" s="1" t="s">
        <v>30</v>
      </c>
      <c r="G515" s="1" t="s">
        <v>17</v>
      </c>
      <c r="H515" t="str">
        <f>IF(ISNA(_xlfn.XLOOKUP(B515, customer_master!$A$2:$A$1649, customer_master!$A$2:$A$1649)), "Orphan", "Valid")</f>
        <v>Valid</v>
      </c>
    </row>
    <row r="516" spans="1:8" x14ac:dyDescent="0.3">
      <c r="A516" s="1" t="s">
        <v>8575</v>
      </c>
      <c r="B516" s="1" t="s">
        <v>8576</v>
      </c>
      <c r="C516" s="41">
        <v>45313</v>
      </c>
      <c r="D516" s="1" t="s">
        <v>7884</v>
      </c>
      <c r="E516" s="1">
        <v>2</v>
      </c>
      <c r="F516" s="1" t="s">
        <v>17</v>
      </c>
      <c r="G516" s="1" t="s">
        <v>17</v>
      </c>
      <c r="H516" t="str">
        <f>IF(ISNA(_xlfn.XLOOKUP(B516, customer_master!$A$2:$A$1649, customer_master!$A$2:$A$1649)), "Orphan", "Valid")</f>
        <v>Orphan</v>
      </c>
    </row>
    <row r="517" spans="1:8" x14ac:dyDescent="0.3">
      <c r="A517" s="1" t="s">
        <v>8577</v>
      </c>
      <c r="B517" s="1" t="s">
        <v>8578</v>
      </c>
      <c r="C517" s="41">
        <v>45343</v>
      </c>
      <c r="D517" s="1" t="s">
        <v>7881</v>
      </c>
      <c r="E517" s="1">
        <v>4</v>
      </c>
      <c r="F517" s="1" t="s">
        <v>30</v>
      </c>
      <c r="G517" s="1" t="s">
        <v>17</v>
      </c>
      <c r="H517" t="str">
        <f>IF(ISNA(_xlfn.XLOOKUP(B517, customer_master!$A$2:$A$1649, customer_master!$A$2:$A$1649)), "Orphan", "Valid")</f>
        <v>Orphan</v>
      </c>
    </row>
    <row r="518" spans="1:8" x14ac:dyDescent="0.3">
      <c r="A518" s="1" t="s">
        <v>8579</v>
      </c>
      <c r="B518" s="1" t="s">
        <v>8580</v>
      </c>
      <c r="C518" s="41">
        <v>45934</v>
      </c>
      <c r="D518" s="1" t="s">
        <v>7877</v>
      </c>
      <c r="E518" s="1">
        <v>2</v>
      </c>
      <c r="F518" s="1" t="s">
        <v>17</v>
      </c>
      <c r="G518" s="1" t="s">
        <v>17</v>
      </c>
      <c r="H518" t="str">
        <f>IF(ISNA(_xlfn.XLOOKUP(B518, customer_master!$A$2:$A$1649, customer_master!$A$2:$A$1649)), "Orphan", "Valid")</f>
        <v>Orphan</v>
      </c>
    </row>
    <row r="519" spans="1:8" x14ac:dyDescent="0.3">
      <c r="A519" s="1" t="s">
        <v>8581</v>
      </c>
      <c r="B519" s="1" t="s">
        <v>8582</v>
      </c>
      <c r="C519" s="41">
        <v>46008</v>
      </c>
      <c r="D519" s="1" t="s">
        <v>7896</v>
      </c>
      <c r="E519" s="1">
        <v>4</v>
      </c>
      <c r="F519" s="1" t="s">
        <v>17</v>
      </c>
      <c r="G519" s="1" t="s">
        <v>17</v>
      </c>
      <c r="H519" t="str">
        <f>IF(ISNA(_xlfn.XLOOKUP(B519, customer_master!$A$2:$A$1649, customer_master!$A$2:$A$1649)), "Orphan", "Valid")</f>
        <v>Orphan</v>
      </c>
    </row>
    <row r="520" spans="1:8" x14ac:dyDescent="0.3">
      <c r="A520" s="1" t="s">
        <v>8583</v>
      </c>
      <c r="B520" s="1" t="s">
        <v>8584</v>
      </c>
      <c r="C520" s="41">
        <v>45240</v>
      </c>
      <c r="D520" s="1" t="s">
        <v>7899</v>
      </c>
      <c r="E520" s="1">
        <v>2</v>
      </c>
      <c r="F520" s="1" t="s">
        <v>17</v>
      </c>
      <c r="G520" s="1" t="s">
        <v>17</v>
      </c>
      <c r="H520" t="str">
        <f>IF(ISNA(_xlfn.XLOOKUP(B520, customer_master!$A$2:$A$1649, customer_master!$A$2:$A$1649)), "Orphan", "Valid")</f>
        <v>Orphan</v>
      </c>
    </row>
    <row r="521" spans="1:8" x14ac:dyDescent="0.3">
      <c r="A521" s="1" t="s">
        <v>8585</v>
      </c>
      <c r="B521" s="1" t="s">
        <v>8586</v>
      </c>
      <c r="C521" s="41">
        <v>46052</v>
      </c>
      <c r="D521" s="1" t="s">
        <v>7906</v>
      </c>
      <c r="E521" s="1">
        <v>5</v>
      </c>
      <c r="F521" s="1" t="s">
        <v>17</v>
      </c>
      <c r="G521" s="1" t="s">
        <v>17</v>
      </c>
      <c r="H521" t="str">
        <f>IF(ISNA(_xlfn.XLOOKUP(B521, customer_master!$A$2:$A$1649, customer_master!$A$2:$A$1649)), "Orphan", "Valid")</f>
        <v>Orphan</v>
      </c>
    </row>
    <row r="522" spans="1:8" x14ac:dyDescent="0.3">
      <c r="A522" s="1" t="s">
        <v>8587</v>
      </c>
      <c r="B522" s="1" t="s">
        <v>3059</v>
      </c>
      <c r="C522" s="41">
        <v>46122</v>
      </c>
      <c r="D522" s="1" t="s">
        <v>7881</v>
      </c>
      <c r="E522" s="1">
        <v>4</v>
      </c>
      <c r="F522" s="1" t="s">
        <v>30</v>
      </c>
      <c r="G522" s="1" t="s">
        <v>30</v>
      </c>
      <c r="H522" t="str">
        <f>IF(ISNA(_xlfn.XLOOKUP(B522, customer_master!$A$2:$A$1649, customer_master!$A$2:$A$1649)), "Orphan", "Valid")</f>
        <v>Valid</v>
      </c>
    </row>
    <row r="523" spans="1:8" x14ac:dyDescent="0.3">
      <c r="A523" s="1" t="s">
        <v>8588</v>
      </c>
      <c r="B523" s="1" t="s">
        <v>1121</v>
      </c>
      <c r="C523" s="41">
        <v>45897</v>
      </c>
      <c r="D523" s="1" t="s">
        <v>7884</v>
      </c>
      <c r="E523" s="1">
        <v>3</v>
      </c>
      <c r="F523" s="1" t="s">
        <v>30</v>
      </c>
      <c r="G523" s="1" t="s">
        <v>17</v>
      </c>
      <c r="H523" t="str">
        <f>IF(ISNA(_xlfn.XLOOKUP(B523, customer_master!$A$2:$A$1649, customer_master!$A$2:$A$1649)), "Orphan", "Valid")</f>
        <v>Valid</v>
      </c>
    </row>
    <row r="524" spans="1:8" x14ac:dyDescent="0.3">
      <c r="A524" s="1" t="s">
        <v>8589</v>
      </c>
      <c r="B524" s="1" t="s">
        <v>3104</v>
      </c>
      <c r="C524" s="41">
        <v>45580</v>
      </c>
      <c r="D524" s="1" t="s">
        <v>7889</v>
      </c>
      <c r="E524" s="1">
        <v>4</v>
      </c>
      <c r="F524" s="1" t="s">
        <v>30</v>
      </c>
      <c r="G524" s="1" t="s">
        <v>17</v>
      </c>
      <c r="H524" t="str">
        <f>IF(ISNA(_xlfn.XLOOKUP(B524, customer_master!$A$2:$A$1649, customer_master!$A$2:$A$1649)), "Orphan", "Valid")</f>
        <v>Valid</v>
      </c>
    </row>
    <row r="525" spans="1:8" x14ac:dyDescent="0.3">
      <c r="A525" s="1" t="s">
        <v>8590</v>
      </c>
      <c r="B525" s="1" t="s">
        <v>79</v>
      </c>
      <c r="C525" s="41">
        <v>45627</v>
      </c>
      <c r="D525" s="1" t="s">
        <v>7889</v>
      </c>
      <c r="E525" s="1">
        <v>5</v>
      </c>
      <c r="F525" s="1" t="s">
        <v>17</v>
      </c>
      <c r="G525" s="1" t="s">
        <v>30</v>
      </c>
      <c r="H525" t="str">
        <f>IF(ISNA(_xlfn.XLOOKUP(B525, customer_master!$A$2:$A$1649, customer_master!$A$2:$A$1649)), "Orphan", "Valid")</f>
        <v>Valid</v>
      </c>
    </row>
    <row r="526" spans="1:8" x14ac:dyDescent="0.3">
      <c r="A526" s="1" t="s">
        <v>8591</v>
      </c>
      <c r="B526" s="1" t="s">
        <v>389</v>
      </c>
      <c r="C526" s="41">
        <v>45345</v>
      </c>
      <c r="D526" s="1" t="s">
        <v>7896</v>
      </c>
      <c r="E526" s="1">
        <v>4</v>
      </c>
      <c r="F526" s="1" t="s">
        <v>17</v>
      </c>
      <c r="G526" s="1" t="s">
        <v>17</v>
      </c>
      <c r="H526" t="str">
        <f>IF(ISNA(_xlfn.XLOOKUP(B526, customer_master!$A$2:$A$1649, customer_master!$A$2:$A$1649)), "Orphan", "Valid")</f>
        <v>Valid</v>
      </c>
    </row>
    <row r="527" spans="1:8" x14ac:dyDescent="0.3">
      <c r="A527" s="1" t="s">
        <v>8592</v>
      </c>
      <c r="B527" s="1" t="s">
        <v>2486</v>
      </c>
      <c r="C527" s="41">
        <v>45361</v>
      </c>
      <c r="D527" s="1" t="s">
        <v>7889</v>
      </c>
      <c r="E527" s="1">
        <v>5</v>
      </c>
      <c r="F527" s="1" t="s">
        <v>30</v>
      </c>
      <c r="G527" s="1" t="s">
        <v>30</v>
      </c>
      <c r="H527" t="str">
        <f>IF(ISNA(_xlfn.XLOOKUP(B527, customer_master!$A$2:$A$1649, customer_master!$A$2:$A$1649)), "Orphan", "Valid")</f>
        <v>Valid</v>
      </c>
    </row>
    <row r="528" spans="1:8" x14ac:dyDescent="0.3">
      <c r="A528" s="1" t="s">
        <v>8593</v>
      </c>
      <c r="B528" s="1" t="s">
        <v>256</v>
      </c>
      <c r="C528" s="41">
        <v>46199</v>
      </c>
      <c r="D528" s="1" t="s">
        <v>7896</v>
      </c>
      <c r="E528" s="1">
        <v>5</v>
      </c>
      <c r="F528" s="1" t="s">
        <v>17</v>
      </c>
      <c r="G528" s="1" t="s">
        <v>17</v>
      </c>
      <c r="H528" t="str">
        <f>IF(ISNA(_xlfn.XLOOKUP(B528, customer_master!$A$2:$A$1649, customer_master!$A$2:$A$1649)), "Orphan", "Valid")</f>
        <v>Valid</v>
      </c>
    </row>
    <row r="529" spans="1:8" x14ac:dyDescent="0.3">
      <c r="A529" s="1" t="s">
        <v>8594</v>
      </c>
      <c r="B529" s="1" t="s">
        <v>8595</v>
      </c>
      <c r="C529" s="41">
        <v>46230</v>
      </c>
      <c r="D529" s="1" t="s">
        <v>7881</v>
      </c>
      <c r="E529" s="1">
        <v>4</v>
      </c>
      <c r="F529" s="1" t="s">
        <v>30</v>
      </c>
      <c r="G529" s="1" t="s">
        <v>30</v>
      </c>
      <c r="H529" t="str">
        <f>IF(ISNA(_xlfn.XLOOKUP(B529, customer_master!$A$2:$A$1649, customer_master!$A$2:$A$1649)), "Orphan", "Valid")</f>
        <v>Orphan</v>
      </c>
    </row>
    <row r="530" spans="1:8" x14ac:dyDescent="0.3">
      <c r="A530" s="1" t="s">
        <v>8596</v>
      </c>
      <c r="B530" s="1" t="s">
        <v>8597</v>
      </c>
      <c r="C530" s="41">
        <v>45986</v>
      </c>
      <c r="D530" s="1" t="s">
        <v>7887</v>
      </c>
      <c r="E530" s="1">
        <v>2</v>
      </c>
      <c r="F530" s="1" t="s">
        <v>17</v>
      </c>
      <c r="G530" s="1" t="s">
        <v>17</v>
      </c>
      <c r="H530" t="str">
        <f>IF(ISNA(_xlfn.XLOOKUP(B530, customer_master!$A$2:$A$1649, customer_master!$A$2:$A$1649)), "Orphan", "Valid")</f>
        <v>Orphan</v>
      </c>
    </row>
    <row r="531" spans="1:8" x14ac:dyDescent="0.3">
      <c r="A531" s="1" t="s">
        <v>8598</v>
      </c>
      <c r="B531" s="1" t="s">
        <v>8599</v>
      </c>
      <c r="C531" s="41">
        <v>46061</v>
      </c>
      <c r="D531" s="1" t="s">
        <v>7912</v>
      </c>
      <c r="E531" s="1">
        <v>5</v>
      </c>
      <c r="F531" s="1" t="s">
        <v>17</v>
      </c>
      <c r="G531" s="1" t="s">
        <v>17</v>
      </c>
      <c r="H531" t="str">
        <f>IF(ISNA(_xlfn.XLOOKUP(B531, customer_master!$A$2:$A$1649, customer_master!$A$2:$A$1649)), "Orphan", "Valid")</f>
        <v>Orphan</v>
      </c>
    </row>
    <row r="532" spans="1:8" x14ac:dyDescent="0.3">
      <c r="A532" s="1" t="s">
        <v>8600</v>
      </c>
      <c r="B532" s="1" t="s">
        <v>8601</v>
      </c>
      <c r="C532" s="41">
        <v>45372</v>
      </c>
      <c r="D532" s="1" t="s">
        <v>7877</v>
      </c>
      <c r="E532" s="1">
        <v>2</v>
      </c>
      <c r="F532" s="1" t="s">
        <v>30</v>
      </c>
      <c r="G532" s="1" t="s">
        <v>17</v>
      </c>
      <c r="H532" t="str">
        <f>IF(ISNA(_xlfn.XLOOKUP(B532, customer_master!$A$2:$A$1649, customer_master!$A$2:$A$1649)), "Orphan", "Valid")</f>
        <v>Orphan</v>
      </c>
    </row>
    <row r="533" spans="1:8" x14ac:dyDescent="0.3">
      <c r="A533" s="1" t="s">
        <v>8602</v>
      </c>
      <c r="B533" s="1" t="s">
        <v>8603</v>
      </c>
      <c r="C533" s="41">
        <v>46136</v>
      </c>
      <c r="D533" s="1" t="s">
        <v>7899</v>
      </c>
      <c r="E533" s="1">
        <v>2</v>
      </c>
      <c r="F533" s="1" t="s">
        <v>17</v>
      </c>
      <c r="G533" s="1" t="s">
        <v>17</v>
      </c>
      <c r="H533" t="str">
        <f>IF(ISNA(_xlfn.XLOOKUP(B533, customer_master!$A$2:$A$1649, customer_master!$A$2:$A$1649)), "Orphan", "Valid")</f>
        <v>Orphan</v>
      </c>
    </row>
    <row r="534" spans="1:8" x14ac:dyDescent="0.3">
      <c r="A534" s="1" t="s">
        <v>8604</v>
      </c>
      <c r="B534" s="1" t="s">
        <v>8605</v>
      </c>
      <c r="C534" s="41">
        <v>45292</v>
      </c>
      <c r="D534" s="1" t="s">
        <v>7889</v>
      </c>
      <c r="E534" s="1">
        <v>5</v>
      </c>
      <c r="F534" s="1" t="s">
        <v>17</v>
      </c>
      <c r="G534" s="1" t="s">
        <v>17</v>
      </c>
      <c r="H534" t="str">
        <f>IF(ISNA(_xlfn.XLOOKUP(B534, customer_master!$A$2:$A$1649, customer_master!$A$2:$A$1649)), "Orphan", "Valid")</f>
        <v>Orphan</v>
      </c>
    </row>
    <row r="535" spans="1:8" x14ac:dyDescent="0.3">
      <c r="A535" s="1" t="s">
        <v>8606</v>
      </c>
      <c r="B535" s="1" t="s">
        <v>1155</v>
      </c>
      <c r="C535" s="41">
        <v>45350</v>
      </c>
      <c r="D535" s="1" t="s">
        <v>7877</v>
      </c>
      <c r="E535" s="1">
        <v>2</v>
      </c>
      <c r="F535" s="1" t="s">
        <v>17</v>
      </c>
      <c r="G535" s="1" t="s">
        <v>30</v>
      </c>
      <c r="H535" t="str">
        <f>IF(ISNA(_xlfn.XLOOKUP(B535, customer_master!$A$2:$A$1649, customer_master!$A$2:$A$1649)), "Orphan", "Valid")</f>
        <v>Valid</v>
      </c>
    </row>
    <row r="536" spans="1:8" x14ac:dyDescent="0.3">
      <c r="A536" s="1" t="s">
        <v>8607</v>
      </c>
      <c r="B536" s="1" t="s">
        <v>538</v>
      </c>
      <c r="C536" s="41">
        <v>45718</v>
      </c>
      <c r="D536" s="1" t="s">
        <v>7912</v>
      </c>
      <c r="E536" s="1">
        <v>5</v>
      </c>
      <c r="F536" s="1" t="s">
        <v>17</v>
      </c>
      <c r="G536" s="1" t="s">
        <v>17</v>
      </c>
      <c r="H536" t="str">
        <f>IF(ISNA(_xlfn.XLOOKUP(B536, customer_master!$A$2:$A$1649, customer_master!$A$2:$A$1649)), "Orphan", "Valid")</f>
        <v>Valid</v>
      </c>
    </row>
    <row r="537" spans="1:8" x14ac:dyDescent="0.3">
      <c r="A537" s="1" t="s">
        <v>8608</v>
      </c>
      <c r="B537" s="1" t="s">
        <v>2760</v>
      </c>
      <c r="C537" s="41">
        <v>45508</v>
      </c>
      <c r="D537" s="1" t="s">
        <v>7881</v>
      </c>
      <c r="E537" s="1">
        <v>4</v>
      </c>
      <c r="F537" s="1" t="s">
        <v>30</v>
      </c>
      <c r="G537" s="1" t="s">
        <v>17</v>
      </c>
      <c r="H537" t="str">
        <f>IF(ISNA(_xlfn.XLOOKUP(B537, customer_master!$A$2:$A$1649, customer_master!$A$2:$A$1649)), "Orphan", "Valid")</f>
        <v>Valid</v>
      </c>
    </row>
    <row r="538" spans="1:8" x14ac:dyDescent="0.3">
      <c r="A538" s="1" t="s">
        <v>8609</v>
      </c>
      <c r="B538" s="1" t="s">
        <v>8610</v>
      </c>
      <c r="C538" s="41">
        <v>45858</v>
      </c>
      <c r="D538" s="1" t="s">
        <v>7884</v>
      </c>
      <c r="E538" s="1">
        <v>2</v>
      </c>
      <c r="F538" s="1" t="s">
        <v>17</v>
      </c>
      <c r="G538" s="1" t="s">
        <v>17</v>
      </c>
      <c r="H538" t="str">
        <f>IF(ISNA(_xlfn.XLOOKUP(B538, customer_master!$A$2:$A$1649, customer_master!$A$2:$A$1649)), "Orphan", "Valid")</f>
        <v>Orphan</v>
      </c>
    </row>
    <row r="539" spans="1:8" x14ac:dyDescent="0.3">
      <c r="A539" s="1" t="s">
        <v>8611</v>
      </c>
      <c r="B539" s="1" t="s">
        <v>8612</v>
      </c>
      <c r="C539" s="41">
        <v>46169</v>
      </c>
      <c r="D539" s="1" t="s">
        <v>7877</v>
      </c>
      <c r="E539" s="1">
        <v>2</v>
      </c>
      <c r="F539" s="1" t="s">
        <v>17</v>
      </c>
      <c r="G539" s="1" t="s">
        <v>17</v>
      </c>
      <c r="H539" t="str">
        <f>IF(ISNA(_xlfn.XLOOKUP(B539, customer_master!$A$2:$A$1649, customer_master!$A$2:$A$1649)), "Orphan", "Valid")</f>
        <v>Orphan</v>
      </c>
    </row>
    <row r="540" spans="1:8" x14ac:dyDescent="0.3">
      <c r="A540" s="1" t="s">
        <v>8613</v>
      </c>
      <c r="B540" s="1" t="s">
        <v>799</v>
      </c>
      <c r="C540" s="41">
        <v>45463</v>
      </c>
      <c r="D540" s="1" t="s">
        <v>7881</v>
      </c>
      <c r="E540" s="1">
        <v>4</v>
      </c>
      <c r="F540" s="1" t="s">
        <v>17</v>
      </c>
      <c r="G540" s="1" t="s">
        <v>17</v>
      </c>
      <c r="H540" t="str">
        <f>IF(ISNA(_xlfn.XLOOKUP(B540, customer_master!$A$2:$A$1649, customer_master!$A$2:$A$1649)), "Orphan", "Valid")</f>
        <v>Valid</v>
      </c>
    </row>
    <row r="541" spans="1:8" x14ac:dyDescent="0.3">
      <c r="A541" s="1" t="s">
        <v>8614</v>
      </c>
      <c r="B541" s="1" t="s">
        <v>2264</v>
      </c>
      <c r="C541" s="41">
        <v>45524</v>
      </c>
      <c r="D541" s="1" t="s">
        <v>7896</v>
      </c>
      <c r="E541" s="1">
        <v>4</v>
      </c>
      <c r="F541" s="1" t="s">
        <v>17</v>
      </c>
      <c r="G541" s="1" t="s">
        <v>17</v>
      </c>
      <c r="H541" t="str">
        <f>IF(ISNA(_xlfn.XLOOKUP(B541, customer_master!$A$2:$A$1649, customer_master!$A$2:$A$1649)), "Orphan", "Valid")</f>
        <v>Valid</v>
      </c>
    </row>
    <row r="542" spans="1:8" x14ac:dyDescent="0.3">
      <c r="A542" s="1" t="s">
        <v>8615</v>
      </c>
      <c r="B542" s="1" t="s">
        <v>1586</v>
      </c>
      <c r="C542" s="41">
        <v>46031</v>
      </c>
      <c r="D542" s="1" t="s">
        <v>7887</v>
      </c>
      <c r="E542" s="1">
        <v>2</v>
      </c>
      <c r="F542" s="1" t="s">
        <v>17</v>
      </c>
      <c r="G542" s="1" t="s">
        <v>17</v>
      </c>
      <c r="H542" t="str">
        <f>IF(ISNA(_xlfn.XLOOKUP(B542, customer_master!$A$2:$A$1649, customer_master!$A$2:$A$1649)), "Orphan", "Valid")</f>
        <v>Valid</v>
      </c>
    </row>
    <row r="543" spans="1:8" x14ac:dyDescent="0.3">
      <c r="A543" s="1" t="s">
        <v>8616</v>
      </c>
      <c r="B543" s="1" t="s">
        <v>2148</v>
      </c>
      <c r="C543" s="41">
        <v>45536</v>
      </c>
      <c r="D543" s="1" t="s">
        <v>7889</v>
      </c>
      <c r="E543" s="1">
        <v>4</v>
      </c>
      <c r="F543" s="1" t="s">
        <v>30</v>
      </c>
      <c r="G543" s="1" t="s">
        <v>17</v>
      </c>
      <c r="H543" t="str">
        <f>IF(ISNA(_xlfn.XLOOKUP(B543, customer_master!$A$2:$A$1649, customer_master!$A$2:$A$1649)), "Orphan", "Valid")</f>
        <v>Valid</v>
      </c>
    </row>
    <row r="544" spans="1:8" x14ac:dyDescent="0.3">
      <c r="A544" s="1" t="s">
        <v>8617</v>
      </c>
      <c r="B544" s="1" t="s">
        <v>8618</v>
      </c>
      <c r="C544" s="41">
        <v>46147</v>
      </c>
      <c r="D544" s="1" t="s">
        <v>7879</v>
      </c>
      <c r="E544" s="1">
        <v>2</v>
      </c>
      <c r="F544" s="1" t="s">
        <v>30</v>
      </c>
      <c r="G544" s="1" t="s">
        <v>17</v>
      </c>
      <c r="H544" t="str">
        <f>IF(ISNA(_xlfn.XLOOKUP(B544, customer_master!$A$2:$A$1649, customer_master!$A$2:$A$1649)), "Orphan", "Valid")</f>
        <v>Orphan</v>
      </c>
    </row>
    <row r="545" spans="1:8" x14ac:dyDescent="0.3">
      <c r="A545" s="1" t="s">
        <v>8619</v>
      </c>
      <c r="B545" s="1" t="s">
        <v>8620</v>
      </c>
      <c r="C545" s="41">
        <v>45210</v>
      </c>
      <c r="D545" s="1" t="s">
        <v>7906</v>
      </c>
      <c r="E545" s="1">
        <v>5</v>
      </c>
      <c r="F545" s="1" t="s">
        <v>30</v>
      </c>
      <c r="G545" s="1" t="s">
        <v>17</v>
      </c>
      <c r="H545" t="str">
        <f>IF(ISNA(_xlfn.XLOOKUP(B545, customer_master!$A$2:$A$1649, customer_master!$A$2:$A$1649)), "Orphan", "Valid")</f>
        <v>Orphan</v>
      </c>
    </row>
    <row r="546" spans="1:8" x14ac:dyDescent="0.3">
      <c r="A546" s="1" t="s">
        <v>8621</v>
      </c>
      <c r="B546" s="1" t="s">
        <v>8622</v>
      </c>
      <c r="C546" s="41">
        <v>46128</v>
      </c>
      <c r="D546" s="1" t="s">
        <v>7877</v>
      </c>
      <c r="E546" s="1">
        <v>1</v>
      </c>
      <c r="F546" s="1" t="s">
        <v>17</v>
      </c>
      <c r="G546" s="1" t="s">
        <v>17</v>
      </c>
      <c r="H546" t="str">
        <f>IF(ISNA(_xlfn.XLOOKUP(B546, customer_master!$A$2:$A$1649, customer_master!$A$2:$A$1649)), "Orphan", "Valid")</f>
        <v>Orphan</v>
      </c>
    </row>
    <row r="547" spans="1:8" x14ac:dyDescent="0.3">
      <c r="A547" s="1" t="s">
        <v>8623</v>
      </c>
      <c r="B547" s="1" t="s">
        <v>451</v>
      </c>
      <c r="C547" s="41">
        <v>46174</v>
      </c>
      <c r="D547" s="1" t="s">
        <v>7877</v>
      </c>
      <c r="E547" s="1">
        <v>1</v>
      </c>
      <c r="F547" s="1" t="s">
        <v>17</v>
      </c>
      <c r="G547" s="1" t="s">
        <v>17</v>
      </c>
      <c r="H547" t="str">
        <f>IF(ISNA(_xlfn.XLOOKUP(B547, customer_master!$A$2:$A$1649, customer_master!$A$2:$A$1649)), "Orphan", "Valid")</f>
        <v>Valid</v>
      </c>
    </row>
    <row r="548" spans="1:8" x14ac:dyDescent="0.3">
      <c r="A548" s="1" t="s">
        <v>8624</v>
      </c>
      <c r="B548" s="1" t="s">
        <v>8625</v>
      </c>
      <c r="C548" s="41">
        <v>45223</v>
      </c>
      <c r="D548" s="1" t="s">
        <v>7912</v>
      </c>
      <c r="E548" s="1">
        <v>5</v>
      </c>
      <c r="F548" s="1" t="s">
        <v>30</v>
      </c>
      <c r="G548" s="1" t="s">
        <v>17</v>
      </c>
      <c r="H548" t="str">
        <f>IF(ISNA(_xlfn.XLOOKUP(B548, customer_master!$A$2:$A$1649, customer_master!$A$2:$A$1649)), "Orphan", "Valid")</f>
        <v>Orphan</v>
      </c>
    </row>
    <row r="549" spans="1:8" x14ac:dyDescent="0.3">
      <c r="A549" s="1" t="s">
        <v>8626</v>
      </c>
      <c r="B549" s="1" t="s">
        <v>656</v>
      </c>
      <c r="C549" s="41">
        <v>45586</v>
      </c>
      <c r="D549" s="1" t="s">
        <v>7884</v>
      </c>
      <c r="E549" s="1">
        <v>2</v>
      </c>
      <c r="F549" s="1" t="s">
        <v>30</v>
      </c>
      <c r="G549" s="1" t="s">
        <v>17</v>
      </c>
      <c r="H549" t="str">
        <f>IF(ISNA(_xlfn.XLOOKUP(B549, customer_master!$A$2:$A$1649, customer_master!$A$2:$A$1649)), "Orphan", "Valid")</f>
        <v>Valid</v>
      </c>
    </row>
    <row r="550" spans="1:8" x14ac:dyDescent="0.3">
      <c r="A550" s="1" t="s">
        <v>8627</v>
      </c>
      <c r="B550" s="1" t="s">
        <v>1517</v>
      </c>
      <c r="C550" s="41">
        <v>45828</v>
      </c>
      <c r="D550" s="1" t="s">
        <v>7881</v>
      </c>
      <c r="E550" s="1">
        <v>4</v>
      </c>
      <c r="F550" s="1" t="s">
        <v>30</v>
      </c>
      <c r="G550" s="1" t="s">
        <v>30</v>
      </c>
      <c r="H550" t="str">
        <f>IF(ISNA(_xlfn.XLOOKUP(B550, customer_master!$A$2:$A$1649, customer_master!$A$2:$A$1649)), "Orphan", "Valid")</f>
        <v>Valid</v>
      </c>
    </row>
    <row r="551" spans="1:8" x14ac:dyDescent="0.3">
      <c r="A551" s="1" t="s">
        <v>8628</v>
      </c>
      <c r="B551" s="1" t="s">
        <v>1449</v>
      </c>
      <c r="C551" s="41">
        <v>45748</v>
      </c>
      <c r="D551" s="1" t="s">
        <v>7881</v>
      </c>
      <c r="E551" s="1">
        <v>4</v>
      </c>
      <c r="F551" s="1" t="s">
        <v>17</v>
      </c>
      <c r="G551" s="1" t="s">
        <v>30</v>
      </c>
      <c r="H551" t="str">
        <f>IF(ISNA(_xlfn.XLOOKUP(B551, customer_master!$A$2:$A$1649, customer_master!$A$2:$A$1649)), "Orphan", "Valid")</f>
        <v>Valid</v>
      </c>
    </row>
    <row r="552" spans="1:8" x14ac:dyDescent="0.3">
      <c r="A552" s="1" t="s">
        <v>8629</v>
      </c>
      <c r="B552" s="1" t="s">
        <v>8630</v>
      </c>
      <c r="C552" s="41">
        <v>45346</v>
      </c>
      <c r="D552" s="1" t="s">
        <v>7889</v>
      </c>
      <c r="E552" s="1">
        <v>5</v>
      </c>
      <c r="F552" s="1" t="s">
        <v>30</v>
      </c>
      <c r="G552" s="1" t="s">
        <v>17</v>
      </c>
      <c r="H552" t="str">
        <f>IF(ISNA(_xlfn.XLOOKUP(B552, customer_master!$A$2:$A$1649, customer_master!$A$2:$A$1649)), "Orphan", "Valid")</f>
        <v>Orphan</v>
      </c>
    </row>
    <row r="553" spans="1:8" x14ac:dyDescent="0.3">
      <c r="A553" s="1" t="s">
        <v>8631</v>
      </c>
      <c r="B553" s="1" t="s">
        <v>8632</v>
      </c>
      <c r="C553" s="41">
        <v>45189</v>
      </c>
      <c r="D553" s="1" t="s">
        <v>7879</v>
      </c>
      <c r="E553" s="1">
        <v>2</v>
      </c>
      <c r="F553" s="1" t="s">
        <v>17</v>
      </c>
      <c r="G553" s="1" t="s">
        <v>17</v>
      </c>
      <c r="H553" t="str">
        <f>IF(ISNA(_xlfn.XLOOKUP(B553, customer_master!$A$2:$A$1649, customer_master!$A$2:$A$1649)), "Orphan", "Valid")</f>
        <v>Orphan</v>
      </c>
    </row>
    <row r="554" spans="1:8" x14ac:dyDescent="0.3">
      <c r="A554" s="1" t="s">
        <v>8633</v>
      </c>
      <c r="B554" s="1" t="s">
        <v>2748</v>
      </c>
      <c r="C554" s="41">
        <v>46156</v>
      </c>
      <c r="D554" s="1" t="s">
        <v>7887</v>
      </c>
      <c r="E554" s="1">
        <v>2</v>
      </c>
      <c r="F554" s="1" t="s">
        <v>30</v>
      </c>
      <c r="G554" s="1" t="s">
        <v>17</v>
      </c>
      <c r="H554" t="str">
        <f>IF(ISNA(_xlfn.XLOOKUP(B554, customer_master!$A$2:$A$1649, customer_master!$A$2:$A$1649)), "Orphan", "Valid")</f>
        <v>Valid</v>
      </c>
    </row>
    <row r="555" spans="1:8" x14ac:dyDescent="0.3">
      <c r="A555" s="1" t="s">
        <v>8634</v>
      </c>
      <c r="B555" s="1" t="s">
        <v>8635</v>
      </c>
      <c r="C555" s="41">
        <v>45273</v>
      </c>
      <c r="D555" s="1" t="s">
        <v>7906</v>
      </c>
      <c r="E555" s="1">
        <v>5</v>
      </c>
      <c r="F555" s="1" t="s">
        <v>17</v>
      </c>
      <c r="G555" s="1" t="s">
        <v>17</v>
      </c>
      <c r="H555" t="str">
        <f>IF(ISNA(_xlfn.XLOOKUP(B555, customer_master!$A$2:$A$1649, customer_master!$A$2:$A$1649)), "Orphan", "Valid")</f>
        <v>Orphan</v>
      </c>
    </row>
    <row r="556" spans="1:8" x14ac:dyDescent="0.3">
      <c r="A556" s="1" t="s">
        <v>8636</v>
      </c>
      <c r="B556" s="1" t="s">
        <v>1347</v>
      </c>
      <c r="C556" s="41">
        <v>46256</v>
      </c>
      <c r="D556" s="1" t="s">
        <v>7879</v>
      </c>
      <c r="E556" s="1">
        <v>2</v>
      </c>
      <c r="F556" s="1" t="s">
        <v>30</v>
      </c>
      <c r="G556" s="1" t="s">
        <v>17</v>
      </c>
      <c r="H556" t="str">
        <f>IF(ISNA(_xlfn.XLOOKUP(B556, customer_master!$A$2:$A$1649, customer_master!$A$2:$A$1649)), "Orphan", "Valid")</f>
        <v>Valid</v>
      </c>
    </row>
    <row r="557" spans="1:8" x14ac:dyDescent="0.3">
      <c r="A557" s="1" t="s">
        <v>8637</v>
      </c>
      <c r="B557" s="1" t="s">
        <v>194</v>
      </c>
      <c r="C557" s="41">
        <v>45296</v>
      </c>
      <c r="D557" s="1" t="s">
        <v>7881</v>
      </c>
      <c r="E557" s="1">
        <v>4</v>
      </c>
      <c r="F557" s="1" t="s">
        <v>30</v>
      </c>
      <c r="G557" s="1" t="s">
        <v>17</v>
      </c>
      <c r="H557" t="str">
        <f>IF(ISNA(_xlfn.XLOOKUP(B557, customer_master!$A$2:$A$1649, customer_master!$A$2:$A$1649)), "Orphan", "Valid")</f>
        <v>Valid</v>
      </c>
    </row>
    <row r="558" spans="1:8" x14ac:dyDescent="0.3">
      <c r="A558" s="1" t="s">
        <v>8638</v>
      </c>
      <c r="B558" s="1" t="s">
        <v>8639</v>
      </c>
      <c r="C558" s="41">
        <v>45694</v>
      </c>
      <c r="D558" s="1" t="s">
        <v>7887</v>
      </c>
      <c r="E558" s="1">
        <v>2</v>
      </c>
      <c r="F558" s="1" t="s">
        <v>17</v>
      </c>
      <c r="G558" s="1" t="s">
        <v>17</v>
      </c>
      <c r="H558" t="str">
        <f>IF(ISNA(_xlfn.XLOOKUP(B558, customer_master!$A$2:$A$1649, customer_master!$A$2:$A$1649)), "Orphan", "Valid")</f>
        <v>Orphan</v>
      </c>
    </row>
    <row r="559" spans="1:8" x14ac:dyDescent="0.3">
      <c r="A559" s="1" t="s">
        <v>8640</v>
      </c>
      <c r="B559" s="1" t="s">
        <v>8641</v>
      </c>
      <c r="C559" s="41">
        <v>46250</v>
      </c>
      <c r="D559" s="1" t="s">
        <v>7879</v>
      </c>
      <c r="E559" s="1">
        <v>2</v>
      </c>
      <c r="F559" s="1" t="s">
        <v>17</v>
      </c>
      <c r="G559" s="1" t="s">
        <v>17</v>
      </c>
      <c r="H559" t="str">
        <f>IF(ISNA(_xlfn.XLOOKUP(B559, customer_master!$A$2:$A$1649, customer_master!$A$2:$A$1649)), "Orphan", "Valid")</f>
        <v>Orphan</v>
      </c>
    </row>
    <row r="560" spans="1:8" x14ac:dyDescent="0.3">
      <c r="A560" s="1" t="s">
        <v>8642</v>
      </c>
      <c r="B560" s="1" t="s">
        <v>2324</v>
      </c>
      <c r="C560" s="41">
        <v>46111</v>
      </c>
      <c r="D560" s="1" t="s">
        <v>7896</v>
      </c>
      <c r="E560" s="1">
        <v>5</v>
      </c>
      <c r="F560" s="1" t="s">
        <v>30</v>
      </c>
      <c r="G560" s="1" t="s">
        <v>30</v>
      </c>
      <c r="H560" t="str">
        <f>IF(ISNA(_xlfn.XLOOKUP(B560, customer_master!$A$2:$A$1649, customer_master!$A$2:$A$1649)), "Orphan", "Valid")</f>
        <v>Valid</v>
      </c>
    </row>
    <row r="561" spans="1:8" x14ac:dyDescent="0.3">
      <c r="A561" s="1" t="s">
        <v>8643</v>
      </c>
      <c r="B561" s="1" t="s">
        <v>687</v>
      </c>
      <c r="C561" s="41">
        <v>45761</v>
      </c>
      <c r="D561" s="1" t="s">
        <v>7887</v>
      </c>
      <c r="E561" s="1">
        <v>2</v>
      </c>
      <c r="F561" s="1" t="s">
        <v>17</v>
      </c>
      <c r="G561" s="1" t="s">
        <v>17</v>
      </c>
      <c r="H561" t="str">
        <f>IF(ISNA(_xlfn.XLOOKUP(B561, customer_master!$A$2:$A$1649, customer_master!$A$2:$A$1649)), "Orphan", "Valid")</f>
        <v>Valid</v>
      </c>
    </row>
    <row r="562" spans="1:8" x14ac:dyDescent="0.3">
      <c r="A562" s="1" t="s">
        <v>8644</v>
      </c>
      <c r="B562" s="1" t="s">
        <v>8645</v>
      </c>
      <c r="C562" s="41">
        <v>45320</v>
      </c>
      <c r="D562" s="1" t="s">
        <v>7896</v>
      </c>
      <c r="E562" s="1">
        <v>4</v>
      </c>
      <c r="F562" s="1" t="s">
        <v>30</v>
      </c>
      <c r="G562" s="1" t="s">
        <v>17</v>
      </c>
      <c r="H562" t="str">
        <f>IF(ISNA(_xlfn.XLOOKUP(B562, customer_master!$A$2:$A$1649, customer_master!$A$2:$A$1649)), "Orphan", "Valid")</f>
        <v>Orphan</v>
      </c>
    </row>
    <row r="563" spans="1:8" x14ac:dyDescent="0.3">
      <c r="A563" s="1" t="s">
        <v>8646</v>
      </c>
      <c r="B563" s="1" t="s">
        <v>8647</v>
      </c>
      <c r="C563" s="41">
        <v>45834</v>
      </c>
      <c r="D563" s="1" t="s">
        <v>7912</v>
      </c>
      <c r="E563" s="1">
        <v>4</v>
      </c>
      <c r="F563" s="1" t="s">
        <v>30</v>
      </c>
      <c r="G563" s="1" t="s">
        <v>30</v>
      </c>
      <c r="H563" t="str">
        <f>IF(ISNA(_xlfn.XLOOKUP(B563, customer_master!$A$2:$A$1649, customer_master!$A$2:$A$1649)), "Orphan", "Valid")</f>
        <v>Orphan</v>
      </c>
    </row>
    <row r="564" spans="1:8" x14ac:dyDescent="0.3">
      <c r="A564" s="1" t="s">
        <v>8648</v>
      </c>
      <c r="B564" s="1" t="s">
        <v>8649</v>
      </c>
      <c r="C564" s="41">
        <v>45870</v>
      </c>
      <c r="D564" s="1" t="s">
        <v>7896</v>
      </c>
      <c r="E564" s="1">
        <v>5</v>
      </c>
      <c r="F564" s="1" t="s">
        <v>30</v>
      </c>
      <c r="G564" s="1" t="s">
        <v>17</v>
      </c>
      <c r="H564" t="str">
        <f>IF(ISNA(_xlfn.XLOOKUP(B564, customer_master!$A$2:$A$1649, customer_master!$A$2:$A$1649)), "Orphan", "Valid")</f>
        <v>Orphan</v>
      </c>
    </row>
    <row r="565" spans="1:8" x14ac:dyDescent="0.3">
      <c r="A565" s="1" t="s">
        <v>8650</v>
      </c>
      <c r="B565" s="1" t="s">
        <v>2333</v>
      </c>
      <c r="C565" s="41">
        <v>45514</v>
      </c>
      <c r="D565" s="1" t="s">
        <v>7899</v>
      </c>
      <c r="E565" s="1">
        <v>2</v>
      </c>
      <c r="F565" s="1" t="s">
        <v>30</v>
      </c>
      <c r="G565" s="1" t="s">
        <v>17</v>
      </c>
      <c r="H565" t="str">
        <f>IF(ISNA(_xlfn.XLOOKUP(B565, customer_master!$A$2:$A$1649, customer_master!$A$2:$A$1649)), "Orphan", "Valid")</f>
        <v>Valid</v>
      </c>
    </row>
    <row r="566" spans="1:8" x14ac:dyDescent="0.3">
      <c r="A566" s="1" t="s">
        <v>8651</v>
      </c>
      <c r="B566" s="1" t="s">
        <v>8652</v>
      </c>
      <c r="C566" s="41">
        <v>45687</v>
      </c>
      <c r="D566" s="1" t="s">
        <v>7899</v>
      </c>
      <c r="E566" s="1">
        <v>2</v>
      </c>
      <c r="F566" s="1" t="s">
        <v>17</v>
      </c>
      <c r="G566" s="1" t="s">
        <v>17</v>
      </c>
      <c r="H566" t="str">
        <f>IF(ISNA(_xlfn.XLOOKUP(B566, customer_master!$A$2:$A$1649, customer_master!$A$2:$A$1649)), "Orphan", "Valid")</f>
        <v>Orphan</v>
      </c>
    </row>
    <row r="567" spans="1:8" x14ac:dyDescent="0.3">
      <c r="A567" s="1" t="s">
        <v>8653</v>
      </c>
      <c r="B567" s="1" t="s">
        <v>2300</v>
      </c>
      <c r="C567" s="41">
        <v>46162</v>
      </c>
      <c r="D567" s="1" t="s">
        <v>7912</v>
      </c>
      <c r="E567" s="1">
        <v>5</v>
      </c>
      <c r="F567" s="1" t="s">
        <v>17</v>
      </c>
      <c r="G567" s="1" t="s">
        <v>17</v>
      </c>
      <c r="H567" t="str">
        <f>IF(ISNA(_xlfn.XLOOKUP(B567, customer_master!$A$2:$A$1649, customer_master!$A$2:$A$1649)), "Orphan", "Valid")</f>
        <v>Valid</v>
      </c>
    </row>
    <row r="568" spans="1:8" x14ac:dyDescent="0.3">
      <c r="A568" s="1" t="s">
        <v>8654</v>
      </c>
      <c r="B568" s="1" t="s">
        <v>8655</v>
      </c>
      <c r="C568" s="41">
        <v>45313</v>
      </c>
      <c r="D568" s="1" t="s">
        <v>7889</v>
      </c>
      <c r="E568" s="1">
        <v>5</v>
      </c>
      <c r="F568" s="1" t="s">
        <v>30</v>
      </c>
      <c r="G568" s="1" t="s">
        <v>30</v>
      </c>
      <c r="H568" t="str">
        <f>IF(ISNA(_xlfn.XLOOKUP(B568, customer_master!$A$2:$A$1649, customer_master!$A$2:$A$1649)), "Orphan", "Valid")</f>
        <v>Orphan</v>
      </c>
    </row>
    <row r="569" spans="1:8" x14ac:dyDescent="0.3">
      <c r="A569" s="1" t="s">
        <v>8656</v>
      </c>
      <c r="B569" s="1" t="s">
        <v>2068</v>
      </c>
      <c r="C569" s="41">
        <v>45892</v>
      </c>
      <c r="D569" s="1" t="s">
        <v>7881</v>
      </c>
      <c r="E569" s="1">
        <v>4</v>
      </c>
      <c r="F569" s="1" t="s">
        <v>30</v>
      </c>
      <c r="G569" s="1" t="s">
        <v>30</v>
      </c>
      <c r="H569" t="str">
        <f>IF(ISNA(_xlfn.XLOOKUP(B569, customer_master!$A$2:$A$1649, customer_master!$A$2:$A$1649)), "Orphan", "Valid")</f>
        <v>Valid</v>
      </c>
    </row>
    <row r="570" spans="1:8" x14ac:dyDescent="0.3">
      <c r="A570" s="1" t="s">
        <v>8657</v>
      </c>
      <c r="B570" s="1" t="s">
        <v>2847</v>
      </c>
      <c r="C570" s="41">
        <v>45573</v>
      </c>
      <c r="D570" s="1" t="s">
        <v>7877</v>
      </c>
      <c r="E570" s="1">
        <v>2</v>
      </c>
      <c r="F570" s="1" t="s">
        <v>17</v>
      </c>
      <c r="G570" s="1" t="s">
        <v>17</v>
      </c>
      <c r="H570" t="str">
        <f>IF(ISNA(_xlfn.XLOOKUP(B570, customer_master!$A$2:$A$1649, customer_master!$A$2:$A$1649)), "Orphan", "Valid")</f>
        <v>Valid</v>
      </c>
    </row>
    <row r="571" spans="1:8" x14ac:dyDescent="0.3">
      <c r="A571" s="1" t="s">
        <v>8658</v>
      </c>
      <c r="B571" s="1" t="s">
        <v>3016</v>
      </c>
      <c r="C571" s="41">
        <v>45845</v>
      </c>
      <c r="D571" s="1" t="s">
        <v>7906</v>
      </c>
      <c r="E571" s="1">
        <v>5</v>
      </c>
      <c r="F571" s="1" t="s">
        <v>30</v>
      </c>
      <c r="G571" s="1" t="s">
        <v>17</v>
      </c>
      <c r="H571" t="str">
        <f>IF(ISNA(_xlfn.XLOOKUP(B571, customer_master!$A$2:$A$1649, customer_master!$A$2:$A$1649)), "Orphan", "Valid")</f>
        <v>Valid</v>
      </c>
    </row>
    <row r="572" spans="1:8" x14ac:dyDescent="0.3">
      <c r="A572" s="1" t="s">
        <v>8659</v>
      </c>
      <c r="B572" s="1" t="s">
        <v>1343</v>
      </c>
      <c r="C572" s="41">
        <v>45958</v>
      </c>
      <c r="D572" s="1" t="s">
        <v>7912</v>
      </c>
      <c r="E572" s="1">
        <v>4</v>
      </c>
      <c r="F572" s="1" t="s">
        <v>17</v>
      </c>
      <c r="G572" s="1" t="s">
        <v>17</v>
      </c>
      <c r="H572" t="str">
        <f>IF(ISNA(_xlfn.XLOOKUP(B572, customer_master!$A$2:$A$1649, customer_master!$A$2:$A$1649)), "Orphan", "Valid")</f>
        <v>Valid</v>
      </c>
    </row>
    <row r="573" spans="1:8" x14ac:dyDescent="0.3">
      <c r="A573" s="1" t="s">
        <v>8660</v>
      </c>
      <c r="B573" s="1" t="s">
        <v>8661</v>
      </c>
      <c r="C573" s="41">
        <v>45696</v>
      </c>
      <c r="D573" s="1" t="s">
        <v>7877</v>
      </c>
      <c r="E573" s="1">
        <v>2</v>
      </c>
      <c r="F573" s="1" t="s">
        <v>17</v>
      </c>
      <c r="G573" s="1" t="s">
        <v>30</v>
      </c>
      <c r="H573" t="str">
        <f>IF(ISNA(_xlfn.XLOOKUP(B573, customer_master!$A$2:$A$1649, customer_master!$A$2:$A$1649)), "Orphan", "Valid")</f>
        <v>Orphan</v>
      </c>
    </row>
    <row r="574" spans="1:8" x14ac:dyDescent="0.3">
      <c r="A574" s="1" t="s">
        <v>8662</v>
      </c>
      <c r="B574" s="1" t="s">
        <v>2052</v>
      </c>
      <c r="C574" s="41">
        <v>45993</v>
      </c>
      <c r="D574" s="1" t="s">
        <v>7877</v>
      </c>
      <c r="E574" s="1">
        <v>1</v>
      </c>
      <c r="F574" s="1" t="s">
        <v>17</v>
      </c>
      <c r="G574" s="1" t="s">
        <v>30</v>
      </c>
      <c r="H574" t="str">
        <f>IF(ISNA(_xlfn.XLOOKUP(B574, customer_master!$A$2:$A$1649, customer_master!$A$2:$A$1649)), "Orphan", "Valid")</f>
        <v>Valid</v>
      </c>
    </row>
    <row r="575" spans="1:8" x14ac:dyDescent="0.3">
      <c r="A575" s="1" t="s">
        <v>8663</v>
      </c>
      <c r="B575" s="1" t="s">
        <v>8664</v>
      </c>
      <c r="C575" s="41">
        <v>46106</v>
      </c>
      <c r="D575" s="1" t="s">
        <v>7912</v>
      </c>
      <c r="E575" s="1">
        <v>5</v>
      </c>
      <c r="F575" s="1" t="s">
        <v>17</v>
      </c>
      <c r="G575" s="1" t="s">
        <v>17</v>
      </c>
      <c r="H575" t="str">
        <f>IF(ISNA(_xlfn.XLOOKUP(B575, customer_master!$A$2:$A$1649, customer_master!$A$2:$A$1649)), "Orphan", "Valid")</f>
        <v>Orphan</v>
      </c>
    </row>
    <row r="576" spans="1:8" x14ac:dyDescent="0.3">
      <c r="A576" s="1" t="s">
        <v>8665</v>
      </c>
      <c r="B576" s="1" t="s">
        <v>8666</v>
      </c>
      <c r="C576" s="41">
        <v>45388</v>
      </c>
      <c r="D576" s="1" t="s">
        <v>7879</v>
      </c>
      <c r="E576" s="1">
        <v>2</v>
      </c>
      <c r="F576" s="1" t="s">
        <v>17</v>
      </c>
      <c r="G576" s="1" t="s">
        <v>17</v>
      </c>
      <c r="H576" t="str">
        <f>IF(ISNA(_xlfn.XLOOKUP(B576, customer_master!$A$2:$A$1649, customer_master!$A$2:$A$1649)), "Orphan", "Valid")</f>
        <v>Orphan</v>
      </c>
    </row>
    <row r="577" spans="1:8" x14ac:dyDescent="0.3">
      <c r="A577" s="1" t="s">
        <v>8667</v>
      </c>
      <c r="B577" s="1" t="s">
        <v>8668</v>
      </c>
      <c r="C577" s="41">
        <v>45413</v>
      </c>
      <c r="D577" s="1" t="s">
        <v>7879</v>
      </c>
      <c r="E577" s="1">
        <v>2</v>
      </c>
      <c r="F577" s="1" t="s">
        <v>17</v>
      </c>
      <c r="G577" s="1" t="s">
        <v>17</v>
      </c>
      <c r="H577" t="str">
        <f>IF(ISNA(_xlfn.XLOOKUP(B577, customer_master!$A$2:$A$1649, customer_master!$A$2:$A$1649)), "Orphan", "Valid")</f>
        <v>Orphan</v>
      </c>
    </row>
    <row r="578" spans="1:8" x14ac:dyDescent="0.3">
      <c r="A578" s="1" t="s">
        <v>8669</v>
      </c>
      <c r="B578" s="1" t="s">
        <v>8670</v>
      </c>
      <c r="C578" s="41">
        <v>45315</v>
      </c>
      <c r="D578" s="1" t="s">
        <v>7896</v>
      </c>
      <c r="E578" s="1">
        <v>4</v>
      </c>
      <c r="F578" s="1" t="s">
        <v>17</v>
      </c>
      <c r="G578" s="1" t="s">
        <v>30</v>
      </c>
      <c r="H578" t="str">
        <f>IF(ISNA(_xlfn.XLOOKUP(B578, customer_master!$A$2:$A$1649, customer_master!$A$2:$A$1649)), "Orphan", "Valid")</f>
        <v>Orphan</v>
      </c>
    </row>
    <row r="579" spans="1:8" x14ac:dyDescent="0.3">
      <c r="A579" s="1" t="s">
        <v>8671</v>
      </c>
      <c r="B579" s="1" t="s">
        <v>2308</v>
      </c>
      <c r="C579" s="41">
        <v>46205</v>
      </c>
      <c r="D579" s="1" t="s">
        <v>7899</v>
      </c>
      <c r="E579" s="1">
        <v>2</v>
      </c>
      <c r="F579" s="1" t="s">
        <v>30</v>
      </c>
      <c r="G579" s="1" t="s">
        <v>30</v>
      </c>
      <c r="H579" t="str">
        <f>IF(ISNA(_xlfn.XLOOKUP(B579, customer_master!$A$2:$A$1649, customer_master!$A$2:$A$1649)), "Orphan", "Valid")</f>
        <v>Valid</v>
      </c>
    </row>
    <row r="580" spans="1:8" x14ac:dyDescent="0.3">
      <c r="A580" s="1" t="s">
        <v>8672</v>
      </c>
      <c r="B580" s="1" t="s">
        <v>578</v>
      </c>
      <c r="C580" s="41">
        <v>45420</v>
      </c>
      <c r="D580" s="1" t="s">
        <v>7887</v>
      </c>
      <c r="E580" s="1">
        <v>2</v>
      </c>
      <c r="F580" s="1" t="s">
        <v>17</v>
      </c>
      <c r="G580" s="1" t="s">
        <v>17</v>
      </c>
      <c r="H580" t="str">
        <f>IF(ISNA(_xlfn.XLOOKUP(B580, customer_master!$A$2:$A$1649, customer_master!$A$2:$A$1649)), "Orphan", "Valid")</f>
        <v>Valid</v>
      </c>
    </row>
    <row r="581" spans="1:8" x14ac:dyDescent="0.3">
      <c r="A581" s="1" t="s">
        <v>8673</v>
      </c>
      <c r="B581" s="1" t="s">
        <v>1045</v>
      </c>
      <c r="C581" s="41">
        <v>45263</v>
      </c>
      <c r="D581" s="1" t="s">
        <v>7877</v>
      </c>
      <c r="E581" s="1">
        <v>1</v>
      </c>
      <c r="F581" s="1" t="s">
        <v>17</v>
      </c>
      <c r="G581" s="1" t="s">
        <v>30</v>
      </c>
      <c r="H581" t="str">
        <f>IF(ISNA(_xlfn.XLOOKUP(B581, customer_master!$A$2:$A$1649, customer_master!$A$2:$A$1649)), "Orphan", "Valid")</f>
        <v>Valid</v>
      </c>
    </row>
    <row r="582" spans="1:8" x14ac:dyDescent="0.3">
      <c r="A582" s="1" t="s">
        <v>8674</v>
      </c>
      <c r="B582" s="1" t="s">
        <v>2410</v>
      </c>
      <c r="C582" s="41">
        <v>45276</v>
      </c>
      <c r="D582" s="1" t="s">
        <v>7912</v>
      </c>
      <c r="E582" s="1">
        <v>5</v>
      </c>
      <c r="F582" s="1" t="s">
        <v>30</v>
      </c>
      <c r="G582" s="1" t="s">
        <v>17</v>
      </c>
      <c r="H582" t="str">
        <f>IF(ISNA(_xlfn.XLOOKUP(B582, customer_master!$A$2:$A$1649, customer_master!$A$2:$A$1649)), "Orphan", "Valid")</f>
        <v>Valid</v>
      </c>
    </row>
    <row r="583" spans="1:8" x14ac:dyDescent="0.3">
      <c r="A583" s="1" t="s">
        <v>8675</v>
      </c>
      <c r="B583" s="1" t="s">
        <v>1073</v>
      </c>
      <c r="C583" s="41">
        <v>45615</v>
      </c>
      <c r="D583" s="1" t="s">
        <v>7887</v>
      </c>
      <c r="E583" s="1">
        <v>2</v>
      </c>
      <c r="F583" s="1" t="s">
        <v>17</v>
      </c>
      <c r="G583" s="1" t="s">
        <v>17</v>
      </c>
      <c r="H583" t="str">
        <f>IF(ISNA(_xlfn.XLOOKUP(B583, customer_master!$A$2:$A$1649, customer_master!$A$2:$A$1649)), "Orphan", "Valid")</f>
        <v>Valid</v>
      </c>
    </row>
    <row r="584" spans="1:8" x14ac:dyDescent="0.3">
      <c r="A584" s="1" t="s">
        <v>8676</v>
      </c>
      <c r="B584" s="1" t="s">
        <v>8677</v>
      </c>
      <c r="C584" s="41">
        <v>46145</v>
      </c>
      <c r="D584" s="1" t="s">
        <v>7887</v>
      </c>
      <c r="E584" s="1">
        <v>2</v>
      </c>
      <c r="F584" s="1" t="s">
        <v>30</v>
      </c>
      <c r="G584" s="1" t="s">
        <v>30</v>
      </c>
      <c r="H584" t="str">
        <f>IF(ISNA(_xlfn.XLOOKUP(B584, customer_master!$A$2:$A$1649, customer_master!$A$2:$A$1649)), "Orphan", "Valid")</f>
        <v>Orphan</v>
      </c>
    </row>
    <row r="585" spans="1:8" x14ac:dyDescent="0.3">
      <c r="A585" s="1" t="s">
        <v>8678</v>
      </c>
      <c r="B585" s="1" t="s">
        <v>1372</v>
      </c>
      <c r="C585" s="41">
        <v>45288</v>
      </c>
      <c r="D585" s="1" t="s">
        <v>7884</v>
      </c>
      <c r="E585" s="1">
        <v>2</v>
      </c>
      <c r="F585" s="1" t="s">
        <v>17</v>
      </c>
      <c r="G585" s="1" t="s">
        <v>17</v>
      </c>
      <c r="H585" t="str">
        <f>IF(ISNA(_xlfn.XLOOKUP(B585, customer_master!$A$2:$A$1649, customer_master!$A$2:$A$1649)), "Orphan", "Valid")</f>
        <v>Valid</v>
      </c>
    </row>
    <row r="586" spans="1:8" x14ac:dyDescent="0.3">
      <c r="A586" s="1" t="s">
        <v>8679</v>
      </c>
      <c r="B586" s="1" t="s">
        <v>8680</v>
      </c>
      <c r="C586" s="41">
        <v>45420</v>
      </c>
      <c r="D586" s="1" t="s">
        <v>7879</v>
      </c>
      <c r="E586" s="1">
        <v>2</v>
      </c>
      <c r="F586" s="1" t="s">
        <v>17</v>
      </c>
      <c r="G586" s="1" t="s">
        <v>17</v>
      </c>
      <c r="H586" t="str">
        <f>IF(ISNA(_xlfn.XLOOKUP(B586, customer_master!$A$2:$A$1649, customer_master!$A$2:$A$1649)), "Orphan", "Valid")</f>
        <v>Orphan</v>
      </c>
    </row>
    <row r="587" spans="1:8" x14ac:dyDescent="0.3">
      <c r="A587" s="1" t="s">
        <v>8681</v>
      </c>
      <c r="B587" s="1" t="s">
        <v>2686</v>
      </c>
      <c r="C587" s="41">
        <v>45375</v>
      </c>
      <c r="D587" s="1" t="s">
        <v>7896</v>
      </c>
      <c r="E587" s="1">
        <v>4</v>
      </c>
      <c r="F587" s="1" t="s">
        <v>30</v>
      </c>
      <c r="G587" s="1" t="s">
        <v>17</v>
      </c>
      <c r="H587" t="str">
        <f>IF(ISNA(_xlfn.XLOOKUP(B587, customer_master!$A$2:$A$1649, customer_master!$A$2:$A$1649)), "Orphan", "Valid")</f>
        <v>Valid</v>
      </c>
    </row>
    <row r="588" spans="1:8" x14ac:dyDescent="0.3">
      <c r="A588" s="1" t="s">
        <v>8682</v>
      </c>
      <c r="B588" s="1" t="s">
        <v>103</v>
      </c>
      <c r="C588" s="41">
        <v>45895</v>
      </c>
      <c r="D588" s="1" t="s">
        <v>7899</v>
      </c>
      <c r="E588" s="1">
        <v>2</v>
      </c>
      <c r="F588" s="1" t="s">
        <v>17</v>
      </c>
      <c r="G588" s="1" t="s">
        <v>30</v>
      </c>
      <c r="H588" t="str">
        <f>IF(ISNA(_xlfn.XLOOKUP(B588, customer_master!$A$2:$A$1649, customer_master!$A$2:$A$1649)), "Orphan", "Valid")</f>
        <v>Valid</v>
      </c>
    </row>
    <row r="589" spans="1:8" x14ac:dyDescent="0.3">
      <c r="A589" s="1" t="s">
        <v>8683</v>
      </c>
      <c r="B589" s="1" t="s">
        <v>1771</v>
      </c>
      <c r="C589" s="41">
        <v>45533</v>
      </c>
      <c r="D589" s="1" t="s">
        <v>7879</v>
      </c>
      <c r="E589" s="1">
        <v>2</v>
      </c>
      <c r="F589" s="1" t="s">
        <v>30</v>
      </c>
      <c r="G589" s="1" t="s">
        <v>17</v>
      </c>
      <c r="H589" t="str">
        <f>IF(ISNA(_xlfn.XLOOKUP(B589, customer_master!$A$2:$A$1649, customer_master!$A$2:$A$1649)), "Orphan", "Valid")</f>
        <v>Valid</v>
      </c>
    </row>
    <row r="590" spans="1:8" x14ac:dyDescent="0.3">
      <c r="A590" s="1" t="s">
        <v>8684</v>
      </c>
      <c r="B590" s="1" t="s">
        <v>2861</v>
      </c>
      <c r="C590" s="41">
        <v>46240</v>
      </c>
      <c r="D590" s="1" t="s">
        <v>7887</v>
      </c>
      <c r="E590" s="1">
        <v>2</v>
      </c>
      <c r="F590" s="1" t="s">
        <v>17</v>
      </c>
      <c r="G590" s="1" t="s">
        <v>17</v>
      </c>
      <c r="H590" t="str">
        <f>IF(ISNA(_xlfn.XLOOKUP(B590, customer_master!$A$2:$A$1649, customer_master!$A$2:$A$1649)), "Orphan", "Valid")</f>
        <v>Valid</v>
      </c>
    </row>
    <row r="591" spans="1:8" x14ac:dyDescent="0.3">
      <c r="A591" s="1" t="s">
        <v>8685</v>
      </c>
      <c r="B591" s="1" t="s">
        <v>8686</v>
      </c>
      <c r="C591" s="41">
        <v>45905</v>
      </c>
      <c r="D591" s="1" t="s">
        <v>7896</v>
      </c>
      <c r="E591" s="1">
        <v>4</v>
      </c>
      <c r="F591" s="1" t="s">
        <v>17</v>
      </c>
      <c r="G591" s="1" t="s">
        <v>30</v>
      </c>
      <c r="H591" t="str">
        <f>IF(ISNA(_xlfn.XLOOKUP(B591, customer_master!$A$2:$A$1649, customer_master!$A$2:$A$1649)), "Orphan", "Valid")</f>
        <v>Orphan</v>
      </c>
    </row>
    <row r="592" spans="1:8" x14ac:dyDescent="0.3">
      <c r="A592" s="1" t="s">
        <v>8687</v>
      </c>
      <c r="B592" s="1" t="s">
        <v>2322</v>
      </c>
      <c r="C592" s="41">
        <v>45742</v>
      </c>
      <c r="D592" s="1" t="s">
        <v>7887</v>
      </c>
      <c r="E592" s="1">
        <v>2</v>
      </c>
      <c r="F592" s="1" t="s">
        <v>30</v>
      </c>
      <c r="G592" s="1" t="s">
        <v>17</v>
      </c>
      <c r="H592" t="str">
        <f>IF(ISNA(_xlfn.XLOOKUP(B592, customer_master!$A$2:$A$1649, customer_master!$A$2:$A$1649)), "Orphan", "Valid")</f>
        <v>Valid</v>
      </c>
    </row>
    <row r="593" spans="1:8" x14ac:dyDescent="0.3">
      <c r="A593" s="1" t="s">
        <v>8688</v>
      </c>
      <c r="B593" s="1" t="s">
        <v>8689</v>
      </c>
      <c r="C593" s="41">
        <v>45805</v>
      </c>
      <c r="D593" s="1" t="s">
        <v>7884</v>
      </c>
      <c r="E593" s="1">
        <v>3</v>
      </c>
      <c r="F593" s="1" t="s">
        <v>30</v>
      </c>
      <c r="G593" s="1" t="s">
        <v>17</v>
      </c>
      <c r="H593" t="str">
        <f>IF(ISNA(_xlfn.XLOOKUP(B593, customer_master!$A$2:$A$1649, customer_master!$A$2:$A$1649)), "Orphan", "Valid")</f>
        <v>Orphan</v>
      </c>
    </row>
    <row r="594" spans="1:8" x14ac:dyDescent="0.3">
      <c r="A594" s="1" t="s">
        <v>8690</v>
      </c>
      <c r="B594" s="1" t="s">
        <v>691</v>
      </c>
      <c r="C594" s="41">
        <v>46141</v>
      </c>
      <c r="D594" s="1" t="s">
        <v>7889</v>
      </c>
      <c r="E594" s="1">
        <v>5</v>
      </c>
      <c r="F594" s="1" t="s">
        <v>30</v>
      </c>
      <c r="G594" s="1" t="s">
        <v>17</v>
      </c>
      <c r="H594" t="str">
        <f>IF(ISNA(_xlfn.XLOOKUP(B594, customer_master!$A$2:$A$1649, customer_master!$A$2:$A$1649)), "Orphan", "Valid")</f>
        <v>Valid</v>
      </c>
    </row>
    <row r="595" spans="1:8" x14ac:dyDescent="0.3">
      <c r="A595" s="1" t="s">
        <v>8691</v>
      </c>
      <c r="B595" s="1" t="s">
        <v>8692</v>
      </c>
      <c r="C595" s="41">
        <v>46005</v>
      </c>
      <c r="D595" s="1" t="s">
        <v>7906</v>
      </c>
      <c r="E595" s="1">
        <v>5</v>
      </c>
      <c r="F595" s="1" t="s">
        <v>30</v>
      </c>
      <c r="G595" s="1" t="s">
        <v>30</v>
      </c>
      <c r="H595" t="str">
        <f>IF(ISNA(_xlfn.XLOOKUP(B595, customer_master!$A$2:$A$1649, customer_master!$A$2:$A$1649)), "Orphan", "Valid")</f>
        <v>Orphan</v>
      </c>
    </row>
    <row r="596" spans="1:8" x14ac:dyDescent="0.3">
      <c r="A596" s="1" t="s">
        <v>8693</v>
      </c>
      <c r="B596" s="1" t="s">
        <v>8694</v>
      </c>
      <c r="C596" s="41">
        <v>45317</v>
      </c>
      <c r="D596" s="1" t="s">
        <v>7877</v>
      </c>
      <c r="E596" s="1">
        <v>1</v>
      </c>
      <c r="F596" s="1" t="s">
        <v>17</v>
      </c>
      <c r="G596" s="1" t="s">
        <v>17</v>
      </c>
      <c r="H596" t="str">
        <f>IF(ISNA(_xlfn.XLOOKUP(B596, customer_master!$A$2:$A$1649, customer_master!$A$2:$A$1649)), "Orphan", "Valid")</f>
        <v>Orphan</v>
      </c>
    </row>
    <row r="597" spans="1:8" x14ac:dyDescent="0.3">
      <c r="A597" s="1" t="s">
        <v>8695</v>
      </c>
      <c r="B597" s="1" t="s">
        <v>8696</v>
      </c>
      <c r="C597" s="41">
        <v>45635</v>
      </c>
      <c r="D597" s="1" t="s">
        <v>7887</v>
      </c>
      <c r="E597" s="1">
        <v>2</v>
      </c>
      <c r="F597" s="1" t="s">
        <v>30</v>
      </c>
      <c r="G597" s="1" t="s">
        <v>17</v>
      </c>
      <c r="H597" t="str">
        <f>IF(ISNA(_xlfn.XLOOKUP(B597, customer_master!$A$2:$A$1649, customer_master!$A$2:$A$1649)), "Orphan", "Valid")</f>
        <v>Orphan</v>
      </c>
    </row>
    <row r="598" spans="1:8" x14ac:dyDescent="0.3">
      <c r="A598" s="1" t="s">
        <v>8697</v>
      </c>
      <c r="B598" s="1" t="s">
        <v>2794</v>
      </c>
      <c r="C598" s="41">
        <v>45897</v>
      </c>
      <c r="D598" s="1" t="s">
        <v>7906</v>
      </c>
      <c r="E598" s="1">
        <v>4</v>
      </c>
      <c r="F598" s="1" t="s">
        <v>17</v>
      </c>
      <c r="G598" s="1" t="s">
        <v>30</v>
      </c>
      <c r="H598" t="str">
        <f>IF(ISNA(_xlfn.XLOOKUP(B598, customer_master!$A$2:$A$1649, customer_master!$A$2:$A$1649)), "Orphan", "Valid")</f>
        <v>Valid</v>
      </c>
    </row>
    <row r="599" spans="1:8" x14ac:dyDescent="0.3">
      <c r="A599" s="1" t="s">
        <v>8698</v>
      </c>
      <c r="B599" s="1" t="s">
        <v>915</v>
      </c>
      <c r="C599" s="41">
        <v>45807</v>
      </c>
      <c r="D599" s="1" t="s">
        <v>7896</v>
      </c>
      <c r="E599" s="1">
        <v>4</v>
      </c>
      <c r="F599" s="1" t="s">
        <v>17</v>
      </c>
      <c r="G599" s="1" t="s">
        <v>30</v>
      </c>
      <c r="H599" t="str">
        <f>IF(ISNA(_xlfn.XLOOKUP(B599, customer_master!$A$2:$A$1649, customer_master!$A$2:$A$1649)), "Orphan", "Valid")</f>
        <v>Valid</v>
      </c>
    </row>
    <row r="600" spans="1:8" x14ac:dyDescent="0.3">
      <c r="A600" s="1" t="s">
        <v>8699</v>
      </c>
      <c r="B600" s="1" t="s">
        <v>3273</v>
      </c>
      <c r="C600" s="41">
        <v>46197</v>
      </c>
      <c r="D600" s="1" t="s">
        <v>7889</v>
      </c>
      <c r="E600" s="1">
        <v>4</v>
      </c>
      <c r="F600" s="1" t="s">
        <v>30</v>
      </c>
      <c r="G600" s="1" t="s">
        <v>17</v>
      </c>
      <c r="H600" t="str">
        <f>IF(ISNA(_xlfn.XLOOKUP(B600, customer_master!$A$2:$A$1649, customer_master!$A$2:$A$1649)), "Orphan", "Valid")</f>
        <v>Valid</v>
      </c>
    </row>
    <row r="601" spans="1:8" x14ac:dyDescent="0.3">
      <c r="A601" s="1" t="s">
        <v>8700</v>
      </c>
      <c r="B601" s="1" t="s">
        <v>2216</v>
      </c>
      <c r="C601" s="41">
        <v>45210</v>
      </c>
      <c r="D601" s="1" t="s">
        <v>7896</v>
      </c>
      <c r="E601" s="1">
        <v>4</v>
      </c>
      <c r="F601" s="1" t="s">
        <v>30</v>
      </c>
      <c r="G601" s="1" t="s">
        <v>17</v>
      </c>
      <c r="H601" t="str">
        <f>IF(ISNA(_xlfn.XLOOKUP(B601, customer_master!$A$2:$A$1649, customer_master!$A$2:$A$1649)), "Orphan", "Valid")</f>
        <v>Valid</v>
      </c>
    </row>
    <row r="602" spans="1:8" x14ac:dyDescent="0.3">
      <c r="A602" s="1" t="s">
        <v>8701</v>
      </c>
      <c r="B602" s="1" t="s">
        <v>487</v>
      </c>
      <c r="C602" s="41">
        <v>46165</v>
      </c>
      <c r="D602" s="1" t="s">
        <v>7879</v>
      </c>
      <c r="E602" s="1">
        <v>2</v>
      </c>
      <c r="F602" s="1" t="s">
        <v>17</v>
      </c>
      <c r="G602" s="1" t="s">
        <v>17</v>
      </c>
      <c r="H602" t="str">
        <f>IF(ISNA(_xlfn.XLOOKUP(B602, customer_master!$A$2:$A$1649, customer_master!$A$2:$A$1649)), "Orphan", "Valid")</f>
        <v>Valid</v>
      </c>
    </row>
    <row r="603" spans="1:8" x14ac:dyDescent="0.3">
      <c r="A603" s="1" t="s">
        <v>8702</v>
      </c>
      <c r="B603" s="1" t="s">
        <v>8703</v>
      </c>
      <c r="C603" s="41">
        <v>45594</v>
      </c>
      <c r="D603" s="1" t="s">
        <v>7879</v>
      </c>
      <c r="E603" s="1">
        <v>2</v>
      </c>
      <c r="F603" s="1" t="s">
        <v>30</v>
      </c>
      <c r="G603" s="1" t="s">
        <v>17</v>
      </c>
      <c r="H603" t="str">
        <f>IF(ISNA(_xlfn.XLOOKUP(B603, customer_master!$A$2:$A$1649, customer_master!$A$2:$A$1649)), "Orphan", "Valid")</f>
        <v>Orphan</v>
      </c>
    </row>
    <row r="604" spans="1:8" x14ac:dyDescent="0.3">
      <c r="A604" s="1" t="s">
        <v>8704</v>
      </c>
      <c r="B604" s="1" t="s">
        <v>528</v>
      </c>
      <c r="C604" s="41">
        <v>45225</v>
      </c>
      <c r="D604" s="1" t="s">
        <v>7896</v>
      </c>
      <c r="E604" s="1">
        <v>4</v>
      </c>
      <c r="F604" s="1" t="s">
        <v>30</v>
      </c>
      <c r="G604" s="1" t="s">
        <v>30</v>
      </c>
      <c r="H604" t="str">
        <f>IF(ISNA(_xlfn.XLOOKUP(B604, customer_master!$A$2:$A$1649, customer_master!$A$2:$A$1649)), "Orphan", "Valid")</f>
        <v>Valid</v>
      </c>
    </row>
    <row r="605" spans="1:8" x14ac:dyDescent="0.3">
      <c r="A605" s="1" t="s">
        <v>8705</v>
      </c>
      <c r="B605" s="1" t="s">
        <v>1674</v>
      </c>
      <c r="C605" s="41">
        <v>45389</v>
      </c>
      <c r="D605" s="1" t="s">
        <v>7877</v>
      </c>
      <c r="E605" s="1">
        <v>1</v>
      </c>
      <c r="F605" s="1" t="s">
        <v>17</v>
      </c>
      <c r="G605" s="1" t="s">
        <v>30</v>
      </c>
      <c r="H605" t="str">
        <f>IF(ISNA(_xlfn.XLOOKUP(B605, customer_master!$A$2:$A$1649, customer_master!$A$2:$A$1649)), "Orphan", "Valid")</f>
        <v>Valid</v>
      </c>
    </row>
    <row r="606" spans="1:8" x14ac:dyDescent="0.3">
      <c r="A606" s="1" t="s">
        <v>8706</v>
      </c>
      <c r="B606" s="1" t="s">
        <v>8707</v>
      </c>
      <c r="C606" s="41">
        <v>45372</v>
      </c>
      <c r="D606" s="1" t="s">
        <v>7912</v>
      </c>
      <c r="E606" s="1">
        <v>5</v>
      </c>
      <c r="F606" s="1" t="s">
        <v>30</v>
      </c>
      <c r="G606" s="1" t="s">
        <v>17</v>
      </c>
      <c r="H606" t="str">
        <f>IF(ISNA(_xlfn.XLOOKUP(B606, customer_master!$A$2:$A$1649, customer_master!$A$2:$A$1649)), "Orphan", "Valid")</f>
        <v>Orphan</v>
      </c>
    </row>
    <row r="607" spans="1:8" x14ac:dyDescent="0.3">
      <c r="A607" s="1" t="s">
        <v>8708</v>
      </c>
      <c r="B607" s="1" t="s">
        <v>1414</v>
      </c>
      <c r="C607" s="41">
        <v>45329</v>
      </c>
      <c r="D607" s="1" t="s">
        <v>7877</v>
      </c>
      <c r="E607" s="1">
        <v>1</v>
      </c>
      <c r="F607" s="1" t="s">
        <v>30</v>
      </c>
      <c r="G607" s="1" t="s">
        <v>30</v>
      </c>
      <c r="H607" t="str">
        <f>IF(ISNA(_xlfn.XLOOKUP(B607, customer_master!$A$2:$A$1649, customer_master!$A$2:$A$1649)), "Orphan", "Valid")</f>
        <v>Valid</v>
      </c>
    </row>
    <row r="608" spans="1:8" x14ac:dyDescent="0.3">
      <c r="A608" s="1" t="s">
        <v>8709</v>
      </c>
      <c r="B608" s="1" t="s">
        <v>1952</v>
      </c>
      <c r="C608" s="41">
        <v>45210</v>
      </c>
      <c r="D608" s="1" t="s">
        <v>7887</v>
      </c>
      <c r="E608" s="1">
        <v>2</v>
      </c>
      <c r="F608" s="1" t="s">
        <v>30</v>
      </c>
      <c r="G608" s="1" t="s">
        <v>30</v>
      </c>
      <c r="H608" t="str">
        <f>IF(ISNA(_xlfn.XLOOKUP(B608, customer_master!$A$2:$A$1649, customer_master!$A$2:$A$1649)), "Orphan", "Valid")</f>
        <v>Valid</v>
      </c>
    </row>
    <row r="609" spans="1:8" x14ac:dyDescent="0.3">
      <c r="A609" s="1" t="s">
        <v>8710</v>
      </c>
      <c r="B609" s="1" t="s">
        <v>3214</v>
      </c>
      <c r="C609" s="41">
        <v>46044</v>
      </c>
      <c r="D609" s="1" t="s">
        <v>7887</v>
      </c>
      <c r="E609" s="1">
        <v>2</v>
      </c>
      <c r="F609" s="1" t="s">
        <v>17</v>
      </c>
      <c r="G609" s="1" t="s">
        <v>17</v>
      </c>
      <c r="H609" t="str">
        <f>IF(ISNA(_xlfn.XLOOKUP(B609, customer_master!$A$2:$A$1649, customer_master!$A$2:$A$1649)), "Orphan", "Valid")</f>
        <v>Valid</v>
      </c>
    </row>
    <row r="610" spans="1:8" x14ac:dyDescent="0.3">
      <c r="A610" s="1" t="s">
        <v>8711</v>
      </c>
      <c r="B610" s="1" t="s">
        <v>8712</v>
      </c>
      <c r="C610" s="41">
        <v>45350</v>
      </c>
      <c r="D610" s="1" t="s">
        <v>7884</v>
      </c>
      <c r="E610" s="1">
        <v>2</v>
      </c>
      <c r="F610" s="1" t="s">
        <v>17</v>
      </c>
      <c r="G610" s="1" t="s">
        <v>17</v>
      </c>
      <c r="H610" t="str">
        <f>IF(ISNA(_xlfn.XLOOKUP(B610, customer_master!$A$2:$A$1649, customer_master!$A$2:$A$1649)), "Orphan", "Valid")</f>
        <v>Orphan</v>
      </c>
    </row>
    <row r="611" spans="1:8" x14ac:dyDescent="0.3">
      <c r="A611" s="1" t="s">
        <v>8713</v>
      </c>
      <c r="B611" s="1" t="s">
        <v>8714</v>
      </c>
      <c r="C611" s="41">
        <v>45526</v>
      </c>
      <c r="D611" s="1" t="s">
        <v>7889</v>
      </c>
      <c r="E611" s="1">
        <v>4</v>
      </c>
      <c r="F611" s="1" t="s">
        <v>17</v>
      </c>
      <c r="G611" s="1" t="s">
        <v>17</v>
      </c>
      <c r="H611" t="str">
        <f>IF(ISNA(_xlfn.XLOOKUP(B611, customer_master!$A$2:$A$1649, customer_master!$A$2:$A$1649)), "Orphan", "Valid")</f>
        <v>Orphan</v>
      </c>
    </row>
    <row r="612" spans="1:8" x14ac:dyDescent="0.3">
      <c r="A612" s="1" t="s">
        <v>8715</v>
      </c>
      <c r="B612" s="1" t="s">
        <v>8716</v>
      </c>
      <c r="C612" s="41">
        <v>45800</v>
      </c>
      <c r="D612" s="1" t="s">
        <v>7906</v>
      </c>
      <c r="E612" s="1">
        <v>5</v>
      </c>
      <c r="F612" s="1" t="s">
        <v>17</v>
      </c>
      <c r="G612" s="1" t="s">
        <v>17</v>
      </c>
      <c r="H612" t="str">
        <f>IF(ISNA(_xlfn.XLOOKUP(B612, customer_master!$A$2:$A$1649, customer_master!$A$2:$A$1649)), "Orphan", "Valid")</f>
        <v>Orphan</v>
      </c>
    </row>
    <row r="613" spans="1:8" x14ac:dyDescent="0.3">
      <c r="A613" s="1" t="s">
        <v>8717</v>
      </c>
      <c r="B613" s="1" t="s">
        <v>8718</v>
      </c>
      <c r="C613" s="41">
        <v>45703</v>
      </c>
      <c r="D613" s="1" t="s">
        <v>7879</v>
      </c>
      <c r="E613" s="1">
        <v>2</v>
      </c>
      <c r="F613" s="1" t="s">
        <v>17</v>
      </c>
      <c r="G613" s="1" t="s">
        <v>30</v>
      </c>
      <c r="H613" t="str">
        <f>IF(ISNA(_xlfn.XLOOKUP(B613, customer_master!$A$2:$A$1649, customer_master!$A$2:$A$1649)), "Orphan", "Valid")</f>
        <v>Orphan</v>
      </c>
    </row>
    <row r="614" spans="1:8" x14ac:dyDescent="0.3">
      <c r="A614" s="1" t="s">
        <v>8719</v>
      </c>
      <c r="B614" s="1" t="s">
        <v>911</v>
      </c>
      <c r="C614" s="41">
        <v>45549</v>
      </c>
      <c r="D614" s="1" t="s">
        <v>7877</v>
      </c>
      <c r="E614" s="1">
        <v>2</v>
      </c>
      <c r="F614" s="1" t="s">
        <v>17</v>
      </c>
      <c r="G614" s="1" t="s">
        <v>17</v>
      </c>
      <c r="H614" t="str">
        <f>IF(ISNA(_xlfn.XLOOKUP(B614, customer_master!$A$2:$A$1649, customer_master!$A$2:$A$1649)), "Orphan", "Valid")</f>
        <v>Valid</v>
      </c>
    </row>
    <row r="615" spans="1:8" x14ac:dyDescent="0.3">
      <c r="A615" s="1" t="s">
        <v>8720</v>
      </c>
      <c r="B615" s="1" t="s">
        <v>8721</v>
      </c>
      <c r="C615" s="41">
        <v>45862</v>
      </c>
      <c r="D615" s="1" t="s">
        <v>7884</v>
      </c>
      <c r="E615" s="1">
        <v>2</v>
      </c>
      <c r="F615" s="1" t="s">
        <v>17</v>
      </c>
      <c r="G615" s="1" t="s">
        <v>30</v>
      </c>
      <c r="H615" t="str">
        <f>IF(ISNA(_xlfn.XLOOKUP(B615, customer_master!$A$2:$A$1649, customer_master!$A$2:$A$1649)), "Orphan", "Valid")</f>
        <v>Orphan</v>
      </c>
    </row>
    <row r="616" spans="1:8" x14ac:dyDescent="0.3">
      <c r="A616" s="1" t="s">
        <v>8722</v>
      </c>
      <c r="B616" s="1" t="s">
        <v>8723</v>
      </c>
      <c r="C616" s="41">
        <v>46068</v>
      </c>
      <c r="D616" s="1" t="s">
        <v>7877</v>
      </c>
      <c r="E616" s="1">
        <v>1</v>
      </c>
      <c r="F616" s="1" t="s">
        <v>30</v>
      </c>
      <c r="G616" s="1" t="s">
        <v>17</v>
      </c>
      <c r="H616" t="str">
        <f>IF(ISNA(_xlfn.XLOOKUP(B616, customer_master!$A$2:$A$1649, customer_master!$A$2:$A$1649)), "Orphan", "Valid")</f>
        <v>Orphan</v>
      </c>
    </row>
    <row r="617" spans="1:8" x14ac:dyDescent="0.3">
      <c r="A617" s="1" t="s">
        <v>8724</v>
      </c>
      <c r="B617" s="1" t="s">
        <v>8725</v>
      </c>
      <c r="C617" s="41">
        <v>45805</v>
      </c>
      <c r="D617" s="1" t="s">
        <v>7879</v>
      </c>
      <c r="E617" s="1">
        <v>2</v>
      </c>
      <c r="F617" s="1" t="s">
        <v>17</v>
      </c>
      <c r="G617" s="1" t="s">
        <v>30</v>
      </c>
      <c r="H617" t="str">
        <f>IF(ISNA(_xlfn.XLOOKUP(B617, customer_master!$A$2:$A$1649, customer_master!$A$2:$A$1649)), "Orphan", "Valid")</f>
        <v>Orphan</v>
      </c>
    </row>
    <row r="618" spans="1:8" x14ac:dyDescent="0.3">
      <c r="A618" s="1" t="s">
        <v>8726</v>
      </c>
      <c r="B618" s="1" t="s">
        <v>8727</v>
      </c>
      <c r="C618" s="41">
        <v>45668</v>
      </c>
      <c r="D618" s="1" t="s">
        <v>7881</v>
      </c>
      <c r="E618" s="1">
        <v>4</v>
      </c>
      <c r="F618" s="1" t="s">
        <v>17</v>
      </c>
      <c r="G618" s="1" t="s">
        <v>30</v>
      </c>
      <c r="H618" t="str">
        <f>IF(ISNA(_xlfn.XLOOKUP(B618, customer_master!$A$2:$A$1649, customer_master!$A$2:$A$1649)), "Orphan", "Valid")</f>
        <v>Orphan</v>
      </c>
    </row>
    <row r="619" spans="1:8" x14ac:dyDescent="0.3">
      <c r="A619" s="1" t="s">
        <v>8728</v>
      </c>
      <c r="B619" s="1" t="s">
        <v>280</v>
      </c>
      <c r="C619" s="41">
        <v>45408</v>
      </c>
      <c r="D619" s="1" t="s">
        <v>7899</v>
      </c>
      <c r="E619" s="1">
        <v>2</v>
      </c>
      <c r="F619" s="1" t="s">
        <v>30</v>
      </c>
      <c r="G619" s="1" t="s">
        <v>17</v>
      </c>
      <c r="H619" t="str">
        <f>IF(ISNA(_xlfn.XLOOKUP(B619, customer_master!$A$2:$A$1649, customer_master!$A$2:$A$1649)), "Orphan", "Valid")</f>
        <v>Valid</v>
      </c>
    </row>
    <row r="620" spans="1:8" x14ac:dyDescent="0.3">
      <c r="A620" s="1" t="s">
        <v>8729</v>
      </c>
      <c r="B620" s="1" t="s">
        <v>2792</v>
      </c>
      <c r="C620" s="41">
        <v>45853</v>
      </c>
      <c r="D620" s="1" t="s">
        <v>7896</v>
      </c>
      <c r="E620" s="1">
        <v>4</v>
      </c>
      <c r="F620" s="1" t="s">
        <v>17</v>
      </c>
      <c r="G620" s="1" t="s">
        <v>30</v>
      </c>
      <c r="H620" t="str">
        <f>IF(ISNA(_xlfn.XLOOKUP(B620, customer_master!$A$2:$A$1649, customer_master!$A$2:$A$1649)), "Orphan", "Valid")</f>
        <v>Valid</v>
      </c>
    </row>
    <row r="621" spans="1:8" x14ac:dyDescent="0.3">
      <c r="A621" s="1" t="s">
        <v>8730</v>
      </c>
      <c r="B621" s="1" t="s">
        <v>2599</v>
      </c>
      <c r="C621" s="41">
        <v>45771</v>
      </c>
      <c r="D621" s="1" t="s">
        <v>7912</v>
      </c>
      <c r="E621" s="1">
        <v>4</v>
      </c>
      <c r="F621" s="1" t="s">
        <v>17</v>
      </c>
      <c r="G621" s="1" t="s">
        <v>30</v>
      </c>
      <c r="H621" t="str">
        <f>IF(ISNA(_xlfn.XLOOKUP(B621, customer_master!$A$2:$A$1649, customer_master!$A$2:$A$1649)), "Orphan", "Valid")</f>
        <v>Valid</v>
      </c>
    </row>
    <row r="622" spans="1:8" x14ac:dyDescent="0.3">
      <c r="A622" s="1" t="s">
        <v>8731</v>
      </c>
      <c r="B622" s="1" t="s">
        <v>3096</v>
      </c>
      <c r="C622" s="41">
        <v>45302</v>
      </c>
      <c r="D622" s="1" t="s">
        <v>7881</v>
      </c>
      <c r="E622" s="1">
        <v>4</v>
      </c>
      <c r="F622" s="1" t="s">
        <v>17</v>
      </c>
      <c r="G622" s="1" t="s">
        <v>30</v>
      </c>
      <c r="H622" t="str">
        <f>IF(ISNA(_xlfn.XLOOKUP(B622, customer_master!$A$2:$A$1649, customer_master!$A$2:$A$1649)), "Orphan", "Valid")</f>
        <v>Valid</v>
      </c>
    </row>
    <row r="623" spans="1:8" x14ac:dyDescent="0.3">
      <c r="A623" s="1" t="s">
        <v>8732</v>
      </c>
      <c r="B623" s="1" t="s">
        <v>8733</v>
      </c>
      <c r="C623" s="41">
        <v>45479</v>
      </c>
      <c r="D623" s="1" t="s">
        <v>7912</v>
      </c>
      <c r="E623" s="1">
        <v>4</v>
      </c>
      <c r="F623" s="1" t="s">
        <v>17</v>
      </c>
      <c r="G623" s="1" t="s">
        <v>17</v>
      </c>
      <c r="H623" t="str">
        <f>IF(ISNA(_xlfn.XLOOKUP(B623, customer_master!$A$2:$A$1649, customer_master!$A$2:$A$1649)), "Orphan", "Valid")</f>
        <v>Orphan</v>
      </c>
    </row>
    <row r="624" spans="1:8" x14ac:dyDescent="0.3">
      <c r="A624" s="1" t="s">
        <v>8734</v>
      </c>
      <c r="B624" s="1" t="s">
        <v>803</v>
      </c>
      <c r="C624" s="41">
        <v>46015</v>
      </c>
      <c r="D624" s="1" t="s">
        <v>7884</v>
      </c>
      <c r="E624" s="1">
        <v>2</v>
      </c>
      <c r="F624" s="1" t="s">
        <v>17</v>
      </c>
      <c r="G624" s="1" t="s">
        <v>30</v>
      </c>
      <c r="H624" t="str">
        <f>IF(ISNA(_xlfn.XLOOKUP(B624, customer_master!$A$2:$A$1649, customer_master!$A$2:$A$1649)), "Orphan", "Valid")</f>
        <v>Valid</v>
      </c>
    </row>
    <row r="625" spans="1:8" x14ac:dyDescent="0.3">
      <c r="A625" s="1" t="s">
        <v>8735</v>
      </c>
      <c r="B625" s="1" t="s">
        <v>8736</v>
      </c>
      <c r="C625" s="41">
        <v>46185</v>
      </c>
      <c r="D625" s="1" t="s">
        <v>7906</v>
      </c>
      <c r="E625" s="1">
        <v>4</v>
      </c>
      <c r="F625" s="1" t="s">
        <v>30</v>
      </c>
      <c r="G625" s="1" t="s">
        <v>30</v>
      </c>
      <c r="H625" t="str">
        <f>IF(ISNA(_xlfn.XLOOKUP(B625, customer_master!$A$2:$A$1649, customer_master!$A$2:$A$1649)), "Orphan", "Valid")</f>
        <v>Orphan</v>
      </c>
    </row>
    <row r="626" spans="1:8" x14ac:dyDescent="0.3">
      <c r="A626" s="1" t="s">
        <v>8737</v>
      </c>
      <c r="B626" s="1" t="s">
        <v>685</v>
      </c>
      <c r="C626" s="41">
        <v>45542</v>
      </c>
      <c r="D626" s="1" t="s">
        <v>7881</v>
      </c>
      <c r="E626" s="1">
        <v>4</v>
      </c>
      <c r="F626" s="1" t="s">
        <v>30</v>
      </c>
      <c r="G626" s="1" t="s">
        <v>30</v>
      </c>
      <c r="H626" t="str">
        <f>IF(ISNA(_xlfn.XLOOKUP(B626, customer_master!$A$2:$A$1649, customer_master!$A$2:$A$1649)), "Orphan", "Valid")</f>
        <v>Valid</v>
      </c>
    </row>
    <row r="627" spans="1:8" x14ac:dyDescent="0.3">
      <c r="A627" s="1" t="s">
        <v>8738</v>
      </c>
      <c r="B627" s="1" t="s">
        <v>515</v>
      </c>
      <c r="C627" s="41">
        <v>46151</v>
      </c>
      <c r="D627" s="1" t="s">
        <v>7881</v>
      </c>
      <c r="E627" s="1">
        <v>4</v>
      </c>
      <c r="F627" s="1" t="s">
        <v>17</v>
      </c>
      <c r="G627" s="1" t="s">
        <v>17</v>
      </c>
      <c r="H627" t="str">
        <f>IF(ISNA(_xlfn.XLOOKUP(B627, customer_master!$A$2:$A$1649, customer_master!$A$2:$A$1649)), "Orphan", "Valid")</f>
        <v>Valid</v>
      </c>
    </row>
    <row r="628" spans="1:8" x14ac:dyDescent="0.3">
      <c r="A628" s="1" t="s">
        <v>8739</v>
      </c>
      <c r="B628" s="1" t="s">
        <v>8740</v>
      </c>
      <c r="C628" s="41">
        <v>45452</v>
      </c>
      <c r="D628" s="1" t="s">
        <v>7896</v>
      </c>
      <c r="E628" s="1">
        <v>4</v>
      </c>
      <c r="F628" s="1" t="s">
        <v>30</v>
      </c>
      <c r="G628" s="1" t="s">
        <v>17</v>
      </c>
      <c r="H628" t="str">
        <f>IF(ISNA(_xlfn.XLOOKUP(B628, customer_master!$A$2:$A$1649, customer_master!$A$2:$A$1649)), "Orphan", "Valid")</f>
        <v>Orphan</v>
      </c>
    </row>
    <row r="629" spans="1:8" x14ac:dyDescent="0.3">
      <c r="A629" s="1" t="s">
        <v>8741</v>
      </c>
      <c r="B629" s="1" t="s">
        <v>536</v>
      </c>
      <c r="C629" s="41">
        <v>46057</v>
      </c>
      <c r="D629" s="1" t="s">
        <v>7884</v>
      </c>
      <c r="E629" s="1">
        <v>2</v>
      </c>
      <c r="F629" s="1" t="s">
        <v>17</v>
      </c>
      <c r="G629" s="1" t="s">
        <v>17</v>
      </c>
      <c r="H629" t="str">
        <f>IF(ISNA(_xlfn.XLOOKUP(B629, customer_master!$A$2:$A$1649, customer_master!$A$2:$A$1649)), "Orphan", "Valid")</f>
        <v>Valid</v>
      </c>
    </row>
    <row r="630" spans="1:8" x14ac:dyDescent="0.3">
      <c r="A630" s="1" t="s">
        <v>8742</v>
      </c>
      <c r="B630" s="1" t="s">
        <v>8743</v>
      </c>
      <c r="C630" s="41">
        <v>45707</v>
      </c>
      <c r="D630" s="1" t="s">
        <v>7906</v>
      </c>
      <c r="E630" s="1">
        <v>5</v>
      </c>
      <c r="F630" s="1" t="s">
        <v>17</v>
      </c>
      <c r="G630" s="1" t="s">
        <v>30</v>
      </c>
      <c r="H630" t="str">
        <f>IF(ISNA(_xlfn.XLOOKUP(B630, customer_master!$A$2:$A$1649, customer_master!$A$2:$A$1649)), "Orphan", "Valid")</f>
        <v>Orphan</v>
      </c>
    </row>
    <row r="631" spans="1:8" x14ac:dyDescent="0.3">
      <c r="A631" s="1" t="s">
        <v>8744</v>
      </c>
      <c r="B631" s="1" t="s">
        <v>8745</v>
      </c>
      <c r="C631" s="41">
        <v>45774</v>
      </c>
      <c r="D631" s="1" t="s">
        <v>7877</v>
      </c>
      <c r="E631" s="1">
        <v>1</v>
      </c>
      <c r="F631" s="1" t="s">
        <v>30</v>
      </c>
      <c r="G631" s="1" t="s">
        <v>30</v>
      </c>
      <c r="H631" t="str">
        <f>IF(ISNA(_xlfn.XLOOKUP(B631, customer_master!$A$2:$A$1649, customer_master!$A$2:$A$1649)), "Orphan", "Valid")</f>
        <v>Orphan</v>
      </c>
    </row>
    <row r="632" spans="1:8" x14ac:dyDescent="0.3">
      <c r="A632" s="1" t="s">
        <v>8746</v>
      </c>
      <c r="B632" s="1" t="s">
        <v>250</v>
      </c>
      <c r="C632" s="41">
        <v>45899</v>
      </c>
      <c r="D632" s="1" t="s">
        <v>7884</v>
      </c>
      <c r="E632" s="1">
        <v>3</v>
      </c>
      <c r="F632" s="1" t="s">
        <v>30</v>
      </c>
      <c r="G632" s="1" t="s">
        <v>30</v>
      </c>
      <c r="H632" t="str">
        <f>IF(ISNA(_xlfn.XLOOKUP(B632, customer_master!$A$2:$A$1649, customer_master!$A$2:$A$1649)), "Orphan", "Valid")</f>
        <v>Valid</v>
      </c>
    </row>
    <row r="633" spans="1:8" x14ac:dyDescent="0.3">
      <c r="A633" s="1" t="s">
        <v>8747</v>
      </c>
      <c r="B633" s="1" t="s">
        <v>8748</v>
      </c>
      <c r="C633" s="41">
        <v>45905</v>
      </c>
      <c r="D633" s="1" t="s">
        <v>7889</v>
      </c>
      <c r="E633" s="1">
        <v>5</v>
      </c>
      <c r="F633" s="1" t="s">
        <v>17</v>
      </c>
      <c r="G633" s="1" t="s">
        <v>17</v>
      </c>
      <c r="H633" t="str">
        <f>IF(ISNA(_xlfn.XLOOKUP(B633, customer_master!$A$2:$A$1649, customer_master!$A$2:$A$1649)), "Orphan", "Valid")</f>
        <v>Orphan</v>
      </c>
    </row>
    <row r="634" spans="1:8" x14ac:dyDescent="0.3">
      <c r="A634" s="1" t="s">
        <v>8749</v>
      </c>
      <c r="B634" s="1" t="s">
        <v>3180</v>
      </c>
      <c r="C634" s="41">
        <v>45548</v>
      </c>
      <c r="D634" s="1" t="s">
        <v>7912</v>
      </c>
      <c r="E634" s="1">
        <v>5</v>
      </c>
      <c r="F634" s="1" t="s">
        <v>17</v>
      </c>
      <c r="G634" s="1" t="s">
        <v>30</v>
      </c>
      <c r="H634" t="str">
        <f>IF(ISNA(_xlfn.XLOOKUP(B634, customer_master!$A$2:$A$1649, customer_master!$A$2:$A$1649)), "Orphan", "Valid")</f>
        <v>Valid</v>
      </c>
    </row>
    <row r="635" spans="1:8" x14ac:dyDescent="0.3">
      <c r="A635" s="1" t="s">
        <v>8750</v>
      </c>
      <c r="B635" s="1" t="s">
        <v>8751</v>
      </c>
      <c r="C635" s="41">
        <v>45741</v>
      </c>
      <c r="D635" s="1" t="s">
        <v>7881</v>
      </c>
      <c r="E635" s="1">
        <v>4</v>
      </c>
      <c r="F635" s="1" t="s">
        <v>17</v>
      </c>
      <c r="G635" s="1" t="s">
        <v>17</v>
      </c>
      <c r="H635" t="str">
        <f>IF(ISNA(_xlfn.XLOOKUP(B635, customer_master!$A$2:$A$1649, customer_master!$A$2:$A$1649)), "Orphan", "Valid")</f>
        <v>Orphan</v>
      </c>
    </row>
    <row r="636" spans="1:8" x14ac:dyDescent="0.3">
      <c r="A636" s="1" t="s">
        <v>8752</v>
      </c>
      <c r="B636" s="1" t="s">
        <v>2533</v>
      </c>
      <c r="C636" s="41">
        <v>45242</v>
      </c>
      <c r="D636" s="1" t="s">
        <v>7884</v>
      </c>
      <c r="E636" s="1">
        <v>2</v>
      </c>
      <c r="F636" s="1" t="s">
        <v>30</v>
      </c>
      <c r="G636" s="1" t="s">
        <v>17</v>
      </c>
      <c r="H636" t="str">
        <f>IF(ISNA(_xlfn.XLOOKUP(B636, customer_master!$A$2:$A$1649, customer_master!$A$2:$A$1649)), "Orphan", "Valid")</f>
        <v>Valid</v>
      </c>
    </row>
    <row r="637" spans="1:8" x14ac:dyDescent="0.3">
      <c r="A637" s="1" t="s">
        <v>8753</v>
      </c>
      <c r="B637" s="1" t="s">
        <v>2573</v>
      </c>
      <c r="C637" s="41">
        <v>45573</v>
      </c>
      <c r="D637" s="1" t="s">
        <v>7887</v>
      </c>
      <c r="E637" s="1">
        <v>2</v>
      </c>
      <c r="F637" s="1" t="s">
        <v>30</v>
      </c>
      <c r="G637" s="1" t="s">
        <v>17</v>
      </c>
      <c r="H637" t="str">
        <f>IF(ISNA(_xlfn.XLOOKUP(B637, customer_master!$A$2:$A$1649, customer_master!$A$2:$A$1649)), "Orphan", "Valid")</f>
        <v>Valid</v>
      </c>
    </row>
    <row r="638" spans="1:8" x14ac:dyDescent="0.3">
      <c r="A638" s="1" t="s">
        <v>8754</v>
      </c>
      <c r="B638" s="1" t="s">
        <v>8755</v>
      </c>
      <c r="C638" s="41">
        <v>45876</v>
      </c>
      <c r="D638" s="1" t="s">
        <v>7877</v>
      </c>
      <c r="E638" s="1">
        <v>2</v>
      </c>
      <c r="F638" s="1" t="s">
        <v>17</v>
      </c>
      <c r="G638" s="1" t="s">
        <v>17</v>
      </c>
      <c r="H638" t="str">
        <f>IF(ISNA(_xlfn.XLOOKUP(B638, customer_master!$A$2:$A$1649, customer_master!$A$2:$A$1649)), "Orphan", "Valid")</f>
        <v>Orphan</v>
      </c>
    </row>
    <row r="639" spans="1:8" x14ac:dyDescent="0.3">
      <c r="A639" s="1" t="s">
        <v>8756</v>
      </c>
      <c r="B639" s="1" t="s">
        <v>2248</v>
      </c>
      <c r="C639" s="41">
        <v>46230</v>
      </c>
      <c r="D639" s="1" t="s">
        <v>7899</v>
      </c>
      <c r="E639" s="1">
        <v>2</v>
      </c>
      <c r="F639" s="1" t="s">
        <v>17</v>
      </c>
      <c r="G639" s="1" t="s">
        <v>30</v>
      </c>
      <c r="H639" t="str">
        <f>IF(ISNA(_xlfn.XLOOKUP(B639, customer_master!$A$2:$A$1649, customer_master!$A$2:$A$1649)), "Orphan", "Valid")</f>
        <v>Valid</v>
      </c>
    </row>
    <row r="640" spans="1:8" x14ac:dyDescent="0.3">
      <c r="A640" s="1" t="s">
        <v>8757</v>
      </c>
      <c r="B640" s="1" t="s">
        <v>8758</v>
      </c>
      <c r="C640" s="41">
        <v>45311</v>
      </c>
      <c r="D640" s="1" t="s">
        <v>7906</v>
      </c>
      <c r="E640" s="1">
        <v>4</v>
      </c>
      <c r="F640" s="1" t="s">
        <v>30</v>
      </c>
      <c r="G640" s="1" t="s">
        <v>17</v>
      </c>
      <c r="H640" t="str">
        <f>IF(ISNA(_xlfn.XLOOKUP(B640, customer_master!$A$2:$A$1649, customer_master!$A$2:$A$1649)), "Orphan", "Valid")</f>
        <v>Orphan</v>
      </c>
    </row>
    <row r="641" spans="1:8" x14ac:dyDescent="0.3">
      <c r="A641" s="1" t="s">
        <v>8759</v>
      </c>
      <c r="B641" s="1" t="s">
        <v>8760</v>
      </c>
      <c r="C641" s="41">
        <v>45421</v>
      </c>
      <c r="D641" s="1" t="s">
        <v>7879</v>
      </c>
      <c r="E641" s="1">
        <v>2</v>
      </c>
      <c r="F641" s="1" t="s">
        <v>17</v>
      </c>
      <c r="G641" s="1" t="s">
        <v>17</v>
      </c>
      <c r="H641" t="str">
        <f>IF(ISNA(_xlfn.XLOOKUP(B641, customer_master!$A$2:$A$1649, customer_master!$A$2:$A$1649)), "Orphan", "Valid")</f>
        <v>Orphan</v>
      </c>
    </row>
    <row r="642" spans="1:8" x14ac:dyDescent="0.3">
      <c r="A642" s="1" t="s">
        <v>8761</v>
      </c>
      <c r="B642" s="1" t="s">
        <v>8762</v>
      </c>
      <c r="C642" s="41">
        <v>45674</v>
      </c>
      <c r="D642" s="1" t="s">
        <v>7889</v>
      </c>
      <c r="E642" s="1">
        <v>4</v>
      </c>
      <c r="F642" s="1" t="s">
        <v>17</v>
      </c>
      <c r="G642" s="1" t="s">
        <v>30</v>
      </c>
      <c r="H642" t="str">
        <f>IF(ISNA(_xlfn.XLOOKUP(B642, customer_master!$A$2:$A$1649, customer_master!$A$2:$A$1649)), "Orphan", "Valid")</f>
        <v>Orphan</v>
      </c>
    </row>
    <row r="643" spans="1:8" x14ac:dyDescent="0.3">
      <c r="A643" s="1" t="s">
        <v>8763</v>
      </c>
      <c r="B643" s="1" t="s">
        <v>8764</v>
      </c>
      <c r="C643" s="41">
        <v>45294</v>
      </c>
      <c r="D643" s="1" t="s">
        <v>7896</v>
      </c>
      <c r="E643" s="1">
        <v>5</v>
      </c>
      <c r="F643" s="1" t="s">
        <v>30</v>
      </c>
      <c r="G643" s="1" t="s">
        <v>17</v>
      </c>
      <c r="H643" t="str">
        <f>IF(ISNA(_xlfn.XLOOKUP(B643, customer_master!$A$2:$A$1649, customer_master!$A$2:$A$1649)), "Orphan", "Valid")</f>
        <v>Orphan</v>
      </c>
    </row>
    <row r="644" spans="1:8" x14ac:dyDescent="0.3">
      <c r="A644" s="1" t="s">
        <v>8765</v>
      </c>
      <c r="B644" s="1" t="s">
        <v>2339</v>
      </c>
      <c r="C644" s="41">
        <v>45776</v>
      </c>
      <c r="D644" s="1" t="s">
        <v>7879</v>
      </c>
      <c r="E644" s="1">
        <v>2</v>
      </c>
      <c r="F644" s="1" t="s">
        <v>30</v>
      </c>
      <c r="G644" s="1" t="s">
        <v>17</v>
      </c>
      <c r="H644" t="str">
        <f>IF(ISNA(_xlfn.XLOOKUP(B644, customer_master!$A$2:$A$1649, customer_master!$A$2:$A$1649)), "Orphan", "Valid")</f>
        <v>Valid</v>
      </c>
    </row>
    <row r="645" spans="1:8" x14ac:dyDescent="0.3">
      <c r="A645" s="1" t="s">
        <v>8766</v>
      </c>
      <c r="B645" s="1" t="s">
        <v>2020</v>
      </c>
      <c r="C645" s="41">
        <v>45497</v>
      </c>
      <c r="D645" s="1" t="s">
        <v>7906</v>
      </c>
      <c r="E645" s="1">
        <v>5</v>
      </c>
      <c r="F645" s="1" t="s">
        <v>17</v>
      </c>
      <c r="G645" s="1" t="s">
        <v>17</v>
      </c>
      <c r="H645" t="str">
        <f>IF(ISNA(_xlfn.XLOOKUP(B645, customer_master!$A$2:$A$1649, customer_master!$A$2:$A$1649)), "Orphan", "Valid")</f>
        <v>Valid</v>
      </c>
    </row>
    <row r="646" spans="1:8" x14ac:dyDescent="0.3">
      <c r="A646" s="1" t="s">
        <v>8767</v>
      </c>
      <c r="B646" s="1" t="s">
        <v>8768</v>
      </c>
      <c r="C646" s="41">
        <v>46130</v>
      </c>
      <c r="D646" s="1" t="s">
        <v>7884</v>
      </c>
      <c r="E646" s="1">
        <v>2</v>
      </c>
      <c r="F646" s="1" t="s">
        <v>17</v>
      </c>
      <c r="G646" s="1" t="s">
        <v>30</v>
      </c>
      <c r="H646" t="str">
        <f>IF(ISNA(_xlfn.XLOOKUP(B646, customer_master!$A$2:$A$1649, customer_master!$A$2:$A$1649)), "Orphan", "Valid")</f>
        <v>Orphan</v>
      </c>
    </row>
    <row r="647" spans="1:8" x14ac:dyDescent="0.3">
      <c r="A647" s="1" t="s">
        <v>8769</v>
      </c>
      <c r="B647" s="1" t="s">
        <v>1061</v>
      </c>
      <c r="C647" s="41">
        <v>45509</v>
      </c>
      <c r="D647" s="1" t="s">
        <v>7912</v>
      </c>
      <c r="E647" s="1">
        <v>5</v>
      </c>
      <c r="F647" s="1" t="s">
        <v>17</v>
      </c>
      <c r="G647" s="1" t="s">
        <v>30</v>
      </c>
      <c r="H647" t="str">
        <f>IF(ISNA(_xlfn.XLOOKUP(B647, customer_master!$A$2:$A$1649, customer_master!$A$2:$A$1649)), "Orphan", "Valid")</f>
        <v>Valid</v>
      </c>
    </row>
    <row r="648" spans="1:8" x14ac:dyDescent="0.3">
      <c r="A648" s="1" t="s">
        <v>8770</v>
      </c>
      <c r="B648" s="1" t="s">
        <v>8771</v>
      </c>
      <c r="C648" s="41">
        <v>45651</v>
      </c>
      <c r="D648" s="1" t="s">
        <v>7899</v>
      </c>
      <c r="E648" s="1">
        <v>2</v>
      </c>
      <c r="F648" s="1" t="s">
        <v>30</v>
      </c>
      <c r="G648" s="1" t="s">
        <v>30</v>
      </c>
      <c r="H648" t="str">
        <f>IF(ISNA(_xlfn.XLOOKUP(B648, customer_master!$A$2:$A$1649, customer_master!$A$2:$A$1649)), "Orphan", "Valid")</f>
        <v>Orphan</v>
      </c>
    </row>
    <row r="649" spans="1:8" x14ac:dyDescent="0.3">
      <c r="A649" s="1" t="s">
        <v>8772</v>
      </c>
      <c r="B649" s="1" t="s">
        <v>2288</v>
      </c>
      <c r="C649" s="41">
        <v>46251</v>
      </c>
      <c r="D649" s="1" t="s">
        <v>7887</v>
      </c>
      <c r="E649" s="1">
        <v>2</v>
      </c>
      <c r="F649" s="1" t="s">
        <v>17</v>
      </c>
      <c r="G649" s="1" t="s">
        <v>30</v>
      </c>
      <c r="H649" t="str">
        <f>IF(ISNA(_xlfn.XLOOKUP(B649, customer_master!$A$2:$A$1649, customer_master!$A$2:$A$1649)), "Orphan", "Valid")</f>
        <v>Valid</v>
      </c>
    </row>
    <row r="650" spans="1:8" x14ac:dyDescent="0.3">
      <c r="A650" s="1" t="s">
        <v>8773</v>
      </c>
      <c r="B650" s="1" t="s">
        <v>3017</v>
      </c>
      <c r="C650" s="41">
        <v>45263</v>
      </c>
      <c r="D650" s="1" t="s">
        <v>7899</v>
      </c>
      <c r="E650" s="1">
        <v>2</v>
      </c>
      <c r="F650" s="1" t="s">
        <v>17</v>
      </c>
      <c r="G650" s="1" t="s">
        <v>30</v>
      </c>
      <c r="H650" t="str">
        <f>IF(ISNA(_xlfn.XLOOKUP(B650, customer_master!$A$2:$A$1649, customer_master!$A$2:$A$1649)), "Orphan", "Valid")</f>
        <v>Valid</v>
      </c>
    </row>
    <row r="651" spans="1:8" x14ac:dyDescent="0.3">
      <c r="A651" s="1" t="s">
        <v>8774</v>
      </c>
      <c r="B651" s="1" t="s">
        <v>777</v>
      </c>
      <c r="C651" s="41">
        <v>46123</v>
      </c>
      <c r="D651" s="1" t="s">
        <v>7899</v>
      </c>
      <c r="E651" s="1">
        <v>2</v>
      </c>
      <c r="F651" s="1" t="s">
        <v>17</v>
      </c>
      <c r="G651" s="1" t="s">
        <v>17</v>
      </c>
      <c r="H651" t="str">
        <f>IF(ISNA(_xlfn.XLOOKUP(B651, customer_master!$A$2:$A$1649, customer_master!$A$2:$A$1649)), "Orphan", "Valid")</f>
        <v>Valid</v>
      </c>
    </row>
    <row r="652" spans="1:8" x14ac:dyDescent="0.3">
      <c r="A652" s="1" t="s">
        <v>8775</v>
      </c>
      <c r="B652" s="1" t="s">
        <v>3019</v>
      </c>
      <c r="C652" s="41">
        <v>45726</v>
      </c>
      <c r="D652" s="1" t="s">
        <v>7881</v>
      </c>
      <c r="E652" s="1">
        <v>4</v>
      </c>
      <c r="F652" s="1" t="s">
        <v>17</v>
      </c>
      <c r="G652" s="1" t="s">
        <v>17</v>
      </c>
      <c r="H652" t="str">
        <f>IF(ISNA(_xlfn.XLOOKUP(B652, customer_master!$A$2:$A$1649, customer_master!$A$2:$A$1649)), "Orphan", "Valid")</f>
        <v>Valid</v>
      </c>
    </row>
    <row r="653" spans="1:8" x14ac:dyDescent="0.3">
      <c r="A653" s="1" t="s">
        <v>8776</v>
      </c>
      <c r="B653" s="1" t="s">
        <v>2595</v>
      </c>
      <c r="C653" s="41">
        <v>45608</v>
      </c>
      <c r="D653" s="1" t="s">
        <v>7889</v>
      </c>
      <c r="E653" s="1">
        <v>4</v>
      </c>
      <c r="F653" s="1" t="s">
        <v>30</v>
      </c>
      <c r="G653" s="1" t="s">
        <v>17</v>
      </c>
      <c r="H653" t="str">
        <f>IF(ISNA(_xlfn.XLOOKUP(B653, customer_master!$A$2:$A$1649, customer_master!$A$2:$A$1649)), "Orphan", "Valid")</f>
        <v>Valid</v>
      </c>
    </row>
    <row r="654" spans="1:8" x14ac:dyDescent="0.3">
      <c r="A654" s="1" t="s">
        <v>8777</v>
      </c>
      <c r="B654" s="1" t="s">
        <v>8778</v>
      </c>
      <c r="C654" s="41">
        <v>46204</v>
      </c>
      <c r="D654" s="1" t="s">
        <v>7912</v>
      </c>
      <c r="E654" s="1">
        <v>4</v>
      </c>
      <c r="F654" s="1" t="s">
        <v>30</v>
      </c>
      <c r="G654" s="1" t="s">
        <v>30</v>
      </c>
      <c r="H654" t="str">
        <f>IF(ISNA(_xlfn.XLOOKUP(B654, customer_master!$A$2:$A$1649, customer_master!$A$2:$A$1649)), "Orphan", "Valid")</f>
        <v>Orphan</v>
      </c>
    </row>
    <row r="655" spans="1:8" x14ac:dyDescent="0.3">
      <c r="A655" s="1" t="s">
        <v>8779</v>
      </c>
      <c r="B655" s="1" t="s">
        <v>2426</v>
      </c>
      <c r="C655" s="41">
        <v>46267</v>
      </c>
      <c r="D655" s="1" t="s">
        <v>7887</v>
      </c>
      <c r="E655" s="1">
        <v>2</v>
      </c>
      <c r="F655" s="1" t="s">
        <v>30</v>
      </c>
      <c r="G655" s="1" t="s">
        <v>30</v>
      </c>
      <c r="H655" t="str">
        <f>IF(ISNA(_xlfn.XLOOKUP(B655, customer_master!$A$2:$A$1649, customer_master!$A$2:$A$1649)), "Orphan", "Valid")</f>
        <v>Valid</v>
      </c>
    </row>
    <row r="656" spans="1:8" x14ac:dyDescent="0.3">
      <c r="A656" s="1" t="s">
        <v>8780</v>
      </c>
      <c r="B656" s="1" t="s">
        <v>280</v>
      </c>
      <c r="C656" s="41">
        <v>45386</v>
      </c>
      <c r="D656" s="1" t="s">
        <v>7889</v>
      </c>
      <c r="E656" s="1">
        <v>5</v>
      </c>
      <c r="F656" s="1" t="s">
        <v>17</v>
      </c>
      <c r="G656" s="1" t="s">
        <v>30</v>
      </c>
      <c r="H656" t="str">
        <f>IF(ISNA(_xlfn.XLOOKUP(B656, customer_master!$A$2:$A$1649, customer_master!$A$2:$A$1649)), "Orphan", "Valid")</f>
        <v>Valid</v>
      </c>
    </row>
    <row r="657" spans="1:8" x14ac:dyDescent="0.3">
      <c r="A657" s="1" t="s">
        <v>8781</v>
      </c>
      <c r="B657" s="1" t="s">
        <v>2374</v>
      </c>
      <c r="C657" s="41">
        <v>46093</v>
      </c>
      <c r="D657" s="1" t="s">
        <v>7881</v>
      </c>
      <c r="E657" s="1">
        <v>4</v>
      </c>
      <c r="F657" s="1" t="s">
        <v>30</v>
      </c>
      <c r="G657" s="1" t="s">
        <v>17</v>
      </c>
      <c r="H657" t="str">
        <f>IF(ISNA(_xlfn.XLOOKUP(B657, customer_master!$A$2:$A$1649, customer_master!$A$2:$A$1649)), "Orphan", "Valid")</f>
        <v>Valid</v>
      </c>
    </row>
    <row r="658" spans="1:8" x14ac:dyDescent="0.3">
      <c r="A658" s="1" t="s">
        <v>8782</v>
      </c>
      <c r="B658" s="1" t="s">
        <v>2048</v>
      </c>
      <c r="C658" s="41">
        <v>45416</v>
      </c>
      <c r="D658" s="1" t="s">
        <v>7906</v>
      </c>
      <c r="E658" s="1">
        <v>4</v>
      </c>
      <c r="F658" s="1" t="s">
        <v>17</v>
      </c>
      <c r="G658" s="1" t="s">
        <v>17</v>
      </c>
      <c r="H658" t="str">
        <f>IF(ISNA(_xlfn.XLOOKUP(B658, customer_master!$A$2:$A$1649, customer_master!$A$2:$A$1649)), "Orphan", "Valid")</f>
        <v>Valid</v>
      </c>
    </row>
    <row r="659" spans="1:8" x14ac:dyDescent="0.3">
      <c r="A659" s="1" t="s">
        <v>8783</v>
      </c>
      <c r="B659" s="1" t="s">
        <v>8784</v>
      </c>
      <c r="C659" s="41">
        <v>45191</v>
      </c>
      <c r="D659" s="1" t="s">
        <v>7887</v>
      </c>
      <c r="E659" s="1">
        <v>2</v>
      </c>
      <c r="F659" s="1" t="s">
        <v>30</v>
      </c>
      <c r="G659" s="1" t="s">
        <v>30</v>
      </c>
      <c r="H659" t="str">
        <f>IF(ISNA(_xlfn.XLOOKUP(B659, customer_master!$A$2:$A$1649, customer_master!$A$2:$A$1649)), "Orphan", "Valid")</f>
        <v>Orphan</v>
      </c>
    </row>
    <row r="660" spans="1:8" x14ac:dyDescent="0.3">
      <c r="A660" s="1" t="s">
        <v>8785</v>
      </c>
      <c r="B660" s="1" t="s">
        <v>8786</v>
      </c>
      <c r="C660" s="41">
        <v>45976</v>
      </c>
      <c r="D660" s="1" t="s">
        <v>7906</v>
      </c>
      <c r="E660" s="1">
        <v>5</v>
      </c>
      <c r="F660" s="1" t="s">
        <v>17</v>
      </c>
      <c r="G660" s="1" t="s">
        <v>30</v>
      </c>
      <c r="H660" t="str">
        <f>IF(ISNA(_xlfn.XLOOKUP(B660, customer_master!$A$2:$A$1649, customer_master!$A$2:$A$1649)), "Orphan", "Valid")</f>
        <v>Orphan</v>
      </c>
    </row>
    <row r="661" spans="1:8" x14ac:dyDescent="0.3">
      <c r="A661" s="1" t="s">
        <v>8787</v>
      </c>
      <c r="B661" s="1" t="s">
        <v>1992</v>
      </c>
      <c r="C661" s="41">
        <v>45560</v>
      </c>
      <c r="D661" s="1" t="s">
        <v>7884</v>
      </c>
      <c r="E661" s="1">
        <v>2</v>
      </c>
      <c r="F661" s="1" t="s">
        <v>17</v>
      </c>
      <c r="G661" s="1" t="s">
        <v>30</v>
      </c>
      <c r="H661" t="str">
        <f>IF(ISNA(_xlfn.XLOOKUP(B661, customer_master!$A$2:$A$1649, customer_master!$A$2:$A$1649)), "Orphan", "Valid")</f>
        <v>Valid</v>
      </c>
    </row>
    <row r="662" spans="1:8" x14ac:dyDescent="0.3">
      <c r="A662" s="1" t="s">
        <v>8788</v>
      </c>
      <c r="B662" s="1" t="s">
        <v>8789</v>
      </c>
      <c r="C662" s="41">
        <v>45831</v>
      </c>
      <c r="D662" s="1" t="s">
        <v>7896</v>
      </c>
      <c r="E662" s="1">
        <v>5</v>
      </c>
      <c r="F662" s="1" t="s">
        <v>30</v>
      </c>
      <c r="G662" s="1" t="s">
        <v>30</v>
      </c>
      <c r="H662" t="str">
        <f>IF(ISNA(_xlfn.XLOOKUP(B662, customer_master!$A$2:$A$1649, customer_master!$A$2:$A$1649)), "Orphan", "Valid")</f>
        <v>Orphan</v>
      </c>
    </row>
    <row r="663" spans="1:8" x14ac:dyDescent="0.3">
      <c r="A663" s="1" t="s">
        <v>8790</v>
      </c>
      <c r="B663" s="1" t="s">
        <v>751</v>
      </c>
      <c r="C663" s="41">
        <v>45339</v>
      </c>
      <c r="D663" s="1" t="s">
        <v>7899</v>
      </c>
      <c r="E663" s="1">
        <v>2</v>
      </c>
      <c r="F663" s="1" t="s">
        <v>17</v>
      </c>
      <c r="G663" s="1" t="s">
        <v>30</v>
      </c>
      <c r="H663" t="str">
        <f>IF(ISNA(_xlfn.XLOOKUP(B663, customer_master!$A$2:$A$1649, customer_master!$A$2:$A$1649)), "Orphan", "Valid")</f>
        <v>Valid</v>
      </c>
    </row>
    <row r="664" spans="1:8" x14ac:dyDescent="0.3">
      <c r="A664" s="1" t="s">
        <v>8791</v>
      </c>
      <c r="B664" s="1" t="s">
        <v>373</v>
      </c>
      <c r="C664" s="41">
        <v>46115</v>
      </c>
      <c r="D664" s="1" t="s">
        <v>7899</v>
      </c>
      <c r="E664" s="1">
        <v>2</v>
      </c>
      <c r="F664" s="1" t="s">
        <v>17</v>
      </c>
      <c r="G664" s="1" t="s">
        <v>17</v>
      </c>
      <c r="H664" t="str">
        <f>IF(ISNA(_xlfn.XLOOKUP(B664, customer_master!$A$2:$A$1649, customer_master!$A$2:$A$1649)), "Orphan", "Valid")</f>
        <v>Valid</v>
      </c>
    </row>
    <row r="665" spans="1:8" x14ac:dyDescent="0.3">
      <c r="A665" s="1" t="s">
        <v>8792</v>
      </c>
      <c r="B665" s="1" t="s">
        <v>1978</v>
      </c>
      <c r="C665" s="41">
        <v>45748</v>
      </c>
      <c r="D665" s="1" t="s">
        <v>7899</v>
      </c>
      <c r="E665" s="1">
        <v>2</v>
      </c>
      <c r="F665" s="1" t="s">
        <v>17</v>
      </c>
      <c r="G665" s="1" t="s">
        <v>17</v>
      </c>
      <c r="H665" t="str">
        <f>IF(ISNA(_xlfn.XLOOKUP(B665, customer_master!$A$2:$A$1649, customer_master!$A$2:$A$1649)), "Orphan", "Valid")</f>
        <v>Valid</v>
      </c>
    </row>
    <row r="666" spans="1:8" x14ac:dyDescent="0.3">
      <c r="A666" s="1" t="s">
        <v>8793</v>
      </c>
      <c r="B666" s="1" t="s">
        <v>1729</v>
      </c>
      <c r="C666" s="41">
        <v>46050</v>
      </c>
      <c r="D666" s="1" t="s">
        <v>7881</v>
      </c>
      <c r="E666" s="1">
        <v>4</v>
      </c>
      <c r="F666" s="1" t="s">
        <v>30</v>
      </c>
      <c r="G666" s="1" t="s">
        <v>30</v>
      </c>
      <c r="H666" t="str">
        <f>IF(ISNA(_xlfn.XLOOKUP(B666, customer_master!$A$2:$A$1649, customer_master!$A$2:$A$1649)), "Orphan", "Valid")</f>
        <v>Valid</v>
      </c>
    </row>
    <row r="667" spans="1:8" x14ac:dyDescent="0.3">
      <c r="A667" s="1" t="s">
        <v>8794</v>
      </c>
      <c r="B667" s="1" t="s">
        <v>1000</v>
      </c>
      <c r="C667" s="41">
        <v>45570</v>
      </c>
      <c r="D667" s="1" t="s">
        <v>7884</v>
      </c>
      <c r="E667" s="1">
        <v>2</v>
      </c>
      <c r="F667" s="1" t="s">
        <v>17</v>
      </c>
      <c r="G667" s="1" t="s">
        <v>17</v>
      </c>
      <c r="H667" t="str">
        <f>IF(ISNA(_xlfn.XLOOKUP(B667, customer_master!$A$2:$A$1649, customer_master!$A$2:$A$1649)), "Orphan", "Valid")</f>
        <v>Valid</v>
      </c>
    </row>
    <row r="668" spans="1:8" x14ac:dyDescent="0.3">
      <c r="A668" s="1" t="s">
        <v>8795</v>
      </c>
      <c r="B668" s="1" t="s">
        <v>8796</v>
      </c>
      <c r="C668" s="41">
        <v>45425</v>
      </c>
      <c r="D668" s="1" t="s">
        <v>7906</v>
      </c>
      <c r="E668" s="1">
        <v>5</v>
      </c>
      <c r="F668" s="1" t="s">
        <v>17</v>
      </c>
      <c r="G668" s="1" t="s">
        <v>17</v>
      </c>
      <c r="H668" t="str">
        <f>IF(ISNA(_xlfn.XLOOKUP(B668, customer_master!$A$2:$A$1649, customer_master!$A$2:$A$1649)), "Orphan", "Valid")</f>
        <v>Orphan</v>
      </c>
    </row>
    <row r="669" spans="1:8" x14ac:dyDescent="0.3">
      <c r="A669" s="1" t="s">
        <v>8797</v>
      </c>
      <c r="B669" s="1" t="s">
        <v>2406</v>
      </c>
      <c r="C669" s="41">
        <v>46211</v>
      </c>
      <c r="D669" s="1" t="s">
        <v>7887</v>
      </c>
      <c r="E669" s="1">
        <v>2</v>
      </c>
      <c r="F669" s="1" t="s">
        <v>17</v>
      </c>
      <c r="G669" s="1" t="s">
        <v>17</v>
      </c>
      <c r="H669" t="str">
        <f>IF(ISNA(_xlfn.XLOOKUP(B669, customer_master!$A$2:$A$1649, customer_master!$A$2:$A$1649)), "Orphan", "Valid")</f>
        <v>Valid</v>
      </c>
    </row>
    <row r="670" spans="1:8" x14ac:dyDescent="0.3">
      <c r="A670" s="1" t="s">
        <v>8798</v>
      </c>
      <c r="B670" s="1" t="s">
        <v>8799</v>
      </c>
      <c r="C670" s="41">
        <v>45754</v>
      </c>
      <c r="D670" s="1" t="s">
        <v>7912</v>
      </c>
      <c r="E670" s="1">
        <v>5</v>
      </c>
      <c r="F670" s="1" t="s">
        <v>17</v>
      </c>
      <c r="G670" s="1" t="s">
        <v>17</v>
      </c>
      <c r="H670" t="str">
        <f>IF(ISNA(_xlfn.XLOOKUP(B670, customer_master!$A$2:$A$1649, customer_master!$A$2:$A$1649)), "Orphan", "Valid")</f>
        <v>Orphan</v>
      </c>
    </row>
    <row r="671" spans="1:8" x14ac:dyDescent="0.3">
      <c r="A671" s="1" t="s">
        <v>8800</v>
      </c>
      <c r="B671" s="1" t="s">
        <v>8801</v>
      </c>
      <c r="C671" s="41">
        <v>45583</v>
      </c>
      <c r="D671" s="1" t="s">
        <v>7899</v>
      </c>
      <c r="E671" s="1">
        <v>2</v>
      </c>
      <c r="F671" s="1" t="s">
        <v>30</v>
      </c>
      <c r="G671" s="1" t="s">
        <v>17</v>
      </c>
      <c r="H671" t="str">
        <f>IF(ISNA(_xlfn.XLOOKUP(B671, customer_master!$A$2:$A$1649, customer_master!$A$2:$A$1649)), "Orphan", "Valid")</f>
        <v>Orphan</v>
      </c>
    </row>
    <row r="672" spans="1:8" x14ac:dyDescent="0.3">
      <c r="A672" s="1" t="s">
        <v>8802</v>
      </c>
      <c r="B672" s="1" t="s">
        <v>352</v>
      </c>
      <c r="C672" s="41">
        <v>45282</v>
      </c>
      <c r="D672" s="1" t="s">
        <v>7906</v>
      </c>
      <c r="E672" s="1">
        <v>5</v>
      </c>
      <c r="F672" s="1" t="s">
        <v>17</v>
      </c>
      <c r="G672" s="1" t="s">
        <v>17</v>
      </c>
      <c r="H672" t="str">
        <f>IF(ISNA(_xlfn.XLOOKUP(B672, customer_master!$A$2:$A$1649, customer_master!$A$2:$A$1649)), "Orphan", "Valid")</f>
        <v>Valid</v>
      </c>
    </row>
    <row r="673" spans="1:8" x14ac:dyDescent="0.3">
      <c r="A673" s="1" t="s">
        <v>8803</v>
      </c>
      <c r="B673" s="1" t="s">
        <v>8804</v>
      </c>
      <c r="C673" s="41">
        <v>45354</v>
      </c>
      <c r="D673" s="1" t="s">
        <v>7912</v>
      </c>
      <c r="E673" s="1">
        <v>5</v>
      </c>
      <c r="F673" s="1" t="s">
        <v>17</v>
      </c>
      <c r="G673" s="1" t="s">
        <v>17</v>
      </c>
      <c r="H673" t="str">
        <f>IF(ISNA(_xlfn.XLOOKUP(B673, customer_master!$A$2:$A$1649, customer_master!$A$2:$A$1649)), "Orphan", "Valid")</f>
        <v>Orphan</v>
      </c>
    </row>
    <row r="674" spans="1:8" x14ac:dyDescent="0.3">
      <c r="A674" s="1" t="s">
        <v>8805</v>
      </c>
      <c r="B674" s="1" t="s">
        <v>1962</v>
      </c>
      <c r="C674" s="41">
        <v>45868</v>
      </c>
      <c r="D674" s="1" t="s">
        <v>7887</v>
      </c>
      <c r="E674" s="1">
        <v>2</v>
      </c>
      <c r="F674" s="1" t="s">
        <v>30</v>
      </c>
      <c r="G674" s="1" t="s">
        <v>17</v>
      </c>
      <c r="H674" t="str">
        <f>IF(ISNA(_xlfn.XLOOKUP(B674, customer_master!$A$2:$A$1649, customer_master!$A$2:$A$1649)), "Orphan", "Valid")</f>
        <v>Valid</v>
      </c>
    </row>
    <row r="675" spans="1:8" x14ac:dyDescent="0.3">
      <c r="A675" s="1" t="s">
        <v>8806</v>
      </c>
      <c r="B675" s="1" t="s">
        <v>125</v>
      </c>
      <c r="C675" s="41">
        <v>45850</v>
      </c>
      <c r="D675" s="1" t="s">
        <v>7877</v>
      </c>
      <c r="E675" s="1">
        <v>1</v>
      </c>
      <c r="F675" s="1" t="s">
        <v>30</v>
      </c>
      <c r="G675" s="1" t="s">
        <v>17</v>
      </c>
      <c r="H675" t="str">
        <f>IF(ISNA(_xlfn.XLOOKUP(B675, customer_master!$A$2:$A$1649, customer_master!$A$2:$A$1649)), "Orphan", "Valid")</f>
        <v>Valid</v>
      </c>
    </row>
    <row r="676" spans="1:8" x14ac:dyDescent="0.3">
      <c r="A676" s="1" t="s">
        <v>8807</v>
      </c>
      <c r="B676" s="1" t="s">
        <v>2454</v>
      </c>
      <c r="C676" s="41">
        <v>46097</v>
      </c>
      <c r="D676" s="1" t="s">
        <v>7912</v>
      </c>
      <c r="E676" s="1">
        <v>5</v>
      </c>
      <c r="F676" s="1" t="s">
        <v>17</v>
      </c>
      <c r="G676" s="1" t="s">
        <v>30</v>
      </c>
      <c r="H676" t="str">
        <f>IF(ISNA(_xlfn.XLOOKUP(B676, customer_master!$A$2:$A$1649, customer_master!$A$2:$A$1649)), "Orphan", "Valid")</f>
        <v>Valid</v>
      </c>
    </row>
    <row r="677" spans="1:8" x14ac:dyDescent="0.3">
      <c r="A677" s="1" t="s">
        <v>8808</v>
      </c>
      <c r="B677" s="1" t="s">
        <v>1970</v>
      </c>
      <c r="C677" s="41">
        <v>45996</v>
      </c>
      <c r="D677" s="1" t="s">
        <v>7912</v>
      </c>
      <c r="E677" s="1">
        <v>5</v>
      </c>
      <c r="F677" s="1" t="s">
        <v>30</v>
      </c>
      <c r="G677" s="1" t="s">
        <v>17</v>
      </c>
      <c r="H677" t="str">
        <f>IF(ISNA(_xlfn.XLOOKUP(B677, customer_master!$A$2:$A$1649, customer_master!$A$2:$A$1649)), "Orphan", "Valid")</f>
        <v>Valid</v>
      </c>
    </row>
    <row r="678" spans="1:8" x14ac:dyDescent="0.3">
      <c r="A678" s="1" t="s">
        <v>8809</v>
      </c>
      <c r="B678" s="1" t="s">
        <v>8810</v>
      </c>
      <c r="C678" s="41">
        <v>45339</v>
      </c>
      <c r="D678" s="1" t="s">
        <v>7906</v>
      </c>
      <c r="E678" s="1">
        <v>5</v>
      </c>
      <c r="F678" s="1" t="s">
        <v>30</v>
      </c>
      <c r="G678" s="1" t="s">
        <v>30</v>
      </c>
      <c r="H678" t="str">
        <f>IF(ISNA(_xlfn.XLOOKUP(B678, customer_master!$A$2:$A$1649, customer_master!$A$2:$A$1649)), "Orphan", "Valid")</f>
        <v>Orphan</v>
      </c>
    </row>
    <row r="679" spans="1:8" x14ac:dyDescent="0.3">
      <c r="A679" s="1" t="s">
        <v>8811</v>
      </c>
      <c r="B679" s="1" t="s">
        <v>8812</v>
      </c>
      <c r="C679" s="41">
        <v>46205</v>
      </c>
      <c r="D679" s="1" t="s">
        <v>7887</v>
      </c>
      <c r="E679" s="1">
        <v>2</v>
      </c>
      <c r="F679" s="1" t="s">
        <v>17</v>
      </c>
      <c r="G679" s="1" t="s">
        <v>30</v>
      </c>
      <c r="H679" t="str">
        <f>IF(ISNA(_xlfn.XLOOKUP(B679, customer_master!$A$2:$A$1649, customer_master!$A$2:$A$1649)), "Orphan", "Valid")</f>
        <v>Orphan</v>
      </c>
    </row>
    <row r="680" spans="1:8" x14ac:dyDescent="0.3">
      <c r="A680" s="1" t="s">
        <v>8813</v>
      </c>
      <c r="B680" s="1" t="s">
        <v>2218</v>
      </c>
      <c r="C680" s="41">
        <v>45841</v>
      </c>
      <c r="D680" s="1" t="s">
        <v>7899</v>
      </c>
      <c r="E680" s="1">
        <v>2</v>
      </c>
      <c r="F680" s="1" t="s">
        <v>30</v>
      </c>
      <c r="G680" s="1" t="s">
        <v>30</v>
      </c>
      <c r="H680" t="str">
        <f>IF(ISNA(_xlfn.XLOOKUP(B680, customer_master!$A$2:$A$1649, customer_master!$A$2:$A$1649)), "Orphan", "Valid")</f>
        <v>Valid</v>
      </c>
    </row>
    <row r="681" spans="1:8" x14ac:dyDescent="0.3">
      <c r="A681" s="1" t="s">
        <v>8814</v>
      </c>
      <c r="B681" s="1" t="s">
        <v>8815</v>
      </c>
      <c r="C681" s="41">
        <v>46113</v>
      </c>
      <c r="D681" s="1" t="s">
        <v>7906</v>
      </c>
      <c r="E681" s="1">
        <v>5</v>
      </c>
      <c r="F681" s="1" t="s">
        <v>30</v>
      </c>
      <c r="G681" s="1" t="s">
        <v>17</v>
      </c>
      <c r="H681" t="str">
        <f>IF(ISNA(_xlfn.XLOOKUP(B681, customer_master!$A$2:$A$1649, customer_master!$A$2:$A$1649)), "Orphan", "Valid")</f>
        <v>Orphan</v>
      </c>
    </row>
    <row r="682" spans="1:8" x14ac:dyDescent="0.3">
      <c r="A682" s="1" t="s">
        <v>8816</v>
      </c>
      <c r="B682" s="1" t="s">
        <v>1159</v>
      </c>
      <c r="C682" s="41">
        <v>45478</v>
      </c>
      <c r="D682" s="1" t="s">
        <v>7887</v>
      </c>
      <c r="E682" s="1">
        <v>2</v>
      </c>
      <c r="F682" s="1" t="s">
        <v>17</v>
      </c>
      <c r="G682" s="1" t="s">
        <v>17</v>
      </c>
      <c r="H682" t="str">
        <f>IF(ISNA(_xlfn.XLOOKUP(B682, customer_master!$A$2:$A$1649, customer_master!$A$2:$A$1649)), "Orphan", "Valid")</f>
        <v>Valid</v>
      </c>
    </row>
    <row r="683" spans="1:8" x14ac:dyDescent="0.3">
      <c r="A683" s="1" t="s">
        <v>8817</v>
      </c>
      <c r="B683" s="1" t="s">
        <v>1626</v>
      </c>
      <c r="C683" s="41">
        <v>46224</v>
      </c>
      <c r="D683" s="1" t="s">
        <v>7889</v>
      </c>
      <c r="E683" s="1">
        <v>4</v>
      </c>
      <c r="F683" s="1" t="s">
        <v>17</v>
      </c>
      <c r="G683" s="1" t="s">
        <v>30</v>
      </c>
      <c r="H683" t="str">
        <f>IF(ISNA(_xlfn.XLOOKUP(B683, customer_master!$A$2:$A$1649, customer_master!$A$2:$A$1649)), "Orphan", "Valid")</f>
        <v>Valid</v>
      </c>
    </row>
    <row r="684" spans="1:8" x14ac:dyDescent="0.3">
      <c r="A684" s="1" t="s">
        <v>8818</v>
      </c>
      <c r="B684" s="1" t="s">
        <v>1127</v>
      </c>
      <c r="C684" s="41">
        <v>46212</v>
      </c>
      <c r="D684" s="1" t="s">
        <v>7887</v>
      </c>
      <c r="E684" s="1">
        <v>2</v>
      </c>
      <c r="F684" s="1" t="s">
        <v>17</v>
      </c>
      <c r="G684" s="1" t="s">
        <v>17</v>
      </c>
      <c r="H684" t="str">
        <f>IF(ISNA(_xlfn.XLOOKUP(B684, customer_master!$A$2:$A$1649, customer_master!$A$2:$A$1649)), "Orphan", "Valid")</f>
        <v>Valid</v>
      </c>
    </row>
    <row r="685" spans="1:8" x14ac:dyDescent="0.3">
      <c r="A685" s="1" t="s">
        <v>8819</v>
      </c>
      <c r="B685" s="1" t="s">
        <v>8820</v>
      </c>
      <c r="C685" s="41">
        <v>45497</v>
      </c>
      <c r="D685" s="1" t="s">
        <v>7884</v>
      </c>
      <c r="E685" s="1">
        <v>2</v>
      </c>
      <c r="F685" s="1" t="s">
        <v>17</v>
      </c>
      <c r="G685" s="1" t="s">
        <v>30</v>
      </c>
      <c r="H685" t="str">
        <f>IF(ISNA(_xlfn.XLOOKUP(B685, customer_master!$A$2:$A$1649, customer_master!$A$2:$A$1649)), "Orphan", "Valid")</f>
        <v>Orphan</v>
      </c>
    </row>
    <row r="686" spans="1:8" x14ac:dyDescent="0.3">
      <c r="A686" s="1" t="s">
        <v>8821</v>
      </c>
      <c r="B686" s="1" t="s">
        <v>2617</v>
      </c>
      <c r="C686" s="41">
        <v>46160</v>
      </c>
      <c r="D686" s="1" t="s">
        <v>7906</v>
      </c>
      <c r="E686" s="1">
        <v>5</v>
      </c>
      <c r="F686" s="1" t="s">
        <v>17</v>
      </c>
      <c r="G686" s="1" t="s">
        <v>17</v>
      </c>
      <c r="H686" t="str">
        <f>IF(ISNA(_xlfn.XLOOKUP(B686, customer_master!$A$2:$A$1649, customer_master!$A$2:$A$1649)), "Orphan", "Valid")</f>
        <v>Valid</v>
      </c>
    </row>
    <row r="687" spans="1:8" x14ac:dyDescent="0.3">
      <c r="A687" s="1" t="s">
        <v>8822</v>
      </c>
      <c r="B687" s="1" t="s">
        <v>8823</v>
      </c>
      <c r="C687" s="41">
        <v>46238</v>
      </c>
      <c r="D687" s="1" t="s">
        <v>7896</v>
      </c>
      <c r="E687" s="1">
        <v>4</v>
      </c>
      <c r="F687" s="1" t="s">
        <v>17</v>
      </c>
      <c r="G687" s="1" t="s">
        <v>17</v>
      </c>
      <c r="H687" t="str">
        <f>IF(ISNA(_xlfn.XLOOKUP(B687, customer_master!$A$2:$A$1649, customer_master!$A$2:$A$1649)), "Orphan", "Valid")</f>
        <v>Orphan</v>
      </c>
    </row>
    <row r="688" spans="1:8" x14ac:dyDescent="0.3">
      <c r="A688" s="1" t="s">
        <v>8824</v>
      </c>
      <c r="B688" s="1" t="s">
        <v>2585</v>
      </c>
      <c r="C688" s="41">
        <v>46152</v>
      </c>
      <c r="D688" s="1" t="s">
        <v>7899</v>
      </c>
      <c r="E688" s="1">
        <v>2</v>
      </c>
      <c r="F688" s="1" t="s">
        <v>17</v>
      </c>
      <c r="G688" s="1" t="s">
        <v>30</v>
      </c>
      <c r="H688" t="str">
        <f>IF(ISNA(_xlfn.XLOOKUP(B688, customer_master!$A$2:$A$1649, customer_master!$A$2:$A$1649)), "Orphan", "Valid")</f>
        <v>Valid</v>
      </c>
    </row>
    <row r="689" spans="1:8" x14ac:dyDescent="0.3">
      <c r="A689" s="1" t="s">
        <v>8825</v>
      </c>
      <c r="B689" s="1" t="s">
        <v>8826</v>
      </c>
      <c r="C689" s="41">
        <v>45685</v>
      </c>
      <c r="D689" s="1" t="s">
        <v>7884</v>
      </c>
      <c r="E689" s="1">
        <v>3</v>
      </c>
      <c r="F689" s="1" t="s">
        <v>30</v>
      </c>
      <c r="G689" s="1" t="s">
        <v>17</v>
      </c>
      <c r="H689" t="str">
        <f>IF(ISNA(_xlfn.XLOOKUP(B689, customer_master!$A$2:$A$1649, customer_master!$A$2:$A$1649)), "Orphan", "Valid")</f>
        <v>Orphan</v>
      </c>
    </row>
    <row r="690" spans="1:8" x14ac:dyDescent="0.3">
      <c r="A690" s="1" t="s">
        <v>8827</v>
      </c>
      <c r="B690" s="1" t="s">
        <v>8828</v>
      </c>
      <c r="C690" s="41">
        <v>45322</v>
      </c>
      <c r="D690" s="1" t="s">
        <v>7877</v>
      </c>
      <c r="E690" s="1">
        <v>2</v>
      </c>
      <c r="F690" s="1" t="s">
        <v>17</v>
      </c>
      <c r="G690" s="1" t="s">
        <v>17</v>
      </c>
      <c r="H690" t="str">
        <f>IF(ISNA(_xlfn.XLOOKUP(B690, customer_master!$A$2:$A$1649, customer_master!$A$2:$A$1649)), "Orphan", "Valid")</f>
        <v>Orphan</v>
      </c>
    </row>
    <row r="691" spans="1:8" x14ac:dyDescent="0.3">
      <c r="A691" s="1" t="s">
        <v>8829</v>
      </c>
      <c r="B691" s="1" t="s">
        <v>254</v>
      </c>
      <c r="C691" s="41">
        <v>46201</v>
      </c>
      <c r="D691" s="1" t="s">
        <v>7899</v>
      </c>
      <c r="E691" s="1">
        <v>2</v>
      </c>
      <c r="F691" s="1" t="s">
        <v>30</v>
      </c>
      <c r="G691" s="1" t="s">
        <v>17</v>
      </c>
      <c r="H691" t="str">
        <f>IF(ISNA(_xlfn.XLOOKUP(B691, customer_master!$A$2:$A$1649, customer_master!$A$2:$A$1649)), "Orphan", "Valid")</f>
        <v>Valid</v>
      </c>
    </row>
    <row r="692" spans="1:8" x14ac:dyDescent="0.3">
      <c r="A692" s="1" t="s">
        <v>8830</v>
      </c>
      <c r="B692" s="1" t="s">
        <v>1037</v>
      </c>
      <c r="C692" s="41">
        <v>45173</v>
      </c>
      <c r="D692" s="1" t="s">
        <v>7899</v>
      </c>
      <c r="E692" s="1">
        <v>2</v>
      </c>
      <c r="F692" s="1" t="s">
        <v>30</v>
      </c>
      <c r="G692" s="1" t="s">
        <v>17</v>
      </c>
      <c r="H692" t="str">
        <f>IF(ISNA(_xlfn.XLOOKUP(B692, customer_master!$A$2:$A$1649, customer_master!$A$2:$A$1649)), "Orphan", "Valid")</f>
        <v>Valid</v>
      </c>
    </row>
    <row r="693" spans="1:8" x14ac:dyDescent="0.3">
      <c r="A693" s="1" t="s">
        <v>8831</v>
      </c>
      <c r="B693" s="1" t="s">
        <v>8832</v>
      </c>
      <c r="C693" s="41">
        <v>45448</v>
      </c>
      <c r="D693" s="1" t="s">
        <v>7879</v>
      </c>
      <c r="E693" s="1">
        <v>2</v>
      </c>
      <c r="F693" s="1" t="s">
        <v>17</v>
      </c>
      <c r="G693" s="1" t="s">
        <v>30</v>
      </c>
      <c r="H693" t="str">
        <f>IF(ISNA(_xlfn.XLOOKUP(B693, customer_master!$A$2:$A$1649, customer_master!$A$2:$A$1649)), "Orphan", "Valid")</f>
        <v>Orphan</v>
      </c>
    </row>
    <row r="694" spans="1:8" x14ac:dyDescent="0.3">
      <c r="A694" s="1" t="s">
        <v>8833</v>
      </c>
      <c r="B694" s="1" t="s">
        <v>3126</v>
      </c>
      <c r="C694" s="41">
        <v>45782</v>
      </c>
      <c r="D694" s="1" t="s">
        <v>7877</v>
      </c>
      <c r="E694" s="1">
        <v>2</v>
      </c>
      <c r="F694" s="1" t="s">
        <v>17</v>
      </c>
      <c r="G694" s="1" t="s">
        <v>17</v>
      </c>
      <c r="H694" t="str">
        <f>IF(ISNA(_xlfn.XLOOKUP(B694, customer_master!$A$2:$A$1649, customer_master!$A$2:$A$1649)), "Orphan", "Valid")</f>
        <v>Valid</v>
      </c>
    </row>
    <row r="695" spans="1:8" x14ac:dyDescent="0.3">
      <c r="A695" s="1" t="s">
        <v>8834</v>
      </c>
      <c r="B695" s="1" t="s">
        <v>1990</v>
      </c>
      <c r="C695" s="41">
        <v>45514</v>
      </c>
      <c r="D695" s="1" t="s">
        <v>7889</v>
      </c>
      <c r="E695" s="1">
        <v>5</v>
      </c>
      <c r="F695" s="1" t="s">
        <v>30</v>
      </c>
      <c r="G695" s="1" t="s">
        <v>30</v>
      </c>
      <c r="H695" t="str">
        <f>IF(ISNA(_xlfn.XLOOKUP(B695, customer_master!$A$2:$A$1649, customer_master!$A$2:$A$1649)), "Orphan", "Valid")</f>
        <v>Valid</v>
      </c>
    </row>
    <row r="696" spans="1:8" x14ac:dyDescent="0.3">
      <c r="A696" s="1" t="s">
        <v>8835</v>
      </c>
      <c r="B696" s="1" t="s">
        <v>8836</v>
      </c>
      <c r="C696" s="41">
        <v>46184</v>
      </c>
      <c r="D696" s="1" t="s">
        <v>7912</v>
      </c>
      <c r="E696" s="1">
        <v>4</v>
      </c>
      <c r="F696" s="1" t="s">
        <v>30</v>
      </c>
      <c r="G696" s="1" t="s">
        <v>17</v>
      </c>
      <c r="H696" t="str">
        <f>IF(ISNA(_xlfn.XLOOKUP(B696, customer_master!$A$2:$A$1649, customer_master!$A$2:$A$1649)), "Orphan", "Valid")</f>
        <v>Orphan</v>
      </c>
    </row>
    <row r="697" spans="1:8" x14ac:dyDescent="0.3">
      <c r="A697" s="1" t="s">
        <v>8837</v>
      </c>
      <c r="B697" s="1" t="s">
        <v>8838</v>
      </c>
      <c r="C697" s="41">
        <v>45844</v>
      </c>
      <c r="D697" s="1" t="s">
        <v>7877</v>
      </c>
      <c r="E697" s="1">
        <v>2</v>
      </c>
      <c r="F697" s="1" t="s">
        <v>17</v>
      </c>
      <c r="G697" s="1" t="s">
        <v>17</v>
      </c>
      <c r="H697" t="str">
        <f>IF(ISNA(_xlfn.XLOOKUP(B697, customer_master!$A$2:$A$1649, customer_master!$A$2:$A$1649)), "Orphan", "Valid")</f>
        <v>Orphan</v>
      </c>
    </row>
    <row r="698" spans="1:8" x14ac:dyDescent="0.3">
      <c r="A698" s="1" t="s">
        <v>8839</v>
      </c>
      <c r="B698" s="1" t="s">
        <v>8840</v>
      </c>
      <c r="C698" s="41">
        <v>46224</v>
      </c>
      <c r="D698" s="1" t="s">
        <v>7906</v>
      </c>
      <c r="E698" s="1">
        <v>5</v>
      </c>
      <c r="F698" s="1" t="s">
        <v>30</v>
      </c>
      <c r="G698" s="1" t="s">
        <v>30</v>
      </c>
      <c r="H698" t="str">
        <f>IF(ISNA(_xlfn.XLOOKUP(B698, customer_master!$A$2:$A$1649, customer_master!$A$2:$A$1649)), "Orphan", "Valid")</f>
        <v>Orphan</v>
      </c>
    </row>
    <row r="699" spans="1:8" x14ac:dyDescent="0.3">
      <c r="A699" s="1" t="s">
        <v>8841</v>
      </c>
      <c r="B699" s="1" t="s">
        <v>8842</v>
      </c>
      <c r="C699" s="41">
        <v>45237</v>
      </c>
      <c r="D699" s="1" t="s">
        <v>7896</v>
      </c>
      <c r="E699" s="1">
        <v>5</v>
      </c>
      <c r="F699" s="1" t="s">
        <v>30</v>
      </c>
      <c r="G699" s="1" t="s">
        <v>17</v>
      </c>
      <c r="H699" t="str">
        <f>IF(ISNA(_xlfn.XLOOKUP(B699, customer_master!$A$2:$A$1649, customer_master!$A$2:$A$1649)), "Orphan", "Valid")</f>
        <v>Orphan</v>
      </c>
    </row>
    <row r="700" spans="1:8" x14ac:dyDescent="0.3">
      <c r="A700" s="1" t="s">
        <v>8843</v>
      </c>
      <c r="B700" s="1" t="s">
        <v>8844</v>
      </c>
      <c r="C700" s="41">
        <v>45622</v>
      </c>
      <c r="D700" s="1" t="s">
        <v>7899</v>
      </c>
      <c r="E700" s="1">
        <v>2</v>
      </c>
      <c r="F700" s="1" t="s">
        <v>17</v>
      </c>
      <c r="G700" s="1" t="s">
        <v>17</v>
      </c>
      <c r="H700" t="str">
        <f>IF(ISNA(_xlfn.XLOOKUP(B700, customer_master!$A$2:$A$1649, customer_master!$A$2:$A$1649)), "Orphan", "Valid")</f>
        <v>Orphan</v>
      </c>
    </row>
    <row r="701" spans="1:8" x14ac:dyDescent="0.3">
      <c r="A701" s="1" t="s">
        <v>8845</v>
      </c>
      <c r="B701" s="1" t="s">
        <v>3021</v>
      </c>
      <c r="C701" s="41">
        <v>45330</v>
      </c>
      <c r="D701" s="1" t="s">
        <v>7912</v>
      </c>
      <c r="E701" s="1">
        <v>5</v>
      </c>
      <c r="F701" s="1" t="s">
        <v>30</v>
      </c>
      <c r="G701" s="1" t="s">
        <v>17</v>
      </c>
      <c r="H701" t="str">
        <f>IF(ISNA(_xlfn.XLOOKUP(B701, customer_master!$A$2:$A$1649, customer_master!$A$2:$A$1649)), "Orphan", "Valid")</f>
        <v>Valid</v>
      </c>
    </row>
    <row r="702" spans="1:8" x14ac:dyDescent="0.3">
      <c r="A702" s="1" t="s">
        <v>8846</v>
      </c>
      <c r="B702" s="1" t="s">
        <v>8847</v>
      </c>
      <c r="C702" s="41">
        <v>46074</v>
      </c>
      <c r="D702" s="1" t="s">
        <v>7896</v>
      </c>
      <c r="E702" s="1">
        <v>4</v>
      </c>
      <c r="F702" s="1" t="s">
        <v>17</v>
      </c>
      <c r="G702" s="1" t="s">
        <v>17</v>
      </c>
      <c r="H702" t="str">
        <f>IF(ISNA(_xlfn.XLOOKUP(B702, customer_master!$A$2:$A$1649, customer_master!$A$2:$A$1649)), "Orphan", "Valid")</f>
        <v>Orphan</v>
      </c>
    </row>
    <row r="703" spans="1:8" x14ac:dyDescent="0.3">
      <c r="A703" s="1" t="s">
        <v>8848</v>
      </c>
      <c r="B703" s="1" t="s">
        <v>1994</v>
      </c>
      <c r="C703" s="41">
        <v>46010</v>
      </c>
      <c r="D703" s="1" t="s">
        <v>7906</v>
      </c>
      <c r="E703" s="1">
        <v>5</v>
      </c>
      <c r="F703" s="1" t="s">
        <v>30</v>
      </c>
      <c r="G703" s="1" t="s">
        <v>17</v>
      </c>
      <c r="H703" t="str">
        <f>IF(ISNA(_xlfn.XLOOKUP(B703, customer_master!$A$2:$A$1649, customer_master!$A$2:$A$1649)), "Orphan", "Valid")</f>
        <v>Valid</v>
      </c>
    </row>
    <row r="704" spans="1:8" x14ac:dyDescent="0.3">
      <c r="A704" s="1" t="s">
        <v>8849</v>
      </c>
      <c r="B704" s="1" t="s">
        <v>1131</v>
      </c>
      <c r="C704" s="41">
        <v>46057</v>
      </c>
      <c r="D704" s="1" t="s">
        <v>7896</v>
      </c>
      <c r="E704" s="1">
        <v>4</v>
      </c>
      <c r="F704" s="1" t="s">
        <v>17</v>
      </c>
      <c r="G704" s="1" t="s">
        <v>30</v>
      </c>
      <c r="H704" t="str">
        <f>IF(ISNA(_xlfn.XLOOKUP(B704, customer_master!$A$2:$A$1649, customer_master!$A$2:$A$1649)), "Orphan", "Valid")</f>
        <v>Valid</v>
      </c>
    </row>
    <row r="705" spans="1:8" x14ac:dyDescent="0.3">
      <c r="A705" s="1" t="s">
        <v>8850</v>
      </c>
      <c r="B705" s="1" t="s">
        <v>322</v>
      </c>
      <c r="C705" s="41">
        <v>46215</v>
      </c>
      <c r="D705" s="1" t="s">
        <v>7877</v>
      </c>
      <c r="E705" s="1">
        <v>2</v>
      </c>
      <c r="F705" s="1" t="s">
        <v>17</v>
      </c>
      <c r="G705" s="1" t="s">
        <v>17</v>
      </c>
      <c r="H705" t="str">
        <f>IF(ISNA(_xlfn.XLOOKUP(B705, customer_master!$A$2:$A$1649, customer_master!$A$2:$A$1649)), "Orphan", "Valid")</f>
        <v>Valid</v>
      </c>
    </row>
    <row r="706" spans="1:8" x14ac:dyDescent="0.3">
      <c r="A706" s="1" t="s">
        <v>8851</v>
      </c>
      <c r="B706" s="1" t="s">
        <v>1630</v>
      </c>
      <c r="C706" s="41">
        <v>45438</v>
      </c>
      <c r="D706" s="1" t="s">
        <v>7877</v>
      </c>
      <c r="E706" s="1">
        <v>1</v>
      </c>
      <c r="F706" s="1" t="s">
        <v>30</v>
      </c>
      <c r="G706" s="1" t="s">
        <v>17</v>
      </c>
      <c r="H706" t="str">
        <f>IF(ISNA(_xlfn.XLOOKUP(B706, customer_master!$A$2:$A$1649, customer_master!$A$2:$A$1649)), "Orphan", "Valid")</f>
        <v>Valid</v>
      </c>
    </row>
    <row r="707" spans="1:8" x14ac:dyDescent="0.3">
      <c r="A707" s="1" t="s">
        <v>8852</v>
      </c>
      <c r="B707" s="1" t="s">
        <v>8853</v>
      </c>
      <c r="C707" s="41">
        <v>46034</v>
      </c>
      <c r="D707" s="1" t="s">
        <v>7889</v>
      </c>
      <c r="E707" s="1">
        <v>5</v>
      </c>
      <c r="F707" s="1" t="s">
        <v>17</v>
      </c>
      <c r="G707" s="1" t="s">
        <v>17</v>
      </c>
      <c r="H707" t="str">
        <f>IF(ISNA(_xlfn.XLOOKUP(B707, customer_master!$A$2:$A$1649, customer_master!$A$2:$A$1649)), "Orphan", "Valid")</f>
        <v>Orphan</v>
      </c>
    </row>
    <row r="708" spans="1:8" x14ac:dyDescent="0.3">
      <c r="A708" s="1" t="s">
        <v>8854</v>
      </c>
      <c r="B708" s="1" t="s">
        <v>1435</v>
      </c>
      <c r="C708" s="41">
        <v>45881</v>
      </c>
      <c r="D708" s="1" t="s">
        <v>7896</v>
      </c>
      <c r="E708" s="1">
        <v>5</v>
      </c>
      <c r="F708" s="1" t="s">
        <v>17</v>
      </c>
      <c r="G708" s="1" t="s">
        <v>30</v>
      </c>
      <c r="H708" t="str">
        <f>IF(ISNA(_xlfn.XLOOKUP(B708, customer_master!$A$2:$A$1649, customer_master!$A$2:$A$1649)), "Orphan", "Valid")</f>
        <v>Valid</v>
      </c>
    </row>
    <row r="709" spans="1:8" x14ac:dyDescent="0.3">
      <c r="A709" s="1" t="s">
        <v>8855</v>
      </c>
      <c r="B709" s="1" t="s">
        <v>2895</v>
      </c>
      <c r="C709" s="41">
        <v>45601</v>
      </c>
      <c r="D709" s="1" t="s">
        <v>7899</v>
      </c>
      <c r="E709" s="1">
        <v>2</v>
      </c>
      <c r="F709" s="1" t="s">
        <v>17</v>
      </c>
      <c r="G709" s="1" t="s">
        <v>17</v>
      </c>
      <c r="H709" t="str">
        <f>IF(ISNA(_xlfn.XLOOKUP(B709, customer_master!$A$2:$A$1649, customer_master!$A$2:$A$1649)), "Orphan", "Valid")</f>
        <v>Valid</v>
      </c>
    </row>
    <row r="710" spans="1:8" x14ac:dyDescent="0.3">
      <c r="A710" s="1" t="s">
        <v>8856</v>
      </c>
      <c r="B710" s="1" t="s">
        <v>8857</v>
      </c>
      <c r="C710" s="41">
        <v>45384</v>
      </c>
      <c r="D710" s="1" t="s">
        <v>7887</v>
      </c>
      <c r="E710" s="1">
        <v>2</v>
      </c>
      <c r="F710" s="1" t="s">
        <v>30</v>
      </c>
      <c r="G710" s="1" t="s">
        <v>17</v>
      </c>
      <c r="H710" t="str">
        <f>IF(ISNA(_xlfn.XLOOKUP(B710, customer_master!$A$2:$A$1649, customer_master!$A$2:$A$1649)), "Orphan", "Valid")</f>
        <v>Orphan</v>
      </c>
    </row>
    <row r="711" spans="1:8" x14ac:dyDescent="0.3">
      <c r="A711" s="1" t="s">
        <v>8858</v>
      </c>
      <c r="B711" s="1" t="s">
        <v>3014</v>
      </c>
      <c r="C711" s="41">
        <v>46087</v>
      </c>
      <c r="D711" s="1" t="s">
        <v>7884</v>
      </c>
      <c r="E711" s="1">
        <v>2</v>
      </c>
      <c r="F711" s="1" t="s">
        <v>30</v>
      </c>
      <c r="G711" s="1" t="s">
        <v>17</v>
      </c>
      <c r="H711" t="str">
        <f>IF(ISNA(_xlfn.XLOOKUP(B711, customer_master!$A$2:$A$1649, customer_master!$A$2:$A$1649)), "Orphan", "Valid")</f>
        <v>Valid</v>
      </c>
    </row>
    <row r="712" spans="1:8" x14ac:dyDescent="0.3">
      <c r="A712" s="1" t="s">
        <v>8859</v>
      </c>
      <c r="B712" s="1" t="s">
        <v>8860</v>
      </c>
      <c r="C712" s="41">
        <v>45250</v>
      </c>
      <c r="D712" s="1" t="s">
        <v>7881</v>
      </c>
      <c r="E712" s="1">
        <v>4</v>
      </c>
      <c r="F712" s="1" t="s">
        <v>30</v>
      </c>
      <c r="G712" s="1" t="s">
        <v>17</v>
      </c>
      <c r="H712" t="str">
        <f>IF(ISNA(_xlfn.XLOOKUP(B712, customer_master!$A$2:$A$1649, customer_master!$A$2:$A$1649)), "Orphan", "Valid")</f>
        <v>Orphan</v>
      </c>
    </row>
    <row r="713" spans="1:8" x14ac:dyDescent="0.3">
      <c r="A713" s="1" t="s">
        <v>8861</v>
      </c>
      <c r="B713" s="1" t="s">
        <v>8862</v>
      </c>
      <c r="C713" s="41">
        <v>46228</v>
      </c>
      <c r="D713" s="1" t="s">
        <v>7889</v>
      </c>
      <c r="E713" s="1">
        <v>4</v>
      </c>
      <c r="F713" s="1" t="s">
        <v>17</v>
      </c>
      <c r="G713" s="1" t="s">
        <v>17</v>
      </c>
      <c r="H713" t="str">
        <f>IF(ISNA(_xlfn.XLOOKUP(B713, customer_master!$A$2:$A$1649, customer_master!$A$2:$A$1649)), "Orphan", "Valid")</f>
        <v>Orphan</v>
      </c>
    </row>
    <row r="714" spans="1:8" x14ac:dyDescent="0.3">
      <c r="A714" s="1" t="s">
        <v>8863</v>
      </c>
      <c r="B714" s="1" t="s">
        <v>2975</v>
      </c>
      <c r="C714" s="41">
        <v>45475</v>
      </c>
      <c r="D714" s="1" t="s">
        <v>7884</v>
      </c>
      <c r="E714" s="1">
        <v>3</v>
      </c>
      <c r="F714" s="1" t="s">
        <v>17</v>
      </c>
      <c r="G714" s="1" t="s">
        <v>30</v>
      </c>
      <c r="H714" t="str">
        <f>IF(ISNA(_xlfn.XLOOKUP(B714, customer_master!$A$2:$A$1649, customer_master!$A$2:$A$1649)), "Orphan", "Valid")</f>
        <v>Valid</v>
      </c>
    </row>
    <row r="715" spans="1:8" x14ac:dyDescent="0.3">
      <c r="A715" s="1" t="s">
        <v>8864</v>
      </c>
      <c r="B715" s="1" t="s">
        <v>2356</v>
      </c>
      <c r="C715" s="41">
        <v>46151</v>
      </c>
      <c r="D715" s="1" t="s">
        <v>7879</v>
      </c>
      <c r="E715" s="1">
        <v>2</v>
      </c>
      <c r="F715" s="1" t="s">
        <v>30</v>
      </c>
      <c r="G715" s="1" t="s">
        <v>17</v>
      </c>
      <c r="H715" t="str">
        <f>IF(ISNA(_xlfn.XLOOKUP(B715, customer_master!$A$2:$A$1649, customer_master!$A$2:$A$1649)), "Orphan", "Valid")</f>
        <v>Valid</v>
      </c>
    </row>
    <row r="716" spans="1:8" x14ac:dyDescent="0.3">
      <c r="A716" s="1" t="s">
        <v>8865</v>
      </c>
      <c r="B716" s="1" t="s">
        <v>3005</v>
      </c>
      <c r="C716" s="41">
        <v>45308</v>
      </c>
      <c r="D716" s="1" t="s">
        <v>7879</v>
      </c>
      <c r="E716" s="1">
        <v>2</v>
      </c>
      <c r="F716" s="1" t="s">
        <v>17</v>
      </c>
      <c r="G716" s="1" t="s">
        <v>30</v>
      </c>
      <c r="H716" t="str">
        <f>IF(ISNA(_xlfn.XLOOKUP(B716, customer_master!$A$2:$A$1649, customer_master!$A$2:$A$1649)), "Orphan", "Valid")</f>
        <v>Valid</v>
      </c>
    </row>
    <row r="717" spans="1:8" x14ac:dyDescent="0.3">
      <c r="A717" s="1" t="s">
        <v>8866</v>
      </c>
      <c r="B717" s="1" t="s">
        <v>8867</v>
      </c>
      <c r="C717" s="41">
        <v>45983</v>
      </c>
      <c r="D717" s="1" t="s">
        <v>7912</v>
      </c>
      <c r="E717" s="1">
        <v>4</v>
      </c>
      <c r="F717" s="1" t="s">
        <v>17</v>
      </c>
      <c r="G717" s="1" t="s">
        <v>30</v>
      </c>
      <c r="H717" t="str">
        <f>IF(ISNA(_xlfn.XLOOKUP(B717, customer_master!$A$2:$A$1649, customer_master!$A$2:$A$1649)), "Orphan", "Valid")</f>
        <v>Orphan</v>
      </c>
    </row>
    <row r="718" spans="1:8" x14ac:dyDescent="0.3">
      <c r="A718" s="1" t="s">
        <v>8868</v>
      </c>
      <c r="B718" s="1" t="s">
        <v>1008</v>
      </c>
      <c r="C718" s="41">
        <v>46207</v>
      </c>
      <c r="D718" s="1" t="s">
        <v>7896</v>
      </c>
      <c r="E718" s="1">
        <v>4</v>
      </c>
      <c r="F718" s="1" t="s">
        <v>30</v>
      </c>
      <c r="G718" s="1" t="s">
        <v>30</v>
      </c>
      <c r="H718" t="str">
        <f>IF(ISNA(_xlfn.XLOOKUP(B718, customer_master!$A$2:$A$1649, customer_master!$A$2:$A$1649)), "Orphan", "Valid")</f>
        <v>Valid</v>
      </c>
    </row>
    <row r="719" spans="1:8" x14ac:dyDescent="0.3">
      <c r="A719" s="1" t="s">
        <v>8869</v>
      </c>
      <c r="B719" s="1" t="s">
        <v>966</v>
      </c>
      <c r="C719" s="41">
        <v>45339</v>
      </c>
      <c r="D719" s="1" t="s">
        <v>7899</v>
      </c>
      <c r="E719" s="1">
        <v>2</v>
      </c>
      <c r="F719" s="1" t="s">
        <v>30</v>
      </c>
      <c r="G719" s="1" t="s">
        <v>30</v>
      </c>
      <c r="H719" t="str">
        <f>IF(ISNA(_xlfn.XLOOKUP(B719, customer_master!$A$2:$A$1649, customer_master!$A$2:$A$1649)), "Orphan", "Valid")</f>
        <v>Valid</v>
      </c>
    </row>
    <row r="720" spans="1:8" x14ac:dyDescent="0.3">
      <c r="A720" s="1" t="s">
        <v>8870</v>
      </c>
      <c r="B720" s="1" t="s">
        <v>8871</v>
      </c>
      <c r="C720" s="41">
        <v>45658</v>
      </c>
      <c r="D720" s="1" t="s">
        <v>7877</v>
      </c>
      <c r="E720" s="1">
        <v>1</v>
      </c>
      <c r="F720" s="1" t="s">
        <v>17</v>
      </c>
      <c r="G720" s="1" t="s">
        <v>17</v>
      </c>
      <c r="H720" t="str">
        <f>IF(ISNA(_xlfn.XLOOKUP(B720, customer_master!$A$2:$A$1649, customer_master!$A$2:$A$1649)), "Orphan", "Valid")</f>
        <v>Orphan</v>
      </c>
    </row>
    <row r="721" spans="1:8" x14ac:dyDescent="0.3">
      <c r="A721" s="1" t="s">
        <v>8872</v>
      </c>
      <c r="B721" s="1" t="s">
        <v>590</v>
      </c>
      <c r="C721" s="41">
        <v>45909</v>
      </c>
      <c r="D721" s="1" t="s">
        <v>7884</v>
      </c>
      <c r="E721" s="1">
        <v>3</v>
      </c>
      <c r="F721" s="1" t="s">
        <v>17</v>
      </c>
      <c r="G721" s="1" t="s">
        <v>30</v>
      </c>
      <c r="H721" t="str">
        <f>IF(ISNA(_xlfn.XLOOKUP(B721, customer_master!$A$2:$A$1649, customer_master!$A$2:$A$1649)), "Orphan", "Valid")</f>
        <v>Valid</v>
      </c>
    </row>
    <row r="722" spans="1:8" x14ac:dyDescent="0.3">
      <c r="A722" s="1" t="s">
        <v>8873</v>
      </c>
      <c r="B722" s="1" t="s">
        <v>1705</v>
      </c>
      <c r="C722" s="41">
        <v>46006</v>
      </c>
      <c r="D722" s="1" t="s">
        <v>7881</v>
      </c>
      <c r="E722" s="1">
        <v>4</v>
      </c>
      <c r="F722" s="1" t="s">
        <v>30</v>
      </c>
      <c r="G722" s="1" t="s">
        <v>17</v>
      </c>
      <c r="H722" t="str">
        <f>IF(ISNA(_xlfn.XLOOKUP(B722, customer_master!$A$2:$A$1649, customer_master!$A$2:$A$1649)), "Orphan", "Valid")</f>
        <v>Valid</v>
      </c>
    </row>
    <row r="723" spans="1:8" x14ac:dyDescent="0.3">
      <c r="A723" s="1" t="s">
        <v>8874</v>
      </c>
      <c r="B723" s="1" t="s">
        <v>3069</v>
      </c>
      <c r="C723" s="41">
        <v>45184</v>
      </c>
      <c r="D723" s="1" t="s">
        <v>7879</v>
      </c>
      <c r="E723" s="1">
        <v>2</v>
      </c>
      <c r="F723" s="1" t="s">
        <v>17</v>
      </c>
      <c r="G723" s="1" t="s">
        <v>17</v>
      </c>
      <c r="H723" t="str">
        <f>IF(ISNA(_xlfn.XLOOKUP(B723, customer_master!$A$2:$A$1649, customer_master!$A$2:$A$1649)), "Orphan", "Valid")</f>
        <v>Valid</v>
      </c>
    </row>
    <row r="724" spans="1:8" x14ac:dyDescent="0.3">
      <c r="A724" s="1" t="s">
        <v>8875</v>
      </c>
      <c r="B724" s="1" t="s">
        <v>2232</v>
      </c>
      <c r="C724" s="41">
        <v>45301</v>
      </c>
      <c r="D724" s="1" t="s">
        <v>7906</v>
      </c>
      <c r="E724" s="1">
        <v>5</v>
      </c>
      <c r="F724" s="1" t="s">
        <v>30</v>
      </c>
      <c r="G724" s="1" t="s">
        <v>17</v>
      </c>
      <c r="H724" t="str">
        <f>IF(ISNA(_xlfn.XLOOKUP(B724, customer_master!$A$2:$A$1649, customer_master!$A$2:$A$1649)), "Orphan", "Valid")</f>
        <v>Valid</v>
      </c>
    </row>
    <row r="725" spans="1:8" x14ac:dyDescent="0.3">
      <c r="A725" s="1" t="s">
        <v>8876</v>
      </c>
      <c r="B725" s="1" t="s">
        <v>8877</v>
      </c>
      <c r="C725" s="41">
        <v>45514</v>
      </c>
      <c r="D725" s="1" t="s">
        <v>7899</v>
      </c>
      <c r="E725" s="1">
        <v>2</v>
      </c>
      <c r="F725" s="1" t="s">
        <v>30</v>
      </c>
      <c r="G725" s="1" t="s">
        <v>17</v>
      </c>
      <c r="H725" t="str">
        <f>IF(ISNA(_xlfn.XLOOKUP(B725, customer_master!$A$2:$A$1649, customer_master!$A$2:$A$1649)), "Orphan", "Valid")</f>
        <v>Orphan</v>
      </c>
    </row>
    <row r="726" spans="1:8" x14ac:dyDescent="0.3">
      <c r="A726" s="1" t="s">
        <v>8878</v>
      </c>
      <c r="B726" s="1" t="s">
        <v>8879</v>
      </c>
      <c r="C726" s="41">
        <v>45285</v>
      </c>
      <c r="D726" s="1" t="s">
        <v>7884</v>
      </c>
      <c r="E726" s="1">
        <v>2</v>
      </c>
      <c r="F726" s="1" t="s">
        <v>30</v>
      </c>
      <c r="G726" s="1" t="s">
        <v>17</v>
      </c>
      <c r="H726" t="str">
        <f>IF(ISNA(_xlfn.XLOOKUP(B726, customer_master!$A$2:$A$1649, customer_master!$A$2:$A$1649)), "Orphan", "Valid")</f>
        <v>Orphan</v>
      </c>
    </row>
    <row r="727" spans="1:8" x14ac:dyDescent="0.3">
      <c r="A727" s="1" t="s">
        <v>8880</v>
      </c>
      <c r="B727" s="1" t="s">
        <v>1753</v>
      </c>
      <c r="C727" s="41">
        <v>45861</v>
      </c>
      <c r="D727" s="1" t="s">
        <v>7877</v>
      </c>
      <c r="E727" s="1">
        <v>1</v>
      </c>
      <c r="F727" s="1" t="s">
        <v>30</v>
      </c>
      <c r="G727" s="1" t="s">
        <v>30</v>
      </c>
      <c r="H727" t="str">
        <f>IF(ISNA(_xlfn.XLOOKUP(B727, customer_master!$A$2:$A$1649, customer_master!$A$2:$A$1649)), "Orphan", "Valid")</f>
        <v>Valid</v>
      </c>
    </row>
    <row r="728" spans="1:8" x14ac:dyDescent="0.3">
      <c r="A728" s="1" t="s">
        <v>8881</v>
      </c>
      <c r="B728" s="1" t="s">
        <v>2911</v>
      </c>
      <c r="C728" s="41">
        <v>45689</v>
      </c>
      <c r="D728" s="1" t="s">
        <v>7877</v>
      </c>
      <c r="E728" s="1">
        <v>1</v>
      </c>
      <c r="F728" s="1" t="s">
        <v>17</v>
      </c>
      <c r="G728" s="1" t="s">
        <v>17</v>
      </c>
      <c r="H728" t="str">
        <f>IF(ISNA(_xlfn.XLOOKUP(B728, customer_master!$A$2:$A$1649, customer_master!$A$2:$A$1649)), "Orphan", "Valid")</f>
        <v>Valid</v>
      </c>
    </row>
    <row r="729" spans="1:8" x14ac:dyDescent="0.3">
      <c r="A729" s="1" t="s">
        <v>8882</v>
      </c>
      <c r="B729" s="1" t="s">
        <v>2135</v>
      </c>
      <c r="C729" s="41">
        <v>45896</v>
      </c>
      <c r="D729" s="1" t="s">
        <v>7881</v>
      </c>
      <c r="E729" s="1">
        <v>4</v>
      </c>
      <c r="F729" s="1" t="s">
        <v>17</v>
      </c>
      <c r="G729" s="1" t="s">
        <v>17</v>
      </c>
      <c r="H729" t="str">
        <f>IF(ISNA(_xlfn.XLOOKUP(B729, customer_master!$A$2:$A$1649, customer_master!$A$2:$A$1649)), "Orphan", "Valid")</f>
        <v>Valid</v>
      </c>
    </row>
    <row r="730" spans="1:8" x14ac:dyDescent="0.3">
      <c r="A730" s="1" t="s">
        <v>8883</v>
      </c>
      <c r="B730" s="1" t="s">
        <v>2708</v>
      </c>
      <c r="C730" s="41">
        <v>45500</v>
      </c>
      <c r="D730" s="1" t="s">
        <v>7906</v>
      </c>
      <c r="E730" s="1">
        <v>4</v>
      </c>
      <c r="F730" s="1" t="s">
        <v>30</v>
      </c>
      <c r="G730" s="1" t="s">
        <v>17</v>
      </c>
      <c r="H730" t="str">
        <f>IF(ISNA(_xlfn.XLOOKUP(B730, customer_master!$A$2:$A$1649, customer_master!$A$2:$A$1649)), "Orphan", "Valid")</f>
        <v>Valid</v>
      </c>
    </row>
    <row r="731" spans="1:8" x14ac:dyDescent="0.3">
      <c r="A731" s="1" t="s">
        <v>8884</v>
      </c>
      <c r="B731" s="1" t="s">
        <v>3204</v>
      </c>
      <c r="C731" s="41">
        <v>45309</v>
      </c>
      <c r="D731" s="1" t="s">
        <v>7877</v>
      </c>
      <c r="E731" s="1">
        <v>1</v>
      </c>
      <c r="F731" s="1" t="s">
        <v>17</v>
      </c>
      <c r="G731" s="1" t="s">
        <v>17</v>
      </c>
      <c r="H731" t="str">
        <f>IF(ISNA(_xlfn.XLOOKUP(B731, customer_master!$A$2:$A$1649, customer_master!$A$2:$A$1649)), "Orphan", "Valid")</f>
        <v>Valid</v>
      </c>
    </row>
    <row r="732" spans="1:8" x14ac:dyDescent="0.3">
      <c r="A732" s="1" t="s">
        <v>8885</v>
      </c>
      <c r="B732" s="1" t="s">
        <v>8886</v>
      </c>
      <c r="C732" s="41">
        <v>45987</v>
      </c>
      <c r="D732" s="1" t="s">
        <v>7906</v>
      </c>
      <c r="E732" s="1">
        <v>5</v>
      </c>
      <c r="F732" s="1" t="s">
        <v>17</v>
      </c>
      <c r="G732" s="1" t="s">
        <v>17</v>
      </c>
      <c r="H732" t="str">
        <f>IF(ISNA(_xlfn.XLOOKUP(B732, customer_master!$A$2:$A$1649, customer_master!$A$2:$A$1649)), "Orphan", "Valid")</f>
        <v>Orphan</v>
      </c>
    </row>
    <row r="733" spans="1:8" x14ac:dyDescent="0.3">
      <c r="A733" s="1" t="s">
        <v>8887</v>
      </c>
      <c r="B733" s="1" t="s">
        <v>8888</v>
      </c>
      <c r="C733" s="41">
        <v>45670</v>
      </c>
      <c r="D733" s="1" t="s">
        <v>7881</v>
      </c>
      <c r="E733" s="1">
        <v>4</v>
      </c>
      <c r="F733" s="1" t="s">
        <v>17</v>
      </c>
      <c r="G733" s="1" t="s">
        <v>17</v>
      </c>
      <c r="H733" t="str">
        <f>IF(ISNA(_xlfn.XLOOKUP(B733, customer_master!$A$2:$A$1649, customer_master!$A$2:$A$1649)), "Orphan", "Valid")</f>
        <v>Orphan</v>
      </c>
    </row>
    <row r="734" spans="1:8" x14ac:dyDescent="0.3">
      <c r="A734" s="1" t="s">
        <v>8889</v>
      </c>
      <c r="B734" s="1" t="s">
        <v>298</v>
      </c>
      <c r="C734" s="41">
        <v>45250</v>
      </c>
      <c r="D734" s="1" t="s">
        <v>7889</v>
      </c>
      <c r="E734" s="1">
        <v>5</v>
      </c>
      <c r="F734" s="1" t="s">
        <v>17</v>
      </c>
      <c r="G734" s="1" t="s">
        <v>30</v>
      </c>
      <c r="H734" t="str">
        <f>IF(ISNA(_xlfn.XLOOKUP(B734, customer_master!$A$2:$A$1649, customer_master!$A$2:$A$1649)), "Orphan", "Valid")</f>
        <v>Valid</v>
      </c>
    </row>
    <row r="735" spans="1:8" x14ac:dyDescent="0.3">
      <c r="A735" s="1" t="s">
        <v>8890</v>
      </c>
      <c r="B735" s="1" t="s">
        <v>3088</v>
      </c>
      <c r="C735" s="41">
        <v>46245</v>
      </c>
      <c r="D735" s="1" t="s">
        <v>7896</v>
      </c>
      <c r="E735" s="1">
        <v>5</v>
      </c>
      <c r="F735" s="1" t="s">
        <v>17</v>
      </c>
      <c r="G735" s="1" t="s">
        <v>30</v>
      </c>
      <c r="H735" t="str">
        <f>IF(ISNA(_xlfn.XLOOKUP(B735, customer_master!$A$2:$A$1649, customer_master!$A$2:$A$1649)), "Orphan", "Valid")</f>
        <v>Valid</v>
      </c>
    </row>
    <row r="736" spans="1:8" x14ac:dyDescent="0.3">
      <c r="A736" s="1" t="s">
        <v>8891</v>
      </c>
      <c r="B736" s="1" t="s">
        <v>334</v>
      </c>
      <c r="C736" s="41">
        <v>46170</v>
      </c>
      <c r="D736" s="1" t="s">
        <v>7889</v>
      </c>
      <c r="E736" s="1">
        <v>5</v>
      </c>
      <c r="F736" s="1" t="s">
        <v>17</v>
      </c>
      <c r="G736" s="1" t="s">
        <v>30</v>
      </c>
      <c r="H736" t="str">
        <f>IF(ISNA(_xlfn.XLOOKUP(B736, customer_master!$A$2:$A$1649, customer_master!$A$2:$A$1649)), "Orphan", "Valid")</f>
        <v>Valid</v>
      </c>
    </row>
    <row r="737" spans="1:8" x14ac:dyDescent="0.3">
      <c r="A737" s="1" t="s">
        <v>8892</v>
      </c>
      <c r="B737" s="1" t="s">
        <v>507</v>
      </c>
      <c r="C737" s="41">
        <v>45547</v>
      </c>
      <c r="D737" s="1" t="s">
        <v>7899</v>
      </c>
      <c r="E737" s="1">
        <v>2</v>
      </c>
      <c r="F737" s="1" t="s">
        <v>30</v>
      </c>
      <c r="G737" s="1" t="s">
        <v>17</v>
      </c>
      <c r="H737" t="str">
        <f>IF(ISNA(_xlfn.XLOOKUP(B737, customer_master!$A$2:$A$1649, customer_master!$A$2:$A$1649)), "Orphan", "Valid")</f>
        <v>Valid</v>
      </c>
    </row>
    <row r="738" spans="1:8" x14ac:dyDescent="0.3">
      <c r="A738" s="1" t="s">
        <v>8893</v>
      </c>
      <c r="B738" s="1" t="s">
        <v>8894</v>
      </c>
      <c r="C738" s="41">
        <v>45471</v>
      </c>
      <c r="D738" s="1" t="s">
        <v>7879</v>
      </c>
      <c r="E738" s="1">
        <v>2</v>
      </c>
      <c r="F738" s="1" t="s">
        <v>30</v>
      </c>
      <c r="G738" s="1" t="s">
        <v>30</v>
      </c>
      <c r="H738" t="str">
        <f>IF(ISNA(_xlfn.XLOOKUP(B738, customer_master!$A$2:$A$1649, customer_master!$A$2:$A$1649)), "Orphan", "Valid")</f>
        <v>Orphan</v>
      </c>
    </row>
    <row r="739" spans="1:8" x14ac:dyDescent="0.3">
      <c r="A739" s="1" t="s">
        <v>8895</v>
      </c>
      <c r="B739" s="1" t="s">
        <v>2724</v>
      </c>
      <c r="C739" s="41">
        <v>46255</v>
      </c>
      <c r="D739" s="1" t="s">
        <v>7884</v>
      </c>
      <c r="E739" s="1">
        <v>2</v>
      </c>
      <c r="F739" s="1" t="s">
        <v>30</v>
      </c>
      <c r="G739" s="1" t="s">
        <v>17</v>
      </c>
      <c r="H739" t="str">
        <f>IF(ISNA(_xlfn.XLOOKUP(B739, customer_master!$A$2:$A$1649, customer_master!$A$2:$A$1649)), "Orphan", "Valid")</f>
        <v>Valid</v>
      </c>
    </row>
    <row r="740" spans="1:8" x14ac:dyDescent="0.3">
      <c r="A740" s="1" t="s">
        <v>8896</v>
      </c>
      <c r="B740" s="1" t="s">
        <v>8897</v>
      </c>
      <c r="C740" s="41">
        <v>45591</v>
      </c>
      <c r="D740" s="1" t="s">
        <v>7912</v>
      </c>
      <c r="E740" s="1">
        <v>5</v>
      </c>
      <c r="F740" s="1" t="s">
        <v>17</v>
      </c>
      <c r="G740" s="1" t="s">
        <v>17</v>
      </c>
      <c r="H740" t="str">
        <f>IF(ISNA(_xlfn.XLOOKUP(B740, customer_master!$A$2:$A$1649, customer_master!$A$2:$A$1649)), "Orphan", "Valid")</f>
        <v>Orphan</v>
      </c>
    </row>
    <row r="741" spans="1:8" x14ac:dyDescent="0.3">
      <c r="A741" s="1" t="s">
        <v>8898</v>
      </c>
      <c r="B741" s="1" t="s">
        <v>8899</v>
      </c>
      <c r="C741" s="41">
        <v>46149</v>
      </c>
      <c r="D741" s="1" t="s">
        <v>7912</v>
      </c>
      <c r="E741" s="1">
        <v>5</v>
      </c>
      <c r="F741" s="1" t="s">
        <v>30</v>
      </c>
      <c r="G741" s="1" t="s">
        <v>17</v>
      </c>
      <c r="H741" t="str">
        <f>IF(ISNA(_xlfn.XLOOKUP(B741, customer_master!$A$2:$A$1649, customer_master!$A$2:$A$1649)), "Orphan", "Valid")</f>
        <v>Orphan</v>
      </c>
    </row>
    <row r="742" spans="1:8" x14ac:dyDescent="0.3">
      <c r="A742" s="1" t="s">
        <v>8900</v>
      </c>
      <c r="B742" s="1" t="s">
        <v>2274</v>
      </c>
      <c r="C742" s="41">
        <v>45296</v>
      </c>
      <c r="D742" s="1" t="s">
        <v>7881</v>
      </c>
      <c r="E742" s="1">
        <v>4</v>
      </c>
      <c r="F742" s="1" t="s">
        <v>30</v>
      </c>
      <c r="G742" s="1" t="s">
        <v>17</v>
      </c>
      <c r="H742" t="str">
        <f>IF(ISNA(_xlfn.XLOOKUP(B742, customer_master!$A$2:$A$1649, customer_master!$A$2:$A$1649)), "Orphan", "Valid")</f>
        <v>Valid</v>
      </c>
    </row>
    <row r="743" spans="1:8" x14ac:dyDescent="0.3">
      <c r="A743" s="1" t="s">
        <v>8901</v>
      </c>
      <c r="B743" s="1" t="s">
        <v>8902</v>
      </c>
      <c r="C743" s="41">
        <v>45684</v>
      </c>
      <c r="D743" s="1" t="s">
        <v>7887</v>
      </c>
      <c r="E743" s="1">
        <v>2</v>
      </c>
      <c r="F743" s="1" t="s">
        <v>30</v>
      </c>
      <c r="G743" s="1" t="s">
        <v>30</v>
      </c>
      <c r="H743" t="str">
        <f>IF(ISNA(_xlfn.XLOOKUP(B743, customer_master!$A$2:$A$1649, customer_master!$A$2:$A$1649)), "Orphan", "Valid")</f>
        <v>Orphan</v>
      </c>
    </row>
    <row r="744" spans="1:8" x14ac:dyDescent="0.3">
      <c r="A744" s="1" t="s">
        <v>8903</v>
      </c>
      <c r="B744" s="1" t="s">
        <v>2738</v>
      </c>
      <c r="C744" s="41">
        <v>45814</v>
      </c>
      <c r="D744" s="1" t="s">
        <v>7881</v>
      </c>
      <c r="E744" s="1">
        <v>4</v>
      </c>
      <c r="F744" s="1" t="s">
        <v>17</v>
      </c>
      <c r="G744" s="1" t="s">
        <v>17</v>
      </c>
      <c r="H744" t="str">
        <f>IF(ISNA(_xlfn.XLOOKUP(B744, customer_master!$A$2:$A$1649, customer_master!$A$2:$A$1649)), "Orphan", "Valid")</f>
        <v>Valid</v>
      </c>
    </row>
    <row r="745" spans="1:8" x14ac:dyDescent="0.3">
      <c r="A745" s="1" t="s">
        <v>8904</v>
      </c>
      <c r="B745" s="1" t="s">
        <v>8905</v>
      </c>
      <c r="C745" s="41">
        <v>46133</v>
      </c>
      <c r="D745" s="1" t="s">
        <v>7896</v>
      </c>
      <c r="E745" s="1">
        <v>4</v>
      </c>
      <c r="F745" s="1" t="s">
        <v>17</v>
      </c>
      <c r="G745" s="1" t="s">
        <v>30</v>
      </c>
      <c r="H745" t="str">
        <f>IF(ISNA(_xlfn.XLOOKUP(B745, customer_master!$A$2:$A$1649, customer_master!$A$2:$A$1649)), "Orphan", "Valid")</f>
        <v>Orphan</v>
      </c>
    </row>
    <row r="746" spans="1:8" x14ac:dyDescent="0.3">
      <c r="A746" s="1" t="s">
        <v>8906</v>
      </c>
      <c r="B746" s="1" t="s">
        <v>8907</v>
      </c>
      <c r="C746" s="41">
        <v>45930</v>
      </c>
      <c r="D746" s="1" t="s">
        <v>7889</v>
      </c>
      <c r="E746" s="1">
        <v>4</v>
      </c>
      <c r="F746" s="1" t="s">
        <v>17</v>
      </c>
      <c r="G746" s="1" t="s">
        <v>17</v>
      </c>
      <c r="H746" t="str">
        <f>IF(ISNA(_xlfn.XLOOKUP(B746, customer_master!$A$2:$A$1649, customer_master!$A$2:$A$1649)), "Orphan", "Valid")</f>
        <v>Orphan</v>
      </c>
    </row>
    <row r="747" spans="1:8" x14ac:dyDescent="0.3">
      <c r="A747" s="1" t="s">
        <v>8908</v>
      </c>
      <c r="B747" s="1" t="s">
        <v>1733</v>
      </c>
      <c r="C747" s="41">
        <v>46043</v>
      </c>
      <c r="D747" s="1" t="s">
        <v>7889</v>
      </c>
      <c r="E747" s="1">
        <v>4</v>
      </c>
      <c r="F747" s="1" t="s">
        <v>30</v>
      </c>
      <c r="G747" s="1" t="s">
        <v>17</v>
      </c>
      <c r="H747" t="str">
        <f>IF(ISNA(_xlfn.XLOOKUP(B747, customer_master!$A$2:$A$1649, customer_master!$A$2:$A$1649)), "Orphan", "Valid")</f>
        <v>Valid</v>
      </c>
    </row>
    <row r="748" spans="1:8" x14ac:dyDescent="0.3">
      <c r="A748" s="1" t="s">
        <v>8909</v>
      </c>
      <c r="B748" s="1" t="s">
        <v>1010</v>
      </c>
      <c r="C748" s="41">
        <v>46004</v>
      </c>
      <c r="D748" s="1" t="s">
        <v>7906</v>
      </c>
      <c r="E748" s="1">
        <v>5</v>
      </c>
      <c r="F748" s="1" t="s">
        <v>30</v>
      </c>
      <c r="G748" s="1" t="s">
        <v>17</v>
      </c>
      <c r="H748" t="str">
        <f>IF(ISNA(_xlfn.XLOOKUP(B748, customer_master!$A$2:$A$1649, customer_master!$A$2:$A$1649)), "Orphan", "Valid")</f>
        <v>Valid</v>
      </c>
    </row>
    <row r="749" spans="1:8" x14ac:dyDescent="0.3">
      <c r="A749" s="1" t="s">
        <v>8910</v>
      </c>
      <c r="B749" s="1" t="s">
        <v>3140</v>
      </c>
      <c r="C749" s="41">
        <v>45419</v>
      </c>
      <c r="D749" s="1" t="s">
        <v>7884</v>
      </c>
      <c r="E749" s="1">
        <v>2</v>
      </c>
      <c r="F749" s="1" t="s">
        <v>17</v>
      </c>
      <c r="G749" s="1" t="s">
        <v>17</v>
      </c>
      <c r="H749" t="str">
        <f>IF(ISNA(_xlfn.XLOOKUP(B749, customer_master!$A$2:$A$1649, customer_master!$A$2:$A$1649)), "Orphan", "Valid")</f>
        <v>Valid</v>
      </c>
    </row>
    <row r="750" spans="1:8" x14ac:dyDescent="0.3">
      <c r="A750" s="1" t="s">
        <v>8911</v>
      </c>
      <c r="B750" s="1" t="s">
        <v>8912</v>
      </c>
      <c r="C750" s="41">
        <v>45285</v>
      </c>
      <c r="D750" s="1" t="s">
        <v>7879</v>
      </c>
      <c r="E750" s="1">
        <v>2</v>
      </c>
      <c r="F750" s="1" t="s">
        <v>17</v>
      </c>
      <c r="G750" s="1" t="s">
        <v>17</v>
      </c>
      <c r="H750" t="str">
        <f>IF(ISNA(_xlfn.XLOOKUP(B750, customer_master!$A$2:$A$1649, customer_master!$A$2:$A$1649)), "Orphan", "Valid")</f>
        <v>Orphan</v>
      </c>
    </row>
    <row r="751" spans="1:8" x14ac:dyDescent="0.3">
      <c r="A751" s="1" t="s">
        <v>8913</v>
      </c>
      <c r="B751" s="1" t="s">
        <v>8914</v>
      </c>
      <c r="C751" s="41">
        <v>46266</v>
      </c>
      <c r="D751" s="1" t="s">
        <v>7899</v>
      </c>
      <c r="E751" s="1">
        <v>2</v>
      </c>
      <c r="F751" s="1" t="s">
        <v>30</v>
      </c>
      <c r="G751" s="1" t="s">
        <v>17</v>
      </c>
      <c r="H751" t="str">
        <f>IF(ISNA(_xlfn.XLOOKUP(B751, customer_master!$A$2:$A$1649, customer_master!$A$2:$A$1649)), "Orphan", "Valid")</f>
        <v>Orphan</v>
      </c>
    </row>
    <row r="752" spans="1:8" x14ac:dyDescent="0.3">
      <c r="A752" s="1" t="s">
        <v>8915</v>
      </c>
      <c r="B752" s="1" t="s">
        <v>2965</v>
      </c>
      <c r="C752" s="41">
        <v>45834</v>
      </c>
      <c r="D752" s="1" t="s">
        <v>7877</v>
      </c>
      <c r="E752" s="1">
        <v>1</v>
      </c>
      <c r="F752" s="1" t="s">
        <v>30</v>
      </c>
      <c r="G752" s="1" t="s">
        <v>30</v>
      </c>
      <c r="H752" t="str">
        <f>IF(ISNA(_xlfn.XLOOKUP(B752, customer_master!$A$2:$A$1649, customer_master!$A$2:$A$1649)), "Orphan", "Valid")</f>
        <v>Valid</v>
      </c>
    </row>
    <row r="753" spans="1:8" x14ac:dyDescent="0.3">
      <c r="A753" s="1" t="s">
        <v>8916</v>
      </c>
      <c r="B753" s="1" t="s">
        <v>8917</v>
      </c>
      <c r="C753" s="41">
        <v>45829</v>
      </c>
      <c r="D753" s="1" t="s">
        <v>7887</v>
      </c>
      <c r="E753" s="1">
        <v>2</v>
      </c>
      <c r="F753" s="1" t="s">
        <v>30</v>
      </c>
      <c r="G753" s="1" t="s">
        <v>17</v>
      </c>
      <c r="H753" t="str">
        <f>IF(ISNA(_xlfn.XLOOKUP(B753, customer_master!$A$2:$A$1649, customer_master!$A$2:$A$1649)), "Orphan", "Valid")</f>
        <v>Orphan</v>
      </c>
    </row>
    <row r="754" spans="1:8" x14ac:dyDescent="0.3">
      <c r="A754" s="1" t="s">
        <v>8918</v>
      </c>
      <c r="B754" s="1" t="s">
        <v>2837</v>
      </c>
      <c r="C754" s="41">
        <v>45570</v>
      </c>
      <c r="D754" s="1" t="s">
        <v>7887</v>
      </c>
      <c r="E754" s="1">
        <v>2</v>
      </c>
      <c r="F754" s="1" t="s">
        <v>17</v>
      </c>
      <c r="G754" s="1" t="s">
        <v>17</v>
      </c>
      <c r="H754" t="str">
        <f>IF(ISNA(_xlfn.XLOOKUP(B754, customer_master!$A$2:$A$1649, customer_master!$A$2:$A$1649)), "Orphan", "Valid")</f>
        <v>Valid</v>
      </c>
    </row>
    <row r="755" spans="1:8" x14ac:dyDescent="0.3">
      <c r="A755" s="1" t="s">
        <v>8919</v>
      </c>
      <c r="B755" s="1" t="s">
        <v>363</v>
      </c>
      <c r="C755" s="41">
        <v>46125</v>
      </c>
      <c r="D755" s="1" t="s">
        <v>7889</v>
      </c>
      <c r="E755" s="1">
        <v>5</v>
      </c>
      <c r="F755" s="1" t="s">
        <v>17</v>
      </c>
      <c r="G755" s="1" t="s">
        <v>17</v>
      </c>
      <c r="H755" t="str">
        <f>IF(ISNA(_xlfn.XLOOKUP(B755, customer_master!$A$2:$A$1649, customer_master!$A$2:$A$1649)), "Orphan", "Valid")</f>
        <v>Valid</v>
      </c>
    </row>
    <row r="756" spans="1:8" x14ac:dyDescent="0.3">
      <c r="A756" s="1" t="s">
        <v>8920</v>
      </c>
      <c r="B756" s="1" t="s">
        <v>8921</v>
      </c>
      <c r="C756" s="41">
        <v>45901</v>
      </c>
      <c r="D756" s="1" t="s">
        <v>7889</v>
      </c>
      <c r="E756" s="1">
        <v>4</v>
      </c>
      <c r="F756" s="1" t="s">
        <v>30</v>
      </c>
      <c r="G756" s="1" t="s">
        <v>30</v>
      </c>
      <c r="H756" t="str">
        <f>IF(ISNA(_xlfn.XLOOKUP(B756, customer_master!$A$2:$A$1649, customer_master!$A$2:$A$1649)), "Orphan", "Valid")</f>
        <v>Orphan</v>
      </c>
    </row>
    <row r="757" spans="1:8" x14ac:dyDescent="0.3">
      <c r="A757" s="1" t="s">
        <v>8922</v>
      </c>
      <c r="B757" s="1" t="s">
        <v>8923</v>
      </c>
      <c r="C757" s="41">
        <v>46090</v>
      </c>
      <c r="D757" s="1" t="s">
        <v>7889</v>
      </c>
      <c r="E757" s="1">
        <v>4</v>
      </c>
      <c r="F757" s="1" t="s">
        <v>17</v>
      </c>
      <c r="G757" s="1" t="s">
        <v>17</v>
      </c>
      <c r="H757" t="str">
        <f>IF(ISNA(_xlfn.XLOOKUP(B757, customer_master!$A$2:$A$1649, customer_master!$A$2:$A$1649)), "Orphan", "Valid")</f>
        <v>Orphan</v>
      </c>
    </row>
    <row r="758" spans="1:8" x14ac:dyDescent="0.3">
      <c r="A758" s="1" t="s">
        <v>8924</v>
      </c>
      <c r="B758" s="1" t="s">
        <v>955</v>
      </c>
      <c r="C758" s="41">
        <v>46228</v>
      </c>
      <c r="D758" s="1" t="s">
        <v>7877</v>
      </c>
      <c r="E758" s="1">
        <v>1</v>
      </c>
      <c r="F758" s="1" t="s">
        <v>17</v>
      </c>
      <c r="G758" s="1" t="s">
        <v>17</v>
      </c>
      <c r="H758" t="str">
        <f>IF(ISNA(_xlfn.XLOOKUP(B758, customer_master!$A$2:$A$1649, customer_master!$A$2:$A$1649)), "Orphan", "Valid")</f>
        <v>Valid</v>
      </c>
    </row>
    <row r="759" spans="1:8" x14ac:dyDescent="0.3">
      <c r="A759" s="1" t="s">
        <v>8925</v>
      </c>
      <c r="B759" s="1" t="s">
        <v>1761</v>
      </c>
      <c r="C759" s="41">
        <v>45635</v>
      </c>
      <c r="D759" s="1" t="s">
        <v>7879</v>
      </c>
      <c r="E759" s="1">
        <v>2</v>
      </c>
      <c r="F759" s="1" t="s">
        <v>30</v>
      </c>
      <c r="G759" s="1" t="s">
        <v>17</v>
      </c>
      <c r="H759" t="str">
        <f>IF(ISNA(_xlfn.XLOOKUP(B759, customer_master!$A$2:$A$1649, customer_master!$A$2:$A$1649)), "Orphan", "Valid")</f>
        <v>Valid</v>
      </c>
    </row>
    <row r="760" spans="1:8" x14ac:dyDescent="0.3">
      <c r="A760" s="1" t="s">
        <v>8926</v>
      </c>
      <c r="B760" s="1" t="s">
        <v>825</v>
      </c>
      <c r="C760" s="41">
        <v>45872</v>
      </c>
      <c r="D760" s="1" t="s">
        <v>7879</v>
      </c>
      <c r="E760" s="1">
        <v>2</v>
      </c>
      <c r="F760" s="1" t="s">
        <v>30</v>
      </c>
      <c r="G760" s="1" t="s">
        <v>17</v>
      </c>
      <c r="H760" t="str">
        <f>IF(ISNA(_xlfn.XLOOKUP(B760, customer_master!$A$2:$A$1649, customer_master!$A$2:$A$1649)), "Orphan", "Valid")</f>
        <v>Valid</v>
      </c>
    </row>
    <row r="761" spans="1:8" x14ac:dyDescent="0.3">
      <c r="A761" s="1" t="s">
        <v>8927</v>
      </c>
      <c r="B761" s="1" t="s">
        <v>475</v>
      </c>
      <c r="C761" s="41">
        <v>46121</v>
      </c>
      <c r="D761" s="1" t="s">
        <v>7884</v>
      </c>
      <c r="E761" s="1">
        <v>2</v>
      </c>
      <c r="F761" s="1" t="s">
        <v>17</v>
      </c>
      <c r="G761" s="1" t="s">
        <v>30</v>
      </c>
      <c r="H761" t="str">
        <f>IF(ISNA(_xlfn.XLOOKUP(B761, customer_master!$A$2:$A$1649, customer_master!$A$2:$A$1649)), "Orphan", "Valid")</f>
        <v>Valid</v>
      </c>
    </row>
    <row r="762" spans="1:8" x14ac:dyDescent="0.3">
      <c r="A762" s="1" t="s">
        <v>8928</v>
      </c>
      <c r="B762" s="1" t="s">
        <v>2410</v>
      </c>
      <c r="C762" s="41">
        <v>45480</v>
      </c>
      <c r="D762" s="1" t="s">
        <v>7884</v>
      </c>
      <c r="E762" s="1">
        <v>2</v>
      </c>
      <c r="F762" s="1" t="s">
        <v>30</v>
      </c>
      <c r="G762" s="1" t="s">
        <v>30</v>
      </c>
      <c r="H762" t="str">
        <f>IF(ISNA(_xlfn.XLOOKUP(B762, customer_master!$A$2:$A$1649, customer_master!$A$2:$A$1649)), "Orphan", "Valid")</f>
        <v>Valid</v>
      </c>
    </row>
    <row r="763" spans="1:8" x14ac:dyDescent="0.3">
      <c r="A763" s="1" t="s">
        <v>8929</v>
      </c>
      <c r="B763" s="1" t="s">
        <v>8930</v>
      </c>
      <c r="C763" s="41">
        <v>45966</v>
      </c>
      <c r="D763" s="1" t="s">
        <v>7884</v>
      </c>
      <c r="E763" s="1">
        <v>2</v>
      </c>
      <c r="F763" s="1" t="s">
        <v>17</v>
      </c>
      <c r="G763" s="1" t="s">
        <v>17</v>
      </c>
      <c r="H763" t="str">
        <f>IF(ISNA(_xlfn.XLOOKUP(B763, customer_master!$A$2:$A$1649, customer_master!$A$2:$A$1649)), "Orphan", "Valid")</f>
        <v>Orphan</v>
      </c>
    </row>
    <row r="764" spans="1:8" x14ac:dyDescent="0.3">
      <c r="A764" s="1" t="s">
        <v>8931</v>
      </c>
      <c r="B764" s="1" t="s">
        <v>966</v>
      </c>
      <c r="C764" s="41">
        <v>45475</v>
      </c>
      <c r="D764" s="1" t="s">
        <v>7877</v>
      </c>
      <c r="E764" s="1">
        <v>2</v>
      </c>
      <c r="F764" s="1" t="s">
        <v>17</v>
      </c>
      <c r="G764" s="1" t="s">
        <v>17</v>
      </c>
      <c r="H764" t="str">
        <f>IF(ISNA(_xlfn.XLOOKUP(B764, customer_master!$A$2:$A$1649, customer_master!$A$2:$A$1649)), "Orphan", "Valid")</f>
        <v>Valid</v>
      </c>
    </row>
    <row r="765" spans="1:8" x14ac:dyDescent="0.3">
      <c r="A765" s="1" t="s">
        <v>8932</v>
      </c>
      <c r="B765" s="1" t="s">
        <v>11</v>
      </c>
      <c r="C765" s="41">
        <v>45448</v>
      </c>
      <c r="D765" s="1" t="s">
        <v>7906</v>
      </c>
      <c r="E765" s="1">
        <v>5</v>
      </c>
      <c r="F765" s="1" t="s">
        <v>17</v>
      </c>
      <c r="G765" s="1" t="s">
        <v>30</v>
      </c>
      <c r="H765" t="str">
        <f>IF(ISNA(_xlfn.XLOOKUP(B765, customer_master!$A$2:$A$1649, customer_master!$A$2:$A$1649)), "Orphan", "Valid")</f>
        <v>Valid</v>
      </c>
    </row>
    <row r="766" spans="1:8" x14ac:dyDescent="0.3">
      <c r="A766" s="1" t="s">
        <v>8933</v>
      </c>
      <c r="B766" s="1" t="s">
        <v>3245</v>
      </c>
      <c r="C766" s="41">
        <v>45729</v>
      </c>
      <c r="D766" s="1" t="s">
        <v>7912</v>
      </c>
      <c r="E766" s="1">
        <v>5</v>
      </c>
      <c r="F766" s="1" t="s">
        <v>30</v>
      </c>
      <c r="G766" s="1" t="s">
        <v>17</v>
      </c>
      <c r="H766" t="str">
        <f>IF(ISNA(_xlfn.XLOOKUP(B766, customer_master!$A$2:$A$1649, customer_master!$A$2:$A$1649)), "Orphan", "Valid")</f>
        <v>Valid</v>
      </c>
    </row>
    <row r="767" spans="1:8" x14ac:dyDescent="0.3">
      <c r="A767" s="1" t="s">
        <v>8934</v>
      </c>
      <c r="B767" s="1" t="s">
        <v>8935</v>
      </c>
      <c r="C767" s="41">
        <v>45632</v>
      </c>
      <c r="D767" s="1" t="s">
        <v>7889</v>
      </c>
      <c r="E767" s="1">
        <v>4</v>
      </c>
      <c r="F767" s="1" t="s">
        <v>17</v>
      </c>
      <c r="G767" s="1" t="s">
        <v>17</v>
      </c>
      <c r="H767" t="str">
        <f>IF(ISNA(_xlfn.XLOOKUP(B767, customer_master!$A$2:$A$1649, customer_master!$A$2:$A$1649)), "Orphan", "Valid")</f>
        <v>Orphan</v>
      </c>
    </row>
    <row r="768" spans="1:8" x14ac:dyDescent="0.3">
      <c r="A768" s="1" t="s">
        <v>8936</v>
      </c>
      <c r="B768" s="1" t="s">
        <v>682</v>
      </c>
      <c r="C768" s="41">
        <v>46089</v>
      </c>
      <c r="D768" s="1" t="s">
        <v>7899</v>
      </c>
      <c r="E768" s="1">
        <v>2</v>
      </c>
      <c r="F768" s="1" t="s">
        <v>17</v>
      </c>
      <c r="G768" s="1" t="s">
        <v>17</v>
      </c>
      <c r="H768" t="str">
        <f>IF(ISNA(_xlfn.XLOOKUP(B768, customer_master!$A$2:$A$1649, customer_master!$A$2:$A$1649)), "Orphan", "Valid")</f>
        <v>Valid</v>
      </c>
    </row>
    <row r="769" spans="1:8" x14ac:dyDescent="0.3">
      <c r="A769" s="1" t="s">
        <v>8937</v>
      </c>
      <c r="B769" s="1" t="s">
        <v>968</v>
      </c>
      <c r="C769" s="41">
        <v>46250</v>
      </c>
      <c r="D769" s="1" t="s">
        <v>7896</v>
      </c>
      <c r="E769" s="1">
        <v>4</v>
      </c>
      <c r="F769" s="1" t="s">
        <v>17</v>
      </c>
      <c r="G769" s="1" t="s">
        <v>17</v>
      </c>
      <c r="H769" t="str">
        <f>IF(ISNA(_xlfn.XLOOKUP(B769, customer_master!$A$2:$A$1649, customer_master!$A$2:$A$1649)), "Orphan", "Valid")</f>
        <v>Valid</v>
      </c>
    </row>
    <row r="770" spans="1:8" x14ac:dyDescent="0.3">
      <c r="A770" s="1" t="s">
        <v>8938</v>
      </c>
      <c r="B770" s="1" t="s">
        <v>8939</v>
      </c>
      <c r="C770" s="41">
        <v>45264</v>
      </c>
      <c r="D770" s="1" t="s">
        <v>7877</v>
      </c>
      <c r="E770" s="1">
        <v>1</v>
      </c>
      <c r="F770" s="1" t="s">
        <v>30</v>
      </c>
      <c r="G770" s="1" t="s">
        <v>17</v>
      </c>
      <c r="H770" t="str">
        <f>IF(ISNA(_xlfn.XLOOKUP(B770, customer_master!$A$2:$A$1649, customer_master!$A$2:$A$1649)), "Orphan", "Valid")</f>
        <v>Orphan</v>
      </c>
    </row>
    <row r="771" spans="1:8" x14ac:dyDescent="0.3">
      <c r="A771" s="1" t="s">
        <v>8940</v>
      </c>
      <c r="B771" s="1" t="s">
        <v>558</v>
      </c>
      <c r="C771" s="41">
        <v>45283</v>
      </c>
      <c r="D771" s="1" t="s">
        <v>7877</v>
      </c>
      <c r="E771" s="1">
        <v>1</v>
      </c>
      <c r="F771" s="1" t="s">
        <v>30</v>
      </c>
      <c r="G771" s="1" t="s">
        <v>17</v>
      </c>
      <c r="H771" t="str">
        <f>IF(ISNA(_xlfn.XLOOKUP(B771, customer_master!$A$2:$A$1649, customer_master!$A$2:$A$1649)), "Orphan", "Valid")</f>
        <v>Valid</v>
      </c>
    </row>
    <row r="772" spans="1:8" x14ac:dyDescent="0.3">
      <c r="A772" s="1" t="s">
        <v>8941</v>
      </c>
      <c r="B772" s="1" t="s">
        <v>538</v>
      </c>
      <c r="C772" s="41">
        <v>46056</v>
      </c>
      <c r="D772" s="1" t="s">
        <v>7881</v>
      </c>
      <c r="E772" s="1">
        <v>4</v>
      </c>
      <c r="F772" s="1" t="s">
        <v>30</v>
      </c>
      <c r="G772" s="1" t="s">
        <v>17</v>
      </c>
      <c r="H772" t="str">
        <f>IF(ISNA(_xlfn.XLOOKUP(B772, customer_master!$A$2:$A$1649, customer_master!$A$2:$A$1649)), "Orphan", "Valid")</f>
        <v>Valid</v>
      </c>
    </row>
    <row r="773" spans="1:8" x14ac:dyDescent="0.3">
      <c r="A773" s="1" t="s">
        <v>8942</v>
      </c>
      <c r="B773" s="1" t="s">
        <v>859</v>
      </c>
      <c r="C773" s="41">
        <v>45439</v>
      </c>
      <c r="D773" s="1" t="s">
        <v>7877</v>
      </c>
      <c r="E773" s="1">
        <v>2</v>
      </c>
      <c r="F773" s="1" t="s">
        <v>17</v>
      </c>
      <c r="G773" s="1" t="s">
        <v>17</v>
      </c>
      <c r="H773" t="str">
        <f>IF(ISNA(_xlfn.XLOOKUP(B773, customer_master!$A$2:$A$1649, customer_master!$A$2:$A$1649)), "Orphan", "Valid")</f>
        <v>Valid</v>
      </c>
    </row>
    <row r="774" spans="1:8" x14ac:dyDescent="0.3">
      <c r="A774" s="1" t="s">
        <v>8943</v>
      </c>
      <c r="B774" s="1" t="s">
        <v>8944</v>
      </c>
      <c r="C774" s="41">
        <v>45715</v>
      </c>
      <c r="D774" s="1" t="s">
        <v>7906</v>
      </c>
      <c r="E774" s="1">
        <v>5</v>
      </c>
      <c r="F774" s="1" t="s">
        <v>17</v>
      </c>
      <c r="G774" s="1" t="s">
        <v>17</v>
      </c>
      <c r="H774" t="str">
        <f>IF(ISNA(_xlfn.XLOOKUP(B774, customer_master!$A$2:$A$1649, customer_master!$A$2:$A$1649)), "Orphan", "Valid")</f>
        <v>Orphan</v>
      </c>
    </row>
    <row r="775" spans="1:8" x14ac:dyDescent="0.3">
      <c r="A775" s="1" t="s">
        <v>8945</v>
      </c>
      <c r="B775" s="1" t="s">
        <v>3196</v>
      </c>
      <c r="C775" s="41">
        <v>45820</v>
      </c>
      <c r="D775" s="1" t="s">
        <v>7881</v>
      </c>
      <c r="E775" s="1">
        <v>4</v>
      </c>
      <c r="F775" s="1" t="s">
        <v>17</v>
      </c>
      <c r="G775" s="1" t="s">
        <v>17</v>
      </c>
      <c r="H775" t="str">
        <f>IF(ISNA(_xlfn.XLOOKUP(B775, customer_master!$A$2:$A$1649, customer_master!$A$2:$A$1649)), "Orphan", "Valid")</f>
        <v>Valid</v>
      </c>
    </row>
    <row r="776" spans="1:8" x14ac:dyDescent="0.3">
      <c r="A776" s="1" t="s">
        <v>8946</v>
      </c>
      <c r="B776" s="1" t="s">
        <v>8947</v>
      </c>
      <c r="C776" s="41">
        <v>45902</v>
      </c>
      <c r="D776" s="1" t="s">
        <v>7877</v>
      </c>
      <c r="E776" s="1">
        <v>2</v>
      </c>
      <c r="F776" s="1" t="s">
        <v>17</v>
      </c>
      <c r="G776" s="1" t="s">
        <v>17</v>
      </c>
      <c r="H776" t="str">
        <f>IF(ISNA(_xlfn.XLOOKUP(B776, customer_master!$A$2:$A$1649, customer_master!$A$2:$A$1649)), "Orphan", "Valid")</f>
        <v>Orphan</v>
      </c>
    </row>
    <row r="777" spans="1:8" x14ac:dyDescent="0.3">
      <c r="A777" s="1" t="s">
        <v>8948</v>
      </c>
      <c r="B777" s="1" t="s">
        <v>8949</v>
      </c>
      <c r="C777" s="41">
        <v>45286</v>
      </c>
      <c r="D777" s="1" t="s">
        <v>7881</v>
      </c>
      <c r="E777" s="1">
        <v>4</v>
      </c>
      <c r="F777" s="1" t="s">
        <v>30</v>
      </c>
      <c r="G777" s="1" t="s">
        <v>30</v>
      </c>
      <c r="H777" t="str">
        <f>IF(ISNA(_xlfn.XLOOKUP(B777, customer_master!$A$2:$A$1649, customer_master!$A$2:$A$1649)), "Orphan", "Valid")</f>
        <v>Orphan</v>
      </c>
    </row>
    <row r="778" spans="1:8" x14ac:dyDescent="0.3">
      <c r="A778" s="1" t="s">
        <v>8950</v>
      </c>
      <c r="B778" s="1" t="s">
        <v>2629</v>
      </c>
      <c r="C778" s="41">
        <v>46028</v>
      </c>
      <c r="D778" s="1" t="s">
        <v>7887</v>
      </c>
      <c r="E778" s="1">
        <v>2</v>
      </c>
      <c r="F778" s="1" t="s">
        <v>17</v>
      </c>
      <c r="G778" s="1" t="s">
        <v>17</v>
      </c>
      <c r="H778" t="str">
        <f>IF(ISNA(_xlfn.XLOOKUP(B778, customer_master!$A$2:$A$1649, customer_master!$A$2:$A$1649)), "Orphan", "Valid")</f>
        <v>Valid</v>
      </c>
    </row>
    <row r="779" spans="1:8" x14ac:dyDescent="0.3">
      <c r="A779" s="1" t="s">
        <v>8951</v>
      </c>
      <c r="B779" s="1" t="s">
        <v>927</v>
      </c>
      <c r="C779" s="41">
        <v>45949</v>
      </c>
      <c r="D779" s="1" t="s">
        <v>7881</v>
      </c>
      <c r="E779" s="1">
        <v>4</v>
      </c>
      <c r="F779" s="1" t="s">
        <v>30</v>
      </c>
      <c r="G779" s="1" t="s">
        <v>17</v>
      </c>
      <c r="H779" t="str">
        <f>IF(ISNA(_xlfn.XLOOKUP(B779, customer_master!$A$2:$A$1649, customer_master!$A$2:$A$1649)), "Orphan", "Valid")</f>
        <v>Valid</v>
      </c>
    </row>
    <row r="780" spans="1:8" x14ac:dyDescent="0.3">
      <c r="A780" s="1" t="s">
        <v>8952</v>
      </c>
      <c r="B780" s="1" t="s">
        <v>8953</v>
      </c>
      <c r="C780" s="41">
        <v>45787</v>
      </c>
      <c r="D780" s="1" t="s">
        <v>7906</v>
      </c>
      <c r="E780" s="1">
        <v>5</v>
      </c>
      <c r="F780" s="1" t="s">
        <v>17</v>
      </c>
      <c r="G780" s="1" t="s">
        <v>17</v>
      </c>
      <c r="H780" t="str">
        <f>IF(ISNA(_xlfn.XLOOKUP(B780, customer_master!$A$2:$A$1649, customer_master!$A$2:$A$1649)), "Orphan", "Valid")</f>
        <v>Orphan</v>
      </c>
    </row>
    <row r="781" spans="1:8" x14ac:dyDescent="0.3">
      <c r="A781" s="1" t="s">
        <v>8954</v>
      </c>
      <c r="B781" s="1" t="s">
        <v>8955</v>
      </c>
      <c r="C781" s="41">
        <v>46090</v>
      </c>
      <c r="D781" s="1" t="s">
        <v>7879</v>
      </c>
      <c r="E781" s="1">
        <v>2</v>
      </c>
      <c r="F781" s="1" t="s">
        <v>30</v>
      </c>
      <c r="G781" s="1" t="s">
        <v>17</v>
      </c>
      <c r="H781" t="str">
        <f>IF(ISNA(_xlfn.XLOOKUP(B781, customer_master!$A$2:$A$1649, customer_master!$A$2:$A$1649)), "Orphan", "Valid")</f>
        <v>Orphan</v>
      </c>
    </row>
    <row r="782" spans="1:8" x14ac:dyDescent="0.3">
      <c r="A782" s="1" t="s">
        <v>8956</v>
      </c>
      <c r="B782" s="1" t="s">
        <v>2042</v>
      </c>
      <c r="C782" s="41">
        <v>45584</v>
      </c>
      <c r="D782" s="1" t="s">
        <v>7896</v>
      </c>
      <c r="E782" s="1">
        <v>4</v>
      </c>
      <c r="F782" s="1" t="s">
        <v>17</v>
      </c>
      <c r="G782" s="1" t="s">
        <v>17</v>
      </c>
      <c r="H782" t="str">
        <f>IF(ISNA(_xlfn.XLOOKUP(B782, customer_master!$A$2:$A$1649, customer_master!$A$2:$A$1649)), "Orphan", "Valid")</f>
        <v>Valid</v>
      </c>
    </row>
    <row r="783" spans="1:8" x14ac:dyDescent="0.3">
      <c r="A783" s="1" t="s">
        <v>8957</v>
      </c>
      <c r="B783" s="1" t="s">
        <v>887</v>
      </c>
      <c r="C783" s="41">
        <v>45741</v>
      </c>
      <c r="D783" s="1" t="s">
        <v>7884</v>
      </c>
      <c r="E783" s="1">
        <v>3</v>
      </c>
      <c r="F783" s="1" t="s">
        <v>30</v>
      </c>
      <c r="G783" s="1" t="s">
        <v>30</v>
      </c>
      <c r="H783" t="str">
        <f>IF(ISNA(_xlfn.XLOOKUP(B783, customer_master!$A$2:$A$1649, customer_master!$A$2:$A$1649)), "Orphan", "Valid")</f>
        <v>Valid</v>
      </c>
    </row>
    <row r="784" spans="1:8" x14ac:dyDescent="0.3">
      <c r="A784" s="1" t="s">
        <v>8958</v>
      </c>
      <c r="B784" s="1" t="s">
        <v>1509</v>
      </c>
      <c r="C784" s="41">
        <v>46187</v>
      </c>
      <c r="D784" s="1" t="s">
        <v>7887</v>
      </c>
      <c r="E784" s="1">
        <v>2</v>
      </c>
      <c r="F784" s="1" t="s">
        <v>17</v>
      </c>
      <c r="G784" s="1" t="s">
        <v>17</v>
      </c>
      <c r="H784" t="str">
        <f>IF(ISNA(_xlfn.XLOOKUP(B784, customer_master!$A$2:$A$1649, customer_master!$A$2:$A$1649)), "Orphan", "Valid")</f>
        <v>Valid</v>
      </c>
    </row>
    <row r="785" spans="1:8" x14ac:dyDescent="0.3">
      <c r="A785" s="1" t="s">
        <v>8959</v>
      </c>
      <c r="B785" s="1" t="s">
        <v>8960</v>
      </c>
      <c r="C785" s="41">
        <v>45592</v>
      </c>
      <c r="D785" s="1" t="s">
        <v>7889</v>
      </c>
      <c r="E785" s="1">
        <v>5</v>
      </c>
      <c r="F785" s="1" t="s">
        <v>30</v>
      </c>
      <c r="G785" s="1" t="s">
        <v>30</v>
      </c>
      <c r="H785" t="str">
        <f>IF(ISNA(_xlfn.XLOOKUP(B785, customer_master!$A$2:$A$1649, customer_master!$A$2:$A$1649)), "Orphan", "Valid")</f>
        <v>Orphan</v>
      </c>
    </row>
    <row r="786" spans="1:8" x14ac:dyDescent="0.3">
      <c r="A786" s="1" t="s">
        <v>8961</v>
      </c>
      <c r="B786" s="1" t="s">
        <v>431</v>
      </c>
      <c r="C786" s="41">
        <v>45832</v>
      </c>
      <c r="D786" s="1" t="s">
        <v>7906</v>
      </c>
      <c r="E786" s="1">
        <v>5</v>
      </c>
      <c r="F786" s="1" t="s">
        <v>30</v>
      </c>
      <c r="G786" s="1" t="s">
        <v>17</v>
      </c>
      <c r="H786" t="str">
        <f>IF(ISNA(_xlfn.XLOOKUP(B786, customer_master!$A$2:$A$1649, customer_master!$A$2:$A$1649)), "Orphan", "Valid")</f>
        <v>Valid</v>
      </c>
    </row>
    <row r="787" spans="1:8" x14ac:dyDescent="0.3">
      <c r="A787" s="1" t="s">
        <v>8962</v>
      </c>
      <c r="B787" s="1" t="s">
        <v>107</v>
      </c>
      <c r="C787" s="41">
        <v>45820</v>
      </c>
      <c r="D787" s="1" t="s">
        <v>7884</v>
      </c>
      <c r="E787" s="1">
        <v>2</v>
      </c>
      <c r="F787" s="1" t="s">
        <v>17</v>
      </c>
      <c r="G787" s="1" t="s">
        <v>17</v>
      </c>
      <c r="H787" t="str">
        <f>IF(ISNA(_xlfn.XLOOKUP(B787, customer_master!$A$2:$A$1649, customer_master!$A$2:$A$1649)), "Orphan", "Valid")</f>
        <v>Valid</v>
      </c>
    </row>
    <row r="788" spans="1:8" x14ac:dyDescent="0.3">
      <c r="A788" s="1" t="s">
        <v>8963</v>
      </c>
      <c r="B788" s="1" t="s">
        <v>115</v>
      </c>
      <c r="C788" s="41">
        <v>46042</v>
      </c>
      <c r="D788" s="1" t="s">
        <v>7912</v>
      </c>
      <c r="E788" s="1">
        <v>5</v>
      </c>
      <c r="F788" s="1" t="s">
        <v>30</v>
      </c>
      <c r="G788" s="1" t="s">
        <v>17</v>
      </c>
      <c r="H788" t="str">
        <f>IF(ISNA(_xlfn.XLOOKUP(B788, customer_master!$A$2:$A$1649, customer_master!$A$2:$A$1649)), "Orphan", "Valid")</f>
        <v>Valid</v>
      </c>
    </row>
    <row r="789" spans="1:8" x14ac:dyDescent="0.3">
      <c r="A789" s="1" t="s">
        <v>8964</v>
      </c>
      <c r="B789" s="1" t="s">
        <v>2266</v>
      </c>
      <c r="C789" s="41">
        <v>46218</v>
      </c>
      <c r="D789" s="1" t="s">
        <v>7879</v>
      </c>
      <c r="E789" s="1">
        <v>2</v>
      </c>
      <c r="F789" s="1" t="s">
        <v>30</v>
      </c>
      <c r="G789" s="1" t="s">
        <v>17</v>
      </c>
      <c r="H789" t="str">
        <f>IF(ISNA(_xlfn.XLOOKUP(B789, customer_master!$A$2:$A$1649, customer_master!$A$2:$A$1649)), "Orphan", "Valid")</f>
        <v>Valid</v>
      </c>
    </row>
    <row r="790" spans="1:8" x14ac:dyDescent="0.3">
      <c r="A790" s="1" t="s">
        <v>8965</v>
      </c>
      <c r="B790" s="1" t="s">
        <v>1761</v>
      </c>
      <c r="C790" s="41">
        <v>45803</v>
      </c>
      <c r="D790" s="1" t="s">
        <v>7889</v>
      </c>
      <c r="E790" s="1">
        <v>4</v>
      </c>
      <c r="F790" s="1" t="s">
        <v>30</v>
      </c>
      <c r="G790" s="1" t="s">
        <v>17</v>
      </c>
      <c r="H790" t="str">
        <f>IF(ISNA(_xlfn.XLOOKUP(B790, customer_master!$A$2:$A$1649, customer_master!$A$2:$A$1649)), "Orphan", "Valid")</f>
        <v>Valid</v>
      </c>
    </row>
    <row r="791" spans="1:8" x14ac:dyDescent="0.3">
      <c r="A791" s="1" t="s">
        <v>8966</v>
      </c>
      <c r="B791" s="1" t="s">
        <v>3174</v>
      </c>
      <c r="C791" s="41">
        <v>45301</v>
      </c>
      <c r="D791" s="1" t="s">
        <v>7899</v>
      </c>
      <c r="E791" s="1">
        <v>2</v>
      </c>
      <c r="F791" s="1" t="s">
        <v>17</v>
      </c>
      <c r="G791" s="1" t="s">
        <v>17</v>
      </c>
      <c r="H791" t="str">
        <f>IF(ISNA(_xlfn.XLOOKUP(B791, customer_master!$A$2:$A$1649, customer_master!$A$2:$A$1649)), "Orphan", "Valid")</f>
        <v>Valid</v>
      </c>
    </row>
    <row r="792" spans="1:8" x14ac:dyDescent="0.3">
      <c r="A792" s="1" t="s">
        <v>8967</v>
      </c>
      <c r="B792" s="1" t="s">
        <v>8968</v>
      </c>
      <c r="C792" s="41">
        <v>46010</v>
      </c>
      <c r="D792" s="1" t="s">
        <v>7877</v>
      </c>
      <c r="E792" s="1">
        <v>1</v>
      </c>
      <c r="F792" s="1" t="s">
        <v>30</v>
      </c>
      <c r="G792" s="1" t="s">
        <v>17</v>
      </c>
      <c r="H792" t="str">
        <f>IF(ISNA(_xlfn.XLOOKUP(B792, customer_master!$A$2:$A$1649, customer_master!$A$2:$A$1649)), "Orphan", "Valid")</f>
        <v>Orphan</v>
      </c>
    </row>
    <row r="793" spans="1:8" x14ac:dyDescent="0.3">
      <c r="A793" s="1" t="s">
        <v>8969</v>
      </c>
      <c r="B793" s="1" t="s">
        <v>586</v>
      </c>
      <c r="C793" s="41">
        <v>45568</v>
      </c>
      <c r="D793" s="1" t="s">
        <v>7899</v>
      </c>
      <c r="E793" s="1">
        <v>2</v>
      </c>
      <c r="F793" s="1" t="s">
        <v>17</v>
      </c>
      <c r="G793" s="1" t="s">
        <v>17</v>
      </c>
      <c r="H793" t="str">
        <f>IF(ISNA(_xlfn.XLOOKUP(B793, customer_master!$A$2:$A$1649, customer_master!$A$2:$A$1649)), "Orphan", "Valid")</f>
        <v>Valid</v>
      </c>
    </row>
    <row r="794" spans="1:8" x14ac:dyDescent="0.3">
      <c r="A794" s="1" t="s">
        <v>8970</v>
      </c>
      <c r="B794" s="1" t="s">
        <v>797</v>
      </c>
      <c r="C794" s="41">
        <v>45910</v>
      </c>
      <c r="D794" s="1" t="s">
        <v>7912</v>
      </c>
      <c r="E794" s="1">
        <v>4</v>
      </c>
      <c r="F794" s="1" t="s">
        <v>17</v>
      </c>
      <c r="G794" s="1" t="s">
        <v>17</v>
      </c>
      <c r="H794" t="str">
        <f>IF(ISNA(_xlfn.XLOOKUP(B794, customer_master!$A$2:$A$1649, customer_master!$A$2:$A$1649)), "Orphan", "Valid")</f>
        <v>Valid</v>
      </c>
    </row>
    <row r="795" spans="1:8" x14ac:dyDescent="0.3">
      <c r="A795" s="1" t="s">
        <v>8971</v>
      </c>
      <c r="B795" s="1" t="s">
        <v>1893</v>
      </c>
      <c r="C795" s="41">
        <v>46163</v>
      </c>
      <c r="D795" s="1" t="s">
        <v>7879</v>
      </c>
      <c r="E795" s="1">
        <v>2</v>
      </c>
      <c r="F795" s="1" t="s">
        <v>30</v>
      </c>
      <c r="G795" s="1" t="s">
        <v>17</v>
      </c>
      <c r="H795" t="str">
        <f>IF(ISNA(_xlfn.XLOOKUP(B795, customer_master!$A$2:$A$1649, customer_master!$A$2:$A$1649)), "Orphan", "Valid")</f>
        <v>Valid</v>
      </c>
    </row>
    <row r="796" spans="1:8" x14ac:dyDescent="0.3">
      <c r="A796" s="1" t="s">
        <v>8972</v>
      </c>
      <c r="B796" s="1" t="s">
        <v>1867</v>
      </c>
      <c r="C796" s="41">
        <v>45635</v>
      </c>
      <c r="D796" s="1" t="s">
        <v>7899</v>
      </c>
      <c r="E796" s="1">
        <v>2</v>
      </c>
      <c r="F796" s="1" t="s">
        <v>17</v>
      </c>
      <c r="G796" s="1" t="s">
        <v>17</v>
      </c>
      <c r="H796" t="str">
        <f>IF(ISNA(_xlfn.XLOOKUP(B796, customer_master!$A$2:$A$1649, customer_master!$A$2:$A$1649)), "Orphan", "Valid")</f>
        <v>Valid</v>
      </c>
    </row>
    <row r="797" spans="1:8" x14ac:dyDescent="0.3">
      <c r="A797" s="1" t="s">
        <v>8973</v>
      </c>
      <c r="B797" s="1" t="s">
        <v>8974</v>
      </c>
      <c r="C797" s="41">
        <v>45604</v>
      </c>
      <c r="D797" s="1" t="s">
        <v>7889</v>
      </c>
      <c r="E797" s="1">
        <v>4</v>
      </c>
      <c r="F797" s="1" t="s">
        <v>17</v>
      </c>
      <c r="G797" s="1" t="s">
        <v>17</v>
      </c>
      <c r="H797" t="str">
        <f>IF(ISNA(_xlfn.XLOOKUP(B797, customer_master!$A$2:$A$1649, customer_master!$A$2:$A$1649)), "Orphan", "Valid")</f>
        <v>Orphan</v>
      </c>
    </row>
    <row r="798" spans="1:8" x14ac:dyDescent="0.3">
      <c r="A798" s="1" t="s">
        <v>8975</v>
      </c>
      <c r="B798" s="1" t="s">
        <v>135</v>
      </c>
      <c r="C798" s="41">
        <v>45988</v>
      </c>
      <c r="D798" s="1" t="s">
        <v>7879</v>
      </c>
      <c r="E798" s="1">
        <v>2</v>
      </c>
      <c r="F798" s="1" t="s">
        <v>17</v>
      </c>
      <c r="G798" s="1" t="s">
        <v>17</v>
      </c>
      <c r="H798" t="str">
        <f>IF(ISNA(_xlfn.XLOOKUP(B798, customer_master!$A$2:$A$1649, customer_master!$A$2:$A$1649)), "Orphan", "Valid")</f>
        <v>Valid</v>
      </c>
    </row>
    <row r="799" spans="1:8" x14ac:dyDescent="0.3">
      <c r="A799" s="1" t="s">
        <v>8976</v>
      </c>
      <c r="B799" s="1" t="s">
        <v>1243</v>
      </c>
      <c r="C799" s="41">
        <v>45553</v>
      </c>
      <c r="D799" s="1" t="s">
        <v>7879</v>
      </c>
      <c r="E799" s="1">
        <v>2</v>
      </c>
      <c r="F799" s="1" t="s">
        <v>30</v>
      </c>
      <c r="G799" s="1" t="s">
        <v>17</v>
      </c>
      <c r="H799" t="str">
        <f>IF(ISNA(_xlfn.XLOOKUP(B799, customer_master!$A$2:$A$1649, customer_master!$A$2:$A$1649)), "Orphan", "Valid")</f>
        <v>Valid</v>
      </c>
    </row>
    <row r="800" spans="1:8" x14ac:dyDescent="0.3">
      <c r="A800" s="1" t="s">
        <v>8977</v>
      </c>
      <c r="B800" s="1" t="s">
        <v>1299</v>
      </c>
      <c r="C800" s="41">
        <v>46036</v>
      </c>
      <c r="D800" s="1" t="s">
        <v>7881</v>
      </c>
      <c r="E800" s="1">
        <v>4</v>
      </c>
      <c r="F800" s="1" t="s">
        <v>30</v>
      </c>
      <c r="G800" s="1" t="s">
        <v>17</v>
      </c>
      <c r="H800" t="str">
        <f>IF(ISNA(_xlfn.XLOOKUP(B800, customer_master!$A$2:$A$1649, customer_master!$A$2:$A$1649)), "Orphan", "Valid")</f>
        <v>Valid</v>
      </c>
    </row>
    <row r="801" spans="1:8" x14ac:dyDescent="0.3">
      <c r="A801" s="1" t="s">
        <v>8978</v>
      </c>
      <c r="B801" s="1" t="s">
        <v>1115</v>
      </c>
      <c r="C801" s="41">
        <v>46107</v>
      </c>
      <c r="D801" s="1" t="s">
        <v>7889</v>
      </c>
      <c r="E801" s="1">
        <v>4</v>
      </c>
      <c r="F801" s="1" t="s">
        <v>17</v>
      </c>
      <c r="G801" s="1" t="s">
        <v>17</v>
      </c>
      <c r="H801" t="str">
        <f>IF(ISNA(_xlfn.XLOOKUP(B801, customer_master!$A$2:$A$1649, customer_master!$A$2:$A$1649)), "Orphan", "Valid")</f>
        <v>Valid</v>
      </c>
    </row>
    <row r="802" spans="1:8" x14ac:dyDescent="0.3">
      <c r="A802" s="1" t="s">
        <v>8979</v>
      </c>
      <c r="B802" s="1" t="s">
        <v>1759</v>
      </c>
      <c r="C802" s="41">
        <v>45801</v>
      </c>
      <c r="D802" s="1" t="s">
        <v>7879</v>
      </c>
      <c r="E802" s="1">
        <v>2</v>
      </c>
      <c r="F802" s="1" t="s">
        <v>17</v>
      </c>
      <c r="G802" s="1" t="s">
        <v>30</v>
      </c>
      <c r="H802" t="str">
        <f>IF(ISNA(_xlfn.XLOOKUP(B802, customer_master!$A$2:$A$1649, customer_master!$A$2:$A$1649)), "Orphan", "Valid")</f>
        <v>Valid</v>
      </c>
    </row>
    <row r="803" spans="1:8" x14ac:dyDescent="0.3">
      <c r="A803" s="1" t="s">
        <v>8980</v>
      </c>
      <c r="B803" s="1" t="s">
        <v>8981</v>
      </c>
      <c r="C803" s="41">
        <v>45745</v>
      </c>
      <c r="D803" s="1" t="s">
        <v>7881</v>
      </c>
      <c r="E803" s="1">
        <v>4</v>
      </c>
      <c r="F803" s="1" t="s">
        <v>30</v>
      </c>
      <c r="G803" s="1" t="s">
        <v>17</v>
      </c>
      <c r="H803" t="str">
        <f>IF(ISNA(_xlfn.XLOOKUP(B803, customer_master!$A$2:$A$1649, customer_master!$A$2:$A$1649)), "Orphan", "Valid")</f>
        <v>Orphan</v>
      </c>
    </row>
    <row r="804" spans="1:8" x14ac:dyDescent="0.3">
      <c r="A804" s="1" t="s">
        <v>8982</v>
      </c>
      <c r="B804" s="1" t="s">
        <v>350</v>
      </c>
      <c r="C804" s="41">
        <v>46203</v>
      </c>
      <c r="D804" s="1" t="s">
        <v>7877</v>
      </c>
      <c r="E804" s="1">
        <v>2</v>
      </c>
      <c r="F804" s="1" t="s">
        <v>30</v>
      </c>
      <c r="G804" s="1" t="s">
        <v>17</v>
      </c>
      <c r="H804" t="str">
        <f>IF(ISNA(_xlfn.XLOOKUP(B804, customer_master!$A$2:$A$1649, customer_master!$A$2:$A$1649)), "Orphan", "Valid")</f>
        <v>Valid</v>
      </c>
    </row>
    <row r="805" spans="1:8" x14ac:dyDescent="0.3">
      <c r="A805" s="1" t="s">
        <v>8983</v>
      </c>
      <c r="B805" s="1" t="s">
        <v>2672</v>
      </c>
      <c r="C805" s="41">
        <v>46064</v>
      </c>
      <c r="D805" s="1" t="s">
        <v>7877</v>
      </c>
      <c r="E805" s="1">
        <v>1</v>
      </c>
      <c r="F805" s="1" t="s">
        <v>17</v>
      </c>
      <c r="G805" s="1" t="s">
        <v>30</v>
      </c>
      <c r="H805" t="str">
        <f>IF(ISNA(_xlfn.XLOOKUP(B805, customer_master!$A$2:$A$1649, customer_master!$A$2:$A$1649)), "Orphan", "Valid")</f>
        <v>Valid</v>
      </c>
    </row>
    <row r="806" spans="1:8" x14ac:dyDescent="0.3">
      <c r="A806" s="1" t="s">
        <v>8984</v>
      </c>
      <c r="B806" s="1" t="s">
        <v>1946</v>
      </c>
      <c r="C806" s="41">
        <v>45861</v>
      </c>
      <c r="D806" s="1" t="s">
        <v>7899</v>
      </c>
      <c r="E806" s="1">
        <v>2</v>
      </c>
      <c r="F806" s="1" t="s">
        <v>30</v>
      </c>
      <c r="G806" s="1" t="s">
        <v>17</v>
      </c>
      <c r="H806" t="str">
        <f>IF(ISNA(_xlfn.XLOOKUP(B806, customer_master!$A$2:$A$1649, customer_master!$A$2:$A$1649)), "Orphan", "Valid")</f>
        <v>Valid</v>
      </c>
    </row>
    <row r="807" spans="1:8" x14ac:dyDescent="0.3">
      <c r="A807" s="1" t="s">
        <v>8985</v>
      </c>
      <c r="B807" s="1" t="s">
        <v>8986</v>
      </c>
      <c r="C807" s="41">
        <v>46025</v>
      </c>
      <c r="D807" s="1" t="s">
        <v>7896</v>
      </c>
      <c r="E807" s="1">
        <v>5</v>
      </c>
      <c r="F807" s="1" t="s">
        <v>30</v>
      </c>
      <c r="G807" s="1" t="s">
        <v>17</v>
      </c>
      <c r="H807" t="str">
        <f>IF(ISNA(_xlfn.XLOOKUP(B807, customer_master!$A$2:$A$1649, customer_master!$A$2:$A$1649)), "Orphan", "Valid")</f>
        <v>Orphan</v>
      </c>
    </row>
    <row r="808" spans="1:8" x14ac:dyDescent="0.3">
      <c r="A808" s="1" t="s">
        <v>8987</v>
      </c>
      <c r="B808" s="1" t="s">
        <v>8988</v>
      </c>
      <c r="C808" s="41">
        <v>45906</v>
      </c>
      <c r="D808" s="1" t="s">
        <v>7887</v>
      </c>
      <c r="E808" s="1">
        <v>2</v>
      </c>
      <c r="F808" s="1" t="s">
        <v>30</v>
      </c>
      <c r="G808" s="1" t="s">
        <v>17</v>
      </c>
      <c r="H808" t="str">
        <f>IF(ISNA(_xlfn.XLOOKUP(B808, customer_master!$A$2:$A$1649, customer_master!$A$2:$A$1649)), "Orphan", "Valid")</f>
        <v>Orphan</v>
      </c>
    </row>
    <row r="809" spans="1:8" x14ac:dyDescent="0.3">
      <c r="A809" s="1" t="s">
        <v>8989</v>
      </c>
      <c r="B809" s="1" t="s">
        <v>8990</v>
      </c>
      <c r="C809" s="41">
        <v>45201</v>
      </c>
      <c r="D809" s="1" t="s">
        <v>7881</v>
      </c>
      <c r="E809" s="1">
        <v>4</v>
      </c>
      <c r="F809" s="1" t="s">
        <v>17</v>
      </c>
      <c r="G809" s="1" t="s">
        <v>17</v>
      </c>
      <c r="H809" t="str">
        <f>IF(ISNA(_xlfn.XLOOKUP(B809, customer_master!$A$2:$A$1649, customer_master!$A$2:$A$1649)), "Orphan", "Valid")</f>
        <v>Orphan</v>
      </c>
    </row>
    <row r="810" spans="1:8" x14ac:dyDescent="0.3">
      <c r="A810" s="1" t="s">
        <v>8991</v>
      </c>
      <c r="B810" s="1" t="s">
        <v>8992</v>
      </c>
      <c r="C810" s="41">
        <v>45794</v>
      </c>
      <c r="D810" s="1" t="s">
        <v>7906</v>
      </c>
      <c r="E810" s="1">
        <v>5</v>
      </c>
      <c r="F810" s="1" t="s">
        <v>30</v>
      </c>
      <c r="G810" s="1" t="s">
        <v>30</v>
      </c>
      <c r="H810" t="str">
        <f>IF(ISNA(_xlfn.XLOOKUP(B810, customer_master!$A$2:$A$1649, customer_master!$A$2:$A$1649)), "Orphan", "Valid")</f>
        <v>Orphan</v>
      </c>
    </row>
    <row r="811" spans="1:8" x14ac:dyDescent="0.3">
      <c r="A811" s="1" t="s">
        <v>8993</v>
      </c>
      <c r="B811" s="1" t="s">
        <v>431</v>
      </c>
      <c r="C811" s="41">
        <v>45199</v>
      </c>
      <c r="D811" s="1" t="s">
        <v>7899</v>
      </c>
      <c r="E811" s="1">
        <v>2</v>
      </c>
      <c r="F811" s="1" t="s">
        <v>30</v>
      </c>
      <c r="G811" s="1" t="s">
        <v>17</v>
      </c>
      <c r="H811" t="str">
        <f>IF(ISNA(_xlfn.XLOOKUP(B811, customer_master!$A$2:$A$1649, customer_master!$A$2:$A$1649)), "Orphan", "Valid")</f>
        <v>Valid</v>
      </c>
    </row>
    <row r="812" spans="1:8" x14ac:dyDescent="0.3">
      <c r="A812" s="1" t="s">
        <v>8994</v>
      </c>
      <c r="B812" s="1" t="s">
        <v>1269</v>
      </c>
      <c r="C812" s="41">
        <v>46209</v>
      </c>
      <c r="D812" s="1" t="s">
        <v>7879</v>
      </c>
      <c r="E812" s="1">
        <v>2</v>
      </c>
      <c r="F812" s="1" t="s">
        <v>17</v>
      </c>
      <c r="G812" s="1" t="s">
        <v>17</v>
      </c>
      <c r="H812" t="str">
        <f>IF(ISNA(_xlfn.XLOOKUP(B812, customer_master!$A$2:$A$1649, customer_master!$A$2:$A$1649)), "Orphan", "Valid")</f>
        <v>Valid</v>
      </c>
    </row>
    <row r="813" spans="1:8" x14ac:dyDescent="0.3">
      <c r="A813" s="1" t="s">
        <v>8995</v>
      </c>
      <c r="B813" s="1" t="s">
        <v>8996</v>
      </c>
      <c r="C813" s="41">
        <v>45281</v>
      </c>
      <c r="D813" s="1" t="s">
        <v>7887</v>
      </c>
      <c r="E813" s="1">
        <v>2</v>
      </c>
      <c r="F813" s="1" t="s">
        <v>17</v>
      </c>
      <c r="G813" s="1" t="s">
        <v>17</v>
      </c>
      <c r="H813" t="str">
        <f>IF(ISNA(_xlfn.XLOOKUP(B813, customer_master!$A$2:$A$1649, customer_master!$A$2:$A$1649)), "Orphan", "Valid")</f>
        <v>Orphan</v>
      </c>
    </row>
    <row r="814" spans="1:8" x14ac:dyDescent="0.3">
      <c r="A814" s="1" t="s">
        <v>8997</v>
      </c>
      <c r="B814" s="1" t="s">
        <v>8998</v>
      </c>
      <c r="C814" s="41">
        <v>46182</v>
      </c>
      <c r="D814" s="1" t="s">
        <v>7881</v>
      </c>
      <c r="E814" s="1">
        <v>4</v>
      </c>
      <c r="F814" s="1" t="s">
        <v>30</v>
      </c>
      <c r="G814" s="1" t="s">
        <v>30</v>
      </c>
      <c r="H814" t="str">
        <f>IF(ISNA(_xlfn.XLOOKUP(B814, customer_master!$A$2:$A$1649, customer_master!$A$2:$A$1649)), "Orphan", "Valid")</f>
        <v>Orphan</v>
      </c>
    </row>
    <row r="815" spans="1:8" x14ac:dyDescent="0.3">
      <c r="A815" s="1" t="s">
        <v>8999</v>
      </c>
      <c r="B815" s="1" t="s">
        <v>9000</v>
      </c>
      <c r="C815" s="41">
        <v>46051</v>
      </c>
      <c r="D815" s="1" t="s">
        <v>7912</v>
      </c>
      <c r="E815" s="1">
        <v>5</v>
      </c>
      <c r="F815" s="1" t="s">
        <v>17</v>
      </c>
      <c r="G815" s="1" t="s">
        <v>17</v>
      </c>
      <c r="H815" t="str">
        <f>IF(ISNA(_xlfn.XLOOKUP(B815, customer_master!$A$2:$A$1649, customer_master!$A$2:$A$1649)), "Orphan", "Valid")</f>
        <v>Orphan</v>
      </c>
    </row>
    <row r="816" spans="1:8" x14ac:dyDescent="0.3">
      <c r="A816" s="1" t="s">
        <v>9001</v>
      </c>
      <c r="B816" s="1" t="s">
        <v>1986</v>
      </c>
      <c r="C816" s="41">
        <v>45972</v>
      </c>
      <c r="D816" s="1" t="s">
        <v>7912</v>
      </c>
      <c r="E816" s="1">
        <v>5</v>
      </c>
      <c r="F816" s="1" t="s">
        <v>17</v>
      </c>
      <c r="G816" s="1" t="s">
        <v>17</v>
      </c>
      <c r="H816" t="str">
        <f>IF(ISNA(_xlfn.XLOOKUP(B816, customer_master!$A$2:$A$1649, customer_master!$A$2:$A$1649)), "Orphan", "Valid")</f>
        <v>Valid</v>
      </c>
    </row>
    <row r="817" spans="1:8" x14ac:dyDescent="0.3">
      <c r="A817" s="1" t="s">
        <v>9002</v>
      </c>
      <c r="B817" s="1" t="s">
        <v>9003</v>
      </c>
      <c r="C817" s="41">
        <v>46103</v>
      </c>
      <c r="D817" s="1" t="s">
        <v>7906</v>
      </c>
      <c r="E817" s="1">
        <v>5</v>
      </c>
      <c r="F817" s="1" t="s">
        <v>30</v>
      </c>
      <c r="G817" s="1" t="s">
        <v>17</v>
      </c>
      <c r="H817" t="str">
        <f>IF(ISNA(_xlfn.XLOOKUP(B817, customer_master!$A$2:$A$1649, customer_master!$A$2:$A$1649)), "Orphan", "Valid")</f>
        <v>Orphan</v>
      </c>
    </row>
    <row r="818" spans="1:8" x14ac:dyDescent="0.3">
      <c r="A818" s="1" t="s">
        <v>9004</v>
      </c>
      <c r="B818" s="1" t="s">
        <v>1699</v>
      </c>
      <c r="C818" s="41">
        <v>45450</v>
      </c>
      <c r="D818" s="1" t="s">
        <v>7906</v>
      </c>
      <c r="E818" s="1">
        <v>5</v>
      </c>
      <c r="F818" s="1" t="s">
        <v>17</v>
      </c>
      <c r="G818" s="1" t="s">
        <v>17</v>
      </c>
      <c r="H818" t="str">
        <f>IF(ISNA(_xlfn.XLOOKUP(B818, customer_master!$A$2:$A$1649, customer_master!$A$2:$A$1649)), "Orphan", "Valid")</f>
        <v>Valid</v>
      </c>
    </row>
    <row r="819" spans="1:8" x14ac:dyDescent="0.3">
      <c r="A819" s="1" t="s">
        <v>9005</v>
      </c>
      <c r="B819" s="1" t="s">
        <v>947</v>
      </c>
      <c r="C819" s="41">
        <v>46069</v>
      </c>
      <c r="D819" s="1" t="s">
        <v>7879</v>
      </c>
      <c r="E819" s="1">
        <v>2</v>
      </c>
      <c r="F819" s="1" t="s">
        <v>17</v>
      </c>
      <c r="G819" s="1" t="s">
        <v>30</v>
      </c>
      <c r="H819" t="str">
        <f>IF(ISNA(_xlfn.XLOOKUP(B819, customer_master!$A$2:$A$1649, customer_master!$A$2:$A$1649)), "Orphan", "Valid")</f>
        <v>Valid</v>
      </c>
    </row>
    <row r="820" spans="1:8" x14ac:dyDescent="0.3">
      <c r="A820" s="1" t="s">
        <v>9006</v>
      </c>
      <c r="B820" s="1" t="s">
        <v>162</v>
      </c>
      <c r="C820" s="41">
        <v>45550</v>
      </c>
      <c r="D820" s="1" t="s">
        <v>7877</v>
      </c>
      <c r="E820" s="1">
        <v>1</v>
      </c>
      <c r="F820" s="1" t="s">
        <v>17</v>
      </c>
      <c r="G820" s="1" t="s">
        <v>17</v>
      </c>
      <c r="H820" t="str">
        <f>IF(ISNA(_xlfn.XLOOKUP(B820, customer_master!$A$2:$A$1649, customer_master!$A$2:$A$1649)), "Orphan", "Valid")</f>
        <v>Valid</v>
      </c>
    </row>
    <row r="821" spans="1:8" x14ac:dyDescent="0.3">
      <c r="A821" s="1" t="s">
        <v>9007</v>
      </c>
      <c r="B821" s="1" t="s">
        <v>1632</v>
      </c>
      <c r="C821" s="41">
        <v>46240</v>
      </c>
      <c r="D821" s="1" t="s">
        <v>7879</v>
      </c>
      <c r="E821" s="1">
        <v>2</v>
      </c>
      <c r="F821" s="1" t="s">
        <v>17</v>
      </c>
      <c r="G821" s="1" t="s">
        <v>17</v>
      </c>
      <c r="H821" t="str">
        <f>IF(ISNA(_xlfn.XLOOKUP(B821, customer_master!$A$2:$A$1649, customer_master!$A$2:$A$1649)), "Orphan", "Valid")</f>
        <v>Valid</v>
      </c>
    </row>
    <row r="822" spans="1:8" x14ac:dyDescent="0.3">
      <c r="A822" s="1" t="s">
        <v>9008</v>
      </c>
      <c r="B822" s="1" t="s">
        <v>9009</v>
      </c>
      <c r="C822" s="41">
        <v>45445</v>
      </c>
      <c r="D822" s="1" t="s">
        <v>7896</v>
      </c>
      <c r="E822" s="1">
        <v>5</v>
      </c>
      <c r="F822" s="1" t="s">
        <v>30</v>
      </c>
      <c r="G822" s="1" t="s">
        <v>30</v>
      </c>
      <c r="H822" t="str">
        <f>IF(ISNA(_xlfn.XLOOKUP(B822, customer_master!$A$2:$A$1649, customer_master!$A$2:$A$1649)), "Orphan", "Valid")</f>
        <v>Orphan</v>
      </c>
    </row>
    <row r="823" spans="1:8" x14ac:dyDescent="0.3">
      <c r="A823" s="1" t="s">
        <v>9010</v>
      </c>
      <c r="B823" s="1" t="s">
        <v>9011</v>
      </c>
      <c r="C823" s="41">
        <v>45661</v>
      </c>
      <c r="D823" s="1" t="s">
        <v>7906</v>
      </c>
      <c r="E823" s="1">
        <v>4</v>
      </c>
      <c r="F823" s="1" t="s">
        <v>30</v>
      </c>
      <c r="G823" s="1" t="s">
        <v>17</v>
      </c>
      <c r="H823" t="str">
        <f>IF(ISNA(_xlfn.XLOOKUP(B823, customer_master!$A$2:$A$1649, customer_master!$A$2:$A$1649)), "Orphan", "Valid")</f>
        <v>Orphan</v>
      </c>
    </row>
    <row r="824" spans="1:8" x14ac:dyDescent="0.3">
      <c r="A824" s="1" t="s">
        <v>9012</v>
      </c>
      <c r="B824" s="1" t="s">
        <v>1025</v>
      </c>
      <c r="C824" s="41">
        <v>45225</v>
      </c>
      <c r="D824" s="1" t="s">
        <v>7887</v>
      </c>
      <c r="E824" s="1">
        <v>2</v>
      </c>
      <c r="F824" s="1" t="s">
        <v>30</v>
      </c>
      <c r="G824" s="1" t="s">
        <v>30</v>
      </c>
      <c r="H824" t="str">
        <f>IF(ISNA(_xlfn.XLOOKUP(B824, customer_master!$A$2:$A$1649, customer_master!$A$2:$A$1649)), "Orphan", "Valid")</f>
        <v>Valid</v>
      </c>
    </row>
    <row r="825" spans="1:8" x14ac:dyDescent="0.3">
      <c r="A825" s="1" t="s">
        <v>9013</v>
      </c>
      <c r="B825" s="1" t="s">
        <v>9014</v>
      </c>
      <c r="C825" s="41">
        <v>45675</v>
      </c>
      <c r="D825" s="1" t="s">
        <v>7881</v>
      </c>
      <c r="E825" s="1">
        <v>4</v>
      </c>
      <c r="F825" s="1" t="s">
        <v>30</v>
      </c>
      <c r="G825" s="1" t="s">
        <v>30</v>
      </c>
      <c r="H825" t="str">
        <f>IF(ISNA(_xlfn.XLOOKUP(B825, customer_master!$A$2:$A$1649, customer_master!$A$2:$A$1649)), "Orphan", "Valid")</f>
        <v>Orphan</v>
      </c>
    </row>
    <row r="826" spans="1:8" x14ac:dyDescent="0.3">
      <c r="A826" s="1" t="s">
        <v>9015</v>
      </c>
      <c r="B826" s="1" t="s">
        <v>1992</v>
      </c>
      <c r="C826" s="41">
        <v>46259</v>
      </c>
      <c r="D826" s="1" t="s">
        <v>7896</v>
      </c>
      <c r="E826" s="1">
        <v>4</v>
      </c>
      <c r="F826" s="1" t="s">
        <v>30</v>
      </c>
      <c r="G826" s="1" t="s">
        <v>30</v>
      </c>
      <c r="H826" t="str">
        <f>IF(ISNA(_xlfn.XLOOKUP(B826, customer_master!$A$2:$A$1649, customer_master!$A$2:$A$1649)), "Orphan", "Valid")</f>
        <v>Valid</v>
      </c>
    </row>
    <row r="827" spans="1:8" x14ac:dyDescent="0.3">
      <c r="A827" s="1" t="s">
        <v>9016</v>
      </c>
      <c r="B827" s="1" t="s">
        <v>1443</v>
      </c>
      <c r="C827" s="41">
        <v>45461</v>
      </c>
      <c r="D827" s="1" t="s">
        <v>7884</v>
      </c>
      <c r="E827" s="1">
        <v>3</v>
      </c>
      <c r="F827" s="1" t="s">
        <v>30</v>
      </c>
      <c r="G827" s="1" t="s">
        <v>17</v>
      </c>
      <c r="H827" t="str">
        <f>IF(ISNA(_xlfn.XLOOKUP(B827, customer_master!$A$2:$A$1649, customer_master!$A$2:$A$1649)), "Orphan", "Valid")</f>
        <v>Valid</v>
      </c>
    </row>
    <row r="828" spans="1:8" x14ac:dyDescent="0.3">
      <c r="A828" s="1" t="s">
        <v>9017</v>
      </c>
      <c r="B828" s="1" t="s">
        <v>2372</v>
      </c>
      <c r="C828" s="41">
        <v>46042</v>
      </c>
      <c r="D828" s="1" t="s">
        <v>7877</v>
      </c>
      <c r="E828" s="1">
        <v>1</v>
      </c>
      <c r="F828" s="1" t="s">
        <v>17</v>
      </c>
      <c r="G828" s="1" t="s">
        <v>17</v>
      </c>
      <c r="H828" t="str">
        <f>IF(ISNA(_xlfn.XLOOKUP(B828, customer_master!$A$2:$A$1649, customer_master!$A$2:$A$1649)), "Orphan", "Valid")</f>
        <v>Valid</v>
      </c>
    </row>
    <row r="829" spans="1:8" x14ac:dyDescent="0.3">
      <c r="A829" s="1" t="s">
        <v>9018</v>
      </c>
      <c r="B829" s="1" t="s">
        <v>290</v>
      </c>
      <c r="C829" s="41">
        <v>45402</v>
      </c>
      <c r="D829" s="1" t="s">
        <v>7884</v>
      </c>
      <c r="E829" s="1">
        <v>2</v>
      </c>
      <c r="F829" s="1" t="s">
        <v>30</v>
      </c>
      <c r="G829" s="1" t="s">
        <v>30</v>
      </c>
      <c r="H829" t="str">
        <f>IF(ISNA(_xlfn.XLOOKUP(B829, customer_master!$A$2:$A$1649, customer_master!$A$2:$A$1649)), "Orphan", "Valid")</f>
        <v>Valid</v>
      </c>
    </row>
    <row r="830" spans="1:8" x14ac:dyDescent="0.3">
      <c r="A830" s="1" t="s">
        <v>9019</v>
      </c>
      <c r="B830" s="1" t="s">
        <v>2056</v>
      </c>
      <c r="C830" s="41">
        <v>46017</v>
      </c>
      <c r="D830" s="1" t="s">
        <v>7884</v>
      </c>
      <c r="E830" s="1">
        <v>2</v>
      </c>
      <c r="F830" s="1" t="s">
        <v>17</v>
      </c>
      <c r="G830" s="1" t="s">
        <v>17</v>
      </c>
      <c r="H830" t="str">
        <f>IF(ISNA(_xlfn.XLOOKUP(B830, customer_master!$A$2:$A$1649, customer_master!$A$2:$A$1649)), "Orphan", "Valid")</f>
        <v>Valid</v>
      </c>
    </row>
    <row r="831" spans="1:8" x14ac:dyDescent="0.3">
      <c r="A831" s="1" t="s">
        <v>9020</v>
      </c>
      <c r="B831" s="1" t="s">
        <v>1555</v>
      </c>
      <c r="C831" s="41">
        <v>45772</v>
      </c>
      <c r="D831" s="1" t="s">
        <v>7879</v>
      </c>
      <c r="E831" s="1">
        <v>2</v>
      </c>
      <c r="F831" s="1" t="s">
        <v>17</v>
      </c>
      <c r="G831" s="1" t="s">
        <v>17</v>
      </c>
      <c r="H831" t="str">
        <f>IF(ISNA(_xlfn.XLOOKUP(B831, customer_master!$A$2:$A$1649, customer_master!$A$2:$A$1649)), "Orphan", "Valid")</f>
        <v>Valid</v>
      </c>
    </row>
    <row r="832" spans="1:8" x14ac:dyDescent="0.3">
      <c r="A832" s="1" t="s">
        <v>9021</v>
      </c>
      <c r="B832" s="1" t="s">
        <v>2198</v>
      </c>
      <c r="C832" s="41">
        <v>45525</v>
      </c>
      <c r="D832" s="1" t="s">
        <v>7887</v>
      </c>
      <c r="E832" s="1">
        <v>2</v>
      </c>
      <c r="F832" s="1" t="s">
        <v>17</v>
      </c>
      <c r="G832" s="1" t="s">
        <v>17</v>
      </c>
      <c r="H832" t="str">
        <f>IF(ISNA(_xlfn.XLOOKUP(B832, customer_master!$A$2:$A$1649, customer_master!$A$2:$A$1649)), "Orphan", "Valid")</f>
        <v>Valid</v>
      </c>
    </row>
    <row r="833" spans="1:8" x14ac:dyDescent="0.3">
      <c r="A833" s="1" t="s">
        <v>9022</v>
      </c>
      <c r="B833" s="1" t="s">
        <v>1471</v>
      </c>
      <c r="C833" s="41">
        <v>45612</v>
      </c>
      <c r="D833" s="1" t="s">
        <v>7881</v>
      </c>
      <c r="E833" s="1">
        <v>4</v>
      </c>
      <c r="F833" s="1" t="s">
        <v>30</v>
      </c>
      <c r="G833" s="1" t="s">
        <v>17</v>
      </c>
      <c r="H833" t="str">
        <f>IF(ISNA(_xlfn.XLOOKUP(B833, customer_master!$A$2:$A$1649, customer_master!$A$2:$A$1649)), "Orphan", "Valid")</f>
        <v>Valid</v>
      </c>
    </row>
    <row r="834" spans="1:8" x14ac:dyDescent="0.3">
      <c r="A834" s="1" t="s">
        <v>9023</v>
      </c>
      <c r="B834" s="1" t="s">
        <v>9024</v>
      </c>
      <c r="C834" s="41">
        <v>45554</v>
      </c>
      <c r="D834" s="1" t="s">
        <v>7879</v>
      </c>
      <c r="E834" s="1">
        <v>2</v>
      </c>
      <c r="F834" s="1" t="s">
        <v>30</v>
      </c>
      <c r="G834" s="1" t="s">
        <v>17</v>
      </c>
      <c r="H834" t="str">
        <f>IF(ISNA(_xlfn.XLOOKUP(B834, customer_master!$A$2:$A$1649, customer_master!$A$2:$A$1649)), "Orphan", "Valid")</f>
        <v>Orphan</v>
      </c>
    </row>
    <row r="835" spans="1:8" x14ac:dyDescent="0.3">
      <c r="A835" s="1" t="s">
        <v>9025</v>
      </c>
      <c r="B835" s="1" t="s">
        <v>2202</v>
      </c>
      <c r="C835" s="41">
        <v>46066</v>
      </c>
      <c r="D835" s="1" t="s">
        <v>7906</v>
      </c>
      <c r="E835" s="1">
        <v>5</v>
      </c>
      <c r="F835" s="1" t="s">
        <v>17</v>
      </c>
      <c r="G835" s="1" t="s">
        <v>30</v>
      </c>
      <c r="H835" t="str">
        <f>IF(ISNA(_xlfn.XLOOKUP(B835, customer_master!$A$2:$A$1649, customer_master!$A$2:$A$1649)), "Orphan", "Valid")</f>
        <v>Valid</v>
      </c>
    </row>
    <row r="836" spans="1:8" x14ac:dyDescent="0.3">
      <c r="A836" s="1" t="s">
        <v>9026</v>
      </c>
      <c r="B836" s="1" t="s">
        <v>2040</v>
      </c>
      <c r="C836" s="41">
        <v>46098</v>
      </c>
      <c r="D836" s="1" t="s">
        <v>7887</v>
      </c>
      <c r="E836" s="1">
        <v>2</v>
      </c>
      <c r="F836" s="1" t="s">
        <v>30</v>
      </c>
      <c r="G836" s="1" t="s">
        <v>17</v>
      </c>
      <c r="H836" t="str">
        <f>IF(ISNA(_xlfn.XLOOKUP(B836, customer_master!$A$2:$A$1649, customer_master!$A$2:$A$1649)), "Orphan", "Valid")</f>
        <v>Valid</v>
      </c>
    </row>
    <row r="837" spans="1:8" x14ac:dyDescent="0.3">
      <c r="A837" s="1" t="s">
        <v>9027</v>
      </c>
      <c r="B837" s="1" t="s">
        <v>2188</v>
      </c>
      <c r="C837" s="41">
        <v>46111</v>
      </c>
      <c r="D837" s="1" t="s">
        <v>7899</v>
      </c>
      <c r="E837" s="1">
        <v>2</v>
      </c>
      <c r="F837" s="1" t="s">
        <v>17</v>
      </c>
      <c r="G837" s="1" t="s">
        <v>17</v>
      </c>
      <c r="H837" t="str">
        <f>IF(ISNA(_xlfn.XLOOKUP(B837, customer_master!$A$2:$A$1649, customer_master!$A$2:$A$1649)), "Orphan", "Valid")</f>
        <v>Valid</v>
      </c>
    </row>
    <row r="838" spans="1:8" x14ac:dyDescent="0.3">
      <c r="A838" s="1" t="s">
        <v>9028</v>
      </c>
      <c r="B838" s="1" t="s">
        <v>9029</v>
      </c>
      <c r="C838" s="41">
        <v>45538</v>
      </c>
      <c r="D838" s="1" t="s">
        <v>7879</v>
      </c>
      <c r="E838" s="1">
        <v>2</v>
      </c>
      <c r="F838" s="1" t="s">
        <v>17</v>
      </c>
      <c r="G838" s="1" t="s">
        <v>17</v>
      </c>
      <c r="H838" t="str">
        <f>IF(ISNA(_xlfn.XLOOKUP(B838, customer_master!$A$2:$A$1649, customer_master!$A$2:$A$1649)), "Orphan", "Valid")</f>
        <v>Orphan</v>
      </c>
    </row>
    <row r="839" spans="1:8" x14ac:dyDescent="0.3">
      <c r="A839" s="1" t="s">
        <v>9030</v>
      </c>
      <c r="B839" s="1" t="s">
        <v>2512</v>
      </c>
      <c r="C839" s="41">
        <v>45848</v>
      </c>
      <c r="D839" s="1" t="s">
        <v>7896</v>
      </c>
      <c r="E839" s="1">
        <v>4</v>
      </c>
      <c r="F839" s="1" t="s">
        <v>30</v>
      </c>
      <c r="G839" s="1" t="s">
        <v>17</v>
      </c>
      <c r="H839" t="str">
        <f>IF(ISNA(_xlfn.XLOOKUP(B839, customer_master!$A$2:$A$1649, customer_master!$A$2:$A$1649)), "Orphan", "Valid")</f>
        <v>Valid</v>
      </c>
    </row>
    <row r="840" spans="1:8" x14ac:dyDescent="0.3">
      <c r="A840" s="1" t="s">
        <v>9031</v>
      </c>
      <c r="B840" s="1" t="s">
        <v>9032</v>
      </c>
      <c r="C840" s="41">
        <v>45983</v>
      </c>
      <c r="D840" s="1" t="s">
        <v>7877</v>
      </c>
      <c r="E840" s="1">
        <v>2</v>
      </c>
      <c r="F840" s="1" t="s">
        <v>17</v>
      </c>
      <c r="G840" s="1" t="s">
        <v>17</v>
      </c>
      <c r="H840" t="str">
        <f>IF(ISNA(_xlfn.XLOOKUP(B840, customer_master!$A$2:$A$1649, customer_master!$A$2:$A$1649)), "Orphan", "Valid")</f>
        <v>Orphan</v>
      </c>
    </row>
    <row r="841" spans="1:8" x14ac:dyDescent="0.3">
      <c r="A841" s="1" t="s">
        <v>9033</v>
      </c>
      <c r="B841" s="1" t="s">
        <v>9034</v>
      </c>
      <c r="C841" s="41">
        <v>46089</v>
      </c>
      <c r="D841" s="1" t="s">
        <v>7877</v>
      </c>
      <c r="E841" s="1">
        <v>1</v>
      </c>
      <c r="F841" s="1" t="s">
        <v>30</v>
      </c>
      <c r="G841" s="1" t="s">
        <v>30</v>
      </c>
      <c r="H841" t="str">
        <f>IF(ISNA(_xlfn.XLOOKUP(B841, customer_master!$A$2:$A$1649, customer_master!$A$2:$A$1649)), "Orphan", "Valid")</f>
        <v>Orphan</v>
      </c>
    </row>
    <row r="842" spans="1:8" x14ac:dyDescent="0.3">
      <c r="A842" s="1" t="s">
        <v>9035</v>
      </c>
      <c r="B842" s="1" t="s">
        <v>3116</v>
      </c>
      <c r="C842" s="41">
        <v>45422</v>
      </c>
      <c r="D842" s="1" t="s">
        <v>7889</v>
      </c>
      <c r="E842" s="1">
        <v>5</v>
      </c>
      <c r="F842" s="1" t="s">
        <v>17</v>
      </c>
      <c r="G842" s="1" t="s">
        <v>30</v>
      </c>
      <c r="H842" t="str">
        <f>IF(ISNA(_xlfn.XLOOKUP(B842, customer_master!$A$2:$A$1649, customer_master!$A$2:$A$1649)), "Orphan", "Valid")</f>
        <v>Valid</v>
      </c>
    </row>
    <row r="843" spans="1:8" x14ac:dyDescent="0.3">
      <c r="A843" s="1" t="s">
        <v>9036</v>
      </c>
      <c r="B843" s="1" t="s">
        <v>103</v>
      </c>
      <c r="C843" s="41">
        <v>46081</v>
      </c>
      <c r="D843" s="1" t="s">
        <v>7899</v>
      </c>
      <c r="E843" s="1">
        <v>2</v>
      </c>
      <c r="F843" s="1" t="s">
        <v>30</v>
      </c>
      <c r="G843" s="1" t="s">
        <v>17</v>
      </c>
      <c r="H843" t="str">
        <f>IF(ISNA(_xlfn.XLOOKUP(B843, customer_master!$A$2:$A$1649, customer_master!$A$2:$A$1649)), "Orphan", "Valid")</f>
        <v>Valid</v>
      </c>
    </row>
    <row r="844" spans="1:8" x14ac:dyDescent="0.3">
      <c r="A844" s="1" t="s">
        <v>9037</v>
      </c>
      <c r="B844" s="1" t="s">
        <v>3019</v>
      </c>
      <c r="C844" s="41">
        <v>45284</v>
      </c>
      <c r="D844" s="1" t="s">
        <v>7896</v>
      </c>
      <c r="E844" s="1">
        <v>4</v>
      </c>
      <c r="F844" s="1" t="s">
        <v>17</v>
      </c>
      <c r="G844" s="1" t="s">
        <v>30</v>
      </c>
      <c r="H844" t="str">
        <f>IF(ISNA(_xlfn.XLOOKUP(B844, customer_master!$A$2:$A$1649, customer_master!$A$2:$A$1649)), "Orphan", "Valid")</f>
        <v>Valid</v>
      </c>
    </row>
    <row r="845" spans="1:8" x14ac:dyDescent="0.3">
      <c r="A845" s="1" t="s">
        <v>9038</v>
      </c>
      <c r="B845" s="1" t="s">
        <v>9039</v>
      </c>
      <c r="C845" s="41">
        <v>45964</v>
      </c>
      <c r="D845" s="1" t="s">
        <v>7912</v>
      </c>
      <c r="E845" s="1">
        <v>4</v>
      </c>
      <c r="F845" s="1" t="s">
        <v>30</v>
      </c>
      <c r="G845" s="1" t="s">
        <v>30</v>
      </c>
      <c r="H845" t="str">
        <f>IF(ISNA(_xlfn.XLOOKUP(B845, customer_master!$A$2:$A$1649, customer_master!$A$2:$A$1649)), "Orphan", "Valid")</f>
        <v>Orphan</v>
      </c>
    </row>
    <row r="846" spans="1:8" x14ac:dyDescent="0.3">
      <c r="A846" s="1" t="s">
        <v>9040</v>
      </c>
      <c r="B846" s="1" t="s">
        <v>9041</v>
      </c>
      <c r="C846" s="41">
        <v>45873</v>
      </c>
      <c r="D846" s="1" t="s">
        <v>7879</v>
      </c>
      <c r="E846" s="1">
        <v>2</v>
      </c>
      <c r="F846" s="1" t="s">
        <v>17</v>
      </c>
      <c r="G846" s="1" t="s">
        <v>30</v>
      </c>
      <c r="H846" t="str">
        <f>IF(ISNA(_xlfn.XLOOKUP(B846, customer_master!$A$2:$A$1649, customer_master!$A$2:$A$1649)), "Orphan", "Valid")</f>
        <v>Orphan</v>
      </c>
    </row>
    <row r="847" spans="1:8" x14ac:dyDescent="0.3">
      <c r="A847" s="1" t="s">
        <v>9042</v>
      </c>
      <c r="B847" s="1" t="s">
        <v>685</v>
      </c>
      <c r="C847" s="41">
        <v>45515</v>
      </c>
      <c r="D847" s="1" t="s">
        <v>7879</v>
      </c>
      <c r="E847" s="1">
        <v>2</v>
      </c>
      <c r="F847" s="1" t="s">
        <v>17</v>
      </c>
      <c r="G847" s="1" t="s">
        <v>17</v>
      </c>
      <c r="H847" t="str">
        <f>IF(ISNA(_xlfn.XLOOKUP(B847, customer_master!$A$2:$A$1649, customer_master!$A$2:$A$1649)), "Orphan", "Valid")</f>
        <v>Valid</v>
      </c>
    </row>
    <row r="848" spans="1:8" x14ac:dyDescent="0.3">
      <c r="A848" s="1" t="s">
        <v>9043</v>
      </c>
      <c r="B848" s="1" t="s">
        <v>1235</v>
      </c>
      <c r="C848" s="41">
        <v>45717</v>
      </c>
      <c r="D848" s="1" t="s">
        <v>7906</v>
      </c>
      <c r="E848" s="1">
        <v>4</v>
      </c>
      <c r="F848" s="1" t="s">
        <v>30</v>
      </c>
      <c r="G848" s="1" t="s">
        <v>17</v>
      </c>
      <c r="H848" t="str">
        <f>IF(ISNA(_xlfn.XLOOKUP(B848, customer_master!$A$2:$A$1649, customer_master!$A$2:$A$1649)), "Orphan", "Valid")</f>
        <v>Valid</v>
      </c>
    </row>
    <row r="849" spans="1:8" x14ac:dyDescent="0.3">
      <c r="A849" s="1" t="s">
        <v>9044</v>
      </c>
      <c r="B849" s="1" t="s">
        <v>2843</v>
      </c>
      <c r="C849" s="41">
        <v>45377</v>
      </c>
      <c r="D849" s="1" t="s">
        <v>7906</v>
      </c>
      <c r="E849" s="1">
        <v>5</v>
      </c>
      <c r="F849" s="1" t="s">
        <v>17</v>
      </c>
      <c r="G849" s="1" t="s">
        <v>17</v>
      </c>
      <c r="H849" t="str">
        <f>IF(ISNA(_xlfn.XLOOKUP(B849, customer_master!$A$2:$A$1649, customer_master!$A$2:$A$1649)), "Orphan", "Valid")</f>
        <v>Valid</v>
      </c>
    </row>
    <row r="850" spans="1:8" x14ac:dyDescent="0.3">
      <c r="A850" s="1" t="s">
        <v>9045</v>
      </c>
      <c r="B850" s="1" t="s">
        <v>1213</v>
      </c>
      <c r="C850" s="41">
        <v>45592</v>
      </c>
      <c r="D850" s="1" t="s">
        <v>7912</v>
      </c>
      <c r="E850" s="1">
        <v>5</v>
      </c>
      <c r="F850" s="1" t="s">
        <v>17</v>
      </c>
      <c r="G850" s="1" t="s">
        <v>17</v>
      </c>
      <c r="H850" t="str">
        <f>IF(ISNA(_xlfn.XLOOKUP(B850, customer_master!$A$2:$A$1649, customer_master!$A$2:$A$1649)), "Orphan", "Valid")</f>
        <v>Valid</v>
      </c>
    </row>
    <row r="851" spans="1:8" x14ac:dyDescent="0.3">
      <c r="A851" s="1" t="s">
        <v>9046</v>
      </c>
      <c r="B851" s="1" t="s">
        <v>1123</v>
      </c>
      <c r="C851" s="41">
        <v>45463</v>
      </c>
      <c r="D851" s="1" t="s">
        <v>7879</v>
      </c>
      <c r="E851" s="1">
        <v>2</v>
      </c>
      <c r="F851" s="1" t="s">
        <v>17</v>
      </c>
      <c r="G851" s="1" t="s">
        <v>17</v>
      </c>
      <c r="H851" t="str">
        <f>IF(ISNA(_xlfn.XLOOKUP(B851, customer_master!$A$2:$A$1649, customer_master!$A$2:$A$1649)), "Orphan", "Valid")</f>
        <v>Valid</v>
      </c>
    </row>
    <row r="852" spans="1:8" x14ac:dyDescent="0.3">
      <c r="A852" s="1" t="s">
        <v>9047</v>
      </c>
      <c r="B852" s="1" t="s">
        <v>9048</v>
      </c>
      <c r="C852" s="41">
        <v>45948</v>
      </c>
      <c r="D852" s="1" t="s">
        <v>7889</v>
      </c>
      <c r="E852" s="1">
        <v>4</v>
      </c>
      <c r="F852" s="1" t="s">
        <v>17</v>
      </c>
      <c r="G852" s="1" t="s">
        <v>17</v>
      </c>
      <c r="H852" t="str">
        <f>IF(ISNA(_xlfn.XLOOKUP(B852, customer_master!$A$2:$A$1649, customer_master!$A$2:$A$1649)), "Orphan", "Valid")</f>
        <v>Orphan</v>
      </c>
    </row>
    <row r="853" spans="1:8" x14ac:dyDescent="0.3">
      <c r="A853" s="1" t="s">
        <v>9049</v>
      </c>
      <c r="B853" s="1" t="s">
        <v>1425</v>
      </c>
      <c r="C853" s="41">
        <v>45557</v>
      </c>
      <c r="D853" s="1" t="s">
        <v>7887</v>
      </c>
      <c r="E853" s="1">
        <v>2</v>
      </c>
      <c r="F853" s="1" t="s">
        <v>17</v>
      </c>
      <c r="G853" s="1" t="s">
        <v>17</v>
      </c>
      <c r="H853" t="str">
        <f>IF(ISNA(_xlfn.XLOOKUP(B853, customer_master!$A$2:$A$1649, customer_master!$A$2:$A$1649)), "Orphan", "Valid")</f>
        <v>Valid</v>
      </c>
    </row>
    <row r="854" spans="1:8" x14ac:dyDescent="0.3">
      <c r="A854" s="1" t="s">
        <v>9050</v>
      </c>
      <c r="B854" s="1" t="s">
        <v>9051</v>
      </c>
      <c r="C854" s="41">
        <v>46056</v>
      </c>
      <c r="D854" s="1" t="s">
        <v>7887</v>
      </c>
      <c r="E854" s="1">
        <v>2</v>
      </c>
      <c r="F854" s="1" t="s">
        <v>30</v>
      </c>
      <c r="G854" s="1" t="s">
        <v>17</v>
      </c>
      <c r="H854" t="str">
        <f>IF(ISNA(_xlfn.XLOOKUP(B854, customer_master!$A$2:$A$1649, customer_master!$A$2:$A$1649)), "Orphan", "Valid")</f>
        <v>Orphan</v>
      </c>
    </row>
    <row r="855" spans="1:8" x14ac:dyDescent="0.3">
      <c r="A855" s="1" t="s">
        <v>9052</v>
      </c>
      <c r="B855" s="1" t="s">
        <v>9053</v>
      </c>
      <c r="C855" s="41">
        <v>46154</v>
      </c>
      <c r="D855" s="1" t="s">
        <v>7889</v>
      </c>
      <c r="E855" s="1">
        <v>5</v>
      </c>
      <c r="F855" s="1" t="s">
        <v>30</v>
      </c>
      <c r="G855" s="1" t="s">
        <v>17</v>
      </c>
      <c r="H855" t="str">
        <f>IF(ISNA(_xlfn.XLOOKUP(B855, customer_master!$A$2:$A$1649, customer_master!$A$2:$A$1649)), "Orphan", "Valid")</f>
        <v>Orphan</v>
      </c>
    </row>
    <row r="856" spans="1:8" x14ac:dyDescent="0.3">
      <c r="A856" s="1" t="s">
        <v>9054</v>
      </c>
      <c r="B856" s="1" t="s">
        <v>9055</v>
      </c>
      <c r="C856" s="41">
        <v>46000</v>
      </c>
      <c r="D856" s="1" t="s">
        <v>7879</v>
      </c>
      <c r="E856" s="1">
        <v>2</v>
      </c>
      <c r="F856" s="1" t="s">
        <v>17</v>
      </c>
      <c r="G856" s="1" t="s">
        <v>17</v>
      </c>
      <c r="H856" t="str">
        <f>IF(ISNA(_xlfn.XLOOKUP(B856, customer_master!$A$2:$A$1649, customer_master!$A$2:$A$1649)), "Orphan", "Valid")</f>
        <v>Orphan</v>
      </c>
    </row>
    <row r="857" spans="1:8" x14ac:dyDescent="0.3">
      <c r="A857" s="1" t="s">
        <v>9056</v>
      </c>
      <c r="B857" s="1" t="s">
        <v>2722</v>
      </c>
      <c r="C857" s="41">
        <v>46224</v>
      </c>
      <c r="D857" s="1" t="s">
        <v>7899</v>
      </c>
      <c r="E857" s="1">
        <v>2</v>
      </c>
      <c r="F857" s="1" t="s">
        <v>30</v>
      </c>
      <c r="G857" s="1" t="s">
        <v>30</v>
      </c>
      <c r="H857" t="str">
        <f>IF(ISNA(_xlfn.XLOOKUP(B857, customer_master!$A$2:$A$1649, customer_master!$A$2:$A$1649)), "Orphan", "Valid")</f>
        <v>Valid</v>
      </c>
    </row>
    <row r="858" spans="1:8" x14ac:dyDescent="0.3">
      <c r="A858" s="1" t="s">
        <v>9057</v>
      </c>
      <c r="B858" s="1" t="s">
        <v>352</v>
      </c>
      <c r="C858" s="41">
        <v>45526</v>
      </c>
      <c r="D858" s="1" t="s">
        <v>7912</v>
      </c>
      <c r="E858" s="1">
        <v>5</v>
      </c>
      <c r="F858" s="1" t="s">
        <v>17</v>
      </c>
      <c r="G858" s="1" t="s">
        <v>30</v>
      </c>
      <c r="H858" t="str">
        <f>IF(ISNA(_xlfn.XLOOKUP(B858, customer_master!$A$2:$A$1649, customer_master!$A$2:$A$1649)), "Orphan", "Valid")</f>
        <v>Valid</v>
      </c>
    </row>
    <row r="859" spans="1:8" x14ac:dyDescent="0.3">
      <c r="A859" s="1" t="s">
        <v>9058</v>
      </c>
      <c r="B859" s="1" t="s">
        <v>9059</v>
      </c>
      <c r="C859" s="41">
        <v>45295</v>
      </c>
      <c r="D859" s="1" t="s">
        <v>7877</v>
      </c>
      <c r="E859" s="1">
        <v>2</v>
      </c>
      <c r="F859" s="1" t="s">
        <v>30</v>
      </c>
      <c r="G859" s="1" t="s">
        <v>30</v>
      </c>
      <c r="H859" t="str">
        <f>IF(ISNA(_xlfn.XLOOKUP(B859, customer_master!$A$2:$A$1649, customer_master!$A$2:$A$1649)), "Orphan", "Valid")</f>
        <v>Orphan</v>
      </c>
    </row>
    <row r="860" spans="1:8" x14ac:dyDescent="0.3">
      <c r="A860" s="1" t="s">
        <v>9060</v>
      </c>
      <c r="B860" s="1" t="s">
        <v>1628</v>
      </c>
      <c r="C860" s="41">
        <v>45810</v>
      </c>
      <c r="D860" s="1" t="s">
        <v>7906</v>
      </c>
      <c r="E860" s="1">
        <v>5</v>
      </c>
      <c r="F860" s="1" t="s">
        <v>30</v>
      </c>
      <c r="G860" s="1" t="s">
        <v>17</v>
      </c>
      <c r="H860" t="str">
        <f>IF(ISNA(_xlfn.XLOOKUP(B860, customer_master!$A$2:$A$1649, customer_master!$A$2:$A$1649)), "Orphan", "Valid")</f>
        <v>Valid</v>
      </c>
    </row>
    <row r="861" spans="1:8" x14ac:dyDescent="0.3">
      <c r="A861" s="1" t="s">
        <v>9061</v>
      </c>
      <c r="B861" s="1" t="s">
        <v>9062</v>
      </c>
      <c r="C861" s="41">
        <v>46169</v>
      </c>
      <c r="D861" s="1" t="s">
        <v>7884</v>
      </c>
      <c r="E861" s="1">
        <v>3</v>
      </c>
      <c r="F861" s="1" t="s">
        <v>30</v>
      </c>
      <c r="G861" s="1" t="s">
        <v>17</v>
      </c>
      <c r="H861" t="str">
        <f>IF(ISNA(_xlfn.XLOOKUP(B861, customer_master!$A$2:$A$1649, customer_master!$A$2:$A$1649)), "Orphan", "Valid")</f>
        <v>Orphan</v>
      </c>
    </row>
    <row r="862" spans="1:8" x14ac:dyDescent="0.3">
      <c r="A862" s="1" t="s">
        <v>9063</v>
      </c>
      <c r="B862" s="1" t="s">
        <v>9064</v>
      </c>
      <c r="C862" s="41">
        <v>45940</v>
      </c>
      <c r="D862" s="1" t="s">
        <v>7881</v>
      </c>
      <c r="E862" s="1">
        <v>4</v>
      </c>
      <c r="F862" s="1" t="s">
        <v>17</v>
      </c>
      <c r="G862" s="1" t="s">
        <v>30</v>
      </c>
      <c r="H862" t="str">
        <f>IF(ISNA(_xlfn.XLOOKUP(B862, customer_master!$A$2:$A$1649, customer_master!$A$2:$A$1649)), "Orphan", "Valid")</f>
        <v>Orphan</v>
      </c>
    </row>
    <row r="863" spans="1:8" x14ac:dyDescent="0.3">
      <c r="A863" s="1" t="s">
        <v>9065</v>
      </c>
      <c r="B863" s="1" t="s">
        <v>9066</v>
      </c>
      <c r="C863" s="41">
        <v>45787</v>
      </c>
      <c r="D863" s="1" t="s">
        <v>7896</v>
      </c>
      <c r="E863" s="1">
        <v>4</v>
      </c>
      <c r="F863" s="1" t="s">
        <v>30</v>
      </c>
      <c r="G863" s="1" t="s">
        <v>30</v>
      </c>
      <c r="H863" t="str">
        <f>IF(ISNA(_xlfn.XLOOKUP(B863, customer_master!$A$2:$A$1649, customer_master!$A$2:$A$1649)), "Orphan", "Valid")</f>
        <v>Orphan</v>
      </c>
    </row>
    <row r="864" spans="1:8" x14ac:dyDescent="0.3">
      <c r="A864" s="1" t="s">
        <v>9067</v>
      </c>
      <c r="B864" s="1" t="s">
        <v>9068</v>
      </c>
      <c r="C864" s="41">
        <v>46002</v>
      </c>
      <c r="D864" s="1" t="s">
        <v>7912</v>
      </c>
      <c r="E864" s="1">
        <v>5</v>
      </c>
      <c r="F864" s="1" t="s">
        <v>30</v>
      </c>
      <c r="G864" s="1" t="s">
        <v>17</v>
      </c>
      <c r="H864" t="str">
        <f>IF(ISNA(_xlfn.XLOOKUP(B864, customer_master!$A$2:$A$1649, customer_master!$A$2:$A$1649)), "Orphan", "Valid")</f>
        <v>Orphan</v>
      </c>
    </row>
    <row r="865" spans="1:8" x14ac:dyDescent="0.3">
      <c r="A865" s="1" t="s">
        <v>9069</v>
      </c>
      <c r="B865" s="1" t="s">
        <v>2028</v>
      </c>
      <c r="C865" s="41">
        <v>45762</v>
      </c>
      <c r="D865" s="1" t="s">
        <v>7877</v>
      </c>
      <c r="E865" s="1">
        <v>1</v>
      </c>
      <c r="F865" s="1" t="s">
        <v>30</v>
      </c>
      <c r="G865" s="1" t="s">
        <v>30</v>
      </c>
      <c r="H865" t="str">
        <f>IF(ISNA(_xlfn.XLOOKUP(B865, customer_master!$A$2:$A$1649, customer_master!$A$2:$A$1649)), "Orphan", "Valid")</f>
        <v>Valid</v>
      </c>
    </row>
    <row r="866" spans="1:8" x14ac:dyDescent="0.3">
      <c r="A866" s="1" t="s">
        <v>9070</v>
      </c>
      <c r="B866" s="1" t="s">
        <v>1982</v>
      </c>
      <c r="C866" s="41">
        <v>45609</v>
      </c>
      <c r="D866" s="1" t="s">
        <v>7877</v>
      </c>
      <c r="E866" s="1">
        <v>1</v>
      </c>
      <c r="F866" s="1" t="s">
        <v>30</v>
      </c>
      <c r="G866" s="1" t="s">
        <v>30</v>
      </c>
      <c r="H866" t="str">
        <f>IF(ISNA(_xlfn.XLOOKUP(B866, customer_master!$A$2:$A$1649, customer_master!$A$2:$A$1649)), "Orphan", "Valid")</f>
        <v>Valid</v>
      </c>
    </row>
    <row r="867" spans="1:8" x14ac:dyDescent="0.3">
      <c r="A867" s="1" t="s">
        <v>9071</v>
      </c>
      <c r="B867" s="1" t="s">
        <v>9072</v>
      </c>
      <c r="C867" s="41">
        <v>45935</v>
      </c>
      <c r="D867" s="1" t="s">
        <v>7912</v>
      </c>
      <c r="E867" s="1">
        <v>5</v>
      </c>
      <c r="F867" s="1" t="s">
        <v>30</v>
      </c>
      <c r="G867" s="1" t="s">
        <v>30</v>
      </c>
      <c r="H867" t="str">
        <f>IF(ISNA(_xlfn.XLOOKUP(B867, customer_master!$A$2:$A$1649, customer_master!$A$2:$A$1649)), "Orphan", "Valid")</f>
        <v>Orphan</v>
      </c>
    </row>
    <row r="868" spans="1:8" x14ac:dyDescent="0.3">
      <c r="A868" s="1" t="s">
        <v>9073</v>
      </c>
      <c r="B868" s="1" t="s">
        <v>2758</v>
      </c>
      <c r="C868" s="41">
        <v>45390</v>
      </c>
      <c r="D868" s="1" t="s">
        <v>7896</v>
      </c>
      <c r="E868" s="1">
        <v>4</v>
      </c>
      <c r="F868" s="1" t="s">
        <v>30</v>
      </c>
      <c r="G868" s="1" t="s">
        <v>17</v>
      </c>
      <c r="H868" t="str">
        <f>IF(ISNA(_xlfn.XLOOKUP(B868, customer_master!$A$2:$A$1649, customer_master!$A$2:$A$1649)), "Orphan", "Valid")</f>
        <v>Valid</v>
      </c>
    </row>
    <row r="869" spans="1:8" x14ac:dyDescent="0.3">
      <c r="A869" s="1" t="s">
        <v>9074</v>
      </c>
      <c r="B869" s="1" t="s">
        <v>3023</v>
      </c>
      <c r="C869" s="41">
        <v>45272</v>
      </c>
      <c r="D869" s="1" t="s">
        <v>7877</v>
      </c>
      <c r="E869" s="1">
        <v>2</v>
      </c>
      <c r="F869" s="1" t="s">
        <v>17</v>
      </c>
      <c r="G869" s="1" t="s">
        <v>30</v>
      </c>
      <c r="H869" t="str">
        <f>IF(ISNA(_xlfn.XLOOKUP(B869, customer_master!$A$2:$A$1649, customer_master!$A$2:$A$1649)), "Orphan", "Valid")</f>
        <v>Valid</v>
      </c>
    </row>
    <row r="870" spans="1:8" x14ac:dyDescent="0.3">
      <c r="A870" s="1" t="s">
        <v>9075</v>
      </c>
      <c r="B870" s="1" t="s">
        <v>9076</v>
      </c>
      <c r="C870" s="41">
        <v>45828</v>
      </c>
      <c r="D870" s="1" t="s">
        <v>7906</v>
      </c>
      <c r="E870" s="1">
        <v>4</v>
      </c>
      <c r="F870" s="1" t="s">
        <v>17</v>
      </c>
      <c r="G870" s="1" t="s">
        <v>30</v>
      </c>
      <c r="H870" t="str">
        <f>IF(ISNA(_xlfn.XLOOKUP(B870, customer_master!$A$2:$A$1649, customer_master!$A$2:$A$1649)), "Orphan", "Valid")</f>
        <v>Orphan</v>
      </c>
    </row>
    <row r="871" spans="1:8" x14ac:dyDescent="0.3">
      <c r="A871" s="1" t="s">
        <v>9077</v>
      </c>
      <c r="B871" s="1" t="s">
        <v>3269</v>
      </c>
      <c r="C871" s="41">
        <v>46134</v>
      </c>
      <c r="D871" s="1" t="s">
        <v>7912</v>
      </c>
      <c r="E871" s="1">
        <v>5</v>
      </c>
      <c r="F871" s="1" t="s">
        <v>17</v>
      </c>
      <c r="G871" s="1" t="s">
        <v>17</v>
      </c>
      <c r="H871" t="str">
        <f>IF(ISNA(_xlfn.XLOOKUP(B871, customer_master!$A$2:$A$1649, customer_master!$A$2:$A$1649)), "Orphan", "Valid")</f>
        <v>Valid</v>
      </c>
    </row>
    <row r="872" spans="1:8" x14ac:dyDescent="0.3">
      <c r="A872" s="1" t="s">
        <v>9078</v>
      </c>
      <c r="B872" s="1" t="s">
        <v>294</v>
      </c>
      <c r="C872" s="41">
        <v>45616</v>
      </c>
      <c r="D872" s="1" t="s">
        <v>7877</v>
      </c>
      <c r="E872" s="1">
        <v>2</v>
      </c>
      <c r="F872" s="1" t="s">
        <v>17</v>
      </c>
      <c r="G872" s="1" t="s">
        <v>17</v>
      </c>
      <c r="H872" t="str">
        <f>IF(ISNA(_xlfn.XLOOKUP(B872, customer_master!$A$2:$A$1649, customer_master!$A$2:$A$1649)), "Orphan", "Valid")</f>
        <v>Valid</v>
      </c>
    </row>
    <row r="873" spans="1:8" x14ac:dyDescent="0.3">
      <c r="A873" s="1" t="s">
        <v>9079</v>
      </c>
      <c r="B873" s="1" t="s">
        <v>298</v>
      </c>
      <c r="C873" s="41">
        <v>45461</v>
      </c>
      <c r="D873" s="1" t="s">
        <v>7887</v>
      </c>
      <c r="E873" s="1">
        <v>2</v>
      </c>
      <c r="F873" s="1" t="s">
        <v>30</v>
      </c>
      <c r="G873" s="1" t="s">
        <v>30</v>
      </c>
      <c r="H873" t="str">
        <f>IF(ISNA(_xlfn.XLOOKUP(B873, customer_master!$A$2:$A$1649, customer_master!$A$2:$A$1649)), "Orphan", "Valid")</f>
        <v>Valid</v>
      </c>
    </row>
    <row r="874" spans="1:8" x14ac:dyDescent="0.3">
      <c r="A874" s="1" t="s">
        <v>9080</v>
      </c>
      <c r="B874" s="1" t="s">
        <v>761</v>
      </c>
      <c r="C874" s="41">
        <v>45957</v>
      </c>
      <c r="D874" s="1" t="s">
        <v>7881</v>
      </c>
      <c r="E874" s="1">
        <v>4</v>
      </c>
      <c r="F874" s="1" t="s">
        <v>17</v>
      </c>
      <c r="G874" s="1" t="s">
        <v>17</v>
      </c>
      <c r="H874" t="str">
        <f>IF(ISNA(_xlfn.XLOOKUP(B874, customer_master!$A$2:$A$1649, customer_master!$A$2:$A$1649)), "Orphan", "Valid")</f>
        <v>Valid</v>
      </c>
    </row>
    <row r="875" spans="1:8" x14ac:dyDescent="0.3">
      <c r="A875" s="1" t="s">
        <v>9081</v>
      </c>
      <c r="B875" s="1" t="s">
        <v>9082</v>
      </c>
      <c r="C875" s="41">
        <v>45756</v>
      </c>
      <c r="D875" s="1" t="s">
        <v>7912</v>
      </c>
      <c r="E875" s="1">
        <v>5</v>
      </c>
      <c r="F875" s="1" t="s">
        <v>30</v>
      </c>
      <c r="G875" s="1" t="s">
        <v>17</v>
      </c>
      <c r="H875" t="str">
        <f>IF(ISNA(_xlfn.XLOOKUP(B875, customer_master!$A$2:$A$1649, customer_master!$A$2:$A$1649)), "Orphan", "Valid")</f>
        <v>Orphan</v>
      </c>
    </row>
    <row r="876" spans="1:8" x14ac:dyDescent="0.3">
      <c r="A876" s="1" t="s">
        <v>9083</v>
      </c>
      <c r="B876" s="1" t="s">
        <v>9084</v>
      </c>
      <c r="C876" s="41">
        <v>45607</v>
      </c>
      <c r="D876" s="1" t="s">
        <v>7896</v>
      </c>
      <c r="E876" s="1">
        <v>4</v>
      </c>
      <c r="F876" s="1" t="s">
        <v>30</v>
      </c>
      <c r="G876" s="1" t="s">
        <v>17</v>
      </c>
      <c r="H876" t="str">
        <f>IF(ISNA(_xlfn.XLOOKUP(B876, customer_master!$A$2:$A$1649, customer_master!$A$2:$A$1649)), "Orphan", "Valid")</f>
        <v>Orphan</v>
      </c>
    </row>
    <row r="877" spans="1:8" x14ac:dyDescent="0.3">
      <c r="A877" s="1" t="s">
        <v>9085</v>
      </c>
      <c r="B877" s="1" t="s">
        <v>9086</v>
      </c>
      <c r="C877" s="41">
        <v>46182</v>
      </c>
      <c r="D877" s="1" t="s">
        <v>7877</v>
      </c>
      <c r="E877" s="1">
        <v>1</v>
      </c>
      <c r="F877" s="1" t="s">
        <v>17</v>
      </c>
      <c r="G877" s="1" t="s">
        <v>30</v>
      </c>
      <c r="H877" t="str">
        <f>IF(ISNA(_xlfn.XLOOKUP(B877, customer_master!$A$2:$A$1649, customer_master!$A$2:$A$1649)), "Orphan", "Valid")</f>
        <v>Orphan</v>
      </c>
    </row>
    <row r="878" spans="1:8" x14ac:dyDescent="0.3">
      <c r="A878" s="1" t="s">
        <v>9087</v>
      </c>
      <c r="B878" s="1" t="s">
        <v>212</v>
      </c>
      <c r="C878" s="41">
        <v>45286</v>
      </c>
      <c r="D878" s="1" t="s">
        <v>7889</v>
      </c>
      <c r="E878" s="1">
        <v>5</v>
      </c>
      <c r="F878" s="1" t="s">
        <v>17</v>
      </c>
      <c r="G878" s="1" t="s">
        <v>17</v>
      </c>
      <c r="H878" t="str">
        <f>IF(ISNA(_xlfn.XLOOKUP(B878, customer_master!$A$2:$A$1649, customer_master!$A$2:$A$1649)), "Orphan", "Valid")</f>
        <v>Valid</v>
      </c>
    </row>
    <row r="879" spans="1:8" x14ac:dyDescent="0.3">
      <c r="A879" s="1" t="s">
        <v>9088</v>
      </c>
      <c r="B879" s="1" t="s">
        <v>9089</v>
      </c>
      <c r="C879" s="41">
        <v>46220</v>
      </c>
      <c r="D879" s="1" t="s">
        <v>7887</v>
      </c>
      <c r="E879" s="1">
        <v>2</v>
      </c>
      <c r="F879" s="1" t="s">
        <v>17</v>
      </c>
      <c r="G879" s="1" t="s">
        <v>30</v>
      </c>
      <c r="H879" t="str">
        <f>IF(ISNA(_xlfn.XLOOKUP(B879, customer_master!$A$2:$A$1649, customer_master!$A$2:$A$1649)), "Orphan", "Valid")</f>
        <v>Orphan</v>
      </c>
    </row>
    <row r="880" spans="1:8" x14ac:dyDescent="0.3">
      <c r="A880" s="1" t="s">
        <v>9090</v>
      </c>
      <c r="B880" s="1" t="s">
        <v>2649</v>
      </c>
      <c r="C880" s="41">
        <v>46065</v>
      </c>
      <c r="D880" s="1" t="s">
        <v>7887</v>
      </c>
      <c r="E880" s="1">
        <v>2</v>
      </c>
      <c r="F880" s="1" t="s">
        <v>30</v>
      </c>
      <c r="G880" s="1" t="s">
        <v>17</v>
      </c>
      <c r="H880" t="str">
        <f>IF(ISNA(_xlfn.XLOOKUP(B880, customer_master!$A$2:$A$1649, customer_master!$A$2:$A$1649)), "Orphan", "Valid")</f>
        <v>Valid</v>
      </c>
    </row>
    <row r="881" spans="1:8" x14ac:dyDescent="0.3">
      <c r="A881" s="1" t="s">
        <v>9091</v>
      </c>
      <c r="B881" s="1" t="s">
        <v>475</v>
      </c>
      <c r="C881" s="41">
        <v>46145</v>
      </c>
      <c r="D881" s="1" t="s">
        <v>7912</v>
      </c>
      <c r="E881" s="1">
        <v>5</v>
      </c>
      <c r="F881" s="1" t="s">
        <v>17</v>
      </c>
      <c r="G881" s="1" t="s">
        <v>17</v>
      </c>
      <c r="H881" t="str">
        <f>IF(ISNA(_xlfn.XLOOKUP(B881, customer_master!$A$2:$A$1649, customer_master!$A$2:$A$1649)), "Orphan", "Valid")</f>
        <v>Valid</v>
      </c>
    </row>
    <row r="882" spans="1:8" x14ac:dyDescent="0.3">
      <c r="A882" s="1" t="s">
        <v>9092</v>
      </c>
      <c r="B882" s="1" t="s">
        <v>9093</v>
      </c>
      <c r="C882" s="41">
        <v>45495</v>
      </c>
      <c r="D882" s="1" t="s">
        <v>7877</v>
      </c>
      <c r="E882" s="1">
        <v>1</v>
      </c>
      <c r="F882" s="1" t="s">
        <v>30</v>
      </c>
      <c r="G882" s="1" t="s">
        <v>30</v>
      </c>
      <c r="H882" t="str">
        <f>IF(ISNA(_xlfn.XLOOKUP(B882, customer_master!$A$2:$A$1649, customer_master!$A$2:$A$1649)), "Orphan", "Valid")</f>
        <v>Orphan</v>
      </c>
    </row>
    <row r="883" spans="1:8" x14ac:dyDescent="0.3">
      <c r="A883" s="1" t="s">
        <v>9094</v>
      </c>
      <c r="B883" s="1" t="s">
        <v>513</v>
      </c>
      <c r="C883" s="41">
        <v>45797</v>
      </c>
      <c r="D883" s="1" t="s">
        <v>7906</v>
      </c>
      <c r="E883" s="1">
        <v>4</v>
      </c>
      <c r="F883" s="1" t="s">
        <v>17</v>
      </c>
      <c r="G883" s="1" t="s">
        <v>17</v>
      </c>
      <c r="H883" t="str">
        <f>IF(ISNA(_xlfn.XLOOKUP(B883, customer_master!$A$2:$A$1649, customer_master!$A$2:$A$1649)), "Orphan", "Valid")</f>
        <v>Valid</v>
      </c>
    </row>
    <row r="884" spans="1:8" x14ac:dyDescent="0.3">
      <c r="A884" s="1" t="s">
        <v>9095</v>
      </c>
      <c r="B884" s="1" t="s">
        <v>276</v>
      </c>
      <c r="C884" s="41">
        <v>45263</v>
      </c>
      <c r="D884" s="1" t="s">
        <v>7887</v>
      </c>
      <c r="E884" s="1">
        <v>2</v>
      </c>
      <c r="F884" s="1" t="s">
        <v>17</v>
      </c>
      <c r="G884" s="1" t="s">
        <v>17</v>
      </c>
      <c r="H884" t="str">
        <f>IF(ISNA(_xlfn.XLOOKUP(B884, customer_master!$A$2:$A$1649, customer_master!$A$2:$A$1649)), "Orphan", "Valid")</f>
        <v>Valid</v>
      </c>
    </row>
    <row r="885" spans="1:8" x14ac:dyDescent="0.3">
      <c r="A885" s="1" t="s">
        <v>9096</v>
      </c>
      <c r="B885" s="1" t="s">
        <v>1237</v>
      </c>
      <c r="C885" s="41">
        <v>46268</v>
      </c>
      <c r="D885" s="1" t="s">
        <v>7906</v>
      </c>
      <c r="E885" s="1">
        <v>5</v>
      </c>
      <c r="F885" s="1" t="s">
        <v>17</v>
      </c>
      <c r="G885" s="1" t="s">
        <v>17</v>
      </c>
      <c r="H885" t="str">
        <f>IF(ISNA(_xlfn.XLOOKUP(B885, customer_master!$A$2:$A$1649, customer_master!$A$2:$A$1649)), "Orphan", "Valid")</f>
        <v>Valid</v>
      </c>
    </row>
    <row r="886" spans="1:8" x14ac:dyDescent="0.3">
      <c r="A886" s="1" t="s">
        <v>9097</v>
      </c>
      <c r="B886" s="1" t="s">
        <v>9098</v>
      </c>
      <c r="C886" s="41">
        <v>45658</v>
      </c>
      <c r="D886" s="1" t="s">
        <v>7899</v>
      </c>
      <c r="E886" s="1">
        <v>2</v>
      </c>
      <c r="F886" s="1" t="s">
        <v>17</v>
      </c>
      <c r="G886" s="1" t="s">
        <v>30</v>
      </c>
      <c r="H886" t="str">
        <f>IF(ISNA(_xlfn.XLOOKUP(B886, customer_master!$A$2:$A$1649, customer_master!$A$2:$A$1649)), "Orphan", "Valid")</f>
        <v>Orphan</v>
      </c>
    </row>
    <row r="887" spans="1:8" x14ac:dyDescent="0.3">
      <c r="A887" s="1" t="s">
        <v>9099</v>
      </c>
      <c r="B887" s="1" t="s">
        <v>2077</v>
      </c>
      <c r="C887" s="41">
        <v>45217</v>
      </c>
      <c r="D887" s="1" t="s">
        <v>7906</v>
      </c>
      <c r="E887" s="1">
        <v>5</v>
      </c>
      <c r="F887" s="1" t="s">
        <v>17</v>
      </c>
      <c r="G887" s="1" t="s">
        <v>17</v>
      </c>
      <c r="H887" t="str">
        <f>IF(ISNA(_xlfn.XLOOKUP(B887, customer_master!$A$2:$A$1649, customer_master!$A$2:$A$1649)), "Orphan", "Valid")</f>
        <v>Valid</v>
      </c>
    </row>
    <row r="888" spans="1:8" x14ac:dyDescent="0.3">
      <c r="A888" s="1" t="s">
        <v>9100</v>
      </c>
      <c r="B888" s="1" t="s">
        <v>2474</v>
      </c>
      <c r="C888" s="41">
        <v>45773</v>
      </c>
      <c r="D888" s="1" t="s">
        <v>7896</v>
      </c>
      <c r="E888" s="1">
        <v>5</v>
      </c>
      <c r="F888" s="1" t="s">
        <v>30</v>
      </c>
      <c r="G888" s="1" t="s">
        <v>17</v>
      </c>
      <c r="H888" t="str">
        <f>IF(ISNA(_xlfn.XLOOKUP(B888, customer_master!$A$2:$A$1649, customer_master!$A$2:$A$1649)), "Orphan", "Valid")</f>
        <v>Valid</v>
      </c>
    </row>
    <row r="889" spans="1:8" x14ac:dyDescent="0.3">
      <c r="A889" s="1" t="s">
        <v>9101</v>
      </c>
      <c r="B889" s="1" t="s">
        <v>1356</v>
      </c>
      <c r="C889" s="41">
        <v>45904</v>
      </c>
      <c r="D889" s="1" t="s">
        <v>7877</v>
      </c>
      <c r="E889" s="1">
        <v>1</v>
      </c>
      <c r="F889" s="1" t="s">
        <v>17</v>
      </c>
      <c r="G889" s="1" t="s">
        <v>30</v>
      </c>
      <c r="H889" t="str">
        <f>IF(ISNA(_xlfn.XLOOKUP(B889, customer_master!$A$2:$A$1649, customer_master!$A$2:$A$1649)), "Orphan", "Valid")</f>
        <v>Valid</v>
      </c>
    </row>
    <row r="890" spans="1:8" x14ac:dyDescent="0.3">
      <c r="A890" s="1" t="s">
        <v>9102</v>
      </c>
      <c r="B890" s="1" t="s">
        <v>885</v>
      </c>
      <c r="C890" s="41">
        <v>45473</v>
      </c>
      <c r="D890" s="1" t="s">
        <v>7896</v>
      </c>
      <c r="E890" s="1">
        <v>4</v>
      </c>
      <c r="F890" s="1" t="s">
        <v>17</v>
      </c>
      <c r="G890" s="1" t="s">
        <v>30</v>
      </c>
      <c r="H890" t="str">
        <f>IF(ISNA(_xlfn.XLOOKUP(B890, customer_master!$A$2:$A$1649, customer_master!$A$2:$A$1649)), "Orphan", "Valid")</f>
        <v>Valid</v>
      </c>
    </row>
    <row r="891" spans="1:8" x14ac:dyDescent="0.3">
      <c r="A891" s="1" t="s">
        <v>9103</v>
      </c>
      <c r="B891" s="1" t="s">
        <v>9104</v>
      </c>
      <c r="C891" s="41">
        <v>45714</v>
      </c>
      <c r="D891" s="1" t="s">
        <v>7879</v>
      </c>
      <c r="E891" s="1">
        <v>2</v>
      </c>
      <c r="F891" s="1" t="s">
        <v>30</v>
      </c>
      <c r="G891" s="1" t="s">
        <v>17</v>
      </c>
      <c r="H891" t="str">
        <f>IF(ISNA(_xlfn.XLOOKUP(B891, customer_master!$A$2:$A$1649, customer_master!$A$2:$A$1649)), "Orphan", "Valid")</f>
        <v>Orphan</v>
      </c>
    </row>
    <row r="892" spans="1:8" x14ac:dyDescent="0.3">
      <c r="A892" s="1" t="s">
        <v>9105</v>
      </c>
      <c r="B892" s="1" t="s">
        <v>642</v>
      </c>
      <c r="C892" s="41">
        <v>46086</v>
      </c>
      <c r="D892" s="1" t="s">
        <v>7877</v>
      </c>
      <c r="E892" s="1">
        <v>2</v>
      </c>
      <c r="F892" s="1" t="s">
        <v>30</v>
      </c>
      <c r="G892" s="1" t="s">
        <v>17</v>
      </c>
      <c r="H892" t="str">
        <f>IF(ISNA(_xlfn.XLOOKUP(B892, customer_master!$A$2:$A$1649, customer_master!$A$2:$A$1649)), "Orphan", "Valid")</f>
        <v>Valid</v>
      </c>
    </row>
    <row r="893" spans="1:8" x14ac:dyDescent="0.3">
      <c r="A893" s="1" t="s">
        <v>9106</v>
      </c>
      <c r="B893" s="1" t="s">
        <v>2186</v>
      </c>
      <c r="C893" s="41">
        <v>46250</v>
      </c>
      <c r="D893" s="1" t="s">
        <v>7884</v>
      </c>
      <c r="E893" s="1">
        <v>3</v>
      </c>
      <c r="F893" s="1" t="s">
        <v>30</v>
      </c>
      <c r="G893" s="1" t="s">
        <v>30</v>
      </c>
      <c r="H893" t="str">
        <f>IF(ISNA(_xlfn.XLOOKUP(B893, customer_master!$A$2:$A$1649, customer_master!$A$2:$A$1649)), "Orphan", "Valid")</f>
        <v>Valid</v>
      </c>
    </row>
    <row r="894" spans="1:8" x14ac:dyDescent="0.3">
      <c r="A894" s="1" t="s">
        <v>9107</v>
      </c>
      <c r="B894" s="1" t="s">
        <v>9108</v>
      </c>
      <c r="C894" s="41">
        <v>45441</v>
      </c>
      <c r="D894" s="1" t="s">
        <v>7884</v>
      </c>
      <c r="E894" s="1">
        <v>3</v>
      </c>
      <c r="F894" s="1" t="s">
        <v>17</v>
      </c>
      <c r="G894" s="1" t="s">
        <v>17</v>
      </c>
      <c r="H894" t="str">
        <f>IF(ISNA(_xlfn.XLOOKUP(B894, customer_master!$A$2:$A$1649, customer_master!$A$2:$A$1649)), "Orphan", "Valid")</f>
        <v>Orphan</v>
      </c>
    </row>
    <row r="895" spans="1:8" x14ac:dyDescent="0.3">
      <c r="A895" s="1" t="s">
        <v>9109</v>
      </c>
      <c r="B895" s="1" t="s">
        <v>202</v>
      </c>
      <c r="C895" s="41">
        <v>45420</v>
      </c>
      <c r="D895" s="1" t="s">
        <v>7912</v>
      </c>
      <c r="E895" s="1">
        <v>4</v>
      </c>
      <c r="F895" s="1" t="s">
        <v>30</v>
      </c>
      <c r="G895" s="1" t="s">
        <v>17</v>
      </c>
      <c r="H895" t="str">
        <f>IF(ISNA(_xlfn.XLOOKUP(B895, customer_master!$A$2:$A$1649, customer_master!$A$2:$A$1649)), "Orphan", "Valid")</f>
        <v>Valid</v>
      </c>
    </row>
    <row r="896" spans="1:8" x14ac:dyDescent="0.3">
      <c r="A896" s="1" t="s">
        <v>9110</v>
      </c>
      <c r="B896" s="1" t="s">
        <v>2770</v>
      </c>
      <c r="C896" s="41">
        <v>45883</v>
      </c>
      <c r="D896" s="1" t="s">
        <v>7912</v>
      </c>
      <c r="E896" s="1">
        <v>4</v>
      </c>
      <c r="F896" s="1" t="s">
        <v>17</v>
      </c>
      <c r="G896" s="1" t="s">
        <v>17</v>
      </c>
      <c r="H896" t="str">
        <f>IF(ISNA(_xlfn.XLOOKUP(B896, customer_master!$A$2:$A$1649, customer_master!$A$2:$A$1649)), "Orphan", "Valid")</f>
        <v>Valid</v>
      </c>
    </row>
    <row r="897" spans="1:8" x14ac:dyDescent="0.3">
      <c r="A897" s="1" t="s">
        <v>9111</v>
      </c>
      <c r="B897" s="1" t="s">
        <v>935</v>
      </c>
      <c r="C897" s="41">
        <v>45409</v>
      </c>
      <c r="D897" s="1" t="s">
        <v>7884</v>
      </c>
      <c r="E897" s="1">
        <v>2</v>
      </c>
      <c r="F897" s="1" t="s">
        <v>30</v>
      </c>
      <c r="G897" s="1" t="s">
        <v>30</v>
      </c>
      <c r="H897" t="str">
        <f>IF(ISNA(_xlfn.XLOOKUP(B897, customer_master!$A$2:$A$1649, customer_master!$A$2:$A$1649)), "Orphan", "Valid")</f>
        <v>Valid</v>
      </c>
    </row>
    <row r="898" spans="1:8" x14ac:dyDescent="0.3">
      <c r="A898" s="1" t="s">
        <v>9112</v>
      </c>
      <c r="B898" s="1" t="s">
        <v>2945</v>
      </c>
      <c r="C898" s="41">
        <v>45186</v>
      </c>
      <c r="D898" s="1" t="s">
        <v>7884</v>
      </c>
      <c r="E898" s="1">
        <v>2</v>
      </c>
      <c r="F898" s="1" t="s">
        <v>17</v>
      </c>
      <c r="G898" s="1" t="s">
        <v>30</v>
      </c>
      <c r="H898" t="str">
        <f>IF(ISNA(_xlfn.XLOOKUP(B898, customer_master!$A$2:$A$1649, customer_master!$A$2:$A$1649)), "Orphan", "Valid")</f>
        <v>Valid</v>
      </c>
    </row>
    <row r="899" spans="1:8" x14ac:dyDescent="0.3">
      <c r="A899" s="1" t="s">
        <v>9113</v>
      </c>
      <c r="B899" s="1" t="s">
        <v>753</v>
      </c>
      <c r="C899" s="41">
        <v>45440</v>
      </c>
      <c r="D899" s="1" t="s">
        <v>7912</v>
      </c>
      <c r="E899" s="1">
        <v>4</v>
      </c>
      <c r="F899" s="1" t="s">
        <v>17</v>
      </c>
      <c r="G899" s="1" t="s">
        <v>30</v>
      </c>
      <c r="H899" t="str">
        <f>IF(ISNA(_xlfn.XLOOKUP(B899, customer_master!$A$2:$A$1649, customer_master!$A$2:$A$1649)), "Orphan", "Valid")</f>
        <v>Valid</v>
      </c>
    </row>
    <row r="900" spans="1:8" x14ac:dyDescent="0.3">
      <c r="A900" s="1" t="s">
        <v>9114</v>
      </c>
      <c r="B900" s="1" t="s">
        <v>9115</v>
      </c>
      <c r="C900" s="41">
        <v>45195</v>
      </c>
      <c r="D900" s="1" t="s">
        <v>7887</v>
      </c>
      <c r="E900" s="1">
        <v>2</v>
      </c>
      <c r="F900" s="1" t="s">
        <v>30</v>
      </c>
      <c r="G900" s="1" t="s">
        <v>30</v>
      </c>
      <c r="H900" t="str">
        <f>IF(ISNA(_xlfn.XLOOKUP(B900, customer_master!$A$2:$A$1649, customer_master!$A$2:$A$1649)), "Orphan", "Valid")</f>
        <v>Orphan</v>
      </c>
    </row>
    <row r="901" spans="1:8" x14ac:dyDescent="0.3">
      <c r="A901" s="1" t="s">
        <v>9116</v>
      </c>
      <c r="B901" s="1" t="s">
        <v>2939</v>
      </c>
      <c r="C901" s="41">
        <v>45843</v>
      </c>
      <c r="D901" s="1" t="s">
        <v>7889</v>
      </c>
      <c r="E901" s="1">
        <v>4</v>
      </c>
      <c r="F901" s="1" t="s">
        <v>17</v>
      </c>
      <c r="G901" s="1" t="s">
        <v>17</v>
      </c>
      <c r="H901" t="str">
        <f>IF(ISNA(_xlfn.XLOOKUP(B901, customer_master!$A$2:$A$1649, customer_master!$A$2:$A$1649)), "Orphan", "Valid")</f>
        <v>Valid</v>
      </c>
    </row>
    <row r="902" spans="1:8" x14ac:dyDescent="0.3">
      <c r="A902" s="1" t="s">
        <v>9117</v>
      </c>
      <c r="B902" s="1" t="s">
        <v>652</v>
      </c>
      <c r="C902" s="41">
        <v>46091</v>
      </c>
      <c r="D902" s="1" t="s">
        <v>7887</v>
      </c>
      <c r="E902" s="1">
        <v>2</v>
      </c>
      <c r="F902" s="1" t="s">
        <v>30</v>
      </c>
      <c r="G902" s="1" t="s">
        <v>30</v>
      </c>
      <c r="H902" t="str">
        <f>IF(ISNA(_xlfn.XLOOKUP(B902, customer_master!$A$2:$A$1649, customer_master!$A$2:$A$1649)), "Orphan", "Valid")</f>
        <v>Valid</v>
      </c>
    </row>
    <row r="903" spans="1:8" x14ac:dyDescent="0.3">
      <c r="A903" s="1" t="s">
        <v>9118</v>
      </c>
      <c r="B903" s="1" t="s">
        <v>1083</v>
      </c>
      <c r="C903" s="41">
        <v>45627</v>
      </c>
      <c r="D903" s="1" t="s">
        <v>7906</v>
      </c>
      <c r="E903" s="1">
        <v>5</v>
      </c>
      <c r="F903" s="1" t="s">
        <v>30</v>
      </c>
      <c r="G903" s="1" t="s">
        <v>30</v>
      </c>
      <c r="H903" t="str">
        <f>IF(ISNA(_xlfn.XLOOKUP(B903, customer_master!$A$2:$A$1649, customer_master!$A$2:$A$1649)), "Orphan", "Valid")</f>
        <v>Valid</v>
      </c>
    </row>
    <row r="904" spans="1:8" x14ac:dyDescent="0.3">
      <c r="A904" s="1" t="s">
        <v>9119</v>
      </c>
      <c r="B904" s="1" t="s">
        <v>929</v>
      </c>
      <c r="C904" s="41">
        <v>45777</v>
      </c>
      <c r="D904" s="1" t="s">
        <v>7899</v>
      </c>
      <c r="E904" s="1">
        <v>2</v>
      </c>
      <c r="F904" s="1" t="s">
        <v>30</v>
      </c>
      <c r="G904" s="1" t="s">
        <v>30</v>
      </c>
      <c r="H904" t="str">
        <f>IF(ISNA(_xlfn.XLOOKUP(B904, customer_master!$A$2:$A$1649, customer_master!$A$2:$A$1649)), "Orphan", "Valid")</f>
        <v>Valid</v>
      </c>
    </row>
    <row r="905" spans="1:8" x14ac:dyDescent="0.3">
      <c r="A905" s="1" t="s">
        <v>9120</v>
      </c>
      <c r="B905" s="1" t="s">
        <v>3156</v>
      </c>
      <c r="C905" s="41">
        <v>45795</v>
      </c>
      <c r="D905" s="1" t="s">
        <v>7879</v>
      </c>
      <c r="E905" s="1">
        <v>2</v>
      </c>
      <c r="F905" s="1" t="s">
        <v>30</v>
      </c>
      <c r="G905" s="1" t="s">
        <v>17</v>
      </c>
      <c r="H905" t="str">
        <f>IF(ISNA(_xlfn.XLOOKUP(B905, customer_master!$A$2:$A$1649, customer_master!$A$2:$A$1649)), "Orphan", "Valid")</f>
        <v>Valid</v>
      </c>
    </row>
    <row r="906" spans="1:8" x14ac:dyDescent="0.3">
      <c r="A906" s="1" t="s">
        <v>9121</v>
      </c>
      <c r="B906" s="1" t="s">
        <v>9122</v>
      </c>
      <c r="C906" s="41">
        <v>45624</v>
      </c>
      <c r="D906" s="1" t="s">
        <v>7879</v>
      </c>
      <c r="E906" s="1">
        <v>2</v>
      </c>
      <c r="F906" s="1" t="s">
        <v>17</v>
      </c>
      <c r="G906" s="1" t="s">
        <v>17</v>
      </c>
      <c r="H906" t="str">
        <f>IF(ISNA(_xlfn.XLOOKUP(B906, customer_master!$A$2:$A$1649, customer_master!$A$2:$A$1649)), "Orphan", "Valid")</f>
        <v>Orphan</v>
      </c>
    </row>
    <row r="907" spans="1:8" x14ac:dyDescent="0.3">
      <c r="A907" s="1" t="s">
        <v>9123</v>
      </c>
      <c r="B907" s="1" t="s">
        <v>3132</v>
      </c>
      <c r="C907" s="41">
        <v>46102</v>
      </c>
      <c r="D907" s="1" t="s">
        <v>7881</v>
      </c>
      <c r="E907" s="1">
        <v>4</v>
      </c>
      <c r="F907" s="1" t="s">
        <v>30</v>
      </c>
      <c r="G907" s="1" t="s">
        <v>17</v>
      </c>
      <c r="H907" t="str">
        <f>IF(ISNA(_xlfn.XLOOKUP(B907, customer_master!$A$2:$A$1649, customer_master!$A$2:$A$1649)), "Orphan", "Valid")</f>
        <v>Valid</v>
      </c>
    </row>
    <row r="908" spans="1:8" x14ac:dyDescent="0.3">
      <c r="A908" s="1" t="s">
        <v>9124</v>
      </c>
      <c r="B908" s="1" t="s">
        <v>1598</v>
      </c>
      <c r="C908" s="41">
        <v>45809</v>
      </c>
      <c r="D908" s="1" t="s">
        <v>7896</v>
      </c>
      <c r="E908" s="1">
        <v>4</v>
      </c>
      <c r="F908" s="1" t="s">
        <v>17</v>
      </c>
      <c r="G908" s="1" t="s">
        <v>30</v>
      </c>
      <c r="H908" t="str">
        <f>IF(ISNA(_xlfn.XLOOKUP(B908, customer_master!$A$2:$A$1649, customer_master!$A$2:$A$1649)), "Orphan", "Valid")</f>
        <v>Valid</v>
      </c>
    </row>
    <row r="909" spans="1:8" x14ac:dyDescent="0.3">
      <c r="A909" s="1" t="s">
        <v>9125</v>
      </c>
      <c r="B909" s="1" t="s">
        <v>1938</v>
      </c>
      <c r="C909" s="41">
        <v>45860</v>
      </c>
      <c r="D909" s="1" t="s">
        <v>7879</v>
      </c>
      <c r="E909" s="1">
        <v>2</v>
      </c>
      <c r="F909" s="1" t="s">
        <v>30</v>
      </c>
      <c r="G909" s="1" t="s">
        <v>17</v>
      </c>
      <c r="H909" t="str">
        <f>IF(ISNA(_xlfn.XLOOKUP(B909, customer_master!$A$2:$A$1649, customer_master!$A$2:$A$1649)), "Orphan", "Valid")</f>
        <v>Valid</v>
      </c>
    </row>
    <row r="910" spans="1:8" x14ac:dyDescent="0.3">
      <c r="A910" s="1" t="s">
        <v>9126</v>
      </c>
      <c r="B910" s="1" t="s">
        <v>9127</v>
      </c>
      <c r="C910" s="41">
        <v>46146</v>
      </c>
      <c r="D910" s="1" t="s">
        <v>7906</v>
      </c>
      <c r="E910" s="1">
        <v>4</v>
      </c>
      <c r="F910" s="1" t="s">
        <v>30</v>
      </c>
      <c r="G910" s="1" t="s">
        <v>17</v>
      </c>
      <c r="H910" t="str">
        <f>IF(ISNA(_xlfn.XLOOKUP(B910, customer_master!$A$2:$A$1649, customer_master!$A$2:$A$1649)), "Orphan", "Valid")</f>
        <v>Orphan</v>
      </c>
    </row>
    <row r="911" spans="1:8" x14ac:dyDescent="0.3">
      <c r="A911" s="1" t="s">
        <v>9128</v>
      </c>
      <c r="B911" s="1" t="s">
        <v>9129</v>
      </c>
      <c r="C911" s="41">
        <v>46246</v>
      </c>
      <c r="D911" s="1" t="s">
        <v>7879</v>
      </c>
      <c r="E911" s="1">
        <v>2</v>
      </c>
      <c r="F911" s="1" t="s">
        <v>30</v>
      </c>
      <c r="G911" s="1" t="s">
        <v>30</v>
      </c>
      <c r="H911" t="str">
        <f>IF(ISNA(_xlfn.XLOOKUP(B911, customer_master!$A$2:$A$1649, customer_master!$A$2:$A$1649)), "Orphan", "Valid")</f>
        <v>Orphan</v>
      </c>
    </row>
    <row r="912" spans="1:8" x14ac:dyDescent="0.3">
      <c r="A912" s="1" t="s">
        <v>9130</v>
      </c>
      <c r="B912" s="1" t="s">
        <v>1439</v>
      </c>
      <c r="C912" s="41">
        <v>45991</v>
      </c>
      <c r="D912" s="1" t="s">
        <v>7877</v>
      </c>
      <c r="E912" s="1">
        <v>1</v>
      </c>
      <c r="F912" s="1" t="s">
        <v>30</v>
      </c>
      <c r="G912" s="1" t="s">
        <v>17</v>
      </c>
      <c r="H912" t="str">
        <f>IF(ISNA(_xlfn.XLOOKUP(B912, customer_master!$A$2:$A$1649, customer_master!$A$2:$A$1649)), "Orphan", "Valid")</f>
        <v>Valid</v>
      </c>
    </row>
    <row r="913" spans="1:8" x14ac:dyDescent="0.3">
      <c r="A913" s="1" t="s">
        <v>9131</v>
      </c>
      <c r="B913" s="1" t="s">
        <v>9132</v>
      </c>
      <c r="C913" s="41">
        <v>45947</v>
      </c>
      <c r="D913" s="1" t="s">
        <v>7881</v>
      </c>
      <c r="E913" s="1">
        <v>4</v>
      </c>
      <c r="F913" s="1" t="s">
        <v>17</v>
      </c>
      <c r="G913" s="1" t="s">
        <v>17</v>
      </c>
      <c r="H913" t="str">
        <f>IF(ISNA(_xlfn.XLOOKUP(B913, customer_master!$A$2:$A$1649, customer_master!$A$2:$A$1649)), "Orphan", "Valid")</f>
        <v>Orphan</v>
      </c>
    </row>
    <row r="914" spans="1:8" x14ac:dyDescent="0.3">
      <c r="A914" s="1" t="s">
        <v>9133</v>
      </c>
      <c r="B914" s="1" t="s">
        <v>1779</v>
      </c>
      <c r="C914" s="41">
        <v>46249</v>
      </c>
      <c r="D914" s="1" t="s">
        <v>7877</v>
      </c>
      <c r="E914" s="1">
        <v>2</v>
      </c>
      <c r="F914" s="1" t="s">
        <v>17</v>
      </c>
      <c r="G914" s="1" t="s">
        <v>17</v>
      </c>
      <c r="H914" t="str">
        <f>IF(ISNA(_xlfn.XLOOKUP(B914, customer_master!$A$2:$A$1649, customer_master!$A$2:$A$1649)), "Orphan", "Valid")</f>
        <v>Valid</v>
      </c>
    </row>
    <row r="915" spans="1:8" x14ac:dyDescent="0.3">
      <c r="A915" s="1" t="s">
        <v>9134</v>
      </c>
      <c r="B915" s="1" t="s">
        <v>9135</v>
      </c>
      <c r="C915" s="41">
        <v>46053</v>
      </c>
      <c r="D915" s="1" t="s">
        <v>7912</v>
      </c>
      <c r="E915" s="1">
        <v>5</v>
      </c>
      <c r="F915" s="1" t="s">
        <v>17</v>
      </c>
      <c r="G915" s="1" t="s">
        <v>17</v>
      </c>
      <c r="H915" t="str">
        <f>IF(ISNA(_xlfn.XLOOKUP(B915, customer_master!$A$2:$A$1649, customer_master!$A$2:$A$1649)), "Orphan", "Valid")</f>
        <v>Orphan</v>
      </c>
    </row>
    <row r="916" spans="1:8" x14ac:dyDescent="0.3">
      <c r="A916" s="1" t="s">
        <v>9136</v>
      </c>
      <c r="B916" s="1" t="s">
        <v>1678</v>
      </c>
      <c r="C916" s="41">
        <v>45461</v>
      </c>
      <c r="D916" s="1" t="s">
        <v>7912</v>
      </c>
      <c r="E916" s="1">
        <v>5</v>
      </c>
      <c r="F916" s="1" t="s">
        <v>30</v>
      </c>
      <c r="G916" s="1" t="s">
        <v>17</v>
      </c>
      <c r="H916" t="str">
        <f>IF(ISNA(_xlfn.XLOOKUP(B916, customer_master!$A$2:$A$1649, customer_master!$A$2:$A$1649)), "Orphan", "Valid")</f>
        <v>Valid</v>
      </c>
    </row>
    <row r="917" spans="1:8" x14ac:dyDescent="0.3">
      <c r="A917" s="1" t="s">
        <v>9137</v>
      </c>
      <c r="B917" s="1" t="s">
        <v>1400</v>
      </c>
      <c r="C917" s="41">
        <v>45578</v>
      </c>
      <c r="D917" s="1" t="s">
        <v>7879</v>
      </c>
      <c r="E917" s="1">
        <v>2</v>
      </c>
      <c r="F917" s="1" t="s">
        <v>17</v>
      </c>
      <c r="G917" s="1" t="s">
        <v>17</v>
      </c>
      <c r="H917" t="str">
        <f>IF(ISNA(_xlfn.XLOOKUP(B917, customer_master!$A$2:$A$1649, customer_master!$A$2:$A$1649)), "Orphan", "Valid")</f>
        <v>Valid</v>
      </c>
    </row>
    <row r="918" spans="1:8" x14ac:dyDescent="0.3">
      <c r="A918" s="1" t="s">
        <v>9138</v>
      </c>
      <c r="B918" s="1" t="s">
        <v>1952</v>
      </c>
      <c r="C918" s="41">
        <v>46159</v>
      </c>
      <c r="D918" s="1" t="s">
        <v>7884</v>
      </c>
      <c r="E918" s="1">
        <v>2</v>
      </c>
      <c r="F918" s="1" t="s">
        <v>17</v>
      </c>
      <c r="G918" s="1" t="s">
        <v>30</v>
      </c>
      <c r="H918" t="str">
        <f>IF(ISNA(_xlfn.XLOOKUP(B918, customer_master!$A$2:$A$1649, customer_master!$A$2:$A$1649)), "Orphan", "Valid")</f>
        <v>Valid</v>
      </c>
    </row>
    <row r="919" spans="1:8" x14ac:dyDescent="0.3">
      <c r="A919" s="1" t="s">
        <v>9139</v>
      </c>
      <c r="B919" s="1" t="s">
        <v>9140</v>
      </c>
      <c r="C919" s="41">
        <v>46199</v>
      </c>
      <c r="D919" s="1" t="s">
        <v>7906</v>
      </c>
      <c r="E919" s="1">
        <v>5</v>
      </c>
      <c r="F919" s="1" t="s">
        <v>30</v>
      </c>
      <c r="G919" s="1" t="s">
        <v>30</v>
      </c>
      <c r="H919" t="str">
        <f>IF(ISNA(_xlfn.XLOOKUP(B919, customer_master!$A$2:$A$1649, customer_master!$A$2:$A$1649)), "Orphan", "Valid")</f>
        <v>Orphan</v>
      </c>
    </row>
    <row r="920" spans="1:8" x14ac:dyDescent="0.3">
      <c r="A920" s="1" t="s">
        <v>9141</v>
      </c>
      <c r="B920" s="1" t="s">
        <v>1175</v>
      </c>
      <c r="C920" s="41">
        <v>45523</v>
      </c>
      <c r="D920" s="1" t="s">
        <v>7887</v>
      </c>
      <c r="E920" s="1">
        <v>2</v>
      </c>
      <c r="F920" s="1" t="s">
        <v>30</v>
      </c>
      <c r="G920" s="1" t="s">
        <v>30</v>
      </c>
      <c r="H920" t="str">
        <f>IF(ISNA(_xlfn.XLOOKUP(B920, customer_master!$A$2:$A$1649, customer_master!$A$2:$A$1649)), "Orphan", "Valid")</f>
        <v>Valid</v>
      </c>
    </row>
    <row r="921" spans="1:8" x14ac:dyDescent="0.3">
      <c r="A921" s="1" t="s">
        <v>9142</v>
      </c>
      <c r="B921" s="1" t="s">
        <v>2778</v>
      </c>
      <c r="C921" s="41">
        <v>45564</v>
      </c>
      <c r="D921" s="1" t="s">
        <v>7881</v>
      </c>
      <c r="E921" s="1">
        <v>4</v>
      </c>
      <c r="F921" s="1" t="s">
        <v>17</v>
      </c>
      <c r="G921" s="1" t="s">
        <v>17</v>
      </c>
      <c r="H921" t="str">
        <f>IF(ISNA(_xlfn.XLOOKUP(B921, customer_master!$A$2:$A$1649, customer_master!$A$2:$A$1649)), "Orphan", "Valid")</f>
        <v>Valid</v>
      </c>
    </row>
    <row r="922" spans="1:8" x14ac:dyDescent="0.3">
      <c r="A922" s="1" t="s">
        <v>9143</v>
      </c>
      <c r="B922" s="1" t="s">
        <v>9144</v>
      </c>
      <c r="C922" s="41">
        <v>46223</v>
      </c>
      <c r="D922" s="1" t="s">
        <v>7887</v>
      </c>
      <c r="E922" s="1">
        <v>2</v>
      </c>
      <c r="F922" s="1" t="s">
        <v>17</v>
      </c>
      <c r="G922" s="1" t="s">
        <v>17</v>
      </c>
      <c r="H922" t="str">
        <f>IF(ISNA(_xlfn.XLOOKUP(B922, customer_master!$A$2:$A$1649, customer_master!$A$2:$A$1649)), "Orphan", "Valid")</f>
        <v>Orphan</v>
      </c>
    </row>
    <row r="923" spans="1:8" x14ac:dyDescent="0.3">
      <c r="A923" s="1" t="s">
        <v>9145</v>
      </c>
      <c r="B923" s="1" t="s">
        <v>457</v>
      </c>
      <c r="C923" s="41">
        <v>45320</v>
      </c>
      <c r="D923" s="1" t="s">
        <v>7881</v>
      </c>
      <c r="E923" s="1">
        <v>4</v>
      </c>
      <c r="F923" s="1" t="s">
        <v>30</v>
      </c>
      <c r="G923" s="1" t="s">
        <v>30</v>
      </c>
      <c r="H923" t="str">
        <f>IF(ISNA(_xlfn.XLOOKUP(B923, customer_master!$A$2:$A$1649, customer_master!$A$2:$A$1649)), "Orphan", "Valid")</f>
        <v>Valid</v>
      </c>
    </row>
    <row r="924" spans="1:8" x14ac:dyDescent="0.3">
      <c r="A924" s="1" t="s">
        <v>9146</v>
      </c>
      <c r="B924" s="1" t="s">
        <v>3277</v>
      </c>
      <c r="C924" s="41">
        <v>46115</v>
      </c>
      <c r="D924" s="1" t="s">
        <v>7906</v>
      </c>
      <c r="E924" s="1">
        <v>5</v>
      </c>
      <c r="F924" s="1" t="s">
        <v>30</v>
      </c>
      <c r="G924" s="1" t="s">
        <v>30</v>
      </c>
      <c r="H924" t="str">
        <f>IF(ISNA(_xlfn.XLOOKUP(B924, customer_master!$A$2:$A$1649, customer_master!$A$2:$A$1649)), "Orphan", "Valid")</f>
        <v>Valid</v>
      </c>
    </row>
    <row r="925" spans="1:8" x14ac:dyDescent="0.3">
      <c r="A925" s="1" t="s">
        <v>9147</v>
      </c>
      <c r="B925" s="1" t="s">
        <v>1952</v>
      </c>
      <c r="C925" s="41">
        <v>46253</v>
      </c>
      <c r="D925" s="1" t="s">
        <v>7896</v>
      </c>
      <c r="E925" s="1">
        <v>4</v>
      </c>
      <c r="F925" s="1" t="s">
        <v>30</v>
      </c>
      <c r="G925" s="1" t="s">
        <v>17</v>
      </c>
      <c r="H925" t="str">
        <f>IF(ISNA(_xlfn.XLOOKUP(B925, customer_master!$A$2:$A$1649, customer_master!$A$2:$A$1649)), "Orphan", "Valid")</f>
        <v>Valid</v>
      </c>
    </row>
    <row r="926" spans="1:8" x14ac:dyDescent="0.3">
      <c r="A926" s="1" t="s">
        <v>9148</v>
      </c>
      <c r="B926" s="1" t="s">
        <v>1654</v>
      </c>
      <c r="C926" s="41">
        <v>45443</v>
      </c>
      <c r="D926" s="1" t="s">
        <v>7906</v>
      </c>
      <c r="E926" s="1">
        <v>5</v>
      </c>
      <c r="F926" s="1" t="s">
        <v>30</v>
      </c>
      <c r="G926" s="1" t="s">
        <v>17</v>
      </c>
      <c r="H926" t="str">
        <f>IF(ISNA(_xlfn.XLOOKUP(B926, customer_master!$A$2:$A$1649, customer_master!$A$2:$A$1649)), "Orphan", "Valid")</f>
        <v>Valid</v>
      </c>
    </row>
    <row r="927" spans="1:8" x14ac:dyDescent="0.3">
      <c r="A927" s="1" t="s">
        <v>9149</v>
      </c>
      <c r="B927" s="1" t="s">
        <v>9150</v>
      </c>
      <c r="C927" s="41">
        <v>45762</v>
      </c>
      <c r="D927" s="1" t="s">
        <v>7887</v>
      </c>
      <c r="E927" s="1">
        <v>2</v>
      </c>
      <c r="F927" s="1" t="s">
        <v>17</v>
      </c>
      <c r="G927" s="1" t="s">
        <v>30</v>
      </c>
      <c r="H927" t="str">
        <f>IF(ISNA(_xlfn.XLOOKUP(B927, customer_master!$A$2:$A$1649, customer_master!$A$2:$A$1649)), "Orphan", "Valid")</f>
        <v>Orphan</v>
      </c>
    </row>
    <row r="928" spans="1:8" x14ac:dyDescent="0.3">
      <c r="A928" s="1" t="s">
        <v>9151</v>
      </c>
      <c r="B928" s="1" t="s">
        <v>9152</v>
      </c>
      <c r="C928" s="41">
        <v>45314</v>
      </c>
      <c r="D928" s="1" t="s">
        <v>7906</v>
      </c>
      <c r="E928" s="1">
        <v>5</v>
      </c>
      <c r="F928" s="1" t="s">
        <v>30</v>
      </c>
      <c r="G928" s="1" t="s">
        <v>17</v>
      </c>
      <c r="H928" t="str">
        <f>IF(ISNA(_xlfn.XLOOKUP(B928, customer_master!$A$2:$A$1649, customer_master!$A$2:$A$1649)), "Orphan", "Valid")</f>
        <v>Orphan</v>
      </c>
    </row>
    <row r="929" spans="1:8" x14ac:dyDescent="0.3">
      <c r="A929" s="1" t="s">
        <v>9153</v>
      </c>
      <c r="B929" s="1" t="s">
        <v>2444</v>
      </c>
      <c r="C929" s="41">
        <v>46248</v>
      </c>
      <c r="D929" s="1" t="s">
        <v>7887</v>
      </c>
      <c r="E929" s="1">
        <v>2</v>
      </c>
      <c r="F929" s="1" t="s">
        <v>30</v>
      </c>
      <c r="G929" s="1" t="s">
        <v>17</v>
      </c>
      <c r="H929" t="str">
        <f>IF(ISNA(_xlfn.XLOOKUP(B929, customer_master!$A$2:$A$1649, customer_master!$A$2:$A$1649)), "Orphan", "Valid")</f>
        <v>Valid</v>
      </c>
    </row>
    <row r="930" spans="1:8" x14ac:dyDescent="0.3">
      <c r="A930" s="1" t="s">
        <v>9154</v>
      </c>
      <c r="B930" s="1" t="s">
        <v>2064</v>
      </c>
      <c r="C930" s="41">
        <v>46032</v>
      </c>
      <c r="D930" s="1" t="s">
        <v>7906</v>
      </c>
      <c r="E930" s="1">
        <v>5</v>
      </c>
      <c r="F930" s="1" t="s">
        <v>30</v>
      </c>
      <c r="G930" s="1" t="s">
        <v>30</v>
      </c>
      <c r="H930" t="str">
        <f>IF(ISNA(_xlfn.XLOOKUP(B930, customer_master!$A$2:$A$1649, customer_master!$A$2:$A$1649)), "Orphan", "Valid")</f>
        <v>Valid</v>
      </c>
    </row>
    <row r="931" spans="1:8" x14ac:dyDescent="0.3">
      <c r="A931" s="1" t="s">
        <v>9155</v>
      </c>
      <c r="B931" s="1" t="s">
        <v>2394</v>
      </c>
      <c r="C931" s="41">
        <v>45729</v>
      </c>
      <c r="D931" s="1" t="s">
        <v>7906</v>
      </c>
      <c r="E931" s="1">
        <v>5</v>
      </c>
      <c r="F931" s="1" t="s">
        <v>30</v>
      </c>
      <c r="G931" s="1" t="s">
        <v>17</v>
      </c>
      <c r="H931" t="str">
        <f>IF(ISNA(_xlfn.XLOOKUP(B931, customer_master!$A$2:$A$1649, customer_master!$A$2:$A$1649)), "Orphan", "Valid")</f>
        <v>Valid</v>
      </c>
    </row>
    <row r="932" spans="1:8" x14ac:dyDescent="0.3">
      <c r="A932" s="1" t="s">
        <v>9156</v>
      </c>
      <c r="B932" s="1" t="s">
        <v>9157</v>
      </c>
      <c r="C932" s="41">
        <v>45694</v>
      </c>
      <c r="D932" s="1" t="s">
        <v>7899</v>
      </c>
      <c r="E932" s="1">
        <v>2</v>
      </c>
      <c r="F932" s="1" t="s">
        <v>17</v>
      </c>
      <c r="G932" s="1" t="s">
        <v>30</v>
      </c>
      <c r="H932" t="str">
        <f>IF(ISNA(_xlfn.XLOOKUP(B932, customer_master!$A$2:$A$1649, customer_master!$A$2:$A$1649)), "Orphan", "Valid")</f>
        <v>Orphan</v>
      </c>
    </row>
    <row r="933" spans="1:8" x14ac:dyDescent="0.3">
      <c r="A933" s="1" t="s">
        <v>9158</v>
      </c>
      <c r="B933" s="1" t="s">
        <v>9159</v>
      </c>
      <c r="C933" s="41">
        <v>45516</v>
      </c>
      <c r="D933" s="1" t="s">
        <v>7879</v>
      </c>
      <c r="E933" s="1">
        <v>2</v>
      </c>
      <c r="F933" s="1" t="s">
        <v>17</v>
      </c>
      <c r="G933" s="1" t="s">
        <v>30</v>
      </c>
      <c r="H933" t="str">
        <f>IF(ISNA(_xlfn.XLOOKUP(B933, customer_master!$A$2:$A$1649, customer_master!$A$2:$A$1649)), "Orphan", "Valid")</f>
        <v>Orphan</v>
      </c>
    </row>
    <row r="934" spans="1:8" x14ac:dyDescent="0.3">
      <c r="A934" s="1" t="s">
        <v>9160</v>
      </c>
      <c r="B934" s="1" t="s">
        <v>9161</v>
      </c>
      <c r="C934" s="41">
        <v>46057</v>
      </c>
      <c r="D934" s="1" t="s">
        <v>7896</v>
      </c>
      <c r="E934" s="1">
        <v>4</v>
      </c>
      <c r="F934" s="1" t="s">
        <v>30</v>
      </c>
      <c r="G934" s="1" t="s">
        <v>30</v>
      </c>
      <c r="H934" t="str">
        <f>IF(ISNA(_xlfn.XLOOKUP(B934, customer_master!$A$2:$A$1649, customer_master!$A$2:$A$1649)), "Orphan", "Valid")</f>
        <v>Orphan</v>
      </c>
    </row>
    <row r="935" spans="1:8" x14ac:dyDescent="0.3">
      <c r="A935" s="1" t="s">
        <v>9162</v>
      </c>
      <c r="B935" s="1" t="s">
        <v>1761</v>
      </c>
      <c r="C935" s="41">
        <v>45835</v>
      </c>
      <c r="D935" s="1" t="s">
        <v>7906</v>
      </c>
      <c r="E935" s="1">
        <v>5</v>
      </c>
      <c r="F935" s="1" t="s">
        <v>17</v>
      </c>
      <c r="G935" s="1" t="s">
        <v>17</v>
      </c>
      <c r="H935" t="str">
        <f>IF(ISNA(_xlfn.XLOOKUP(B935, customer_master!$A$2:$A$1649, customer_master!$A$2:$A$1649)), "Orphan", "Valid")</f>
        <v>Valid</v>
      </c>
    </row>
    <row r="936" spans="1:8" x14ac:dyDescent="0.3">
      <c r="A936" s="1" t="s">
        <v>9163</v>
      </c>
      <c r="B936" s="1" t="s">
        <v>578</v>
      </c>
      <c r="C936" s="41">
        <v>45962</v>
      </c>
      <c r="D936" s="1" t="s">
        <v>7906</v>
      </c>
      <c r="E936" s="1">
        <v>5</v>
      </c>
      <c r="F936" s="1" t="s">
        <v>30</v>
      </c>
      <c r="G936" s="1" t="s">
        <v>17</v>
      </c>
      <c r="H936" t="str">
        <f>IF(ISNA(_xlfn.XLOOKUP(B936, customer_master!$A$2:$A$1649, customer_master!$A$2:$A$1649)), "Orphan", "Valid")</f>
        <v>Valid</v>
      </c>
    </row>
    <row r="937" spans="1:8" x14ac:dyDescent="0.3">
      <c r="A937" s="1" t="s">
        <v>9164</v>
      </c>
      <c r="B937" s="1" t="s">
        <v>2236</v>
      </c>
      <c r="C937" s="41">
        <v>45959</v>
      </c>
      <c r="D937" s="1" t="s">
        <v>7881</v>
      </c>
      <c r="E937" s="1">
        <v>4</v>
      </c>
      <c r="F937" s="1" t="s">
        <v>30</v>
      </c>
      <c r="G937" s="1" t="s">
        <v>30</v>
      </c>
      <c r="H937" t="str">
        <f>IF(ISNA(_xlfn.XLOOKUP(B937, customer_master!$A$2:$A$1649, customer_master!$A$2:$A$1649)), "Orphan", "Valid")</f>
        <v>Valid</v>
      </c>
    </row>
    <row r="938" spans="1:8" x14ac:dyDescent="0.3">
      <c r="A938" s="1" t="s">
        <v>9165</v>
      </c>
      <c r="B938" s="1" t="s">
        <v>2613</v>
      </c>
      <c r="C938" s="41">
        <v>45879</v>
      </c>
      <c r="D938" s="1" t="s">
        <v>7889</v>
      </c>
      <c r="E938" s="1">
        <v>4</v>
      </c>
      <c r="F938" s="1" t="s">
        <v>30</v>
      </c>
      <c r="G938" s="1" t="s">
        <v>17</v>
      </c>
      <c r="H938" t="str">
        <f>IF(ISNA(_xlfn.XLOOKUP(B938, customer_master!$A$2:$A$1649, customer_master!$A$2:$A$1649)), "Orphan", "Valid")</f>
        <v>Valid</v>
      </c>
    </row>
    <row r="939" spans="1:8" x14ac:dyDescent="0.3">
      <c r="A939" s="1" t="s">
        <v>9166</v>
      </c>
      <c r="B939" s="1" t="s">
        <v>9167</v>
      </c>
      <c r="C939" s="41">
        <v>45780</v>
      </c>
      <c r="D939" s="1" t="s">
        <v>7887</v>
      </c>
      <c r="E939" s="1">
        <v>2</v>
      </c>
      <c r="F939" s="1" t="s">
        <v>17</v>
      </c>
      <c r="G939" s="1" t="s">
        <v>17</v>
      </c>
      <c r="H939" t="str">
        <f>IF(ISNA(_xlfn.XLOOKUP(B939, customer_master!$A$2:$A$1649, customer_master!$A$2:$A$1649)), "Orphan", "Valid")</f>
        <v>Orphan</v>
      </c>
    </row>
    <row r="940" spans="1:8" x14ac:dyDescent="0.3">
      <c r="A940" s="1" t="s">
        <v>9168</v>
      </c>
      <c r="B940" s="1" t="s">
        <v>9169</v>
      </c>
      <c r="C940" s="41">
        <v>46252</v>
      </c>
      <c r="D940" s="1" t="s">
        <v>7877</v>
      </c>
      <c r="E940" s="1">
        <v>2</v>
      </c>
      <c r="F940" s="1" t="s">
        <v>17</v>
      </c>
      <c r="G940" s="1" t="s">
        <v>17</v>
      </c>
      <c r="H940" t="str">
        <f>IF(ISNA(_xlfn.XLOOKUP(B940, customer_master!$A$2:$A$1649, customer_master!$A$2:$A$1649)), "Orphan", "Valid")</f>
        <v>Orphan</v>
      </c>
    </row>
    <row r="941" spans="1:8" x14ac:dyDescent="0.3">
      <c r="A941" s="1" t="s">
        <v>9170</v>
      </c>
      <c r="B941" s="1" t="s">
        <v>931</v>
      </c>
      <c r="C941" s="41">
        <v>45682</v>
      </c>
      <c r="D941" s="1" t="s">
        <v>7877</v>
      </c>
      <c r="E941" s="1">
        <v>2</v>
      </c>
      <c r="F941" s="1" t="s">
        <v>30</v>
      </c>
      <c r="G941" s="1" t="s">
        <v>30</v>
      </c>
      <c r="H941" t="str">
        <f>IF(ISNA(_xlfn.XLOOKUP(B941, customer_master!$A$2:$A$1649, customer_master!$A$2:$A$1649)), "Orphan", "Valid")</f>
        <v>Valid</v>
      </c>
    </row>
    <row r="942" spans="1:8" x14ac:dyDescent="0.3">
      <c r="A942" s="1" t="s">
        <v>9171</v>
      </c>
      <c r="B942" s="1" t="s">
        <v>1213</v>
      </c>
      <c r="C942" s="41">
        <v>45802</v>
      </c>
      <c r="D942" s="1" t="s">
        <v>7887</v>
      </c>
      <c r="E942" s="1">
        <v>2</v>
      </c>
      <c r="F942" s="1" t="s">
        <v>17</v>
      </c>
      <c r="G942" s="1" t="s">
        <v>17</v>
      </c>
      <c r="H942" t="str">
        <f>IF(ISNA(_xlfn.XLOOKUP(B942, customer_master!$A$2:$A$1649, customer_master!$A$2:$A$1649)), "Orphan", "Valid")</f>
        <v>Valid</v>
      </c>
    </row>
    <row r="943" spans="1:8" x14ac:dyDescent="0.3">
      <c r="A943" s="1" t="s">
        <v>9172</v>
      </c>
      <c r="B943" s="1" t="s">
        <v>568</v>
      </c>
      <c r="C943" s="41">
        <v>45231</v>
      </c>
      <c r="D943" s="1" t="s">
        <v>7879</v>
      </c>
      <c r="E943" s="1">
        <v>2</v>
      </c>
      <c r="F943" s="1" t="s">
        <v>30</v>
      </c>
      <c r="G943" s="1" t="s">
        <v>17</v>
      </c>
      <c r="H943" t="str">
        <f>IF(ISNA(_xlfn.XLOOKUP(B943, customer_master!$A$2:$A$1649, customer_master!$A$2:$A$1649)), "Orphan", "Valid")</f>
        <v>Valid</v>
      </c>
    </row>
    <row r="944" spans="1:8" x14ac:dyDescent="0.3">
      <c r="A944" s="1" t="s">
        <v>9173</v>
      </c>
      <c r="B944" s="1" t="s">
        <v>9174</v>
      </c>
      <c r="C944" s="41">
        <v>45851</v>
      </c>
      <c r="D944" s="1" t="s">
        <v>7879</v>
      </c>
      <c r="E944" s="1">
        <v>2</v>
      </c>
      <c r="F944" s="1" t="s">
        <v>17</v>
      </c>
      <c r="G944" s="1" t="s">
        <v>17</v>
      </c>
      <c r="H944" t="str">
        <f>IF(ISNA(_xlfn.XLOOKUP(B944, customer_master!$A$2:$A$1649, customer_master!$A$2:$A$1649)), "Orphan", "Valid")</f>
        <v>Orphan</v>
      </c>
    </row>
    <row r="945" spans="1:8" x14ac:dyDescent="0.3">
      <c r="A945" s="1" t="s">
        <v>9175</v>
      </c>
      <c r="B945" s="1" t="s">
        <v>48</v>
      </c>
      <c r="C945" s="41">
        <v>45717</v>
      </c>
      <c r="D945" s="1" t="s">
        <v>7879</v>
      </c>
      <c r="E945" s="1">
        <v>2</v>
      </c>
      <c r="F945" s="1" t="s">
        <v>17</v>
      </c>
      <c r="G945" s="1" t="s">
        <v>17</v>
      </c>
      <c r="H945" t="str">
        <f>IF(ISNA(_xlfn.XLOOKUP(B945, customer_master!$A$2:$A$1649, customer_master!$A$2:$A$1649)), "Orphan", "Valid")</f>
        <v>Valid</v>
      </c>
    </row>
    <row r="946" spans="1:8" x14ac:dyDescent="0.3">
      <c r="A946" s="1" t="s">
        <v>9176</v>
      </c>
      <c r="B946" s="1" t="s">
        <v>1737</v>
      </c>
      <c r="C946" s="41">
        <v>45651</v>
      </c>
      <c r="D946" s="1" t="s">
        <v>7877</v>
      </c>
      <c r="E946" s="1">
        <v>2</v>
      </c>
      <c r="F946" s="1" t="s">
        <v>30</v>
      </c>
      <c r="G946" s="1" t="s">
        <v>30</v>
      </c>
      <c r="H946" t="str">
        <f>IF(ISNA(_xlfn.XLOOKUP(B946, customer_master!$A$2:$A$1649, customer_master!$A$2:$A$1649)), "Orphan", "Valid")</f>
        <v>Valid</v>
      </c>
    </row>
    <row r="947" spans="1:8" x14ac:dyDescent="0.3">
      <c r="A947" s="1" t="s">
        <v>9177</v>
      </c>
      <c r="B947" s="1" t="s">
        <v>2146</v>
      </c>
      <c r="C947" s="41">
        <v>46217</v>
      </c>
      <c r="D947" s="1" t="s">
        <v>7887</v>
      </c>
      <c r="E947" s="1">
        <v>2</v>
      </c>
      <c r="F947" s="1" t="s">
        <v>17</v>
      </c>
      <c r="G947" s="1" t="s">
        <v>30</v>
      </c>
      <c r="H947" t="str">
        <f>IF(ISNA(_xlfn.XLOOKUP(B947, customer_master!$A$2:$A$1649, customer_master!$A$2:$A$1649)), "Orphan", "Valid")</f>
        <v>Valid</v>
      </c>
    </row>
    <row r="948" spans="1:8" x14ac:dyDescent="0.3">
      <c r="A948" s="1" t="s">
        <v>9178</v>
      </c>
      <c r="B948" s="1" t="s">
        <v>2356</v>
      </c>
      <c r="C948" s="41">
        <v>45360</v>
      </c>
      <c r="D948" s="1" t="s">
        <v>7899</v>
      </c>
      <c r="E948" s="1">
        <v>2</v>
      </c>
      <c r="F948" s="1" t="s">
        <v>30</v>
      </c>
      <c r="G948" s="1" t="s">
        <v>17</v>
      </c>
      <c r="H948" t="str">
        <f>IF(ISNA(_xlfn.XLOOKUP(B948, customer_master!$A$2:$A$1649, customer_master!$A$2:$A$1649)), "Orphan", "Valid")</f>
        <v>Valid</v>
      </c>
    </row>
    <row r="949" spans="1:8" x14ac:dyDescent="0.3">
      <c r="A949" s="1" t="s">
        <v>9179</v>
      </c>
      <c r="B949" s="1" t="s">
        <v>9180</v>
      </c>
      <c r="C949" s="41">
        <v>45786</v>
      </c>
      <c r="D949" s="1" t="s">
        <v>7896</v>
      </c>
      <c r="E949" s="1">
        <v>4</v>
      </c>
      <c r="F949" s="1" t="s">
        <v>30</v>
      </c>
      <c r="G949" s="1" t="s">
        <v>30</v>
      </c>
      <c r="H949" t="str">
        <f>IF(ISNA(_xlfn.XLOOKUP(B949, customer_master!$A$2:$A$1649, customer_master!$A$2:$A$1649)), "Orphan", "Valid")</f>
        <v>Orphan</v>
      </c>
    </row>
    <row r="950" spans="1:8" x14ac:dyDescent="0.3">
      <c r="A950" s="1" t="s">
        <v>9181</v>
      </c>
      <c r="B950" s="1" t="s">
        <v>2056</v>
      </c>
      <c r="C950" s="41">
        <v>45785</v>
      </c>
      <c r="D950" s="1" t="s">
        <v>7887</v>
      </c>
      <c r="E950" s="1">
        <v>2</v>
      </c>
      <c r="F950" s="1" t="s">
        <v>17</v>
      </c>
      <c r="G950" s="1" t="s">
        <v>17</v>
      </c>
      <c r="H950" t="str">
        <f>IF(ISNA(_xlfn.XLOOKUP(B950, customer_master!$A$2:$A$1649, customer_master!$A$2:$A$1649)), "Orphan", "Valid")</f>
        <v>Valid</v>
      </c>
    </row>
    <row r="951" spans="1:8" x14ac:dyDescent="0.3">
      <c r="A951" s="1" t="s">
        <v>9182</v>
      </c>
      <c r="B951" s="1" t="s">
        <v>9183</v>
      </c>
      <c r="C951" s="41">
        <v>45236</v>
      </c>
      <c r="D951" s="1" t="s">
        <v>7896</v>
      </c>
      <c r="E951" s="1">
        <v>4</v>
      </c>
      <c r="F951" s="1" t="s">
        <v>30</v>
      </c>
      <c r="G951" s="1" t="s">
        <v>30</v>
      </c>
      <c r="H951" t="str">
        <f>IF(ISNA(_xlfn.XLOOKUP(B951, customer_master!$A$2:$A$1649, customer_master!$A$2:$A$1649)), "Orphan", "Valid")</f>
        <v>Orphan</v>
      </c>
    </row>
    <row r="952" spans="1:8" x14ac:dyDescent="0.3">
      <c r="A952" s="1" t="s">
        <v>9184</v>
      </c>
      <c r="B952" s="1" t="s">
        <v>9185</v>
      </c>
      <c r="C952" s="41">
        <v>45553</v>
      </c>
      <c r="D952" s="1" t="s">
        <v>7906</v>
      </c>
      <c r="E952" s="1">
        <v>4</v>
      </c>
      <c r="F952" s="1" t="s">
        <v>30</v>
      </c>
      <c r="G952" s="1" t="s">
        <v>17</v>
      </c>
      <c r="H952" t="str">
        <f>IF(ISNA(_xlfn.XLOOKUP(B952, customer_master!$A$2:$A$1649, customer_master!$A$2:$A$1649)), "Orphan", "Valid")</f>
        <v>Orphan</v>
      </c>
    </row>
    <row r="953" spans="1:8" x14ac:dyDescent="0.3">
      <c r="A953" s="1" t="s">
        <v>9186</v>
      </c>
      <c r="B953" s="1" t="s">
        <v>9187</v>
      </c>
      <c r="C953" s="41">
        <v>46123</v>
      </c>
      <c r="D953" s="1" t="s">
        <v>7887</v>
      </c>
      <c r="E953" s="1">
        <v>2</v>
      </c>
      <c r="F953" s="1" t="s">
        <v>30</v>
      </c>
      <c r="G953" s="1" t="s">
        <v>30</v>
      </c>
      <c r="H953" t="str">
        <f>IF(ISNA(_xlfn.XLOOKUP(B953, customer_master!$A$2:$A$1649, customer_master!$A$2:$A$1649)), "Orphan", "Valid")</f>
        <v>Orphan</v>
      </c>
    </row>
    <row r="954" spans="1:8" x14ac:dyDescent="0.3">
      <c r="A954" s="1" t="s">
        <v>9188</v>
      </c>
      <c r="B954" s="1" t="s">
        <v>713</v>
      </c>
      <c r="C954" s="41">
        <v>45335</v>
      </c>
      <c r="D954" s="1" t="s">
        <v>7912</v>
      </c>
      <c r="E954" s="1">
        <v>4</v>
      </c>
      <c r="F954" s="1" t="s">
        <v>30</v>
      </c>
      <c r="G954" s="1" t="s">
        <v>17</v>
      </c>
      <c r="H954" t="str">
        <f>IF(ISNA(_xlfn.XLOOKUP(B954, customer_master!$A$2:$A$1649, customer_master!$A$2:$A$1649)), "Orphan", "Valid")</f>
        <v>Valid</v>
      </c>
    </row>
    <row r="955" spans="1:8" x14ac:dyDescent="0.3">
      <c r="A955" s="1" t="s">
        <v>9189</v>
      </c>
      <c r="B955" s="1" t="s">
        <v>9190</v>
      </c>
      <c r="C955" s="41">
        <v>45920</v>
      </c>
      <c r="D955" s="1" t="s">
        <v>7881</v>
      </c>
      <c r="E955" s="1">
        <v>4</v>
      </c>
      <c r="F955" s="1" t="s">
        <v>17</v>
      </c>
      <c r="G955" s="1" t="s">
        <v>17</v>
      </c>
      <c r="H955" t="str">
        <f>IF(ISNA(_xlfn.XLOOKUP(B955, customer_master!$A$2:$A$1649, customer_master!$A$2:$A$1649)), "Orphan", "Valid")</f>
        <v>Orphan</v>
      </c>
    </row>
    <row r="956" spans="1:8" x14ac:dyDescent="0.3">
      <c r="A956" s="1" t="s">
        <v>9191</v>
      </c>
      <c r="B956" s="1" t="s">
        <v>9192</v>
      </c>
      <c r="C956" s="41">
        <v>45244</v>
      </c>
      <c r="D956" s="1" t="s">
        <v>7884</v>
      </c>
      <c r="E956" s="1">
        <v>2</v>
      </c>
      <c r="F956" s="1" t="s">
        <v>30</v>
      </c>
      <c r="G956" s="1" t="s">
        <v>17</v>
      </c>
      <c r="H956" t="str">
        <f>IF(ISNA(_xlfn.XLOOKUP(B956, customer_master!$A$2:$A$1649, customer_master!$A$2:$A$1649)), "Orphan", "Valid")</f>
        <v>Orphan</v>
      </c>
    </row>
    <row r="957" spans="1:8" x14ac:dyDescent="0.3">
      <c r="A957" s="1" t="s">
        <v>9193</v>
      </c>
      <c r="B957" s="1" t="s">
        <v>2728</v>
      </c>
      <c r="C957" s="41">
        <v>45960</v>
      </c>
      <c r="D957" s="1" t="s">
        <v>7877</v>
      </c>
      <c r="E957" s="1">
        <v>2</v>
      </c>
      <c r="F957" s="1" t="s">
        <v>30</v>
      </c>
      <c r="G957" s="1" t="s">
        <v>30</v>
      </c>
      <c r="H957" t="str">
        <f>IF(ISNA(_xlfn.XLOOKUP(B957, customer_master!$A$2:$A$1649, customer_master!$A$2:$A$1649)), "Orphan", "Valid")</f>
        <v>Valid</v>
      </c>
    </row>
    <row r="958" spans="1:8" x14ac:dyDescent="0.3">
      <c r="A958" s="1" t="s">
        <v>9194</v>
      </c>
      <c r="B958" s="1" t="s">
        <v>9195</v>
      </c>
      <c r="C958" s="41">
        <v>45797</v>
      </c>
      <c r="D958" s="1" t="s">
        <v>7881</v>
      </c>
      <c r="E958" s="1">
        <v>4</v>
      </c>
      <c r="F958" s="1" t="s">
        <v>30</v>
      </c>
      <c r="G958" s="1" t="s">
        <v>30</v>
      </c>
      <c r="H958" t="str">
        <f>IF(ISNA(_xlfn.XLOOKUP(B958, customer_master!$A$2:$A$1649, customer_master!$A$2:$A$1649)), "Orphan", "Valid")</f>
        <v>Orphan</v>
      </c>
    </row>
    <row r="959" spans="1:8" x14ac:dyDescent="0.3">
      <c r="A959" s="1" t="s">
        <v>9196</v>
      </c>
      <c r="B959" s="1" t="s">
        <v>9197</v>
      </c>
      <c r="C959" s="41">
        <v>46211</v>
      </c>
      <c r="D959" s="1" t="s">
        <v>7877</v>
      </c>
      <c r="E959" s="1">
        <v>1</v>
      </c>
      <c r="F959" s="1" t="s">
        <v>30</v>
      </c>
      <c r="G959" s="1" t="s">
        <v>17</v>
      </c>
      <c r="H959" t="str">
        <f>IF(ISNA(_xlfn.XLOOKUP(B959, customer_master!$A$2:$A$1649, customer_master!$A$2:$A$1649)), "Orphan", "Valid")</f>
        <v>Orphan</v>
      </c>
    </row>
    <row r="960" spans="1:8" x14ac:dyDescent="0.3">
      <c r="A960" s="1" t="s">
        <v>9198</v>
      </c>
      <c r="B960" s="1" t="s">
        <v>9199</v>
      </c>
      <c r="C960" s="41">
        <v>45970</v>
      </c>
      <c r="D960" s="1" t="s">
        <v>7912</v>
      </c>
      <c r="E960" s="1">
        <v>5</v>
      </c>
      <c r="F960" s="1" t="s">
        <v>17</v>
      </c>
      <c r="G960" s="1" t="s">
        <v>17</v>
      </c>
      <c r="H960" t="str">
        <f>IF(ISNA(_xlfn.XLOOKUP(B960, customer_master!$A$2:$A$1649, customer_master!$A$2:$A$1649)), "Orphan", "Valid")</f>
        <v>Orphan</v>
      </c>
    </row>
    <row r="961" spans="1:8" x14ac:dyDescent="0.3">
      <c r="A961" s="1" t="s">
        <v>9200</v>
      </c>
      <c r="B961" s="1" t="s">
        <v>9201</v>
      </c>
      <c r="C961" s="41">
        <v>45955</v>
      </c>
      <c r="D961" s="1" t="s">
        <v>7896</v>
      </c>
      <c r="E961" s="1">
        <v>5</v>
      </c>
      <c r="F961" s="1" t="s">
        <v>30</v>
      </c>
      <c r="G961" s="1" t="s">
        <v>17</v>
      </c>
      <c r="H961" t="str">
        <f>IF(ISNA(_xlfn.XLOOKUP(B961, customer_master!$A$2:$A$1649, customer_master!$A$2:$A$1649)), "Orphan", "Valid")</f>
        <v>Orphan</v>
      </c>
    </row>
    <row r="962" spans="1:8" x14ac:dyDescent="0.3">
      <c r="A962" s="1" t="s">
        <v>9202</v>
      </c>
      <c r="B962" s="1" t="s">
        <v>1984</v>
      </c>
      <c r="C962" s="41">
        <v>45710</v>
      </c>
      <c r="D962" s="1" t="s">
        <v>7899</v>
      </c>
      <c r="E962" s="1">
        <v>2</v>
      </c>
      <c r="F962" s="1" t="s">
        <v>30</v>
      </c>
      <c r="G962" s="1" t="s">
        <v>17</v>
      </c>
      <c r="H962" t="str">
        <f>IF(ISNA(_xlfn.XLOOKUP(B962, customer_master!$A$2:$A$1649, customer_master!$A$2:$A$1649)), "Orphan", "Valid")</f>
        <v>Valid</v>
      </c>
    </row>
    <row r="963" spans="1:8" x14ac:dyDescent="0.3">
      <c r="A963" s="1" t="s">
        <v>9203</v>
      </c>
      <c r="B963" s="1" t="s">
        <v>964</v>
      </c>
      <c r="C963" s="41">
        <v>45944</v>
      </c>
      <c r="D963" s="1" t="s">
        <v>7877</v>
      </c>
      <c r="E963" s="1">
        <v>1</v>
      </c>
      <c r="F963" s="1" t="s">
        <v>30</v>
      </c>
      <c r="G963" s="1" t="s">
        <v>17</v>
      </c>
      <c r="H963" t="str">
        <f>IF(ISNA(_xlfn.XLOOKUP(B963, customer_master!$A$2:$A$1649, customer_master!$A$2:$A$1649)), "Orphan", "Valid")</f>
        <v>Valid</v>
      </c>
    </row>
    <row r="964" spans="1:8" x14ac:dyDescent="0.3">
      <c r="A964" s="1" t="s">
        <v>9204</v>
      </c>
      <c r="B964" s="1" t="s">
        <v>2977</v>
      </c>
      <c r="C964" s="41">
        <v>46206</v>
      </c>
      <c r="D964" s="1" t="s">
        <v>7887</v>
      </c>
      <c r="E964" s="1">
        <v>2</v>
      </c>
      <c r="F964" s="1" t="s">
        <v>17</v>
      </c>
      <c r="G964" s="1" t="s">
        <v>17</v>
      </c>
      <c r="H964" t="str">
        <f>IF(ISNA(_xlfn.XLOOKUP(B964, customer_master!$A$2:$A$1649, customer_master!$A$2:$A$1649)), "Orphan", "Valid")</f>
        <v>Valid</v>
      </c>
    </row>
    <row r="965" spans="1:8" x14ac:dyDescent="0.3">
      <c r="A965" s="1" t="s">
        <v>9205</v>
      </c>
      <c r="B965" s="1" t="s">
        <v>9206</v>
      </c>
      <c r="C965" s="41">
        <v>46253</v>
      </c>
      <c r="D965" s="1" t="s">
        <v>7889</v>
      </c>
      <c r="E965" s="1">
        <v>4</v>
      </c>
      <c r="F965" s="1" t="s">
        <v>17</v>
      </c>
      <c r="G965" s="1" t="s">
        <v>17</v>
      </c>
      <c r="H965" t="str">
        <f>IF(ISNA(_xlfn.XLOOKUP(B965, customer_master!$A$2:$A$1649, customer_master!$A$2:$A$1649)), "Orphan", "Valid")</f>
        <v>Orphan</v>
      </c>
    </row>
    <row r="966" spans="1:8" x14ac:dyDescent="0.3">
      <c r="A966" s="1" t="s">
        <v>9207</v>
      </c>
      <c r="B966" s="1" t="s">
        <v>9208</v>
      </c>
      <c r="C966" s="41">
        <v>45408</v>
      </c>
      <c r="D966" s="1" t="s">
        <v>7884</v>
      </c>
      <c r="E966" s="1">
        <v>3</v>
      </c>
      <c r="F966" s="1" t="s">
        <v>30</v>
      </c>
      <c r="G966" s="1" t="s">
        <v>30</v>
      </c>
      <c r="H966" t="str">
        <f>IF(ISNA(_xlfn.XLOOKUP(B966, customer_master!$A$2:$A$1649, customer_master!$A$2:$A$1649)), "Orphan", "Valid")</f>
        <v>Orphan</v>
      </c>
    </row>
    <row r="967" spans="1:8" x14ac:dyDescent="0.3">
      <c r="A967" s="1" t="s">
        <v>9209</v>
      </c>
      <c r="B967" s="1" t="s">
        <v>9210</v>
      </c>
      <c r="C967" s="41">
        <v>45668</v>
      </c>
      <c r="D967" s="1" t="s">
        <v>7896</v>
      </c>
      <c r="E967" s="1">
        <v>5</v>
      </c>
      <c r="F967" s="1" t="s">
        <v>30</v>
      </c>
      <c r="G967" s="1" t="s">
        <v>17</v>
      </c>
      <c r="H967" t="str">
        <f>IF(ISNA(_xlfn.XLOOKUP(B967, customer_master!$A$2:$A$1649, customer_master!$A$2:$A$1649)), "Orphan", "Valid")</f>
        <v>Orphan</v>
      </c>
    </row>
    <row r="968" spans="1:8" x14ac:dyDescent="0.3">
      <c r="A968" s="1" t="s">
        <v>9211</v>
      </c>
      <c r="B968" s="1" t="s">
        <v>1819</v>
      </c>
      <c r="C968" s="41">
        <v>45763</v>
      </c>
      <c r="D968" s="1" t="s">
        <v>7899</v>
      </c>
      <c r="E968" s="1">
        <v>2</v>
      </c>
      <c r="F968" s="1" t="s">
        <v>30</v>
      </c>
      <c r="G968" s="1" t="s">
        <v>17</v>
      </c>
      <c r="H968" t="str">
        <f>IF(ISNA(_xlfn.XLOOKUP(B968, customer_master!$A$2:$A$1649, customer_master!$A$2:$A$1649)), "Orphan", "Valid")</f>
        <v>Valid</v>
      </c>
    </row>
    <row r="969" spans="1:8" x14ac:dyDescent="0.3">
      <c r="A969" s="1" t="s">
        <v>9212</v>
      </c>
      <c r="B969" s="1" t="s">
        <v>2160</v>
      </c>
      <c r="C969" s="41">
        <v>45912</v>
      </c>
      <c r="D969" s="1" t="s">
        <v>7879</v>
      </c>
      <c r="E969" s="1">
        <v>2</v>
      </c>
      <c r="F969" s="1" t="s">
        <v>17</v>
      </c>
      <c r="G969" s="1" t="s">
        <v>17</v>
      </c>
      <c r="H969" t="str">
        <f>IF(ISNA(_xlfn.XLOOKUP(B969, customer_master!$A$2:$A$1649, customer_master!$A$2:$A$1649)), "Orphan", "Valid")</f>
        <v>Valid</v>
      </c>
    </row>
    <row r="970" spans="1:8" x14ac:dyDescent="0.3">
      <c r="A970" s="1" t="s">
        <v>9213</v>
      </c>
      <c r="B970" s="1" t="s">
        <v>9214</v>
      </c>
      <c r="C970" s="41">
        <v>45535</v>
      </c>
      <c r="D970" s="1" t="s">
        <v>7896</v>
      </c>
      <c r="E970" s="1">
        <v>4</v>
      </c>
      <c r="F970" s="1" t="s">
        <v>30</v>
      </c>
      <c r="G970" s="1" t="s">
        <v>17</v>
      </c>
      <c r="H970" t="str">
        <f>IF(ISNA(_xlfn.XLOOKUP(B970, customer_master!$A$2:$A$1649, customer_master!$A$2:$A$1649)), "Orphan", "Valid")</f>
        <v>Orphan</v>
      </c>
    </row>
    <row r="971" spans="1:8" x14ac:dyDescent="0.3">
      <c r="A971" s="1" t="s">
        <v>9215</v>
      </c>
      <c r="B971" s="1" t="s">
        <v>833</v>
      </c>
      <c r="C971" s="41">
        <v>45797</v>
      </c>
      <c r="D971" s="1" t="s">
        <v>7881</v>
      </c>
      <c r="E971" s="1">
        <v>4</v>
      </c>
      <c r="F971" s="1" t="s">
        <v>17</v>
      </c>
      <c r="G971" s="1" t="s">
        <v>30</v>
      </c>
      <c r="H971" t="str">
        <f>IF(ISNA(_xlfn.XLOOKUP(B971, customer_master!$A$2:$A$1649, customer_master!$A$2:$A$1649)), "Orphan", "Valid")</f>
        <v>Valid</v>
      </c>
    </row>
    <row r="972" spans="1:8" x14ac:dyDescent="0.3">
      <c r="A972" s="1" t="s">
        <v>9216</v>
      </c>
      <c r="B972" s="1" t="s">
        <v>2728</v>
      </c>
      <c r="C972" s="41">
        <v>46133</v>
      </c>
      <c r="D972" s="1" t="s">
        <v>7912</v>
      </c>
      <c r="E972" s="1">
        <v>4</v>
      </c>
      <c r="F972" s="1" t="s">
        <v>17</v>
      </c>
      <c r="G972" s="1" t="s">
        <v>30</v>
      </c>
      <c r="H972" t="str">
        <f>IF(ISNA(_xlfn.XLOOKUP(B972, customer_master!$A$2:$A$1649, customer_master!$A$2:$A$1649)), "Orphan", "Valid")</f>
        <v>Valid</v>
      </c>
    </row>
    <row r="973" spans="1:8" x14ac:dyDescent="0.3">
      <c r="A973" s="1" t="s">
        <v>9217</v>
      </c>
      <c r="B973" s="1" t="s">
        <v>761</v>
      </c>
      <c r="C973" s="41">
        <v>46210</v>
      </c>
      <c r="D973" s="1" t="s">
        <v>7881</v>
      </c>
      <c r="E973" s="1">
        <v>4</v>
      </c>
      <c r="F973" s="1" t="s">
        <v>17</v>
      </c>
      <c r="G973" s="1" t="s">
        <v>30</v>
      </c>
      <c r="H973" t="str">
        <f>IF(ISNA(_xlfn.XLOOKUP(B973, customer_master!$A$2:$A$1649, customer_master!$A$2:$A$1649)), "Orphan", "Valid")</f>
        <v>Valid</v>
      </c>
    </row>
    <row r="974" spans="1:8" x14ac:dyDescent="0.3">
      <c r="A974" s="1" t="s">
        <v>9218</v>
      </c>
      <c r="B974" s="1" t="s">
        <v>150</v>
      </c>
      <c r="C974" s="41">
        <v>45331</v>
      </c>
      <c r="D974" s="1" t="s">
        <v>7896</v>
      </c>
      <c r="E974" s="1">
        <v>4</v>
      </c>
      <c r="F974" s="1" t="s">
        <v>30</v>
      </c>
      <c r="G974" s="1" t="s">
        <v>30</v>
      </c>
      <c r="H974" t="str">
        <f>IF(ISNA(_xlfn.XLOOKUP(B974, customer_master!$A$2:$A$1649, customer_master!$A$2:$A$1649)), "Orphan", "Valid")</f>
        <v>Valid</v>
      </c>
    </row>
    <row r="975" spans="1:8" x14ac:dyDescent="0.3">
      <c r="A975" s="1" t="s">
        <v>9219</v>
      </c>
      <c r="B975" s="1" t="s">
        <v>646</v>
      </c>
      <c r="C975" s="41">
        <v>45764</v>
      </c>
      <c r="D975" s="1" t="s">
        <v>7881</v>
      </c>
      <c r="E975" s="1">
        <v>4</v>
      </c>
      <c r="F975" s="1" t="s">
        <v>17</v>
      </c>
      <c r="G975" s="1" t="s">
        <v>17</v>
      </c>
      <c r="H975" t="str">
        <f>IF(ISNA(_xlfn.XLOOKUP(B975, customer_master!$A$2:$A$1649, customer_master!$A$2:$A$1649)), "Orphan", "Valid")</f>
        <v>Valid</v>
      </c>
    </row>
    <row r="976" spans="1:8" x14ac:dyDescent="0.3">
      <c r="A976" s="1" t="s">
        <v>9220</v>
      </c>
      <c r="B976" s="1" t="s">
        <v>2158</v>
      </c>
      <c r="C976" s="41">
        <v>45919</v>
      </c>
      <c r="D976" s="1" t="s">
        <v>7879</v>
      </c>
      <c r="E976" s="1">
        <v>2</v>
      </c>
      <c r="F976" s="1" t="s">
        <v>17</v>
      </c>
      <c r="G976" s="1" t="s">
        <v>30</v>
      </c>
      <c r="H976" t="str">
        <f>IF(ISNA(_xlfn.XLOOKUP(B976, customer_master!$A$2:$A$1649, customer_master!$A$2:$A$1649)), "Orphan", "Valid")</f>
        <v>Valid</v>
      </c>
    </row>
    <row r="977" spans="1:8" x14ac:dyDescent="0.3">
      <c r="A977" s="1" t="s">
        <v>9221</v>
      </c>
      <c r="B977" s="1" t="s">
        <v>2111</v>
      </c>
      <c r="C977" s="41">
        <v>45517</v>
      </c>
      <c r="D977" s="1" t="s">
        <v>7912</v>
      </c>
      <c r="E977" s="1">
        <v>5</v>
      </c>
      <c r="F977" s="1" t="s">
        <v>17</v>
      </c>
      <c r="G977" s="1" t="s">
        <v>17</v>
      </c>
      <c r="H977" t="str">
        <f>IF(ISNA(_xlfn.XLOOKUP(B977, customer_master!$A$2:$A$1649, customer_master!$A$2:$A$1649)), "Orphan", "Valid")</f>
        <v>Valid</v>
      </c>
    </row>
    <row r="978" spans="1:8" x14ac:dyDescent="0.3">
      <c r="A978" s="1" t="s">
        <v>9222</v>
      </c>
      <c r="B978" s="1" t="s">
        <v>9223</v>
      </c>
      <c r="C978" s="41">
        <v>45180</v>
      </c>
      <c r="D978" s="1" t="s">
        <v>7896</v>
      </c>
      <c r="E978" s="1">
        <v>4</v>
      </c>
      <c r="F978" s="1" t="s">
        <v>30</v>
      </c>
      <c r="G978" s="1" t="s">
        <v>17</v>
      </c>
      <c r="H978" t="str">
        <f>IF(ISNA(_xlfn.XLOOKUP(B978, customer_master!$A$2:$A$1649, customer_master!$A$2:$A$1649)), "Orphan", "Valid")</f>
        <v>Orphan</v>
      </c>
    </row>
    <row r="979" spans="1:8" x14ac:dyDescent="0.3">
      <c r="A979" s="1" t="s">
        <v>9224</v>
      </c>
      <c r="B979" s="1" t="s">
        <v>137</v>
      </c>
      <c r="C979" s="41">
        <v>45841</v>
      </c>
      <c r="D979" s="1" t="s">
        <v>7879</v>
      </c>
      <c r="E979" s="1">
        <v>2</v>
      </c>
      <c r="F979" s="1" t="s">
        <v>17</v>
      </c>
      <c r="G979" s="1" t="s">
        <v>17</v>
      </c>
      <c r="H979" t="str">
        <f>IF(ISNA(_xlfn.XLOOKUP(B979, customer_master!$A$2:$A$1649, customer_master!$A$2:$A$1649)), "Orphan", "Valid")</f>
        <v>Valid</v>
      </c>
    </row>
    <row r="980" spans="1:8" x14ac:dyDescent="0.3">
      <c r="A980" s="1" t="s">
        <v>9225</v>
      </c>
      <c r="B980" s="1" t="s">
        <v>121</v>
      </c>
      <c r="C980" s="41">
        <v>45953</v>
      </c>
      <c r="D980" s="1" t="s">
        <v>7881</v>
      </c>
      <c r="E980" s="1">
        <v>4</v>
      </c>
      <c r="F980" s="1" t="s">
        <v>17</v>
      </c>
      <c r="G980" s="1" t="s">
        <v>17</v>
      </c>
      <c r="H980" t="str">
        <f>IF(ISNA(_xlfn.XLOOKUP(B980, customer_master!$A$2:$A$1649, customer_master!$A$2:$A$1649)), "Orphan", "Valid")</f>
        <v>Valid</v>
      </c>
    </row>
    <row r="981" spans="1:8" x14ac:dyDescent="0.3">
      <c r="A981" s="1" t="s">
        <v>9226</v>
      </c>
      <c r="B981" s="1" t="s">
        <v>81</v>
      </c>
      <c r="C981" s="41">
        <v>45565</v>
      </c>
      <c r="D981" s="1" t="s">
        <v>7889</v>
      </c>
      <c r="E981" s="1">
        <v>5</v>
      </c>
      <c r="F981" s="1" t="s">
        <v>30</v>
      </c>
      <c r="G981" s="1" t="s">
        <v>17</v>
      </c>
      <c r="H981" t="str">
        <f>IF(ISNA(_xlfn.XLOOKUP(B981, customer_master!$A$2:$A$1649, customer_master!$A$2:$A$1649)), "Orphan", "Valid")</f>
        <v>Valid</v>
      </c>
    </row>
    <row r="982" spans="1:8" x14ac:dyDescent="0.3">
      <c r="A982" s="1" t="s">
        <v>9227</v>
      </c>
      <c r="B982" s="1" t="s">
        <v>2883</v>
      </c>
      <c r="C982" s="41">
        <v>45304</v>
      </c>
      <c r="D982" s="1" t="s">
        <v>7896</v>
      </c>
      <c r="E982" s="1">
        <v>4</v>
      </c>
      <c r="F982" s="1" t="s">
        <v>30</v>
      </c>
      <c r="G982" s="1" t="s">
        <v>30</v>
      </c>
      <c r="H982" t="str">
        <f>IF(ISNA(_xlfn.XLOOKUP(B982, customer_master!$A$2:$A$1649, customer_master!$A$2:$A$1649)), "Orphan", "Valid")</f>
        <v>Valid</v>
      </c>
    </row>
    <row r="983" spans="1:8" x14ac:dyDescent="0.3">
      <c r="A983" s="1" t="s">
        <v>9228</v>
      </c>
      <c r="B983" s="1" t="s">
        <v>9229</v>
      </c>
      <c r="C983" s="41">
        <v>46244</v>
      </c>
      <c r="D983" s="1" t="s">
        <v>7889</v>
      </c>
      <c r="E983" s="1">
        <v>4</v>
      </c>
      <c r="F983" s="1" t="s">
        <v>17</v>
      </c>
      <c r="G983" s="1" t="s">
        <v>30</v>
      </c>
      <c r="H983" t="str">
        <f>IF(ISNA(_xlfn.XLOOKUP(B983, customer_master!$A$2:$A$1649, customer_master!$A$2:$A$1649)), "Orphan", "Valid")</f>
        <v>Orphan</v>
      </c>
    </row>
    <row r="984" spans="1:8" x14ac:dyDescent="0.3">
      <c r="A984" s="1" t="s">
        <v>9230</v>
      </c>
      <c r="B984" s="1" t="s">
        <v>2180</v>
      </c>
      <c r="C984" s="41">
        <v>45845</v>
      </c>
      <c r="D984" s="1" t="s">
        <v>7889</v>
      </c>
      <c r="E984" s="1">
        <v>5</v>
      </c>
      <c r="F984" s="1" t="s">
        <v>17</v>
      </c>
      <c r="G984" s="1" t="s">
        <v>30</v>
      </c>
      <c r="H984" t="str">
        <f>IF(ISNA(_xlfn.XLOOKUP(B984, customer_master!$A$2:$A$1649, customer_master!$A$2:$A$1649)), "Orphan", "Valid")</f>
        <v>Valid</v>
      </c>
    </row>
    <row r="985" spans="1:8" x14ac:dyDescent="0.3">
      <c r="A985" s="1" t="s">
        <v>9231</v>
      </c>
      <c r="B985" s="1" t="s">
        <v>2408</v>
      </c>
      <c r="C985" s="41">
        <v>45753</v>
      </c>
      <c r="D985" s="1" t="s">
        <v>7887</v>
      </c>
      <c r="E985" s="1">
        <v>2</v>
      </c>
      <c r="F985" s="1" t="s">
        <v>17</v>
      </c>
      <c r="G985" s="1" t="s">
        <v>30</v>
      </c>
      <c r="H985" t="str">
        <f>IF(ISNA(_xlfn.XLOOKUP(B985, customer_master!$A$2:$A$1649, customer_master!$A$2:$A$1649)), "Orphan", "Valid")</f>
        <v>Valid</v>
      </c>
    </row>
    <row r="986" spans="1:8" x14ac:dyDescent="0.3">
      <c r="A986" s="1" t="s">
        <v>9232</v>
      </c>
      <c r="B986" s="1" t="s">
        <v>9233</v>
      </c>
      <c r="C986" s="41">
        <v>45973</v>
      </c>
      <c r="D986" s="1" t="s">
        <v>7899</v>
      </c>
      <c r="E986" s="1">
        <v>2</v>
      </c>
      <c r="F986" s="1" t="s">
        <v>30</v>
      </c>
      <c r="G986" s="1" t="s">
        <v>30</v>
      </c>
      <c r="H986" t="str">
        <f>IF(ISNA(_xlfn.XLOOKUP(B986, customer_master!$A$2:$A$1649, customer_master!$A$2:$A$1649)), "Orphan", "Valid")</f>
        <v>Orphan</v>
      </c>
    </row>
    <row r="987" spans="1:8" x14ac:dyDescent="0.3">
      <c r="A987" s="1" t="s">
        <v>9234</v>
      </c>
      <c r="B987" s="1" t="s">
        <v>9235</v>
      </c>
      <c r="C987" s="41">
        <v>45975</v>
      </c>
      <c r="D987" s="1" t="s">
        <v>7887</v>
      </c>
      <c r="E987" s="1">
        <v>2</v>
      </c>
      <c r="F987" s="1" t="s">
        <v>30</v>
      </c>
      <c r="G987" s="1" t="s">
        <v>30</v>
      </c>
      <c r="H987" t="str">
        <f>IF(ISNA(_xlfn.XLOOKUP(B987, customer_master!$A$2:$A$1649, customer_master!$A$2:$A$1649)), "Orphan", "Valid")</f>
        <v>Orphan</v>
      </c>
    </row>
    <row r="988" spans="1:8" x14ac:dyDescent="0.3">
      <c r="A988" s="1" t="s">
        <v>9236</v>
      </c>
      <c r="B988" s="1" t="s">
        <v>9237</v>
      </c>
      <c r="C988" s="41">
        <v>45445</v>
      </c>
      <c r="D988" s="1" t="s">
        <v>7896</v>
      </c>
      <c r="E988" s="1">
        <v>4</v>
      </c>
      <c r="F988" s="1" t="s">
        <v>17</v>
      </c>
      <c r="G988" s="1" t="s">
        <v>17</v>
      </c>
      <c r="H988" t="str">
        <f>IF(ISNA(_xlfn.XLOOKUP(B988, customer_master!$A$2:$A$1649, customer_master!$A$2:$A$1649)), "Orphan", "Valid")</f>
        <v>Orphan</v>
      </c>
    </row>
    <row r="989" spans="1:8" x14ac:dyDescent="0.3">
      <c r="A989" s="1" t="s">
        <v>9238</v>
      </c>
      <c r="B989" s="1" t="s">
        <v>2194</v>
      </c>
      <c r="C989" s="41">
        <v>45832</v>
      </c>
      <c r="D989" s="1" t="s">
        <v>7879</v>
      </c>
      <c r="E989" s="1">
        <v>2</v>
      </c>
      <c r="F989" s="1" t="s">
        <v>30</v>
      </c>
      <c r="G989" s="1" t="s">
        <v>17</v>
      </c>
      <c r="H989" t="str">
        <f>IF(ISNA(_xlfn.XLOOKUP(B989, customer_master!$A$2:$A$1649, customer_master!$A$2:$A$1649)), "Orphan", "Valid")</f>
        <v>Valid</v>
      </c>
    </row>
    <row r="990" spans="1:8" x14ac:dyDescent="0.3">
      <c r="A990" s="1" t="s">
        <v>9239</v>
      </c>
      <c r="B990" s="1" t="s">
        <v>23</v>
      </c>
      <c r="C990" s="41">
        <v>46004</v>
      </c>
      <c r="D990" s="1" t="s">
        <v>7889</v>
      </c>
      <c r="E990" s="1">
        <v>5</v>
      </c>
      <c r="F990" s="1" t="s">
        <v>30</v>
      </c>
      <c r="G990" s="1" t="s">
        <v>17</v>
      </c>
      <c r="H990" t="str">
        <f>IF(ISNA(_xlfn.XLOOKUP(B990, customer_master!$A$2:$A$1649, customer_master!$A$2:$A$1649)), "Orphan", "Valid")</f>
        <v>Valid</v>
      </c>
    </row>
    <row r="991" spans="1:8" x14ac:dyDescent="0.3">
      <c r="A991" s="1" t="s">
        <v>9240</v>
      </c>
      <c r="B991" s="1" t="s">
        <v>9241</v>
      </c>
      <c r="C991" s="41">
        <v>45369</v>
      </c>
      <c r="D991" s="1" t="s">
        <v>7896</v>
      </c>
      <c r="E991" s="1">
        <v>4</v>
      </c>
      <c r="F991" s="1" t="s">
        <v>17</v>
      </c>
      <c r="G991" s="1" t="s">
        <v>17</v>
      </c>
      <c r="H991" t="str">
        <f>IF(ISNA(_xlfn.XLOOKUP(B991, customer_master!$A$2:$A$1649, customer_master!$A$2:$A$1649)), "Orphan", "Valid")</f>
        <v>Orphan</v>
      </c>
    </row>
    <row r="992" spans="1:8" x14ac:dyDescent="0.3">
      <c r="A992" s="1" t="s">
        <v>9242</v>
      </c>
      <c r="B992" s="1" t="s">
        <v>9243</v>
      </c>
      <c r="C992" s="41">
        <v>45371</v>
      </c>
      <c r="D992" s="1" t="s">
        <v>7877</v>
      </c>
      <c r="E992" s="1">
        <v>1</v>
      </c>
      <c r="F992" s="1" t="s">
        <v>17</v>
      </c>
      <c r="G992" s="1" t="s">
        <v>30</v>
      </c>
      <c r="H992" t="str">
        <f>IF(ISNA(_xlfn.XLOOKUP(B992, customer_master!$A$2:$A$1649, customer_master!$A$2:$A$1649)), "Orphan", "Valid")</f>
        <v>Orphan</v>
      </c>
    </row>
    <row r="993" spans="1:8" x14ac:dyDescent="0.3">
      <c r="A993" s="1" t="s">
        <v>9244</v>
      </c>
      <c r="B993" s="1" t="s">
        <v>2581</v>
      </c>
      <c r="C993" s="41">
        <v>45884</v>
      </c>
      <c r="D993" s="1" t="s">
        <v>7881</v>
      </c>
      <c r="E993" s="1">
        <v>4</v>
      </c>
      <c r="F993" s="1" t="s">
        <v>30</v>
      </c>
      <c r="G993" s="1" t="s">
        <v>17</v>
      </c>
      <c r="H993" t="str">
        <f>IF(ISNA(_xlfn.XLOOKUP(B993, customer_master!$A$2:$A$1649, customer_master!$A$2:$A$1649)), "Orphan", "Valid")</f>
        <v>Valid</v>
      </c>
    </row>
    <row r="994" spans="1:8" x14ac:dyDescent="0.3">
      <c r="A994" s="1" t="s">
        <v>9245</v>
      </c>
      <c r="B994" s="1" t="s">
        <v>1871</v>
      </c>
      <c r="C994" s="41">
        <v>45715</v>
      </c>
      <c r="D994" s="1" t="s">
        <v>7906</v>
      </c>
      <c r="E994" s="1">
        <v>4</v>
      </c>
      <c r="F994" s="1" t="s">
        <v>17</v>
      </c>
      <c r="G994" s="1" t="s">
        <v>30</v>
      </c>
      <c r="H994" t="str">
        <f>IF(ISNA(_xlfn.XLOOKUP(B994, customer_master!$A$2:$A$1649, customer_master!$A$2:$A$1649)), "Orphan", "Valid")</f>
        <v>Valid</v>
      </c>
    </row>
    <row r="995" spans="1:8" x14ac:dyDescent="0.3">
      <c r="A995" s="1" t="s">
        <v>9246</v>
      </c>
      <c r="B995" s="1" t="s">
        <v>3277</v>
      </c>
      <c r="C995" s="41">
        <v>45303</v>
      </c>
      <c r="D995" s="1" t="s">
        <v>7899</v>
      </c>
      <c r="E995" s="1">
        <v>2</v>
      </c>
      <c r="F995" s="1" t="s">
        <v>30</v>
      </c>
      <c r="G995" s="1" t="s">
        <v>17</v>
      </c>
      <c r="H995" t="str">
        <f>IF(ISNA(_xlfn.XLOOKUP(B995, customer_master!$A$2:$A$1649, customer_master!$A$2:$A$1649)), "Orphan", "Valid")</f>
        <v>Valid</v>
      </c>
    </row>
    <row r="996" spans="1:8" x14ac:dyDescent="0.3">
      <c r="A996" s="1" t="s">
        <v>9247</v>
      </c>
      <c r="B996" s="1" t="s">
        <v>953</v>
      </c>
      <c r="C996" s="41">
        <v>45270</v>
      </c>
      <c r="D996" s="1" t="s">
        <v>7912</v>
      </c>
      <c r="E996" s="1">
        <v>4</v>
      </c>
      <c r="F996" s="1" t="s">
        <v>30</v>
      </c>
      <c r="G996" s="1" t="s">
        <v>17</v>
      </c>
      <c r="H996" t="str">
        <f>IF(ISNA(_xlfn.XLOOKUP(B996, customer_master!$A$2:$A$1649, customer_master!$A$2:$A$1649)), "Orphan", "Valid")</f>
        <v>Valid</v>
      </c>
    </row>
    <row r="997" spans="1:8" x14ac:dyDescent="0.3">
      <c r="A997" s="1" t="s">
        <v>9248</v>
      </c>
      <c r="B997" s="1" t="s">
        <v>308</v>
      </c>
      <c r="C997" s="41">
        <v>46209</v>
      </c>
      <c r="D997" s="1" t="s">
        <v>7889</v>
      </c>
      <c r="E997" s="1">
        <v>5</v>
      </c>
      <c r="F997" s="1" t="s">
        <v>17</v>
      </c>
      <c r="G997" s="1" t="s">
        <v>30</v>
      </c>
      <c r="H997" t="str">
        <f>IF(ISNA(_xlfn.XLOOKUP(B997, customer_master!$A$2:$A$1649, customer_master!$A$2:$A$1649)), "Orphan", "Valid")</f>
        <v>Valid</v>
      </c>
    </row>
    <row r="998" spans="1:8" x14ac:dyDescent="0.3">
      <c r="A998" s="1" t="s">
        <v>9249</v>
      </c>
      <c r="B998" s="1" t="s">
        <v>9250</v>
      </c>
      <c r="C998" s="41">
        <v>45802</v>
      </c>
      <c r="D998" s="1" t="s">
        <v>7884</v>
      </c>
      <c r="E998" s="1">
        <v>2</v>
      </c>
      <c r="F998" s="1" t="s">
        <v>30</v>
      </c>
      <c r="G998" s="1" t="s">
        <v>17</v>
      </c>
      <c r="H998" t="str">
        <f>IF(ISNA(_xlfn.XLOOKUP(B998, customer_master!$A$2:$A$1649, customer_master!$A$2:$A$1649)), "Orphan", "Valid")</f>
        <v>Orphan</v>
      </c>
    </row>
    <row r="999" spans="1:8" x14ac:dyDescent="0.3">
      <c r="A999" s="1" t="s">
        <v>9251</v>
      </c>
      <c r="B999" s="1" t="s">
        <v>2024</v>
      </c>
      <c r="C999" s="41">
        <v>46213</v>
      </c>
      <c r="D999" s="1" t="s">
        <v>7906</v>
      </c>
      <c r="E999" s="1">
        <v>5</v>
      </c>
      <c r="F999" s="1" t="s">
        <v>17</v>
      </c>
      <c r="G999" s="1" t="s">
        <v>30</v>
      </c>
      <c r="H999" t="str">
        <f>IF(ISNA(_xlfn.XLOOKUP(B999, customer_master!$A$2:$A$1649, customer_master!$A$2:$A$1649)), "Orphan", "Valid")</f>
        <v>Valid</v>
      </c>
    </row>
    <row r="1000" spans="1:8" x14ac:dyDescent="0.3">
      <c r="A1000" s="1" t="s">
        <v>9252</v>
      </c>
      <c r="B1000" s="1" t="s">
        <v>9253</v>
      </c>
      <c r="C1000" s="41">
        <v>45597</v>
      </c>
      <c r="D1000" s="1" t="s">
        <v>7896</v>
      </c>
      <c r="E1000" s="1">
        <v>4</v>
      </c>
      <c r="F1000" s="1" t="s">
        <v>17</v>
      </c>
      <c r="G1000" s="1" t="s">
        <v>17</v>
      </c>
      <c r="H1000" t="str">
        <f>IF(ISNA(_xlfn.XLOOKUP(B1000, customer_master!$A$2:$A$1649, customer_master!$A$2:$A$1649)), "Orphan", "Valid")</f>
        <v>Orphan</v>
      </c>
    </row>
    <row r="1001" spans="1:8" x14ac:dyDescent="0.3">
      <c r="A1001" s="1" t="s">
        <v>9254</v>
      </c>
      <c r="B1001" s="1" t="s">
        <v>3146</v>
      </c>
      <c r="C1001" s="41">
        <v>45619</v>
      </c>
      <c r="D1001" s="1" t="s">
        <v>7912</v>
      </c>
      <c r="E1001" s="1">
        <v>4</v>
      </c>
      <c r="F1001" s="1" t="s">
        <v>17</v>
      </c>
      <c r="G1001" s="1" t="s">
        <v>17</v>
      </c>
      <c r="H1001" t="str">
        <f>IF(ISNA(_xlfn.XLOOKUP(B1001, customer_master!$A$2:$A$1649, customer_master!$A$2:$A$1649)), "Orphan", "Valid")</f>
        <v>Valid</v>
      </c>
    </row>
  </sheetData>
  <autoFilter ref="A1:G1001" xr:uid="{B695BF7D-8FA0-462B-A3F6-84E29B0C28EF}"/>
  <conditionalFormatting sqref="E1:E1048576">
    <cfRule type="colorScale" priority="1">
      <colorScale>
        <cfvo type="min"/>
        <cfvo type="percentile" val="50"/>
        <cfvo type="max"/>
        <color rgb="FFFBA7A9"/>
        <color theme="0"/>
        <color rgb="FFB3DFBF"/>
      </colorScale>
    </cfRule>
  </conditionalFormatting>
  <conditionalFormatting sqref="H1:H1048576">
    <cfRule type="cellIs" dxfId="1" priority="2" operator="equal">
      <formula>"Orphan"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7C6B-BA82-41C1-A6C1-9C613D47571F}">
  <dimension ref="A1:H632"/>
  <sheetViews>
    <sheetView tabSelected="1" workbookViewId="0">
      <selection activeCell="C7" sqref="C7"/>
    </sheetView>
  </sheetViews>
  <sheetFormatPr defaultRowHeight="14.4" x14ac:dyDescent="0.3"/>
  <cols>
    <col min="1" max="1" width="13.44140625" bestFit="1" customWidth="1"/>
    <col min="2" max="2" width="13.5546875" bestFit="1" customWidth="1"/>
    <col min="3" max="3" width="16.5546875" bestFit="1" customWidth="1"/>
    <col min="4" max="4" width="41.6640625" bestFit="1" customWidth="1"/>
    <col min="5" max="5" width="18.44140625" bestFit="1" customWidth="1"/>
    <col min="6" max="6" width="17.109375" bestFit="1" customWidth="1"/>
    <col min="7" max="8" width="15.5546875" bestFit="1" customWidth="1"/>
  </cols>
  <sheetData>
    <row r="1" spans="1:8" ht="15" thickBot="1" x14ac:dyDescent="0.35">
      <c r="A1" s="8" t="s">
        <v>7870</v>
      </c>
      <c r="B1" s="8" t="s">
        <v>0</v>
      </c>
      <c r="C1" s="39" t="s">
        <v>7871</v>
      </c>
      <c r="D1" s="8" t="s">
        <v>7872</v>
      </c>
      <c r="E1" s="8" t="s">
        <v>7873</v>
      </c>
      <c r="F1" s="8" t="s">
        <v>7874</v>
      </c>
      <c r="G1" s="8" t="s">
        <v>7875</v>
      </c>
      <c r="H1" s="8" t="s">
        <v>9307</v>
      </c>
    </row>
    <row r="2" spans="1:8" x14ac:dyDescent="0.3">
      <c r="A2" t="str" cm="1">
        <f t="array" ref="A2:H632">_xlfn._xlws.FILTER(customer_feedback_surveys!A2:H1001,(customer_feedback_surveys!H2:H1001="Valid"))</f>
        <v>FDB80000</v>
      </c>
      <c r="B2" t="str">
        <v>CUST11173</v>
      </c>
      <c r="C2" s="38">
        <v>45829</v>
      </c>
      <c r="D2" t="str">
        <v>Had to wait too long for claim approval.</v>
      </c>
      <c r="E2">
        <v>1</v>
      </c>
      <c r="F2" t="str">
        <v>Yes</v>
      </c>
      <c r="G2" t="str">
        <v>No</v>
      </c>
      <c r="H2" t="str">
        <v>Valid</v>
      </c>
    </row>
    <row r="3" spans="1:8" x14ac:dyDescent="0.3">
      <c r="A3" t="str">
        <v>FDB80001</v>
      </c>
      <c r="B3" t="str">
        <v>CUST10158</v>
      </c>
      <c r="C3" s="38">
        <v>45523</v>
      </c>
      <c r="D3" t="str">
        <v>Need more clarity on policy coverage.</v>
      </c>
      <c r="E3">
        <v>2</v>
      </c>
      <c r="F3" t="str">
        <v>No</v>
      </c>
      <c r="G3" t="str">
        <v>No</v>
      </c>
      <c r="H3" t="str">
        <v>Valid</v>
      </c>
    </row>
    <row r="4" spans="1:8" x14ac:dyDescent="0.3">
      <c r="A4" t="str">
        <v>FDB80002</v>
      </c>
      <c r="B4" t="str">
        <v>CUST10351</v>
      </c>
      <c r="C4" s="38">
        <v>45571</v>
      </c>
      <c r="D4" t="str">
        <v>The mobile app experience was intuitive.</v>
      </c>
      <c r="E4">
        <v>4</v>
      </c>
      <c r="F4" t="str">
        <v>No</v>
      </c>
      <c r="G4" t="str">
        <v>No</v>
      </c>
      <c r="H4" t="str">
        <v>Valid</v>
      </c>
    </row>
    <row r="5" spans="1:8" x14ac:dyDescent="0.3">
      <c r="A5" t="str">
        <v>FDB80005</v>
      </c>
      <c r="B5" t="str">
        <v>CUST10847</v>
      </c>
      <c r="C5" s="38">
        <v>46225</v>
      </c>
      <c r="D5" t="str">
        <v>Excellent customer service support.</v>
      </c>
      <c r="E5">
        <v>4</v>
      </c>
      <c r="F5" t="str">
        <v>No</v>
      </c>
      <c r="G5" t="str">
        <v>No</v>
      </c>
      <c r="H5" t="str">
        <v>Valid</v>
      </c>
    </row>
    <row r="6" spans="1:8" x14ac:dyDescent="0.3">
      <c r="A6" t="str">
        <v>FDB80006</v>
      </c>
      <c r="B6" t="str">
        <v>CUST11210</v>
      </c>
      <c r="C6" s="38">
        <v>46007</v>
      </c>
      <c r="D6" t="str">
        <v>Frustrated with repeated documentation requests.</v>
      </c>
      <c r="E6">
        <v>2</v>
      </c>
      <c r="F6" t="str">
        <v>No</v>
      </c>
      <c r="G6" t="str">
        <v>Yes</v>
      </c>
      <c r="H6" t="str">
        <v>Valid</v>
      </c>
    </row>
    <row r="7" spans="1:8" x14ac:dyDescent="0.3">
      <c r="A7" t="str">
        <v>FDB80009</v>
      </c>
      <c r="B7" t="str">
        <v>CUST11581</v>
      </c>
      <c r="C7" s="38">
        <v>45602</v>
      </c>
      <c r="D7" t="str">
        <v>The agent was helpful and explained everything.</v>
      </c>
      <c r="E7">
        <v>4</v>
      </c>
      <c r="F7" t="str">
        <v>No</v>
      </c>
      <c r="G7" t="str">
        <v>Yes</v>
      </c>
      <c r="H7" t="str">
        <v>Valid</v>
      </c>
    </row>
    <row r="8" spans="1:8" x14ac:dyDescent="0.3">
      <c r="A8" t="str">
        <v>FDB80012</v>
      </c>
      <c r="B8" t="str">
        <v>CUST10192</v>
      </c>
      <c r="C8" s="38">
        <v>45681</v>
      </c>
      <c r="D8" t="str">
        <v>Excellent customer service support.</v>
      </c>
      <c r="E8">
        <v>4</v>
      </c>
      <c r="F8" t="str">
        <v>Yes</v>
      </c>
      <c r="G8" t="str">
        <v>No</v>
      </c>
      <c r="H8" t="str">
        <v>Valid</v>
      </c>
    </row>
    <row r="9" spans="1:8" x14ac:dyDescent="0.3">
      <c r="A9" t="str">
        <v>FDB80013</v>
      </c>
      <c r="B9" t="str">
        <v>CUST11249</v>
      </c>
      <c r="C9" s="38">
        <v>46078</v>
      </c>
      <c r="D9" t="str">
        <v>Excellent customer service support.</v>
      </c>
      <c r="E9">
        <v>4</v>
      </c>
      <c r="F9" t="str">
        <v>No</v>
      </c>
      <c r="G9" t="str">
        <v>Yes</v>
      </c>
      <c r="H9" t="str">
        <v>Valid</v>
      </c>
    </row>
    <row r="10" spans="1:8" x14ac:dyDescent="0.3">
      <c r="A10" t="str">
        <v>FDB80017</v>
      </c>
      <c r="B10" t="str">
        <v>CUST10277</v>
      </c>
      <c r="C10" s="38">
        <v>45489</v>
      </c>
      <c r="D10" t="str">
        <v>Smooth experience with no issues.</v>
      </c>
      <c r="E10">
        <v>4</v>
      </c>
      <c r="F10" t="str">
        <v>Yes</v>
      </c>
      <c r="G10" t="str">
        <v>No</v>
      </c>
      <c r="H10" t="str">
        <v>Valid</v>
      </c>
    </row>
    <row r="11" spans="1:8" x14ac:dyDescent="0.3">
      <c r="A11" t="str">
        <v>FDB80019</v>
      </c>
      <c r="B11" t="str">
        <v>CUST11086</v>
      </c>
      <c r="C11" s="38">
        <v>45539</v>
      </c>
      <c r="D11" t="str">
        <v>Need more clarity on policy coverage.</v>
      </c>
      <c r="E11">
        <v>2</v>
      </c>
      <c r="F11" t="str">
        <v>Yes</v>
      </c>
      <c r="G11" t="str">
        <v>No</v>
      </c>
      <c r="H11" t="str">
        <v>Valid</v>
      </c>
    </row>
    <row r="12" spans="1:8" x14ac:dyDescent="0.3">
      <c r="A12" t="str">
        <v>FDB80020</v>
      </c>
      <c r="B12" t="str">
        <v>CUST10130</v>
      </c>
      <c r="C12" s="38">
        <v>45681</v>
      </c>
      <c r="D12" t="str">
        <v>Had to wait too long for claim approval.</v>
      </c>
      <c r="E12">
        <v>1</v>
      </c>
      <c r="F12" t="str">
        <v>Yes</v>
      </c>
      <c r="G12" t="str">
        <v>No</v>
      </c>
      <c r="H12" t="str">
        <v>Valid</v>
      </c>
    </row>
    <row r="13" spans="1:8" x14ac:dyDescent="0.3">
      <c r="A13" t="str">
        <v>FDB80021</v>
      </c>
      <c r="B13" t="str">
        <v>CUST11082</v>
      </c>
      <c r="C13" s="38">
        <v>45361</v>
      </c>
      <c r="D13" t="str">
        <v>The agent was helpful and explained everything.</v>
      </c>
      <c r="E13">
        <v>4</v>
      </c>
      <c r="F13" t="str">
        <v>Yes</v>
      </c>
      <c r="G13" t="str">
        <v>No</v>
      </c>
      <c r="H13" t="str">
        <v>Valid</v>
      </c>
    </row>
    <row r="14" spans="1:8" x14ac:dyDescent="0.3">
      <c r="A14" t="str">
        <v>FDB80022</v>
      </c>
      <c r="B14" t="str">
        <v>CUST11406</v>
      </c>
      <c r="C14" s="38">
        <v>46167</v>
      </c>
      <c r="D14" t="str">
        <v>Smooth experience with no issues.</v>
      </c>
      <c r="E14">
        <v>5</v>
      </c>
      <c r="F14" t="str">
        <v>No</v>
      </c>
      <c r="G14" t="str">
        <v>No</v>
      </c>
      <c r="H14" t="str">
        <v>Valid</v>
      </c>
    </row>
    <row r="15" spans="1:8" x14ac:dyDescent="0.3">
      <c r="A15" t="str">
        <v>FDB80023</v>
      </c>
      <c r="B15" t="str">
        <v>CUST11507</v>
      </c>
      <c r="C15" s="38">
        <v>45593</v>
      </c>
      <c r="D15" t="str">
        <v>The mobile app experience was intuitive.</v>
      </c>
      <c r="E15">
        <v>4</v>
      </c>
      <c r="F15" t="str">
        <v>No</v>
      </c>
      <c r="G15" t="str">
        <v>Yes</v>
      </c>
      <c r="H15" t="str">
        <v>Valid</v>
      </c>
    </row>
    <row r="16" spans="1:8" x14ac:dyDescent="0.3">
      <c r="A16" t="str">
        <v>FDB80026</v>
      </c>
      <c r="B16" t="str">
        <v>CUST10186</v>
      </c>
      <c r="C16" s="38">
        <v>45622</v>
      </c>
      <c r="D16" t="str">
        <v>Very satisfied with the claim process.</v>
      </c>
      <c r="E16">
        <v>5</v>
      </c>
      <c r="F16" t="str">
        <v>Yes</v>
      </c>
      <c r="G16" t="str">
        <v>No</v>
      </c>
      <c r="H16" t="str">
        <v>Valid</v>
      </c>
    </row>
    <row r="17" spans="1:8" x14ac:dyDescent="0.3">
      <c r="A17" t="str">
        <v>FDB80027</v>
      </c>
      <c r="B17" t="str">
        <v>CUST11352</v>
      </c>
      <c r="C17" s="38">
        <v>45870</v>
      </c>
      <c r="D17" t="str">
        <v>Had to wait too long for claim approval.</v>
      </c>
      <c r="E17">
        <v>1</v>
      </c>
      <c r="F17" t="str">
        <v>Yes</v>
      </c>
      <c r="G17" t="str">
        <v>No</v>
      </c>
      <c r="H17" t="str">
        <v>Valid</v>
      </c>
    </row>
    <row r="18" spans="1:8" x14ac:dyDescent="0.3">
      <c r="A18" t="str">
        <v>FDB80028</v>
      </c>
      <c r="B18" t="str">
        <v>CUST10192</v>
      </c>
      <c r="C18" s="38">
        <v>45851</v>
      </c>
      <c r="D18" t="str">
        <v>Claim process could be faster.</v>
      </c>
      <c r="E18">
        <v>2</v>
      </c>
      <c r="F18" t="str">
        <v>Yes</v>
      </c>
      <c r="G18" t="str">
        <v>No</v>
      </c>
      <c r="H18" t="str">
        <v>Valid</v>
      </c>
    </row>
    <row r="19" spans="1:8" x14ac:dyDescent="0.3">
      <c r="A19" t="str">
        <v>FDB80031</v>
      </c>
      <c r="B19" t="str">
        <v>CUST11113</v>
      </c>
      <c r="C19" s="38">
        <v>46267</v>
      </c>
      <c r="D19" t="str">
        <v>Had to wait too long for claim approval.</v>
      </c>
      <c r="E19">
        <v>2</v>
      </c>
      <c r="F19" t="str">
        <v>No</v>
      </c>
      <c r="G19" t="str">
        <v>Yes</v>
      </c>
      <c r="H19" t="str">
        <v>Valid</v>
      </c>
    </row>
    <row r="20" spans="1:8" x14ac:dyDescent="0.3">
      <c r="A20" t="str">
        <v>FDB80033</v>
      </c>
      <c r="B20" t="str">
        <v>CUST10341</v>
      </c>
      <c r="C20" s="38">
        <v>45975</v>
      </c>
      <c r="D20" t="str">
        <v>Frustrated with repeated documentation requests.</v>
      </c>
      <c r="E20">
        <v>2</v>
      </c>
      <c r="F20" t="str">
        <v>No</v>
      </c>
      <c r="G20" t="str">
        <v>No</v>
      </c>
      <c r="H20" t="str">
        <v>Valid</v>
      </c>
    </row>
    <row r="21" spans="1:8" x14ac:dyDescent="0.3">
      <c r="A21" t="str">
        <v>FDB80034</v>
      </c>
      <c r="B21" t="str">
        <v>CUST11436</v>
      </c>
      <c r="C21" s="38">
        <v>46209</v>
      </c>
      <c r="D21" t="str">
        <v>Need more clarity on policy coverage.</v>
      </c>
      <c r="E21">
        <v>2</v>
      </c>
      <c r="F21" t="str">
        <v>No</v>
      </c>
      <c r="G21" t="str">
        <v>No</v>
      </c>
      <c r="H21" t="str">
        <v>Valid</v>
      </c>
    </row>
    <row r="22" spans="1:8" x14ac:dyDescent="0.3">
      <c r="A22" t="str">
        <v>FDB80036</v>
      </c>
      <c r="B22" t="str">
        <v>CUST10990</v>
      </c>
      <c r="C22" s="38">
        <v>45446</v>
      </c>
      <c r="D22" t="str">
        <v>I'm not happy with the premium charged.</v>
      </c>
      <c r="E22">
        <v>2</v>
      </c>
      <c r="F22" t="str">
        <v>No</v>
      </c>
      <c r="G22" t="str">
        <v>Yes</v>
      </c>
      <c r="H22" t="str">
        <v>Valid</v>
      </c>
    </row>
    <row r="23" spans="1:8" x14ac:dyDescent="0.3">
      <c r="A23" t="str">
        <v>FDB80037</v>
      </c>
      <c r="B23" t="str">
        <v>CUST11396</v>
      </c>
      <c r="C23" s="38">
        <v>45796</v>
      </c>
      <c r="D23" t="str">
        <v>The mobile app experience was intuitive.</v>
      </c>
      <c r="E23">
        <v>4</v>
      </c>
      <c r="F23" t="str">
        <v>Yes</v>
      </c>
      <c r="G23" t="str">
        <v>No</v>
      </c>
      <c r="H23" t="str">
        <v>Valid</v>
      </c>
    </row>
    <row r="24" spans="1:8" x14ac:dyDescent="0.3">
      <c r="A24" t="str">
        <v>FDB80038</v>
      </c>
      <c r="B24" t="str">
        <v>CUST11486</v>
      </c>
      <c r="C24" s="38">
        <v>45690</v>
      </c>
      <c r="D24" t="str">
        <v>Need more clarity on policy coverage.</v>
      </c>
      <c r="E24">
        <v>2</v>
      </c>
      <c r="F24" t="str">
        <v>Yes</v>
      </c>
      <c r="G24" t="str">
        <v>Yes</v>
      </c>
      <c r="H24" t="str">
        <v>Valid</v>
      </c>
    </row>
    <row r="25" spans="1:8" x14ac:dyDescent="0.3">
      <c r="A25" t="str">
        <v>FDB80039</v>
      </c>
      <c r="B25" t="str">
        <v>CUST11100</v>
      </c>
      <c r="C25" s="38">
        <v>45272</v>
      </c>
      <c r="D25" t="str">
        <v>Need more clarity on policy coverage.</v>
      </c>
      <c r="E25">
        <v>2</v>
      </c>
      <c r="F25" t="str">
        <v>No</v>
      </c>
      <c r="G25" t="str">
        <v>No</v>
      </c>
      <c r="H25" t="str">
        <v>Valid</v>
      </c>
    </row>
    <row r="26" spans="1:8" x14ac:dyDescent="0.3">
      <c r="A26" t="str">
        <v>FDB80040</v>
      </c>
      <c r="B26" t="str">
        <v>CUST10753</v>
      </c>
      <c r="C26" s="38">
        <v>45578</v>
      </c>
      <c r="D26" t="str">
        <v>Excellent customer service support.</v>
      </c>
      <c r="E26">
        <v>5</v>
      </c>
      <c r="F26" t="str">
        <v>No</v>
      </c>
      <c r="G26" t="str">
        <v>Yes</v>
      </c>
      <c r="H26" t="str">
        <v>Valid</v>
      </c>
    </row>
    <row r="27" spans="1:8" x14ac:dyDescent="0.3">
      <c r="A27" t="str">
        <v>FDB80041</v>
      </c>
      <c r="B27" t="str">
        <v>CUST10438</v>
      </c>
      <c r="C27" s="38">
        <v>45987</v>
      </c>
      <c r="D27" t="str">
        <v>Very satisfied with the claim process.</v>
      </c>
      <c r="E27">
        <v>4</v>
      </c>
      <c r="F27" t="str">
        <v>No</v>
      </c>
      <c r="G27" t="str">
        <v>No</v>
      </c>
      <c r="H27" t="str">
        <v>Valid</v>
      </c>
    </row>
    <row r="28" spans="1:8" x14ac:dyDescent="0.3">
      <c r="A28" t="str">
        <v>FDB80042</v>
      </c>
      <c r="B28" t="str">
        <v>CUST10508</v>
      </c>
      <c r="C28" s="38">
        <v>46141</v>
      </c>
      <c r="D28" t="str">
        <v>I'm not happy with the premium charged.</v>
      </c>
      <c r="E28">
        <v>2</v>
      </c>
      <c r="F28" t="str">
        <v>Yes</v>
      </c>
      <c r="G28" t="str">
        <v>No</v>
      </c>
      <c r="H28" t="str">
        <v>Valid</v>
      </c>
    </row>
    <row r="29" spans="1:8" x14ac:dyDescent="0.3">
      <c r="A29" t="str">
        <v>FDB80043</v>
      </c>
      <c r="B29" t="str">
        <v>CUST11331</v>
      </c>
      <c r="C29" s="38">
        <v>45889</v>
      </c>
      <c r="D29" t="str">
        <v>The mobile app experience was intuitive.</v>
      </c>
      <c r="E29">
        <v>4</v>
      </c>
      <c r="F29" t="str">
        <v>Yes</v>
      </c>
      <c r="G29" t="str">
        <v>Yes</v>
      </c>
      <c r="H29" t="str">
        <v>Valid</v>
      </c>
    </row>
    <row r="30" spans="1:8" x14ac:dyDescent="0.3">
      <c r="A30" t="str">
        <v>FDB80044</v>
      </c>
      <c r="B30" t="str">
        <v>CUST10769</v>
      </c>
      <c r="C30" s="38">
        <v>45778</v>
      </c>
      <c r="D30" t="str">
        <v>I'm not happy with the premium charged.</v>
      </c>
      <c r="E30">
        <v>2</v>
      </c>
      <c r="F30" t="str">
        <v>No</v>
      </c>
      <c r="G30" t="str">
        <v>No</v>
      </c>
      <c r="H30" t="str">
        <v>Valid</v>
      </c>
    </row>
    <row r="31" spans="1:8" x14ac:dyDescent="0.3">
      <c r="A31" t="str">
        <v>FDB80045</v>
      </c>
      <c r="B31" t="str">
        <v>CUST10164</v>
      </c>
      <c r="C31" s="38">
        <v>46119</v>
      </c>
      <c r="D31" t="str">
        <v>I'm not happy with the premium charged.</v>
      </c>
      <c r="E31">
        <v>2</v>
      </c>
      <c r="F31" t="str">
        <v>No</v>
      </c>
      <c r="G31" t="str">
        <v>No</v>
      </c>
      <c r="H31" t="str">
        <v>Valid</v>
      </c>
    </row>
    <row r="32" spans="1:8" x14ac:dyDescent="0.3">
      <c r="A32" t="str">
        <v>FDB80047</v>
      </c>
      <c r="B32" t="str">
        <v>CUST10456</v>
      </c>
      <c r="C32" s="38">
        <v>45349</v>
      </c>
      <c r="D32" t="str">
        <v>The agent was helpful and explained everything.</v>
      </c>
      <c r="E32">
        <v>4</v>
      </c>
      <c r="F32" t="str">
        <v>No</v>
      </c>
      <c r="G32" t="str">
        <v>No</v>
      </c>
      <c r="H32" t="str">
        <v>Valid</v>
      </c>
    </row>
    <row r="33" spans="1:8" x14ac:dyDescent="0.3">
      <c r="A33" t="str">
        <v>FDB80049</v>
      </c>
      <c r="B33" t="str">
        <v>CUST11572</v>
      </c>
      <c r="C33" s="38">
        <v>46131</v>
      </c>
      <c r="D33" t="str">
        <v>Very satisfied with the claim process.</v>
      </c>
      <c r="E33">
        <v>5</v>
      </c>
      <c r="F33" t="str">
        <v>No</v>
      </c>
      <c r="G33" t="str">
        <v>No</v>
      </c>
      <c r="H33" t="str">
        <v>Valid</v>
      </c>
    </row>
    <row r="34" spans="1:8" x14ac:dyDescent="0.3">
      <c r="A34" t="str">
        <v>FDB80050</v>
      </c>
      <c r="B34" t="str">
        <v>CUST11154</v>
      </c>
      <c r="C34" s="38">
        <v>45365</v>
      </c>
      <c r="D34" t="str">
        <v>Very satisfied with the claim process.</v>
      </c>
      <c r="E34">
        <v>5</v>
      </c>
      <c r="F34" t="str">
        <v>Yes</v>
      </c>
      <c r="G34" t="str">
        <v>Yes</v>
      </c>
      <c r="H34" t="str">
        <v>Valid</v>
      </c>
    </row>
    <row r="35" spans="1:8" x14ac:dyDescent="0.3">
      <c r="A35" t="str">
        <v>FDB80051</v>
      </c>
      <c r="B35" t="str">
        <v>CUST11258</v>
      </c>
      <c r="C35" s="38">
        <v>46200</v>
      </c>
      <c r="D35" t="str">
        <v>I'm not happy with the premium charged.</v>
      </c>
      <c r="E35">
        <v>2</v>
      </c>
      <c r="F35" t="str">
        <v>No</v>
      </c>
      <c r="G35" t="str">
        <v>No</v>
      </c>
      <c r="H35" t="str">
        <v>Valid</v>
      </c>
    </row>
    <row r="36" spans="1:8" x14ac:dyDescent="0.3">
      <c r="A36" t="str">
        <v>FDB80052</v>
      </c>
      <c r="B36" t="str">
        <v>CUST11441</v>
      </c>
      <c r="C36" s="38">
        <v>46182</v>
      </c>
      <c r="D36" t="str">
        <v>I'm not happy with the premium charged.</v>
      </c>
      <c r="E36">
        <v>2</v>
      </c>
      <c r="F36" t="str">
        <v>No</v>
      </c>
      <c r="G36" t="str">
        <v>Yes</v>
      </c>
      <c r="H36" t="str">
        <v>Valid</v>
      </c>
    </row>
    <row r="37" spans="1:8" x14ac:dyDescent="0.3">
      <c r="A37" t="str">
        <v>FDB80054</v>
      </c>
      <c r="B37" t="str">
        <v>CUST10197</v>
      </c>
      <c r="C37" s="38">
        <v>45494</v>
      </c>
      <c r="D37" t="str">
        <v>Frustrated with repeated documentation requests.</v>
      </c>
      <c r="E37">
        <v>2</v>
      </c>
      <c r="F37" t="str">
        <v>Yes</v>
      </c>
      <c r="G37" t="str">
        <v>Yes</v>
      </c>
      <c r="H37" t="str">
        <v>Valid</v>
      </c>
    </row>
    <row r="38" spans="1:8" x14ac:dyDescent="0.3">
      <c r="A38" t="str">
        <v>FDB80056</v>
      </c>
      <c r="B38" t="str">
        <v>CUST11230</v>
      </c>
      <c r="C38" s="38">
        <v>45399</v>
      </c>
      <c r="D38" t="str">
        <v>Claim process could be faster.</v>
      </c>
      <c r="E38">
        <v>2</v>
      </c>
      <c r="F38" t="str">
        <v>Yes</v>
      </c>
      <c r="G38" t="str">
        <v>Yes</v>
      </c>
      <c r="H38" t="str">
        <v>Valid</v>
      </c>
    </row>
    <row r="39" spans="1:8" x14ac:dyDescent="0.3">
      <c r="A39" t="str">
        <v>FDB80057</v>
      </c>
      <c r="B39" t="str">
        <v>CUST10580</v>
      </c>
      <c r="C39" s="38">
        <v>45678</v>
      </c>
      <c r="D39" t="str">
        <v>Excellent customer service support.</v>
      </c>
      <c r="E39">
        <v>5</v>
      </c>
      <c r="F39" t="str">
        <v>Yes</v>
      </c>
      <c r="G39" t="str">
        <v>Yes</v>
      </c>
      <c r="H39" t="str">
        <v>Valid</v>
      </c>
    </row>
    <row r="40" spans="1:8" x14ac:dyDescent="0.3">
      <c r="A40" t="str">
        <v>FDB80058</v>
      </c>
      <c r="B40" t="str">
        <v>CUST10748</v>
      </c>
      <c r="C40" s="38">
        <v>45441</v>
      </c>
      <c r="D40" t="str">
        <v>The mobile app experience was intuitive.</v>
      </c>
      <c r="E40">
        <v>4</v>
      </c>
      <c r="F40" t="str">
        <v>No</v>
      </c>
      <c r="G40" t="str">
        <v>No</v>
      </c>
      <c r="H40" t="str">
        <v>Valid</v>
      </c>
    </row>
    <row r="41" spans="1:8" x14ac:dyDescent="0.3">
      <c r="A41" t="str">
        <v>FDB80060</v>
      </c>
      <c r="B41" t="str">
        <v>CUST10650</v>
      </c>
      <c r="C41" s="38">
        <v>46257</v>
      </c>
      <c r="D41" t="str">
        <v>Frustrated with repeated documentation requests.</v>
      </c>
      <c r="E41">
        <v>2</v>
      </c>
      <c r="F41" t="str">
        <v>Yes</v>
      </c>
      <c r="G41" t="str">
        <v>No</v>
      </c>
      <c r="H41" t="str">
        <v>Valid</v>
      </c>
    </row>
    <row r="42" spans="1:8" x14ac:dyDescent="0.3">
      <c r="A42" t="str">
        <v>FDB80061</v>
      </c>
      <c r="B42" t="str">
        <v>CUST11602</v>
      </c>
      <c r="C42" s="38">
        <v>46046</v>
      </c>
      <c r="D42" t="str">
        <v>Had to wait too long for claim approval.</v>
      </c>
      <c r="E42">
        <v>2</v>
      </c>
      <c r="F42" t="str">
        <v>No</v>
      </c>
      <c r="G42" t="str">
        <v>No</v>
      </c>
      <c r="H42" t="str">
        <v>Valid</v>
      </c>
    </row>
    <row r="43" spans="1:8" x14ac:dyDescent="0.3">
      <c r="A43" t="str">
        <v>FDB80062</v>
      </c>
      <c r="B43" t="str">
        <v>CUST11156</v>
      </c>
      <c r="C43" s="38">
        <v>46239</v>
      </c>
      <c r="D43" t="str">
        <v>Claim process could be faster.</v>
      </c>
      <c r="E43">
        <v>3</v>
      </c>
      <c r="F43" t="str">
        <v>Yes</v>
      </c>
      <c r="G43" t="str">
        <v>No</v>
      </c>
      <c r="H43" t="str">
        <v>Valid</v>
      </c>
    </row>
    <row r="44" spans="1:8" x14ac:dyDescent="0.3">
      <c r="A44" t="str">
        <v>FDB80065</v>
      </c>
      <c r="B44" t="str">
        <v>CUST10762</v>
      </c>
      <c r="C44" s="38">
        <v>45834</v>
      </c>
      <c r="D44" t="str">
        <v>Frustrated with repeated documentation requests.</v>
      </c>
      <c r="E44">
        <v>2</v>
      </c>
      <c r="F44" t="str">
        <v>No</v>
      </c>
      <c r="G44" t="str">
        <v>No</v>
      </c>
      <c r="H44" t="str">
        <v>Valid</v>
      </c>
    </row>
    <row r="45" spans="1:8" x14ac:dyDescent="0.3">
      <c r="A45" t="str">
        <v>FDB80067</v>
      </c>
      <c r="B45" t="str">
        <v>CUST10577</v>
      </c>
      <c r="C45" s="38">
        <v>46181</v>
      </c>
      <c r="D45" t="str">
        <v>Very satisfied with the claim process.</v>
      </c>
      <c r="E45">
        <v>5</v>
      </c>
      <c r="F45" t="str">
        <v>No</v>
      </c>
      <c r="G45" t="str">
        <v>Yes</v>
      </c>
      <c r="H45" t="str">
        <v>Valid</v>
      </c>
    </row>
    <row r="46" spans="1:8" x14ac:dyDescent="0.3">
      <c r="A46" t="str">
        <v>FDB80069</v>
      </c>
      <c r="B46" t="str">
        <v>CUST10091</v>
      </c>
      <c r="C46" s="38">
        <v>45679</v>
      </c>
      <c r="D46" t="str">
        <v>Need more clarity on policy coverage.</v>
      </c>
      <c r="E46">
        <v>2</v>
      </c>
      <c r="F46" t="str">
        <v>No</v>
      </c>
      <c r="G46" t="str">
        <v>Yes</v>
      </c>
      <c r="H46" t="str">
        <v>Valid</v>
      </c>
    </row>
    <row r="47" spans="1:8" x14ac:dyDescent="0.3">
      <c r="A47" t="str">
        <v>FDB80070</v>
      </c>
      <c r="B47" t="str">
        <v>CUST10285</v>
      </c>
      <c r="C47" s="38">
        <v>46227</v>
      </c>
      <c r="D47" t="str">
        <v>Excellent customer service support.</v>
      </c>
      <c r="E47">
        <v>4</v>
      </c>
      <c r="F47" t="str">
        <v>Yes</v>
      </c>
      <c r="G47" t="str">
        <v>No</v>
      </c>
      <c r="H47" t="str">
        <v>Valid</v>
      </c>
    </row>
    <row r="48" spans="1:8" x14ac:dyDescent="0.3">
      <c r="A48" t="str">
        <v>FDB80071</v>
      </c>
      <c r="B48" t="str">
        <v>CUST11123</v>
      </c>
      <c r="C48" s="38">
        <v>45180</v>
      </c>
      <c r="D48" t="str">
        <v>The agent was helpful and explained everything.</v>
      </c>
      <c r="E48">
        <v>4</v>
      </c>
      <c r="F48" t="str">
        <v>No</v>
      </c>
      <c r="G48" t="str">
        <v>No</v>
      </c>
      <c r="H48" t="str">
        <v>Valid</v>
      </c>
    </row>
    <row r="49" spans="1:8" x14ac:dyDescent="0.3">
      <c r="A49" t="str">
        <v>FDB80072</v>
      </c>
      <c r="B49" t="str">
        <v>CUST11123</v>
      </c>
      <c r="C49" s="38">
        <v>45208</v>
      </c>
      <c r="D49" t="str">
        <v>Need more clarity on policy coverage.</v>
      </c>
      <c r="E49">
        <v>2</v>
      </c>
      <c r="F49" t="str">
        <v>No</v>
      </c>
      <c r="G49" t="str">
        <v>No</v>
      </c>
      <c r="H49" t="str">
        <v>Valid</v>
      </c>
    </row>
    <row r="50" spans="1:8" x14ac:dyDescent="0.3">
      <c r="A50" t="str">
        <v>FDB80073</v>
      </c>
      <c r="B50" t="str">
        <v>CUST11529</v>
      </c>
      <c r="C50" s="38">
        <v>45914</v>
      </c>
      <c r="D50" t="str">
        <v>Claim process could be faster.</v>
      </c>
      <c r="E50">
        <v>2</v>
      </c>
      <c r="F50" t="str">
        <v>Yes</v>
      </c>
      <c r="G50" t="str">
        <v>No</v>
      </c>
      <c r="H50" t="str">
        <v>Valid</v>
      </c>
    </row>
    <row r="51" spans="1:8" x14ac:dyDescent="0.3">
      <c r="A51" t="str">
        <v>FDB80074</v>
      </c>
      <c r="B51" t="str">
        <v>CUST10631</v>
      </c>
      <c r="C51" s="38">
        <v>46123</v>
      </c>
      <c r="D51" t="str">
        <v>The mobile app experience was intuitive.</v>
      </c>
      <c r="E51">
        <v>4</v>
      </c>
      <c r="F51" t="str">
        <v>Yes</v>
      </c>
      <c r="G51" t="str">
        <v>No</v>
      </c>
      <c r="H51" t="str">
        <v>Valid</v>
      </c>
    </row>
    <row r="52" spans="1:8" x14ac:dyDescent="0.3">
      <c r="A52" t="str">
        <v>FDB80075</v>
      </c>
      <c r="B52" t="str">
        <v>CUST10437</v>
      </c>
      <c r="C52" s="38">
        <v>46264</v>
      </c>
      <c r="D52" t="str">
        <v>Claim process could be faster.</v>
      </c>
      <c r="E52">
        <v>2</v>
      </c>
      <c r="F52" t="str">
        <v>Yes</v>
      </c>
      <c r="G52" t="str">
        <v>Yes</v>
      </c>
      <c r="H52" t="str">
        <v>Valid</v>
      </c>
    </row>
    <row r="53" spans="1:8" x14ac:dyDescent="0.3">
      <c r="A53" t="str">
        <v>FDB80076</v>
      </c>
      <c r="B53" t="str">
        <v>CUST10861</v>
      </c>
      <c r="C53" s="38">
        <v>46117</v>
      </c>
      <c r="D53" t="str">
        <v>Smooth experience with no issues.</v>
      </c>
      <c r="E53">
        <v>5</v>
      </c>
      <c r="F53" t="str">
        <v>No</v>
      </c>
      <c r="G53" t="str">
        <v>No</v>
      </c>
      <c r="H53" t="str">
        <v>Valid</v>
      </c>
    </row>
    <row r="54" spans="1:8" x14ac:dyDescent="0.3">
      <c r="A54" t="str">
        <v>FDB80077</v>
      </c>
      <c r="B54" t="str">
        <v>CUST10794</v>
      </c>
      <c r="C54" s="38">
        <v>45250</v>
      </c>
      <c r="D54" t="str">
        <v>Very satisfied with the claim process.</v>
      </c>
      <c r="E54">
        <v>4</v>
      </c>
      <c r="F54" t="str">
        <v>Yes</v>
      </c>
      <c r="G54" t="str">
        <v>Yes</v>
      </c>
      <c r="H54" t="str">
        <v>Valid</v>
      </c>
    </row>
    <row r="55" spans="1:8" x14ac:dyDescent="0.3">
      <c r="A55" t="str">
        <v>FDB80078</v>
      </c>
      <c r="B55" t="str">
        <v>CUST10230</v>
      </c>
      <c r="C55" s="38">
        <v>45630</v>
      </c>
      <c r="D55" t="str">
        <v>Very satisfied with the claim process.</v>
      </c>
      <c r="E55">
        <v>5</v>
      </c>
      <c r="F55" t="str">
        <v>No</v>
      </c>
      <c r="G55" t="str">
        <v>Yes</v>
      </c>
      <c r="H55" t="str">
        <v>Valid</v>
      </c>
    </row>
    <row r="56" spans="1:8" x14ac:dyDescent="0.3">
      <c r="A56" t="str">
        <v>FDB80079</v>
      </c>
      <c r="B56" t="str">
        <v>CUST11178</v>
      </c>
      <c r="C56" s="38">
        <v>45457</v>
      </c>
      <c r="D56" t="str">
        <v>Need more clarity on policy coverage.</v>
      </c>
      <c r="E56">
        <v>2</v>
      </c>
      <c r="F56" t="str">
        <v>Yes</v>
      </c>
      <c r="G56" t="str">
        <v>No</v>
      </c>
      <c r="H56" t="str">
        <v>Valid</v>
      </c>
    </row>
    <row r="57" spans="1:8" x14ac:dyDescent="0.3">
      <c r="A57" t="str">
        <v>FDB80080</v>
      </c>
      <c r="B57" t="str">
        <v>CUST11610</v>
      </c>
      <c r="C57" s="38">
        <v>45957</v>
      </c>
      <c r="D57" t="str">
        <v>Claim process could be faster.</v>
      </c>
      <c r="E57">
        <v>2</v>
      </c>
      <c r="F57" t="str">
        <v>No</v>
      </c>
      <c r="G57" t="str">
        <v>Yes</v>
      </c>
      <c r="H57" t="str">
        <v>Valid</v>
      </c>
    </row>
    <row r="58" spans="1:8" x14ac:dyDescent="0.3">
      <c r="A58" t="str">
        <v>FDB80082</v>
      </c>
      <c r="B58" t="str">
        <v>CUST11089</v>
      </c>
      <c r="C58" s="38">
        <v>46024</v>
      </c>
      <c r="D58" t="str">
        <v>Had to wait too long for claim approval.</v>
      </c>
      <c r="E58">
        <v>1</v>
      </c>
      <c r="F58" t="str">
        <v>Yes</v>
      </c>
      <c r="G58" t="str">
        <v>No</v>
      </c>
      <c r="H58" t="str">
        <v>Valid</v>
      </c>
    </row>
    <row r="59" spans="1:8" x14ac:dyDescent="0.3">
      <c r="A59" t="str">
        <v>FDB80084</v>
      </c>
      <c r="B59" t="str">
        <v>CUST10497</v>
      </c>
      <c r="C59" s="38">
        <v>45758</v>
      </c>
      <c r="D59" t="str">
        <v>Claim process could be faster.</v>
      </c>
      <c r="E59">
        <v>2</v>
      </c>
      <c r="F59" t="str">
        <v>Yes</v>
      </c>
      <c r="G59" t="str">
        <v>No</v>
      </c>
      <c r="H59" t="str">
        <v>Valid</v>
      </c>
    </row>
    <row r="60" spans="1:8" x14ac:dyDescent="0.3">
      <c r="A60" t="str">
        <v>FDB80085</v>
      </c>
      <c r="B60" t="str">
        <v>CUST11482</v>
      </c>
      <c r="C60" s="38">
        <v>45198</v>
      </c>
      <c r="D60" t="str">
        <v>Frustrated with repeated documentation requests.</v>
      </c>
      <c r="E60">
        <v>2</v>
      </c>
      <c r="F60" t="str">
        <v>No</v>
      </c>
      <c r="G60" t="str">
        <v>No</v>
      </c>
      <c r="H60" t="str">
        <v>Valid</v>
      </c>
    </row>
    <row r="61" spans="1:8" x14ac:dyDescent="0.3">
      <c r="A61" t="str">
        <v>FDB80086</v>
      </c>
      <c r="B61" t="str">
        <v>CUST10827</v>
      </c>
      <c r="C61" s="38">
        <v>45699</v>
      </c>
      <c r="D61" t="str">
        <v>Excellent customer service support.</v>
      </c>
      <c r="E61">
        <v>5</v>
      </c>
      <c r="F61" t="str">
        <v>No</v>
      </c>
      <c r="G61" t="str">
        <v>Yes</v>
      </c>
      <c r="H61" t="str">
        <v>Valid</v>
      </c>
    </row>
    <row r="62" spans="1:8" x14ac:dyDescent="0.3">
      <c r="A62" t="str">
        <v>FDB80087</v>
      </c>
      <c r="B62" t="str">
        <v>CUST10169</v>
      </c>
      <c r="C62" s="38">
        <v>45968</v>
      </c>
      <c r="D62" t="str">
        <v>Claim process could be faster.</v>
      </c>
      <c r="E62">
        <v>2</v>
      </c>
      <c r="F62" t="str">
        <v>Yes</v>
      </c>
      <c r="G62" t="str">
        <v>Yes</v>
      </c>
      <c r="H62" t="str">
        <v>Valid</v>
      </c>
    </row>
    <row r="63" spans="1:8" x14ac:dyDescent="0.3">
      <c r="A63" t="str">
        <v>FDB80088</v>
      </c>
      <c r="B63" t="str">
        <v>CUST10416</v>
      </c>
      <c r="C63" s="38">
        <v>45494</v>
      </c>
      <c r="D63" t="str">
        <v>Very satisfied with the claim process.</v>
      </c>
      <c r="E63">
        <v>5</v>
      </c>
      <c r="F63" t="str">
        <v>Yes</v>
      </c>
      <c r="G63" t="str">
        <v>No</v>
      </c>
      <c r="H63" t="str">
        <v>Valid</v>
      </c>
    </row>
    <row r="64" spans="1:8" x14ac:dyDescent="0.3">
      <c r="A64" t="str">
        <v>FDB80089</v>
      </c>
      <c r="B64" t="str">
        <v>CUST10218</v>
      </c>
      <c r="C64" s="38">
        <v>45609</v>
      </c>
      <c r="D64" t="str">
        <v>Excellent customer service support.</v>
      </c>
      <c r="E64">
        <v>5</v>
      </c>
      <c r="F64" t="str">
        <v>No</v>
      </c>
      <c r="G64" t="str">
        <v>No</v>
      </c>
      <c r="H64" t="str">
        <v>Valid</v>
      </c>
    </row>
    <row r="65" spans="1:8" x14ac:dyDescent="0.3">
      <c r="A65" t="str">
        <v>FDB80091</v>
      </c>
      <c r="B65" t="str">
        <v>CUST11472</v>
      </c>
      <c r="C65" s="38">
        <v>46015</v>
      </c>
      <c r="D65" t="str">
        <v>The agent was helpful and explained everything.</v>
      </c>
      <c r="E65">
        <v>5</v>
      </c>
      <c r="F65" t="str">
        <v>Yes</v>
      </c>
      <c r="G65" t="str">
        <v>Yes</v>
      </c>
      <c r="H65" t="str">
        <v>Valid</v>
      </c>
    </row>
    <row r="66" spans="1:8" x14ac:dyDescent="0.3">
      <c r="A66" t="str">
        <v>FDB80092</v>
      </c>
      <c r="B66" t="str">
        <v>CUST10575</v>
      </c>
      <c r="C66" s="38">
        <v>45571</v>
      </c>
      <c r="D66" t="str">
        <v>The agent was helpful and explained everything.</v>
      </c>
      <c r="E66">
        <v>4</v>
      </c>
      <c r="F66" t="str">
        <v>Yes</v>
      </c>
      <c r="G66" t="str">
        <v>No</v>
      </c>
      <c r="H66" t="str">
        <v>Valid</v>
      </c>
    </row>
    <row r="67" spans="1:8" x14ac:dyDescent="0.3">
      <c r="A67" t="str">
        <v>FDB80093</v>
      </c>
      <c r="B67" t="str">
        <v>CUST11027</v>
      </c>
      <c r="C67" s="38">
        <v>45958</v>
      </c>
      <c r="D67" t="str">
        <v>Had to wait too long for claim approval.</v>
      </c>
      <c r="E67">
        <v>1</v>
      </c>
      <c r="F67" t="str">
        <v>No</v>
      </c>
      <c r="G67" t="str">
        <v>No</v>
      </c>
      <c r="H67" t="str">
        <v>Valid</v>
      </c>
    </row>
    <row r="68" spans="1:8" x14ac:dyDescent="0.3">
      <c r="A68" t="str">
        <v>FDB80095</v>
      </c>
      <c r="B68" t="str">
        <v>CUST10686</v>
      </c>
      <c r="C68" s="38">
        <v>45884</v>
      </c>
      <c r="D68" t="str">
        <v>The mobile app experience was intuitive.</v>
      </c>
      <c r="E68">
        <v>4</v>
      </c>
      <c r="F68" t="str">
        <v>No</v>
      </c>
      <c r="G68" t="str">
        <v>Yes</v>
      </c>
      <c r="H68" t="str">
        <v>Valid</v>
      </c>
    </row>
    <row r="69" spans="1:8" x14ac:dyDescent="0.3">
      <c r="A69" t="str">
        <v>FDB80099</v>
      </c>
      <c r="B69" t="str">
        <v>CUST10346</v>
      </c>
      <c r="C69" s="38">
        <v>45460</v>
      </c>
      <c r="D69" t="str">
        <v>The agent was helpful and explained everything.</v>
      </c>
      <c r="E69">
        <v>5</v>
      </c>
      <c r="F69" t="str">
        <v>No</v>
      </c>
      <c r="G69" t="str">
        <v>No</v>
      </c>
      <c r="H69" t="str">
        <v>Valid</v>
      </c>
    </row>
    <row r="70" spans="1:8" x14ac:dyDescent="0.3">
      <c r="A70" t="str">
        <v>FDB80100</v>
      </c>
      <c r="B70" t="str">
        <v>CUST10037</v>
      </c>
      <c r="C70" s="38">
        <v>46077</v>
      </c>
      <c r="D70" t="str">
        <v>I'm not happy with the premium charged.</v>
      </c>
      <c r="E70">
        <v>2</v>
      </c>
      <c r="F70" t="str">
        <v>No</v>
      </c>
      <c r="G70" t="str">
        <v>No</v>
      </c>
      <c r="H70" t="str">
        <v>Valid</v>
      </c>
    </row>
    <row r="71" spans="1:8" x14ac:dyDescent="0.3">
      <c r="A71" t="str">
        <v>FDB80101</v>
      </c>
      <c r="B71" t="str">
        <v>CUST10772</v>
      </c>
      <c r="C71" s="38">
        <v>45998</v>
      </c>
      <c r="D71" t="str">
        <v>The mobile app experience was intuitive.</v>
      </c>
      <c r="E71">
        <v>4</v>
      </c>
      <c r="F71" t="str">
        <v>No</v>
      </c>
      <c r="G71" t="str">
        <v>No</v>
      </c>
      <c r="H71" t="str">
        <v>Valid</v>
      </c>
    </row>
    <row r="72" spans="1:8" x14ac:dyDescent="0.3">
      <c r="A72" t="str">
        <v>FDB80102</v>
      </c>
      <c r="B72" t="str">
        <v>CUST11640</v>
      </c>
      <c r="C72" s="38">
        <v>45295</v>
      </c>
      <c r="D72" t="str">
        <v>Very satisfied with the claim process.</v>
      </c>
      <c r="E72">
        <v>5</v>
      </c>
      <c r="F72" t="str">
        <v>No</v>
      </c>
      <c r="G72" t="str">
        <v>Yes</v>
      </c>
      <c r="H72" t="str">
        <v>Valid</v>
      </c>
    </row>
    <row r="73" spans="1:8" x14ac:dyDescent="0.3">
      <c r="A73" t="str">
        <v>FDB80103</v>
      </c>
      <c r="B73" t="str">
        <v>CUST10995</v>
      </c>
      <c r="C73" s="38">
        <v>45358</v>
      </c>
      <c r="D73" t="str">
        <v>Smooth experience with no issues.</v>
      </c>
      <c r="E73">
        <v>4</v>
      </c>
      <c r="F73" t="str">
        <v>Yes</v>
      </c>
      <c r="G73" t="str">
        <v>No</v>
      </c>
      <c r="H73" t="str">
        <v>Valid</v>
      </c>
    </row>
    <row r="74" spans="1:8" x14ac:dyDescent="0.3">
      <c r="A74" t="str">
        <v>FDB80105</v>
      </c>
      <c r="B74" t="str">
        <v>CUST11551</v>
      </c>
      <c r="C74" s="38">
        <v>45545</v>
      </c>
      <c r="D74" t="str">
        <v>Need more clarity on policy coverage.</v>
      </c>
      <c r="E74">
        <v>2</v>
      </c>
      <c r="F74" t="str">
        <v>No</v>
      </c>
      <c r="G74" t="str">
        <v>No</v>
      </c>
      <c r="H74" t="str">
        <v>Valid</v>
      </c>
    </row>
    <row r="75" spans="1:8" x14ac:dyDescent="0.3">
      <c r="A75" t="str">
        <v>FDB80107</v>
      </c>
      <c r="B75" t="str">
        <v>CUST10523</v>
      </c>
      <c r="C75" s="38">
        <v>46044</v>
      </c>
      <c r="D75" t="str">
        <v>Very satisfied with the claim process.</v>
      </c>
      <c r="E75">
        <v>5</v>
      </c>
      <c r="F75" t="str">
        <v>Yes</v>
      </c>
      <c r="G75" t="str">
        <v>No</v>
      </c>
      <c r="H75" t="str">
        <v>Valid</v>
      </c>
    </row>
    <row r="76" spans="1:8" x14ac:dyDescent="0.3">
      <c r="A76" t="str">
        <v>FDB80108</v>
      </c>
      <c r="B76" t="str">
        <v>CUST10528</v>
      </c>
      <c r="C76" s="38">
        <v>45403</v>
      </c>
      <c r="D76" t="str">
        <v>Smooth experience with no issues.</v>
      </c>
      <c r="E76">
        <v>5</v>
      </c>
      <c r="F76" t="str">
        <v>Yes</v>
      </c>
      <c r="G76" t="str">
        <v>No</v>
      </c>
      <c r="H76" t="str">
        <v>Valid</v>
      </c>
    </row>
    <row r="77" spans="1:8" x14ac:dyDescent="0.3">
      <c r="A77" t="str">
        <v>FDB80109</v>
      </c>
      <c r="B77" t="str">
        <v>CUST10550</v>
      </c>
      <c r="C77" s="38">
        <v>45279</v>
      </c>
      <c r="D77" t="str">
        <v>Had to wait too long for claim approval.</v>
      </c>
      <c r="E77">
        <v>1</v>
      </c>
      <c r="F77" t="str">
        <v>No</v>
      </c>
      <c r="G77" t="str">
        <v>Yes</v>
      </c>
      <c r="H77" t="str">
        <v>Valid</v>
      </c>
    </row>
    <row r="78" spans="1:8" x14ac:dyDescent="0.3">
      <c r="A78" t="str">
        <v>FDB80110</v>
      </c>
      <c r="B78" t="str">
        <v>CUST11435</v>
      </c>
      <c r="C78" s="38">
        <v>45876</v>
      </c>
      <c r="D78" t="str">
        <v>Excellent customer service support.</v>
      </c>
      <c r="E78">
        <v>4</v>
      </c>
      <c r="F78" t="str">
        <v>Yes</v>
      </c>
      <c r="G78" t="str">
        <v>No</v>
      </c>
      <c r="H78" t="str">
        <v>Valid</v>
      </c>
    </row>
    <row r="79" spans="1:8" x14ac:dyDescent="0.3">
      <c r="A79" t="str">
        <v>FDB80112</v>
      </c>
      <c r="B79" t="str">
        <v>CUST11588</v>
      </c>
      <c r="C79" s="38">
        <v>46158</v>
      </c>
      <c r="D79" t="str">
        <v>Need more clarity on policy coverage.</v>
      </c>
      <c r="E79">
        <v>2</v>
      </c>
      <c r="F79" t="str">
        <v>Yes</v>
      </c>
      <c r="G79" t="str">
        <v>No</v>
      </c>
      <c r="H79" t="str">
        <v>Valid</v>
      </c>
    </row>
    <row r="80" spans="1:8" x14ac:dyDescent="0.3">
      <c r="A80" t="str">
        <v>FDB80113</v>
      </c>
      <c r="B80" t="str">
        <v>CUST10096</v>
      </c>
      <c r="C80" s="38">
        <v>45711</v>
      </c>
      <c r="D80" t="str">
        <v>The mobile app experience was intuitive.</v>
      </c>
      <c r="E80">
        <v>4</v>
      </c>
      <c r="F80" t="str">
        <v>Yes</v>
      </c>
      <c r="G80" t="str">
        <v>Yes</v>
      </c>
      <c r="H80" t="str">
        <v>Valid</v>
      </c>
    </row>
    <row r="81" spans="1:8" x14ac:dyDescent="0.3">
      <c r="A81" t="str">
        <v>FDB80114</v>
      </c>
      <c r="B81" t="str">
        <v>CUST11320</v>
      </c>
      <c r="C81" s="38">
        <v>45441</v>
      </c>
      <c r="D81" t="str">
        <v>Had to wait too long for claim approval.</v>
      </c>
      <c r="E81">
        <v>1</v>
      </c>
      <c r="F81" t="str">
        <v>No</v>
      </c>
      <c r="G81" t="str">
        <v>Yes</v>
      </c>
      <c r="H81" t="str">
        <v>Valid</v>
      </c>
    </row>
    <row r="82" spans="1:8" x14ac:dyDescent="0.3">
      <c r="A82" t="str">
        <v>FDB80115</v>
      </c>
      <c r="B82" t="str">
        <v>CUST11137</v>
      </c>
      <c r="C82" s="38">
        <v>45457</v>
      </c>
      <c r="D82" t="str">
        <v>Had to wait too long for claim approval.</v>
      </c>
      <c r="E82">
        <v>2</v>
      </c>
      <c r="F82" t="str">
        <v>Yes</v>
      </c>
      <c r="G82" t="str">
        <v>No</v>
      </c>
      <c r="H82" t="str">
        <v>Valid</v>
      </c>
    </row>
    <row r="83" spans="1:8" x14ac:dyDescent="0.3">
      <c r="A83" t="str">
        <v>FDB80116</v>
      </c>
      <c r="B83" t="str">
        <v>CUST10326</v>
      </c>
      <c r="C83" s="38">
        <v>45496</v>
      </c>
      <c r="D83" t="str">
        <v>Excellent customer service support.</v>
      </c>
      <c r="E83">
        <v>5</v>
      </c>
      <c r="F83" t="str">
        <v>No</v>
      </c>
      <c r="G83" t="str">
        <v>Yes</v>
      </c>
      <c r="H83" t="str">
        <v>Valid</v>
      </c>
    </row>
    <row r="84" spans="1:8" x14ac:dyDescent="0.3">
      <c r="A84" t="str">
        <v>FDB80118</v>
      </c>
      <c r="B84" t="str">
        <v>CUST10147</v>
      </c>
      <c r="C84" s="38">
        <v>46035</v>
      </c>
      <c r="D84" t="str">
        <v>Frustrated with repeated documentation requests.</v>
      </c>
      <c r="E84">
        <v>2</v>
      </c>
      <c r="F84" t="str">
        <v>No</v>
      </c>
      <c r="G84" t="str">
        <v>No</v>
      </c>
      <c r="H84" t="str">
        <v>Valid</v>
      </c>
    </row>
    <row r="85" spans="1:8" x14ac:dyDescent="0.3">
      <c r="A85" t="str">
        <v>FDB80119</v>
      </c>
      <c r="B85" t="str">
        <v>CUST11440</v>
      </c>
      <c r="C85" s="38">
        <v>45939</v>
      </c>
      <c r="D85" t="str">
        <v>Very satisfied with the claim process.</v>
      </c>
      <c r="E85">
        <v>5</v>
      </c>
      <c r="F85" t="str">
        <v>No</v>
      </c>
      <c r="G85" t="str">
        <v>No</v>
      </c>
      <c r="H85" t="str">
        <v>Valid</v>
      </c>
    </row>
    <row r="86" spans="1:8" x14ac:dyDescent="0.3">
      <c r="A86" t="str">
        <v>FDB80120</v>
      </c>
      <c r="B86" t="str">
        <v>CUST10074</v>
      </c>
      <c r="C86" s="38">
        <v>45795</v>
      </c>
      <c r="D86" t="str">
        <v>Excellent customer service support.</v>
      </c>
      <c r="E86">
        <v>4</v>
      </c>
      <c r="F86" t="str">
        <v>Yes</v>
      </c>
      <c r="G86" t="str">
        <v>Yes</v>
      </c>
      <c r="H86" t="str">
        <v>Valid</v>
      </c>
    </row>
    <row r="87" spans="1:8" x14ac:dyDescent="0.3">
      <c r="A87" t="str">
        <v>FDB80122</v>
      </c>
      <c r="B87" t="str">
        <v>CUST10994</v>
      </c>
      <c r="C87" s="38">
        <v>46007</v>
      </c>
      <c r="D87" t="str">
        <v>Excellent customer service support.</v>
      </c>
      <c r="E87">
        <v>4</v>
      </c>
      <c r="F87" t="str">
        <v>Yes</v>
      </c>
      <c r="G87" t="str">
        <v>Yes</v>
      </c>
      <c r="H87" t="str">
        <v>Valid</v>
      </c>
    </row>
    <row r="88" spans="1:8" x14ac:dyDescent="0.3">
      <c r="A88" t="str">
        <v>FDB80127</v>
      </c>
      <c r="B88" t="str">
        <v>CUST10178</v>
      </c>
      <c r="C88" s="38">
        <v>45570</v>
      </c>
      <c r="D88" t="str">
        <v>I'm not happy with the premium charged.</v>
      </c>
      <c r="E88">
        <v>2</v>
      </c>
      <c r="F88" t="str">
        <v>No</v>
      </c>
      <c r="G88" t="str">
        <v>No</v>
      </c>
      <c r="H88" t="str">
        <v>Valid</v>
      </c>
    </row>
    <row r="89" spans="1:8" x14ac:dyDescent="0.3">
      <c r="A89" t="str">
        <v>FDB80128</v>
      </c>
      <c r="B89" t="str">
        <v>CUST10514</v>
      </c>
      <c r="C89" s="38">
        <v>45492</v>
      </c>
      <c r="D89" t="str">
        <v>Had to wait too long for claim approval.</v>
      </c>
      <c r="E89">
        <v>1</v>
      </c>
      <c r="F89" t="str">
        <v>Yes</v>
      </c>
      <c r="G89" t="str">
        <v>Yes</v>
      </c>
      <c r="H89" t="str">
        <v>Valid</v>
      </c>
    </row>
    <row r="90" spans="1:8" x14ac:dyDescent="0.3">
      <c r="A90" t="str">
        <v>FDB80129</v>
      </c>
      <c r="B90" t="str">
        <v>CUST11404</v>
      </c>
      <c r="C90" s="38">
        <v>46208</v>
      </c>
      <c r="D90" t="str">
        <v>Had to wait too long for claim approval.</v>
      </c>
      <c r="E90">
        <v>2</v>
      </c>
      <c r="F90" t="str">
        <v>Yes</v>
      </c>
      <c r="G90" t="str">
        <v>Yes</v>
      </c>
      <c r="H90" t="str">
        <v>Valid</v>
      </c>
    </row>
    <row r="91" spans="1:8" x14ac:dyDescent="0.3">
      <c r="A91" t="str">
        <v>FDB80130</v>
      </c>
      <c r="B91" t="str">
        <v>CUST11253</v>
      </c>
      <c r="C91" s="38">
        <v>45346</v>
      </c>
      <c r="D91" t="str">
        <v>Frustrated with repeated documentation requests.</v>
      </c>
      <c r="E91">
        <v>2</v>
      </c>
      <c r="F91" t="str">
        <v>No</v>
      </c>
      <c r="G91" t="str">
        <v>Yes</v>
      </c>
      <c r="H91" t="str">
        <v>Valid</v>
      </c>
    </row>
    <row r="92" spans="1:8" x14ac:dyDescent="0.3">
      <c r="A92" t="str">
        <v>FDB80131</v>
      </c>
      <c r="B92" t="str">
        <v>CUST10135</v>
      </c>
      <c r="C92" s="38">
        <v>45867</v>
      </c>
      <c r="D92" t="str">
        <v>Excellent customer service support.</v>
      </c>
      <c r="E92">
        <v>4</v>
      </c>
      <c r="F92" t="str">
        <v>Yes</v>
      </c>
      <c r="G92" t="str">
        <v>No</v>
      </c>
      <c r="H92" t="str">
        <v>Valid</v>
      </c>
    </row>
    <row r="93" spans="1:8" x14ac:dyDescent="0.3">
      <c r="A93" t="str">
        <v>FDB80132</v>
      </c>
      <c r="B93" t="str">
        <v>CUST10383</v>
      </c>
      <c r="C93" s="38">
        <v>45693</v>
      </c>
      <c r="D93" t="str">
        <v>Need more clarity on policy coverage.</v>
      </c>
      <c r="E93">
        <v>2</v>
      </c>
      <c r="F93" t="str">
        <v>Yes</v>
      </c>
      <c r="G93" t="str">
        <v>No</v>
      </c>
      <c r="H93" t="str">
        <v>Valid</v>
      </c>
    </row>
    <row r="94" spans="1:8" x14ac:dyDescent="0.3">
      <c r="A94" t="str">
        <v>FDB80135</v>
      </c>
      <c r="B94" t="str">
        <v>CUST11201</v>
      </c>
      <c r="C94" s="38">
        <v>45988</v>
      </c>
      <c r="D94" t="str">
        <v>The mobile app experience was intuitive.</v>
      </c>
      <c r="E94">
        <v>4</v>
      </c>
      <c r="F94" t="str">
        <v>No</v>
      </c>
      <c r="G94" t="str">
        <v>No</v>
      </c>
      <c r="H94" t="str">
        <v>Valid</v>
      </c>
    </row>
    <row r="95" spans="1:8" x14ac:dyDescent="0.3">
      <c r="A95" t="str">
        <v>FDB80136</v>
      </c>
      <c r="B95" t="str">
        <v>CUST10533</v>
      </c>
      <c r="C95" s="38">
        <v>45934</v>
      </c>
      <c r="D95" t="str">
        <v>Very satisfied with the claim process.</v>
      </c>
      <c r="E95">
        <v>5</v>
      </c>
      <c r="F95" t="str">
        <v>No</v>
      </c>
      <c r="G95" t="str">
        <v>No</v>
      </c>
      <c r="H95" t="str">
        <v>Valid</v>
      </c>
    </row>
    <row r="96" spans="1:8" x14ac:dyDescent="0.3">
      <c r="A96" t="str">
        <v>FDB80137</v>
      </c>
      <c r="B96" t="str">
        <v>CUST11324</v>
      </c>
      <c r="C96" s="38">
        <v>45333</v>
      </c>
      <c r="D96" t="str">
        <v>Need more clarity on policy coverage.</v>
      </c>
      <c r="E96">
        <v>2</v>
      </c>
      <c r="F96" t="str">
        <v>Yes</v>
      </c>
      <c r="G96" t="str">
        <v>No</v>
      </c>
      <c r="H96" t="str">
        <v>Valid</v>
      </c>
    </row>
    <row r="97" spans="1:8" x14ac:dyDescent="0.3">
      <c r="A97" t="str">
        <v>FDB80138</v>
      </c>
      <c r="B97" t="str">
        <v>CUST10357</v>
      </c>
      <c r="C97" s="38">
        <v>45493</v>
      </c>
      <c r="D97" t="str">
        <v>Need more clarity on policy coverage.</v>
      </c>
      <c r="E97">
        <v>2</v>
      </c>
      <c r="F97" t="str">
        <v>No</v>
      </c>
      <c r="G97" t="str">
        <v>Yes</v>
      </c>
      <c r="H97" t="str">
        <v>Valid</v>
      </c>
    </row>
    <row r="98" spans="1:8" x14ac:dyDescent="0.3">
      <c r="A98" t="str">
        <v>FDB80139</v>
      </c>
      <c r="B98" t="str">
        <v>CUST10680</v>
      </c>
      <c r="C98" s="38">
        <v>45594</v>
      </c>
      <c r="D98" t="str">
        <v>The agent was helpful and explained everything.</v>
      </c>
      <c r="E98">
        <v>4</v>
      </c>
      <c r="F98" t="str">
        <v>Yes</v>
      </c>
      <c r="G98" t="str">
        <v>Yes</v>
      </c>
      <c r="H98" t="str">
        <v>Valid</v>
      </c>
    </row>
    <row r="99" spans="1:8" x14ac:dyDescent="0.3">
      <c r="A99" t="str">
        <v>FDB80140</v>
      </c>
      <c r="B99" t="str">
        <v>CUST10991</v>
      </c>
      <c r="C99" s="38">
        <v>45870</v>
      </c>
      <c r="D99" t="str">
        <v>Frustrated with repeated documentation requests.</v>
      </c>
      <c r="E99">
        <v>2</v>
      </c>
      <c r="F99" t="str">
        <v>Yes</v>
      </c>
      <c r="G99" t="str">
        <v>Yes</v>
      </c>
      <c r="H99" t="str">
        <v>Valid</v>
      </c>
    </row>
    <row r="100" spans="1:8" x14ac:dyDescent="0.3">
      <c r="A100" t="str">
        <v>FDB80143</v>
      </c>
      <c r="B100" t="str">
        <v>CUST10169</v>
      </c>
      <c r="C100" s="38">
        <v>45505</v>
      </c>
      <c r="D100" t="str">
        <v>Frustrated with repeated documentation requests.</v>
      </c>
      <c r="E100">
        <v>2</v>
      </c>
      <c r="F100" t="str">
        <v>Yes</v>
      </c>
      <c r="G100" t="str">
        <v>No</v>
      </c>
      <c r="H100" t="str">
        <v>Valid</v>
      </c>
    </row>
    <row r="101" spans="1:8" x14ac:dyDescent="0.3">
      <c r="A101" t="str">
        <v>FDB80145</v>
      </c>
      <c r="B101" t="str">
        <v>CUST10374</v>
      </c>
      <c r="C101" s="38">
        <v>45457</v>
      </c>
      <c r="D101" t="str">
        <v>I'm not happy with the premium charged.</v>
      </c>
      <c r="E101">
        <v>2</v>
      </c>
      <c r="F101" t="str">
        <v>No</v>
      </c>
      <c r="G101" t="str">
        <v>Yes</v>
      </c>
      <c r="H101" t="str">
        <v>Valid</v>
      </c>
    </row>
    <row r="102" spans="1:8" x14ac:dyDescent="0.3">
      <c r="A102" t="str">
        <v>FDB80146</v>
      </c>
      <c r="B102" t="str">
        <v>CUST10249</v>
      </c>
      <c r="C102" s="38">
        <v>45963</v>
      </c>
      <c r="D102" t="str">
        <v>The mobile app experience was intuitive.</v>
      </c>
      <c r="E102">
        <v>4</v>
      </c>
      <c r="F102" t="str">
        <v>No</v>
      </c>
      <c r="G102" t="str">
        <v>Yes</v>
      </c>
      <c r="H102" t="str">
        <v>Valid</v>
      </c>
    </row>
    <row r="103" spans="1:8" x14ac:dyDescent="0.3">
      <c r="A103" t="str">
        <v>FDB80147</v>
      </c>
      <c r="B103" t="str">
        <v>CUST11121</v>
      </c>
      <c r="C103" s="38">
        <v>45990</v>
      </c>
      <c r="D103" t="str">
        <v>The agent was helpful and explained everything.</v>
      </c>
      <c r="E103">
        <v>4</v>
      </c>
      <c r="F103" t="str">
        <v>Yes</v>
      </c>
      <c r="G103" t="str">
        <v>No</v>
      </c>
      <c r="H103" t="str">
        <v>Valid</v>
      </c>
    </row>
    <row r="104" spans="1:8" x14ac:dyDescent="0.3">
      <c r="A104" t="str">
        <v>FDB80148</v>
      </c>
      <c r="B104" t="str">
        <v>CUST11114</v>
      </c>
      <c r="C104" s="38">
        <v>46264</v>
      </c>
      <c r="D104" t="str">
        <v>Very satisfied with the claim process.</v>
      </c>
      <c r="E104">
        <v>5</v>
      </c>
      <c r="F104" t="str">
        <v>Yes</v>
      </c>
      <c r="G104" t="str">
        <v>No</v>
      </c>
      <c r="H104" t="str">
        <v>Valid</v>
      </c>
    </row>
    <row r="105" spans="1:8" x14ac:dyDescent="0.3">
      <c r="A105" t="str">
        <v>FDB80149</v>
      </c>
      <c r="B105" t="str">
        <v>CUST10770</v>
      </c>
      <c r="C105" s="38">
        <v>45617</v>
      </c>
      <c r="D105" t="str">
        <v>I'm not happy with the premium charged.</v>
      </c>
      <c r="E105">
        <v>2</v>
      </c>
      <c r="F105" t="str">
        <v>Yes</v>
      </c>
      <c r="G105" t="str">
        <v>Yes</v>
      </c>
      <c r="H105" t="str">
        <v>Valid</v>
      </c>
    </row>
    <row r="106" spans="1:8" x14ac:dyDescent="0.3">
      <c r="A106" t="str">
        <v>FDB80151</v>
      </c>
      <c r="B106" t="str">
        <v>CUST10788</v>
      </c>
      <c r="C106" s="38">
        <v>45359</v>
      </c>
      <c r="D106" t="str">
        <v>Had to wait too long for claim approval.</v>
      </c>
      <c r="E106">
        <v>1</v>
      </c>
      <c r="F106" t="str">
        <v>No</v>
      </c>
      <c r="G106" t="str">
        <v>Yes</v>
      </c>
      <c r="H106" t="str">
        <v>Valid</v>
      </c>
    </row>
    <row r="107" spans="1:8" x14ac:dyDescent="0.3">
      <c r="A107" t="str">
        <v>FDB80152</v>
      </c>
      <c r="B107" t="str">
        <v>CUST10056</v>
      </c>
      <c r="C107" s="38">
        <v>45550</v>
      </c>
      <c r="D107" t="str">
        <v>Frustrated with repeated documentation requests.</v>
      </c>
      <c r="E107">
        <v>2</v>
      </c>
      <c r="F107" t="str">
        <v>Yes</v>
      </c>
      <c r="G107" t="str">
        <v>Yes</v>
      </c>
      <c r="H107" t="str">
        <v>Valid</v>
      </c>
    </row>
    <row r="108" spans="1:8" x14ac:dyDescent="0.3">
      <c r="A108" t="str">
        <v>FDB80153</v>
      </c>
      <c r="B108" t="str">
        <v>CUST10324</v>
      </c>
      <c r="C108" s="38">
        <v>45343</v>
      </c>
      <c r="D108" t="str">
        <v>Smooth experience with no issues.</v>
      </c>
      <c r="E108">
        <v>5</v>
      </c>
      <c r="F108" t="str">
        <v>No</v>
      </c>
      <c r="G108" t="str">
        <v>No</v>
      </c>
      <c r="H108" t="str">
        <v>Valid</v>
      </c>
    </row>
    <row r="109" spans="1:8" x14ac:dyDescent="0.3">
      <c r="A109" t="str">
        <v>FDB80154</v>
      </c>
      <c r="B109" t="str">
        <v>CUST11221</v>
      </c>
      <c r="C109" s="38">
        <v>46107</v>
      </c>
      <c r="D109" t="str">
        <v>I'm not happy with the premium charged.</v>
      </c>
      <c r="E109">
        <v>2</v>
      </c>
      <c r="F109" t="str">
        <v>No</v>
      </c>
      <c r="G109" t="str">
        <v>Yes</v>
      </c>
      <c r="H109" t="str">
        <v>Valid</v>
      </c>
    </row>
    <row r="110" spans="1:8" x14ac:dyDescent="0.3">
      <c r="A110" t="str">
        <v>FDB80155</v>
      </c>
      <c r="B110" t="str">
        <v>CUST10193</v>
      </c>
      <c r="C110" s="38">
        <v>45517</v>
      </c>
      <c r="D110" t="str">
        <v>Claim process could be faster.</v>
      </c>
      <c r="E110">
        <v>2</v>
      </c>
      <c r="F110" t="str">
        <v>No</v>
      </c>
      <c r="G110" t="str">
        <v>Yes</v>
      </c>
      <c r="H110" t="str">
        <v>Valid</v>
      </c>
    </row>
    <row r="111" spans="1:8" x14ac:dyDescent="0.3">
      <c r="A111" t="str">
        <v>FDB80156</v>
      </c>
      <c r="B111" t="str">
        <v>CUST11525</v>
      </c>
      <c r="C111" s="38">
        <v>45583</v>
      </c>
      <c r="D111" t="str">
        <v>Smooth experience with no issues.</v>
      </c>
      <c r="E111">
        <v>4</v>
      </c>
      <c r="F111" t="str">
        <v>No</v>
      </c>
      <c r="G111" t="str">
        <v>No</v>
      </c>
      <c r="H111" t="str">
        <v>Valid</v>
      </c>
    </row>
    <row r="112" spans="1:8" x14ac:dyDescent="0.3">
      <c r="A112" t="str">
        <v>FDB80157</v>
      </c>
      <c r="B112" t="str">
        <v>CUST10790</v>
      </c>
      <c r="C112" s="38">
        <v>46121</v>
      </c>
      <c r="D112" t="str">
        <v>Had to wait too long for claim approval.</v>
      </c>
      <c r="E112">
        <v>1</v>
      </c>
      <c r="F112" t="str">
        <v>No</v>
      </c>
      <c r="G112" t="str">
        <v>No</v>
      </c>
      <c r="H112" t="str">
        <v>Valid</v>
      </c>
    </row>
    <row r="113" spans="1:8" x14ac:dyDescent="0.3">
      <c r="A113" t="str">
        <v>FDB80158</v>
      </c>
      <c r="B113" t="str">
        <v>CUST11080</v>
      </c>
      <c r="C113" s="38">
        <v>45704</v>
      </c>
      <c r="D113" t="str">
        <v>The mobile app experience was intuitive.</v>
      </c>
      <c r="E113">
        <v>4</v>
      </c>
      <c r="F113" t="str">
        <v>Yes</v>
      </c>
      <c r="G113" t="str">
        <v>Yes</v>
      </c>
      <c r="H113" t="str">
        <v>Valid</v>
      </c>
    </row>
    <row r="114" spans="1:8" x14ac:dyDescent="0.3">
      <c r="A114" t="str">
        <v>FDB80160</v>
      </c>
      <c r="B114" t="str">
        <v>CUST10317</v>
      </c>
      <c r="C114" s="38">
        <v>45748</v>
      </c>
      <c r="D114" t="str">
        <v>Had to wait too long for claim approval.</v>
      </c>
      <c r="E114">
        <v>1</v>
      </c>
      <c r="F114" t="str">
        <v>No</v>
      </c>
      <c r="G114" t="str">
        <v>Yes</v>
      </c>
      <c r="H114" t="str">
        <v>Valid</v>
      </c>
    </row>
    <row r="115" spans="1:8" x14ac:dyDescent="0.3">
      <c r="A115" t="str">
        <v>FDB80162</v>
      </c>
      <c r="B115" t="str">
        <v>CUST11450</v>
      </c>
      <c r="C115" s="38">
        <v>46156</v>
      </c>
      <c r="D115" t="str">
        <v>Had to wait too long for claim approval.</v>
      </c>
      <c r="E115">
        <v>1</v>
      </c>
      <c r="F115" t="str">
        <v>Yes</v>
      </c>
      <c r="G115" t="str">
        <v>No</v>
      </c>
      <c r="H115" t="str">
        <v>Valid</v>
      </c>
    </row>
    <row r="116" spans="1:8" x14ac:dyDescent="0.3">
      <c r="A116" t="str">
        <v>FDB80168</v>
      </c>
      <c r="B116" t="str">
        <v>CUST11221</v>
      </c>
      <c r="C116" s="38">
        <v>45478</v>
      </c>
      <c r="D116" t="str">
        <v>The mobile app experience was intuitive.</v>
      </c>
      <c r="E116">
        <v>4</v>
      </c>
      <c r="F116" t="str">
        <v>Yes</v>
      </c>
      <c r="G116" t="str">
        <v>No</v>
      </c>
      <c r="H116" t="str">
        <v>Valid</v>
      </c>
    </row>
    <row r="117" spans="1:8" x14ac:dyDescent="0.3">
      <c r="A117" t="str">
        <v>FDB80170</v>
      </c>
      <c r="B117" t="str">
        <v>CUST10141</v>
      </c>
      <c r="C117" s="38">
        <v>46038</v>
      </c>
      <c r="D117" t="str">
        <v>Smooth experience with no issues.</v>
      </c>
      <c r="E117">
        <v>4</v>
      </c>
      <c r="F117" t="str">
        <v>No</v>
      </c>
      <c r="G117" t="str">
        <v>No</v>
      </c>
      <c r="H117" t="str">
        <v>Valid</v>
      </c>
    </row>
    <row r="118" spans="1:8" x14ac:dyDescent="0.3">
      <c r="A118" t="str">
        <v>FDB80171</v>
      </c>
      <c r="B118" t="str">
        <v>CUST10185</v>
      </c>
      <c r="C118" s="38">
        <v>45885</v>
      </c>
      <c r="D118" t="str">
        <v>The agent was helpful and explained everything.</v>
      </c>
      <c r="E118">
        <v>4</v>
      </c>
      <c r="F118" t="str">
        <v>Yes</v>
      </c>
      <c r="G118" t="str">
        <v>No</v>
      </c>
      <c r="H118" t="str">
        <v>Valid</v>
      </c>
    </row>
    <row r="119" spans="1:8" x14ac:dyDescent="0.3">
      <c r="A119" t="str">
        <v>FDB80172</v>
      </c>
      <c r="B119" t="str">
        <v>CUST10331</v>
      </c>
      <c r="C119" s="38">
        <v>45563</v>
      </c>
      <c r="D119" t="str">
        <v>Smooth experience with no issues.</v>
      </c>
      <c r="E119">
        <v>4</v>
      </c>
      <c r="F119" t="str">
        <v>No</v>
      </c>
      <c r="G119" t="str">
        <v>No</v>
      </c>
      <c r="H119" t="str">
        <v>Valid</v>
      </c>
    </row>
    <row r="120" spans="1:8" x14ac:dyDescent="0.3">
      <c r="A120" t="str">
        <v>FDB80177</v>
      </c>
      <c r="B120" t="str">
        <v>CUST11345</v>
      </c>
      <c r="C120" s="38">
        <v>46099</v>
      </c>
      <c r="D120" t="str">
        <v>Need more clarity on policy coverage.</v>
      </c>
      <c r="E120">
        <v>2</v>
      </c>
      <c r="F120" t="str">
        <v>Yes</v>
      </c>
      <c r="G120" t="str">
        <v>No</v>
      </c>
      <c r="H120" t="str">
        <v>Valid</v>
      </c>
    </row>
    <row r="121" spans="1:8" x14ac:dyDescent="0.3">
      <c r="A121" t="str">
        <v>FDB80178</v>
      </c>
      <c r="B121" t="str">
        <v>CUST10479</v>
      </c>
      <c r="C121" s="38">
        <v>46031</v>
      </c>
      <c r="D121" t="str">
        <v>The mobile app experience was intuitive.</v>
      </c>
      <c r="E121">
        <v>4</v>
      </c>
      <c r="F121" t="str">
        <v>Yes</v>
      </c>
      <c r="G121" t="str">
        <v>No</v>
      </c>
      <c r="H121" t="str">
        <v>Valid</v>
      </c>
    </row>
    <row r="122" spans="1:8" x14ac:dyDescent="0.3">
      <c r="A122" t="str">
        <v>FDB80180</v>
      </c>
      <c r="B122" t="str">
        <v>CUST10814</v>
      </c>
      <c r="C122" s="38">
        <v>45423</v>
      </c>
      <c r="D122" t="str">
        <v>Claim process could be faster.</v>
      </c>
      <c r="E122">
        <v>2</v>
      </c>
      <c r="F122" t="str">
        <v>Yes</v>
      </c>
      <c r="G122" t="str">
        <v>No</v>
      </c>
      <c r="H122" t="str">
        <v>Valid</v>
      </c>
    </row>
    <row r="123" spans="1:8" x14ac:dyDescent="0.3">
      <c r="A123" t="str">
        <v>FDB80181</v>
      </c>
      <c r="B123" t="str">
        <v>CUST10273</v>
      </c>
      <c r="C123" s="38">
        <v>45394</v>
      </c>
      <c r="D123" t="str">
        <v>Need more clarity on policy coverage.</v>
      </c>
      <c r="E123">
        <v>2</v>
      </c>
      <c r="F123" t="str">
        <v>Yes</v>
      </c>
      <c r="G123" t="str">
        <v>No</v>
      </c>
      <c r="H123" t="str">
        <v>Valid</v>
      </c>
    </row>
    <row r="124" spans="1:8" x14ac:dyDescent="0.3">
      <c r="A124" t="str">
        <v>FDB80182</v>
      </c>
      <c r="B124" t="str">
        <v>CUST10275</v>
      </c>
      <c r="C124" s="38">
        <v>45901</v>
      </c>
      <c r="D124" t="str">
        <v>Claim process could be faster.</v>
      </c>
      <c r="E124">
        <v>3</v>
      </c>
      <c r="F124" t="str">
        <v>Yes</v>
      </c>
      <c r="G124" t="str">
        <v>No</v>
      </c>
      <c r="H124" t="str">
        <v>Valid</v>
      </c>
    </row>
    <row r="125" spans="1:8" x14ac:dyDescent="0.3">
      <c r="A125" t="str">
        <v>FDB80183</v>
      </c>
      <c r="B125" t="str">
        <v>CUST11225</v>
      </c>
      <c r="C125" s="38">
        <v>45609</v>
      </c>
      <c r="D125" t="str">
        <v>Frustrated with repeated documentation requests.</v>
      </c>
      <c r="E125">
        <v>2</v>
      </c>
      <c r="F125" t="str">
        <v>No</v>
      </c>
      <c r="G125" t="str">
        <v>No</v>
      </c>
      <c r="H125" t="str">
        <v>Valid</v>
      </c>
    </row>
    <row r="126" spans="1:8" x14ac:dyDescent="0.3">
      <c r="A126" t="str">
        <v>FDB80184</v>
      </c>
      <c r="B126" t="str">
        <v>CUST11183</v>
      </c>
      <c r="C126" s="38">
        <v>45281</v>
      </c>
      <c r="D126" t="str">
        <v>Need more clarity on policy coverage.</v>
      </c>
      <c r="E126">
        <v>2</v>
      </c>
      <c r="F126" t="str">
        <v>Yes</v>
      </c>
      <c r="G126" t="str">
        <v>Yes</v>
      </c>
      <c r="H126" t="str">
        <v>Valid</v>
      </c>
    </row>
    <row r="127" spans="1:8" x14ac:dyDescent="0.3">
      <c r="A127" t="str">
        <v>FDB80185</v>
      </c>
      <c r="B127" t="str">
        <v>CUST10734</v>
      </c>
      <c r="C127" s="38">
        <v>45534</v>
      </c>
      <c r="D127" t="str">
        <v>I'm not happy with the premium charged.</v>
      </c>
      <c r="E127">
        <v>2</v>
      </c>
      <c r="F127" t="str">
        <v>Yes</v>
      </c>
      <c r="G127" t="str">
        <v>No</v>
      </c>
      <c r="H127" t="str">
        <v>Valid</v>
      </c>
    </row>
    <row r="128" spans="1:8" x14ac:dyDescent="0.3">
      <c r="A128" t="str">
        <v>FDB80186</v>
      </c>
      <c r="B128" t="str">
        <v>CUST10565</v>
      </c>
      <c r="C128" s="38">
        <v>45246</v>
      </c>
      <c r="D128" t="str">
        <v>Very satisfied with the claim process.</v>
      </c>
      <c r="E128">
        <v>5</v>
      </c>
      <c r="F128" t="str">
        <v>No</v>
      </c>
      <c r="G128" t="str">
        <v>No</v>
      </c>
      <c r="H128" t="str">
        <v>Valid</v>
      </c>
    </row>
    <row r="129" spans="1:8" x14ac:dyDescent="0.3">
      <c r="A129" t="str">
        <v>FDB80187</v>
      </c>
      <c r="B129" t="str">
        <v>CUST11224</v>
      </c>
      <c r="C129" s="38">
        <v>45779</v>
      </c>
      <c r="D129" t="str">
        <v>Claim process could be faster.</v>
      </c>
      <c r="E129">
        <v>2</v>
      </c>
      <c r="F129" t="str">
        <v>Yes</v>
      </c>
      <c r="G129" t="str">
        <v>Yes</v>
      </c>
      <c r="H129" t="str">
        <v>Valid</v>
      </c>
    </row>
    <row r="130" spans="1:8" x14ac:dyDescent="0.3">
      <c r="A130" t="str">
        <v>FDB80189</v>
      </c>
      <c r="B130" t="str">
        <v>CUST10790</v>
      </c>
      <c r="C130" s="38">
        <v>45985</v>
      </c>
      <c r="D130" t="str">
        <v>Frustrated with repeated documentation requests.</v>
      </c>
      <c r="E130">
        <v>2</v>
      </c>
      <c r="F130" t="str">
        <v>Yes</v>
      </c>
      <c r="G130" t="str">
        <v>No</v>
      </c>
      <c r="H130" t="str">
        <v>Valid</v>
      </c>
    </row>
    <row r="131" spans="1:8" x14ac:dyDescent="0.3">
      <c r="A131" t="str">
        <v>FDB80191</v>
      </c>
      <c r="B131" t="str">
        <v>CUST10531</v>
      </c>
      <c r="C131" s="38">
        <v>46236</v>
      </c>
      <c r="D131" t="str">
        <v>Smooth experience with no issues.</v>
      </c>
      <c r="E131">
        <v>5</v>
      </c>
      <c r="F131" t="str">
        <v>Yes</v>
      </c>
      <c r="G131" t="str">
        <v>No</v>
      </c>
      <c r="H131" t="str">
        <v>Valid</v>
      </c>
    </row>
    <row r="132" spans="1:8" x14ac:dyDescent="0.3">
      <c r="A132" t="str">
        <v>FDB80192</v>
      </c>
      <c r="B132" t="str">
        <v>CUST10950</v>
      </c>
      <c r="C132" s="38">
        <v>45234</v>
      </c>
      <c r="D132" t="str">
        <v>Smooth experience with no issues.</v>
      </c>
      <c r="E132">
        <v>4</v>
      </c>
      <c r="F132" t="str">
        <v>Yes</v>
      </c>
      <c r="G132" t="str">
        <v>Yes</v>
      </c>
      <c r="H132" t="str">
        <v>Valid</v>
      </c>
    </row>
    <row r="133" spans="1:8" x14ac:dyDescent="0.3">
      <c r="A133" t="str">
        <v>FDB80194</v>
      </c>
      <c r="B133" t="str">
        <v>CUST10527</v>
      </c>
      <c r="C133" s="38">
        <v>45444</v>
      </c>
      <c r="D133" t="str">
        <v>Smooth experience with no issues.</v>
      </c>
      <c r="E133">
        <v>5</v>
      </c>
      <c r="F133" t="str">
        <v>No</v>
      </c>
      <c r="G133" t="str">
        <v>No</v>
      </c>
      <c r="H133" t="str">
        <v>Valid</v>
      </c>
    </row>
    <row r="134" spans="1:8" x14ac:dyDescent="0.3">
      <c r="A134" t="str">
        <v>FDB80195</v>
      </c>
      <c r="B134" t="str">
        <v>CUST10082</v>
      </c>
      <c r="C134" s="38">
        <v>45453</v>
      </c>
      <c r="D134" t="str">
        <v>Claim process could be faster.</v>
      </c>
      <c r="E134">
        <v>2</v>
      </c>
      <c r="F134" t="str">
        <v>Yes</v>
      </c>
      <c r="G134" t="str">
        <v>No</v>
      </c>
      <c r="H134" t="str">
        <v>Valid</v>
      </c>
    </row>
    <row r="135" spans="1:8" x14ac:dyDescent="0.3">
      <c r="A135" t="str">
        <v>FDB80199</v>
      </c>
      <c r="B135" t="str">
        <v>CUST10058</v>
      </c>
      <c r="C135" s="38">
        <v>45441</v>
      </c>
      <c r="D135" t="str">
        <v>Excellent customer service support.</v>
      </c>
      <c r="E135">
        <v>5</v>
      </c>
      <c r="F135" t="str">
        <v>No</v>
      </c>
      <c r="G135" t="str">
        <v>No</v>
      </c>
      <c r="H135" t="str">
        <v>Valid</v>
      </c>
    </row>
    <row r="136" spans="1:8" x14ac:dyDescent="0.3">
      <c r="A136" t="str">
        <v>FDB80200</v>
      </c>
      <c r="B136" t="str">
        <v>CUST10734</v>
      </c>
      <c r="C136" s="38">
        <v>45928</v>
      </c>
      <c r="D136" t="str">
        <v>Frustrated with repeated documentation requests.</v>
      </c>
      <c r="E136">
        <v>2</v>
      </c>
      <c r="F136" t="str">
        <v>Yes</v>
      </c>
      <c r="G136" t="str">
        <v>No</v>
      </c>
      <c r="H136" t="str">
        <v>Valid</v>
      </c>
    </row>
    <row r="137" spans="1:8" x14ac:dyDescent="0.3">
      <c r="A137" t="str">
        <v>FDB80201</v>
      </c>
      <c r="B137" t="str">
        <v>CUST11461</v>
      </c>
      <c r="C137" s="38">
        <v>45672</v>
      </c>
      <c r="D137" t="str">
        <v>Claim process could be faster.</v>
      </c>
      <c r="E137">
        <v>3</v>
      </c>
      <c r="F137" t="str">
        <v>Yes</v>
      </c>
      <c r="G137" t="str">
        <v>Yes</v>
      </c>
      <c r="H137" t="str">
        <v>Valid</v>
      </c>
    </row>
    <row r="138" spans="1:8" x14ac:dyDescent="0.3">
      <c r="A138" t="str">
        <v>FDB80203</v>
      </c>
      <c r="B138" t="str">
        <v>CUST11118</v>
      </c>
      <c r="C138" s="38">
        <v>45840</v>
      </c>
      <c r="D138" t="str">
        <v>Frustrated with repeated documentation requests.</v>
      </c>
      <c r="E138">
        <v>2</v>
      </c>
      <c r="F138" t="str">
        <v>Yes</v>
      </c>
      <c r="G138" t="str">
        <v>No</v>
      </c>
      <c r="H138" t="str">
        <v>Valid</v>
      </c>
    </row>
    <row r="139" spans="1:8" x14ac:dyDescent="0.3">
      <c r="A139" t="str">
        <v>FDB80204</v>
      </c>
      <c r="B139" t="str">
        <v>CUST10142</v>
      </c>
      <c r="C139" s="38">
        <v>45777</v>
      </c>
      <c r="D139" t="str">
        <v>Claim process could be faster.</v>
      </c>
      <c r="E139">
        <v>2</v>
      </c>
      <c r="F139" t="str">
        <v>Yes</v>
      </c>
      <c r="G139" t="str">
        <v>No</v>
      </c>
      <c r="H139" t="str">
        <v>Valid</v>
      </c>
    </row>
    <row r="140" spans="1:8" x14ac:dyDescent="0.3">
      <c r="A140" t="str">
        <v>FDB80205</v>
      </c>
      <c r="B140" t="str">
        <v>CUST11318</v>
      </c>
      <c r="C140" s="38">
        <v>45273</v>
      </c>
      <c r="D140" t="str">
        <v>Smooth experience with no issues.</v>
      </c>
      <c r="E140">
        <v>5</v>
      </c>
      <c r="F140" t="str">
        <v>Yes</v>
      </c>
      <c r="G140" t="str">
        <v>No</v>
      </c>
      <c r="H140" t="str">
        <v>Valid</v>
      </c>
    </row>
    <row r="141" spans="1:8" x14ac:dyDescent="0.3">
      <c r="A141" t="str">
        <v>FDB80207</v>
      </c>
      <c r="B141" t="str">
        <v>CUST10643</v>
      </c>
      <c r="C141" s="38">
        <v>46083</v>
      </c>
      <c r="D141" t="str">
        <v>Claim process could be faster.</v>
      </c>
      <c r="E141">
        <v>2</v>
      </c>
      <c r="F141" t="str">
        <v>No</v>
      </c>
      <c r="G141" t="str">
        <v>No</v>
      </c>
      <c r="H141" t="str">
        <v>Valid</v>
      </c>
    </row>
    <row r="142" spans="1:8" x14ac:dyDescent="0.3">
      <c r="A142" t="str">
        <v>FDB80210</v>
      </c>
      <c r="B142" t="str">
        <v>CUST10549</v>
      </c>
      <c r="C142" s="38">
        <v>45745</v>
      </c>
      <c r="D142" t="str">
        <v>Had to wait too long for claim approval.</v>
      </c>
      <c r="E142">
        <v>1</v>
      </c>
      <c r="F142" t="str">
        <v>No</v>
      </c>
      <c r="G142" t="str">
        <v>No</v>
      </c>
      <c r="H142" t="str">
        <v>Valid</v>
      </c>
    </row>
    <row r="143" spans="1:8" x14ac:dyDescent="0.3">
      <c r="A143" t="str">
        <v>FDB80211</v>
      </c>
      <c r="B143" t="str">
        <v>CUST11192</v>
      </c>
      <c r="C143" s="38">
        <v>45239</v>
      </c>
      <c r="D143" t="str">
        <v>I'm not happy with the premium charged.</v>
      </c>
      <c r="E143">
        <v>2</v>
      </c>
      <c r="F143" t="str">
        <v>No</v>
      </c>
      <c r="G143" t="str">
        <v>Yes</v>
      </c>
      <c r="H143" t="str">
        <v>Valid</v>
      </c>
    </row>
    <row r="144" spans="1:8" x14ac:dyDescent="0.3">
      <c r="A144" t="str">
        <v>FDB80212</v>
      </c>
      <c r="B144" t="str">
        <v>CUST10413</v>
      </c>
      <c r="C144" s="38">
        <v>45422</v>
      </c>
      <c r="D144" t="str">
        <v>The mobile app experience was intuitive.</v>
      </c>
      <c r="E144">
        <v>4</v>
      </c>
      <c r="F144" t="str">
        <v>No</v>
      </c>
      <c r="G144" t="str">
        <v>No</v>
      </c>
      <c r="H144" t="str">
        <v>Valid</v>
      </c>
    </row>
    <row r="145" spans="1:8" x14ac:dyDescent="0.3">
      <c r="A145" t="str">
        <v>FDB80213</v>
      </c>
      <c r="B145" t="str">
        <v>CUST11462</v>
      </c>
      <c r="C145" s="38">
        <v>45814</v>
      </c>
      <c r="D145" t="str">
        <v>Claim process could be faster.</v>
      </c>
      <c r="E145">
        <v>3</v>
      </c>
      <c r="F145" t="str">
        <v>No</v>
      </c>
      <c r="G145" t="str">
        <v>No</v>
      </c>
      <c r="H145" t="str">
        <v>Valid</v>
      </c>
    </row>
    <row r="146" spans="1:8" x14ac:dyDescent="0.3">
      <c r="A146" t="str">
        <v>FDB80215</v>
      </c>
      <c r="B146" t="str">
        <v>CUST10802</v>
      </c>
      <c r="C146" s="38">
        <v>45681</v>
      </c>
      <c r="D146" t="str">
        <v>Smooth experience with no issues.</v>
      </c>
      <c r="E146">
        <v>5</v>
      </c>
      <c r="F146" t="str">
        <v>Yes</v>
      </c>
      <c r="G146" t="str">
        <v>Yes</v>
      </c>
      <c r="H146" t="str">
        <v>Valid</v>
      </c>
    </row>
    <row r="147" spans="1:8" x14ac:dyDescent="0.3">
      <c r="A147" t="str">
        <v>FDB80216</v>
      </c>
      <c r="B147" t="str">
        <v>CUST10298</v>
      </c>
      <c r="C147" s="38">
        <v>45761</v>
      </c>
      <c r="D147" t="str">
        <v>Had to wait too long for claim approval.</v>
      </c>
      <c r="E147">
        <v>1</v>
      </c>
      <c r="F147" t="str">
        <v>Yes</v>
      </c>
      <c r="G147" t="str">
        <v>No</v>
      </c>
      <c r="H147" t="str">
        <v>Valid</v>
      </c>
    </row>
    <row r="148" spans="1:8" x14ac:dyDescent="0.3">
      <c r="A148" t="str">
        <v>FDB80217</v>
      </c>
      <c r="B148" t="str">
        <v>CUST10149</v>
      </c>
      <c r="C148" s="38">
        <v>46029</v>
      </c>
      <c r="D148" t="str">
        <v>Smooth experience with no issues.</v>
      </c>
      <c r="E148">
        <v>4</v>
      </c>
      <c r="F148" t="str">
        <v>No</v>
      </c>
      <c r="G148" t="str">
        <v>Yes</v>
      </c>
      <c r="H148" t="str">
        <v>Valid</v>
      </c>
    </row>
    <row r="149" spans="1:8" x14ac:dyDescent="0.3">
      <c r="A149" t="str">
        <v>FDB80218</v>
      </c>
      <c r="B149" t="str">
        <v>CUST10448</v>
      </c>
      <c r="C149" s="38">
        <v>45522</v>
      </c>
      <c r="D149" t="str">
        <v>Frustrated with repeated documentation requests.</v>
      </c>
      <c r="E149">
        <v>2</v>
      </c>
      <c r="F149" t="str">
        <v>No</v>
      </c>
      <c r="G149" t="str">
        <v>Yes</v>
      </c>
      <c r="H149" t="str">
        <v>Valid</v>
      </c>
    </row>
    <row r="150" spans="1:8" x14ac:dyDescent="0.3">
      <c r="A150" t="str">
        <v>FDB80220</v>
      </c>
      <c r="B150" t="str">
        <v>CUST11288</v>
      </c>
      <c r="C150" s="38">
        <v>45388</v>
      </c>
      <c r="D150" t="str">
        <v>Frustrated with repeated documentation requests.</v>
      </c>
      <c r="E150">
        <v>2</v>
      </c>
      <c r="F150" t="str">
        <v>Yes</v>
      </c>
      <c r="G150" t="str">
        <v>Yes</v>
      </c>
      <c r="H150" t="str">
        <v>Valid</v>
      </c>
    </row>
    <row r="151" spans="1:8" x14ac:dyDescent="0.3">
      <c r="A151" t="str">
        <v>FDB80221</v>
      </c>
      <c r="B151" t="str">
        <v>CUST11084</v>
      </c>
      <c r="C151" s="38">
        <v>45300</v>
      </c>
      <c r="D151" t="str">
        <v>Frustrated with repeated documentation requests.</v>
      </c>
      <c r="E151">
        <v>2</v>
      </c>
      <c r="F151" t="str">
        <v>Yes</v>
      </c>
      <c r="G151" t="str">
        <v>No</v>
      </c>
      <c r="H151" t="str">
        <v>Valid</v>
      </c>
    </row>
    <row r="152" spans="1:8" x14ac:dyDescent="0.3">
      <c r="A152" t="str">
        <v>FDB80224</v>
      </c>
      <c r="B152" t="str">
        <v>CUST10110</v>
      </c>
      <c r="C152" s="38">
        <v>45767</v>
      </c>
      <c r="D152" t="str">
        <v>Had to wait too long for claim approval.</v>
      </c>
      <c r="E152">
        <v>2</v>
      </c>
      <c r="F152" t="str">
        <v>Yes</v>
      </c>
      <c r="G152" t="str">
        <v>No</v>
      </c>
      <c r="H152" t="str">
        <v>Valid</v>
      </c>
    </row>
    <row r="153" spans="1:8" x14ac:dyDescent="0.3">
      <c r="A153" t="str">
        <v>FDB80225</v>
      </c>
      <c r="B153" t="str">
        <v>CUST11468</v>
      </c>
      <c r="C153" s="38">
        <v>45408</v>
      </c>
      <c r="D153" t="str">
        <v>The mobile app experience was intuitive.</v>
      </c>
      <c r="E153">
        <v>4</v>
      </c>
      <c r="F153" t="str">
        <v>Yes</v>
      </c>
      <c r="G153" t="str">
        <v>No</v>
      </c>
      <c r="H153" t="str">
        <v>Valid</v>
      </c>
    </row>
    <row r="154" spans="1:8" x14ac:dyDescent="0.3">
      <c r="A154" t="str">
        <v>FDB80227</v>
      </c>
      <c r="B154" t="str">
        <v>CUST10126</v>
      </c>
      <c r="C154" s="38">
        <v>45796</v>
      </c>
      <c r="D154" t="str">
        <v>I'm not happy with the premium charged.</v>
      </c>
      <c r="E154">
        <v>2</v>
      </c>
      <c r="F154" t="str">
        <v>No</v>
      </c>
      <c r="G154" t="str">
        <v>Yes</v>
      </c>
      <c r="H154" t="str">
        <v>Valid</v>
      </c>
    </row>
    <row r="155" spans="1:8" x14ac:dyDescent="0.3">
      <c r="A155" t="str">
        <v>FDB80233</v>
      </c>
      <c r="B155" t="str">
        <v>CUST10930</v>
      </c>
      <c r="C155" s="38">
        <v>45386</v>
      </c>
      <c r="D155" t="str">
        <v>Need more clarity on policy coverage.</v>
      </c>
      <c r="E155">
        <v>2</v>
      </c>
      <c r="F155" t="str">
        <v>No</v>
      </c>
      <c r="G155" t="str">
        <v>Yes</v>
      </c>
      <c r="H155" t="str">
        <v>Valid</v>
      </c>
    </row>
    <row r="156" spans="1:8" x14ac:dyDescent="0.3">
      <c r="A156" t="str">
        <v>FDB80234</v>
      </c>
      <c r="B156" t="str">
        <v>CUST10071</v>
      </c>
      <c r="C156" s="38">
        <v>46056</v>
      </c>
      <c r="D156" t="str">
        <v>I'm not happy with the premium charged.</v>
      </c>
      <c r="E156">
        <v>2</v>
      </c>
      <c r="F156" t="str">
        <v>No</v>
      </c>
      <c r="G156" t="str">
        <v>No</v>
      </c>
      <c r="H156" t="str">
        <v>Valid</v>
      </c>
    </row>
    <row r="157" spans="1:8" x14ac:dyDescent="0.3">
      <c r="A157" t="str">
        <v>FDB80238</v>
      </c>
      <c r="B157" t="str">
        <v>CUST11448</v>
      </c>
      <c r="C157" s="38">
        <v>45999</v>
      </c>
      <c r="D157" t="str">
        <v>Smooth experience with no issues.</v>
      </c>
      <c r="E157">
        <v>4</v>
      </c>
      <c r="F157" t="str">
        <v>Yes</v>
      </c>
      <c r="G157" t="str">
        <v>Yes</v>
      </c>
      <c r="H157" t="str">
        <v>Valid</v>
      </c>
    </row>
    <row r="158" spans="1:8" x14ac:dyDescent="0.3">
      <c r="A158" t="str">
        <v>FDB80240</v>
      </c>
      <c r="B158" t="str">
        <v>CUST11137</v>
      </c>
      <c r="C158" s="38">
        <v>45712</v>
      </c>
      <c r="D158" t="str">
        <v>The agent was helpful and explained everything.</v>
      </c>
      <c r="E158">
        <v>4</v>
      </c>
      <c r="F158" t="str">
        <v>Yes</v>
      </c>
      <c r="G158" t="str">
        <v>No</v>
      </c>
      <c r="H158" t="str">
        <v>Valid</v>
      </c>
    </row>
    <row r="159" spans="1:8" x14ac:dyDescent="0.3">
      <c r="A159" t="str">
        <v>FDB80243</v>
      </c>
      <c r="B159" t="str">
        <v>CUST10500</v>
      </c>
      <c r="C159" s="38">
        <v>45736</v>
      </c>
      <c r="D159" t="str">
        <v>Excellent customer service support.</v>
      </c>
      <c r="E159">
        <v>5</v>
      </c>
      <c r="F159" t="str">
        <v>No</v>
      </c>
      <c r="G159" t="str">
        <v>No</v>
      </c>
      <c r="H159" t="str">
        <v>Valid</v>
      </c>
    </row>
    <row r="160" spans="1:8" x14ac:dyDescent="0.3">
      <c r="A160" t="str">
        <v>FDB80244</v>
      </c>
      <c r="B160" t="str">
        <v>CUST10335</v>
      </c>
      <c r="C160" s="38">
        <v>46215</v>
      </c>
      <c r="D160" t="str">
        <v>The mobile app experience was intuitive.</v>
      </c>
      <c r="E160">
        <v>4</v>
      </c>
      <c r="F160" t="str">
        <v>No</v>
      </c>
      <c r="G160" t="str">
        <v>No</v>
      </c>
      <c r="H160" t="str">
        <v>Valid</v>
      </c>
    </row>
    <row r="161" spans="1:8" x14ac:dyDescent="0.3">
      <c r="A161" t="str">
        <v>FDB80245</v>
      </c>
      <c r="B161" t="str">
        <v>CUST11346</v>
      </c>
      <c r="C161" s="38">
        <v>45501</v>
      </c>
      <c r="D161" t="str">
        <v>Need more clarity on policy coverage.</v>
      </c>
      <c r="E161">
        <v>2</v>
      </c>
      <c r="F161" t="str">
        <v>Yes</v>
      </c>
      <c r="G161" t="str">
        <v>No</v>
      </c>
      <c r="H161" t="str">
        <v>Valid</v>
      </c>
    </row>
    <row r="162" spans="1:8" x14ac:dyDescent="0.3">
      <c r="A162" t="str">
        <v>FDB80246</v>
      </c>
      <c r="B162" t="str">
        <v>CUST10117</v>
      </c>
      <c r="C162" s="38">
        <v>46123</v>
      </c>
      <c r="D162" t="str">
        <v>The agent was helpful and explained everything.</v>
      </c>
      <c r="E162">
        <v>4</v>
      </c>
      <c r="F162" t="str">
        <v>Yes</v>
      </c>
      <c r="G162" t="str">
        <v>Yes</v>
      </c>
      <c r="H162" t="str">
        <v>Valid</v>
      </c>
    </row>
    <row r="163" spans="1:8" x14ac:dyDescent="0.3">
      <c r="A163" t="str">
        <v>FDB80247</v>
      </c>
      <c r="B163" t="str">
        <v>CUST10076</v>
      </c>
      <c r="C163" s="38">
        <v>45445</v>
      </c>
      <c r="D163" t="str">
        <v>I'm not happy with the premium charged.</v>
      </c>
      <c r="E163">
        <v>2</v>
      </c>
      <c r="F163" t="str">
        <v>Yes</v>
      </c>
      <c r="G163" t="str">
        <v>No</v>
      </c>
      <c r="H163" t="str">
        <v>Valid</v>
      </c>
    </row>
    <row r="164" spans="1:8" x14ac:dyDescent="0.3">
      <c r="A164" t="str">
        <v>FDB80248</v>
      </c>
      <c r="B164" t="str">
        <v>CUST10911</v>
      </c>
      <c r="C164" s="38">
        <v>45474</v>
      </c>
      <c r="D164" t="str">
        <v>Very satisfied with the claim process.</v>
      </c>
      <c r="E164">
        <v>5</v>
      </c>
      <c r="F164" t="str">
        <v>No</v>
      </c>
      <c r="G164" t="str">
        <v>No</v>
      </c>
      <c r="H164" t="str">
        <v>Valid</v>
      </c>
    </row>
    <row r="165" spans="1:8" x14ac:dyDescent="0.3">
      <c r="A165" t="str">
        <v>FDB80250</v>
      </c>
      <c r="B165" t="str">
        <v>CUST10675</v>
      </c>
      <c r="C165" s="38">
        <v>45511</v>
      </c>
      <c r="D165" t="str">
        <v>Had to wait too long for claim approval.</v>
      </c>
      <c r="E165">
        <v>2</v>
      </c>
      <c r="F165" t="str">
        <v>No</v>
      </c>
      <c r="G165" t="str">
        <v>Yes</v>
      </c>
      <c r="H165" t="str">
        <v>Valid</v>
      </c>
    </row>
    <row r="166" spans="1:8" x14ac:dyDescent="0.3">
      <c r="A166" t="str">
        <v>FDB80251</v>
      </c>
      <c r="B166" t="str">
        <v>CUST10424</v>
      </c>
      <c r="C166" s="38">
        <v>45655</v>
      </c>
      <c r="D166" t="str">
        <v>Need more clarity on policy coverage.</v>
      </c>
      <c r="E166">
        <v>2</v>
      </c>
      <c r="F166" t="str">
        <v>No</v>
      </c>
      <c r="G166" t="str">
        <v>No</v>
      </c>
      <c r="H166" t="str">
        <v>Valid</v>
      </c>
    </row>
    <row r="167" spans="1:8" x14ac:dyDescent="0.3">
      <c r="A167" t="str">
        <v>FDB80253</v>
      </c>
      <c r="B167" t="str">
        <v>CUST10188</v>
      </c>
      <c r="C167" s="38">
        <v>46209</v>
      </c>
      <c r="D167" t="str">
        <v>Claim process could be faster.</v>
      </c>
      <c r="E167">
        <v>2</v>
      </c>
      <c r="F167" t="str">
        <v>Yes</v>
      </c>
      <c r="G167" t="str">
        <v>No</v>
      </c>
      <c r="H167" t="str">
        <v>Valid</v>
      </c>
    </row>
    <row r="168" spans="1:8" x14ac:dyDescent="0.3">
      <c r="A168" t="str">
        <v>FDB80254</v>
      </c>
      <c r="B168" t="str">
        <v>CUST11027</v>
      </c>
      <c r="C168" s="38">
        <v>45707</v>
      </c>
      <c r="D168" t="str">
        <v>Very satisfied with the claim process.</v>
      </c>
      <c r="E168">
        <v>5</v>
      </c>
      <c r="F168" t="str">
        <v>Yes</v>
      </c>
      <c r="G168" t="str">
        <v>No</v>
      </c>
      <c r="H168" t="str">
        <v>Valid</v>
      </c>
    </row>
    <row r="169" spans="1:8" x14ac:dyDescent="0.3">
      <c r="A169" t="str">
        <v>FDB80256</v>
      </c>
      <c r="B169" t="str">
        <v>CUST10735</v>
      </c>
      <c r="C169" s="38">
        <v>46240</v>
      </c>
      <c r="D169" t="str">
        <v>Need more clarity on policy coverage.</v>
      </c>
      <c r="E169">
        <v>2</v>
      </c>
      <c r="F169" t="str">
        <v>Yes</v>
      </c>
      <c r="G169" t="str">
        <v>No</v>
      </c>
      <c r="H169" t="str">
        <v>Valid</v>
      </c>
    </row>
    <row r="170" spans="1:8" x14ac:dyDescent="0.3">
      <c r="A170" t="str">
        <v>FDB80257</v>
      </c>
      <c r="B170" t="str">
        <v>CUST11499</v>
      </c>
      <c r="C170" s="38">
        <v>45688</v>
      </c>
      <c r="D170" t="str">
        <v>The mobile app experience was intuitive.</v>
      </c>
      <c r="E170">
        <v>4</v>
      </c>
      <c r="F170" t="str">
        <v>Yes</v>
      </c>
      <c r="G170" t="str">
        <v>No</v>
      </c>
      <c r="H170" t="str">
        <v>Valid</v>
      </c>
    </row>
    <row r="171" spans="1:8" x14ac:dyDescent="0.3">
      <c r="A171" t="str">
        <v>FDB80259</v>
      </c>
      <c r="B171" t="str">
        <v>CUST10360</v>
      </c>
      <c r="C171" s="38">
        <v>45244</v>
      </c>
      <c r="D171" t="str">
        <v>The agent was helpful and explained everything.</v>
      </c>
      <c r="E171">
        <v>4</v>
      </c>
      <c r="F171" t="str">
        <v>No</v>
      </c>
      <c r="G171" t="str">
        <v>No</v>
      </c>
      <c r="H171" t="str">
        <v>Valid</v>
      </c>
    </row>
    <row r="172" spans="1:8" x14ac:dyDescent="0.3">
      <c r="A172" t="str">
        <v>FDB80260</v>
      </c>
      <c r="B172" t="str">
        <v>CUST11471</v>
      </c>
      <c r="C172" s="38">
        <v>45646</v>
      </c>
      <c r="D172" t="str">
        <v>The mobile app experience was intuitive.</v>
      </c>
      <c r="E172">
        <v>4</v>
      </c>
      <c r="F172" t="str">
        <v>No</v>
      </c>
      <c r="G172" t="str">
        <v>No</v>
      </c>
      <c r="H172" t="str">
        <v>Valid</v>
      </c>
    </row>
    <row r="173" spans="1:8" x14ac:dyDescent="0.3">
      <c r="A173" t="str">
        <v>FDB80261</v>
      </c>
      <c r="B173" t="str">
        <v>CUST11146</v>
      </c>
      <c r="C173" s="38">
        <v>45506</v>
      </c>
      <c r="D173" t="str">
        <v>Had to wait too long for claim approval.</v>
      </c>
      <c r="E173">
        <v>1</v>
      </c>
      <c r="F173" t="str">
        <v>No</v>
      </c>
      <c r="G173" t="str">
        <v>No</v>
      </c>
      <c r="H173" t="str">
        <v>Valid</v>
      </c>
    </row>
    <row r="174" spans="1:8" x14ac:dyDescent="0.3">
      <c r="A174" t="str">
        <v>FDB80263</v>
      </c>
      <c r="B174" t="str">
        <v>CUST10891</v>
      </c>
      <c r="C174" s="38">
        <v>45658</v>
      </c>
      <c r="D174" t="str">
        <v>Frustrated with repeated documentation requests.</v>
      </c>
      <c r="E174">
        <v>2</v>
      </c>
      <c r="F174" t="str">
        <v>Yes</v>
      </c>
      <c r="G174" t="str">
        <v>Yes</v>
      </c>
      <c r="H174" t="str">
        <v>Valid</v>
      </c>
    </row>
    <row r="175" spans="1:8" x14ac:dyDescent="0.3">
      <c r="A175" t="str">
        <v>FDB80264</v>
      </c>
      <c r="B175" t="str">
        <v>CUST10821</v>
      </c>
      <c r="C175" s="38">
        <v>45872</v>
      </c>
      <c r="D175" t="str">
        <v>Need more clarity on policy coverage.</v>
      </c>
      <c r="E175">
        <v>2</v>
      </c>
      <c r="F175" t="str">
        <v>No</v>
      </c>
      <c r="G175" t="str">
        <v>No</v>
      </c>
      <c r="H175" t="str">
        <v>Valid</v>
      </c>
    </row>
    <row r="176" spans="1:8" x14ac:dyDescent="0.3">
      <c r="A176" t="str">
        <v>FDB80266</v>
      </c>
      <c r="B176" t="str">
        <v>CUST10558</v>
      </c>
      <c r="C176" s="38">
        <v>45373</v>
      </c>
      <c r="D176" t="str">
        <v>Had to wait too long for claim approval.</v>
      </c>
      <c r="E176">
        <v>1</v>
      </c>
      <c r="F176" t="str">
        <v>No</v>
      </c>
      <c r="G176" t="str">
        <v>No</v>
      </c>
      <c r="H176" t="str">
        <v>Valid</v>
      </c>
    </row>
    <row r="177" spans="1:8" x14ac:dyDescent="0.3">
      <c r="A177" t="str">
        <v>FDB80267</v>
      </c>
      <c r="B177" t="str">
        <v>CUST11213</v>
      </c>
      <c r="C177" s="38">
        <v>46026</v>
      </c>
      <c r="D177" t="str">
        <v>Excellent customer service support.</v>
      </c>
      <c r="E177">
        <v>4</v>
      </c>
      <c r="F177" t="str">
        <v>Yes</v>
      </c>
      <c r="G177" t="str">
        <v>No</v>
      </c>
      <c r="H177" t="str">
        <v>Valid</v>
      </c>
    </row>
    <row r="178" spans="1:8" x14ac:dyDescent="0.3">
      <c r="A178" t="str">
        <v>FDB80269</v>
      </c>
      <c r="B178" t="str">
        <v>CUST10306</v>
      </c>
      <c r="C178" s="38">
        <v>45406</v>
      </c>
      <c r="D178" t="str">
        <v>Need more clarity on policy coverage.</v>
      </c>
      <c r="E178">
        <v>2</v>
      </c>
      <c r="F178" t="str">
        <v>No</v>
      </c>
      <c r="G178" t="str">
        <v>No</v>
      </c>
      <c r="H178" t="str">
        <v>Valid</v>
      </c>
    </row>
    <row r="179" spans="1:8" x14ac:dyDescent="0.3">
      <c r="A179" t="str">
        <v>FDB80270</v>
      </c>
      <c r="B179" t="str">
        <v>CUST11053</v>
      </c>
      <c r="C179" s="38">
        <v>45722</v>
      </c>
      <c r="D179" t="str">
        <v>Frustrated with repeated documentation requests.</v>
      </c>
      <c r="E179">
        <v>2</v>
      </c>
      <c r="F179" t="str">
        <v>Yes</v>
      </c>
      <c r="G179" t="str">
        <v>Yes</v>
      </c>
      <c r="H179" t="str">
        <v>Valid</v>
      </c>
    </row>
    <row r="180" spans="1:8" x14ac:dyDescent="0.3">
      <c r="A180" t="str">
        <v>FDB80271</v>
      </c>
      <c r="B180" t="str">
        <v>CUST10406</v>
      </c>
      <c r="C180" s="38">
        <v>45523</v>
      </c>
      <c r="D180" t="str">
        <v>Claim process could be faster.</v>
      </c>
      <c r="E180">
        <v>3</v>
      </c>
      <c r="F180" t="str">
        <v>Yes</v>
      </c>
      <c r="G180" t="str">
        <v>No</v>
      </c>
      <c r="H180" t="str">
        <v>Valid</v>
      </c>
    </row>
    <row r="181" spans="1:8" x14ac:dyDescent="0.3">
      <c r="A181" t="str">
        <v>FDB80273</v>
      </c>
      <c r="B181" t="str">
        <v>CUST10591</v>
      </c>
      <c r="C181" s="38">
        <v>45285</v>
      </c>
      <c r="D181" t="str">
        <v>Excellent customer service support.</v>
      </c>
      <c r="E181">
        <v>5</v>
      </c>
      <c r="F181" t="str">
        <v>No</v>
      </c>
      <c r="G181" t="str">
        <v>No</v>
      </c>
      <c r="H181" t="str">
        <v>Valid</v>
      </c>
    </row>
    <row r="182" spans="1:8" x14ac:dyDescent="0.3">
      <c r="A182" t="str">
        <v>FDB80274</v>
      </c>
      <c r="B182" t="str">
        <v>CUST11613</v>
      </c>
      <c r="C182" s="38">
        <v>45501</v>
      </c>
      <c r="D182" t="str">
        <v>Had to wait too long for claim approval.</v>
      </c>
      <c r="E182">
        <v>1</v>
      </c>
      <c r="F182" t="str">
        <v>No</v>
      </c>
      <c r="G182" t="str">
        <v>No</v>
      </c>
      <c r="H182" t="str">
        <v>Valid</v>
      </c>
    </row>
    <row r="183" spans="1:8" x14ac:dyDescent="0.3">
      <c r="A183" t="str">
        <v>FDB80275</v>
      </c>
      <c r="B183" t="str">
        <v>CUST11639</v>
      </c>
      <c r="C183" s="38">
        <v>45841</v>
      </c>
      <c r="D183" t="str">
        <v>Need more clarity on policy coverage.</v>
      </c>
      <c r="E183">
        <v>2</v>
      </c>
      <c r="F183" t="str">
        <v>Yes</v>
      </c>
      <c r="G183" t="str">
        <v>Yes</v>
      </c>
      <c r="H183" t="str">
        <v>Valid</v>
      </c>
    </row>
    <row r="184" spans="1:8" x14ac:dyDescent="0.3">
      <c r="A184" t="str">
        <v>FDB80277</v>
      </c>
      <c r="B184" t="str">
        <v>CUST11191</v>
      </c>
      <c r="C184" s="38">
        <v>45342</v>
      </c>
      <c r="D184" t="str">
        <v>Smooth experience with no issues.</v>
      </c>
      <c r="E184">
        <v>5</v>
      </c>
      <c r="F184" t="str">
        <v>No</v>
      </c>
      <c r="G184" t="str">
        <v>Yes</v>
      </c>
      <c r="H184" t="str">
        <v>Valid</v>
      </c>
    </row>
    <row r="185" spans="1:8" x14ac:dyDescent="0.3">
      <c r="A185" t="str">
        <v>FDB80278</v>
      </c>
      <c r="B185" t="str">
        <v>CUST10431</v>
      </c>
      <c r="C185" s="38">
        <v>45344</v>
      </c>
      <c r="D185" t="str">
        <v>Need more clarity on policy coverage.</v>
      </c>
      <c r="E185">
        <v>2</v>
      </c>
      <c r="F185" t="str">
        <v>No</v>
      </c>
      <c r="G185" t="str">
        <v>No</v>
      </c>
      <c r="H185" t="str">
        <v>Valid</v>
      </c>
    </row>
    <row r="186" spans="1:8" x14ac:dyDescent="0.3">
      <c r="A186" t="str">
        <v>FDB80279</v>
      </c>
      <c r="B186" t="str">
        <v>CUST10683</v>
      </c>
      <c r="C186" s="38">
        <v>46012</v>
      </c>
      <c r="D186" t="str">
        <v>Need more clarity on policy coverage.</v>
      </c>
      <c r="E186">
        <v>2</v>
      </c>
      <c r="F186" t="str">
        <v>No</v>
      </c>
      <c r="G186" t="str">
        <v>No</v>
      </c>
      <c r="H186" t="str">
        <v>Valid</v>
      </c>
    </row>
    <row r="187" spans="1:8" x14ac:dyDescent="0.3">
      <c r="A187" t="str">
        <v>FDB80280</v>
      </c>
      <c r="B187" t="str">
        <v>CUST10957</v>
      </c>
      <c r="C187" s="38">
        <v>46034</v>
      </c>
      <c r="D187" t="str">
        <v>Smooth experience with no issues.</v>
      </c>
      <c r="E187">
        <v>5</v>
      </c>
      <c r="F187" t="str">
        <v>No</v>
      </c>
      <c r="G187" t="str">
        <v>No</v>
      </c>
      <c r="H187" t="str">
        <v>Valid</v>
      </c>
    </row>
    <row r="188" spans="1:8" x14ac:dyDescent="0.3">
      <c r="A188" t="str">
        <v>FDB80281</v>
      </c>
      <c r="B188" t="str">
        <v>CUST10541</v>
      </c>
      <c r="C188" s="38">
        <v>46107</v>
      </c>
      <c r="D188" t="str">
        <v>I'm not happy with the premium charged.</v>
      </c>
      <c r="E188">
        <v>2</v>
      </c>
      <c r="F188" t="str">
        <v>Yes</v>
      </c>
      <c r="G188" t="str">
        <v>Yes</v>
      </c>
      <c r="H188" t="str">
        <v>Valid</v>
      </c>
    </row>
    <row r="189" spans="1:8" x14ac:dyDescent="0.3">
      <c r="A189" t="str">
        <v>FDB80283</v>
      </c>
      <c r="B189" t="str">
        <v>CUST11540</v>
      </c>
      <c r="C189" s="38">
        <v>45345</v>
      </c>
      <c r="D189" t="str">
        <v>Smooth experience with no issues.</v>
      </c>
      <c r="E189">
        <v>4</v>
      </c>
      <c r="F189" t="str">
        <v>No</v>
      </c>
      <c r="G189" t="str">
        <v>No</v>
      </c>
      <c r="H189" t="str">
        <v>Valid</v>
      </c>
    </row>
    <row r="190" spans="1:8" x14ac:dyDescent="0.3">
      <c r="A190" t="str">
        <v>FDB80284</v>
      </c>
      <c r="B190" t="str">
        <v>CUST11425</v>
      </c>
      <c r="C190" s="38">
        <v>46221</v>
      </c>
      <c r="D190" t="str">
        <v>The mobile app experience was intuitive.</v>
      </c>
      <c r="E190">
        <v>4</v>
      </c>
      <c r="F190" t="str">
        <v>Yes</v>
      </c>
      <c r="G190" t="str">
        <v>No</v>
      </c>
      <c r="H190" t="str">
        <v>Valid</v>
      </c>
    </row>
    <row r="191" spans="1:8" x14ac:dyDescent="0.3">
      <c r="A191" t="str">
        <v>FDB80285</v>
      </c>
      <c r="B191" t="str">
        <v>CUST10521</v>
      </c>
      <c r="C191" s="38">
        <v>46248</v>
      </c>
      <c r="D191" t="str">
        <v>The mobile app experience was intuitive.</v>
      </c>
      <c r="E191">
        <v>4</v>
      </c>
      <c r="F191" t="str">
        <v>No</v>
      </c>
      <c r="G191" t="str">
        <v>Yes</v>
      </c>
      <c r="H191" t="str">
        <v>Valid</v>
      </c>
    </row>
    <row r="192" spans="1:8" x14ac:dyDescent="0.3">
      <c r="A192" t="str">
        <v>FDB80287</v>
      </c>
      <c r="B192" t="str">
        <v>CUST10119</v>
      </c>
      <c r="C192" s="38">
        <v>46037</v>
      </c>
      <c r="D192" t="str">
        <v>Very satisfied with the claim process.</v>
      </c>
      <c r="E192">
        <v>4</v>
      </c>
      <c r="F192" t="str">
        <v>Yes</v>
      </c>
      <c r="G192" t="str">
        <v>Yes</v>
      </c>
      <c r="H192" t="str">
        <v>Valid</v>
      </c>
    </row>
    <row r="193" spans="1:8" x14ac:dyDescent="0.3">
      <c r="A193" t="str">
        <v>FDB80288</v>
      </c>
      <c r="B193" t="str">
        <v>CUST11493</v>
      </c>
      <c r="C193" s="38">
        <v>46027</v>
      </c>
      <c r="D193" t="str">
        <v>Very satisfied with the claim process.</v>
      </c>
      <c r="E193">
        <v>5</v>
      </c>
      <c r="F193" t="str">
        <v>Yes</v>
      </c>
      <c r="G193" t="str">
        <v>No</v>
      </c>
      <c r="H193" t="str">
        <v>Valid</v>
      </c>
    </row>
    <row r="194" spans="1:8" x14ac:dyDescent="0.3">
      <c r="A194" t="str">
        <v>FDB80290</v>
      </c>
      <c r="B194" t="str">
        <v>CUST10401</v>
      </c>
      <c r="C194" s="38">
        <v>46195</v>
      </c>
      <c r="D194" t="str">
        <v>Frustrated with repeated documentation requests.</v>
      </c>
      <c r="E194">
        <v>2</v>
      </c>
      <c r="F194" t="str">
        <v>Yes</v>
      </c>
      <c r="G194" t="str">
        <v>No</v>
      </c>
      <c r="H194" t="str">
        <v>Valid</v>
      </c>
    </row>
    <row r="195" spans="1:8" x14ac:dyDescent="0.3">
      <c r="A195" t="str">
        <v>FDB80291</v>
      </c>
      <c r="B195" t="str">
        <v>CUST11180</v>
      </c>
      <c r="C195" s="38">
        <v>45690</v>
      </c>
      <c r="D195" t="str">
        <v>I'm not happy with the premium charged.</v>
      </c>
      <c r="E195">
        <v>2</v>
      </c>
      <c r="F195" t="str">
        <v>Yes</v>
      </c>
      <c r="G195" t="str">
        <v>Yes</v>
      </c>
      <c r="H195" t="str">
        <v>Valid</v>
      </c>
    </row>
    <row r="196" spans="1:8" x14ac:dyDescent="0.3">
      <c r="A196" t="str">
        <v>FDB80292</v>
      </c>
      <c r="B196" t="str">
        <v>CUST10149</v>
      </c>
      <c r="C196" s="38">
        <v>46111</v>
      </c>
      <c r="D196" t="str">
        <v>Had to wait too long for claim approval.</v>
      </c>
      <c r="E196">
        <v>2</v>
      </c>
      <c r="F196" t="str">
        <v>No</v>
      </c>
      <c r="G196" t="str">
        <v>No</v>
      </c>
      <c r="H196" t="str">
        <v>Valid</v>
      </c>
    </row>
    <row r="197" spans="1:8" x14ac:dyDescent="0.3">
      <c r="A197" t="str">
        <v>FDB80294</v>
      </c>
      <c r="B197" t="str">
        <v>CUST10160</v>
      </c>
      <c r="C197" s="38">
        <v>45331</v>
      </c>
      <c r="D197" t="str">
        <v>Claim process could be faster.</v>
      </c>
      <c r="E197">
        <v>2</v>
      </c>
      <c r="F197" t="str">
        <v>No</v>
      </c>
      <c r="G197" t="str">
        <v>Yes</v>
      </c>
      <c r="H197" t="str">
        <v>Valid</v>
      </c>
    </row>
    <row r="198" spans="1:8" x14ac:dyDescent="0.3">
      <c r="A198" t="str">
        <v>FDB80295</v>
      </c>
      <c r="B198" t="str">
        <v>CUST10434</v>
      </c>
      <c r="C198" s="38">
        <v>45538</v>
      </c>
      <c r="D198" t="str">
        <v>Need more clarity on policy coverage.</v>
      </c>
      <c r="E198">
        <v>2</v>
      </c>
      <c r="F198" t="str">
        <v>Yes</v>
      </c>
      <c r="G198" t="str">
        <v>Yes</v>
      </c>
      <c r="H198" t="str">
        <v>Valid</v>
      </c>
    </row>
    <row r="199" spans="1:8" x14ac:dyDescent="0.3">
      <c r="A199" t="str">
        <v>FDB80297</v>
      </c>
      <c r="B199" t="str">
        <v>CUST10876</v>
      </c>
      <c r="C199" s="38">
        <v>45989</v>
      </c>
      <c r="D199" t="str">
        <v>Frustrated with repeated documentation requests.</v>
      </c>
      <c r="E199">
        <v>2</v>
      </c>
      <c r="F199" t="str">
        <v>No</v>
      </c>
      <c r="G199" t="str">
        <v>Yes</v>
      </c>
      <c r="H199" t="str">
        <v>Valid</v>
      </c>
    </row>
    <row r="200" spans="1:8" x14ac:dyDescent="0.3">
      <c r="A200" t="str">
        <v>FDB80298</v>
      </c>
      <c r="B200" t="str">
        <v>CUST10493</v>
      </c>
      <c r="C200" s="38">
        <v>45665</v>
      </c>
      <c r="D200" t="str">
        <v>Frustrated with repeated documentation requests.</v>
      </c>
      <c r="E200">
        <v>2</v>
      </c>
      <c r="F200" t="str">
        <v>No</v>
      </c>
      <c r="G200" t="str">
        <v>No</v>
      </c>
      <c r="H200" t="str">
        <v>Valid</v>
      </c>
    </row>
    <row r="201" spans="1:8" x14ac:dyDescent="0.3">
      <c r="A201" t="str">
        <v>FDB80299</v>
      </c>
      <c r="B201" t="str">
        <v>CUST10653</v>
      </c>
      <c r="C201" s="38">
        <v>45639</v>
      </c>
      <c r="D201" t="str">
        <v>Excellent customer service support.</v>
      </c>
      <c r="E201">
        <v>4</v>
      </c>
      <c r="F201" t="str">
        <v>No</v>
      </c>
      <c r="G201" t="str">
        <v>Yes</v>
      </c>
      <c r="H201" t="str">
        <v>Valid</v>
      </c>
    </row>
    <row r="202" spans="1:8" x14ac:dyDescent="0.3">
      <c r="A202" t="str">
        <v>FDB80300</v>
      </c>
      <c r="B202" t="str">
        <v>CUST10726</v>
      </c>
      <c r="C202" s="38">
        <v>45604</v>
      </c>
      <c r="D202" t="str">
        <v>Excellent customer service support.</v>
      </c>
      <c r="E202">
        <v>5</v>
      </c>
      <c r="F202" t="str">
        <v>Yes</v>
      </c>
      <c r="G202" t="str">
        <v>No</v>
      </c>
      <c r="H202" t="str">
        <v>Valid</v>
      </c>
    </row>
    <row r="203" spans="1:8" x14ac:dyDescent="0.3">
      <c r="A203" t="str">
        <v>FDB80302</v>
      </c>
      <c r="B203" t="str">
        <v>CUST10057</v>
      </c>
      <c r="C203" s="38">
        <v>46008</v>
      </c>
      <c r="D203" t="str">
        <v>Frustrated with repeated documentation requests.</v>
      </c>
      <c r="E203">
        <v>2</v>
      </c>
      <c r="F203" t="str">
        <v>Yes</v>
      </c>
      <c r="G203" t="str">
        <v>No</v>
      </c>
      <c r="H203" t="str">
        <v>Valid</v>
      </c>
    </row>
    <row r="204" spans="1:8" x14ac:dyDescent="0.3">
      <c r="A204" t="str">
        <v>FDB80303</v>
      </c>
      <c r="B204" t="str">
        <v>CUST10678</v>
      </c>
      <c r="C204" s="38">
        <v>45615</v>
      </c>
      <c r="D204" t="str">
        <v>Need more clarity on policy coverage.</v>
      </c>
      <c r="E204">
        <v>2</v>
      </c>
      <c r="F204" t="str">
        <v>No</v>
      </c>
      <c r="G204" t="str">
        <v>No</v>
      </c>
      <c r="H204" t="str">
        <v>Valid</v>
      </c>
    </row>
    <row r="205" spans="1:8" x14ac:dyDescent="0.3">
      <c r="A205" t="str">
        <v>FDB80304</v>
      </c>
      <c r="B205" t="str">
        <v>CUST11620</v>
      </c>
      <c r="C205" s="38">
        <v>46234</v>
      </c>
      <c r="D205" t="str">
        <v>Claim process could be faster.</v>
      </c>
      <c r="E205">
        <v>2</v>
      </c>
      <c r="F205" t="str">
        <v>Yes</v>
      </c>
      <c r="G205" t="str">
        <v>No</v>
      </c>
      <c r="H205" t="str">
        <v>Valid</v>
      </c>
    </row>
    <row r="206" spans="1:8" x14ac:dyDescent="0.3">
      <c r="A206" t="str">
        <v>FDB80306</v>
      </c>
      <c r="B206" t="str">
        <v>CUST10309</v>
      </c>
      <c r="C206" s="38">
        <v>46055</v>
      </c>
      <c r="D206" t="str">
        <v>Had to wait too long for claim approval.</v>
      </c>
      <c r="E206">
        <v>1</v>
      </c>
      <c r="F206" t="str">
        <v>Yes</v>
      </c>
      <c r="G206" t="str">
        <v>No</v>
      </c>
      <c r="H206" t="str">
        <v>Valid</v>
      </c>
    </row>
    <row r="207" spans="1:8" x14ac:dyDescent="0.3">
      <c r="A207" t="str">
        <v>FDB80307</v>
      </c>
      <c r="B207" t="str">
        <v>CUST11090</v>
      </c>
      <c r="C207" s="38">
        <v>46241</v>
      </c>
      <c r="D207" t="str">
        <v>Need more clarity on policy coverage.</v>
      </c>
      <c r="E207">
        <v>2</v>
      </c>
      <c r="F207" t="str">
        <v>No</v>
      </c>
      <c r="G207" t="str">
        <v>No</v>
      </c>
      <c r="H207" t="str">
        <v>Valid</v>
      </c>
    </row>
    <row r="208" spans="1:8" x14ac:dyDescent="0.3">
      <c r="A208" t="str">
        <v>FDB80308</v>
      </c>
      <c r="B208" t="str">
        <v>CUST10457</v>
      </c>
      <c r="C208" s="38">
        <v>46013</v>
      </c>
      <c r="D208" t="str">
        <v>I'm not happy with the premium charged.</v>
      </c>
      <c r="E208">
        <v>2</v>
      </c>
      <c r="F208" t="str">
        <v>Yes</v>
      </c>
      <c r="G208" t="str">
        <v>No</v>
      </c>
      <c r="H208" t="str">
        <v>Valid</v>
      </c>
    </row>
    <row r="209" spans="1:8" x14ac:dyDescent="0.3">
      <c r="A209" t="str">
        <v>FDB80309</v>
      </c>
      <c r="B209" t="str">
        <v>CUST10291</v>
      </c>
      <c r="C209" s="38">
        <v>45194</v>
      </c>
      <c r="D209" t="str">
        <v>Claim process could be faster.</v>
      </c>
      <c r="E209">
        <v>2</v>
      </c>
      <c r="F209" t="str">
        <v>Yes</v>
      </c>
      <c r="G209" t="str">
        <v>No</v>
      </c>
      <c r="H209" t="str">
        <v>Valid</v>
      </c>
    </row>
    <row r="210" spans="1:8" x14ac:dyDescent="0.3">
      <c r="A210" t="str">
        <v>FDB80310</v>
      </c>
      <c r="B210" t="str">
        <v>CUST10324</v>
      </c>
      <c r="C210" s="38">
        <v>45944</v>
      </c>
      <c r="D210" t="str">
        <v>The agent was helpful and explained everything.</v>
      </c>
      <c r="E210">
        <v>5</v>
      </c>
      <c r="F210" t="str">
        <v>No</v>
      </c>
      <c r="G210" t="str">
        <v>No</v>
      </c>
      <c r="H210" t="str">
        <v>Valid</v>
      </c>
    </row>
    <row r="211" spans="1:8" x14ac:dyDescent="0.3">
      <c r="A211" t="str">
        <v>FDB80313</v>
      </c>
      <c r="B211" t="str">
        <v>CUST11280</v>
      </c>
      <c r="C211" s="38">
        <v>45496</v>
      </c>
      <c r="D211" t="str">
        <v>The agent was helpful and explained everything.</v>
      </c>
      <c r="E211">
        <v>5</v>
      </c>
      <c r="F211" t="str">
        <v>Yes</v>
      </c>
      <c r="G211" t="str">
        <v>No</v>
      </c>
      <c r="H211" t="str">
        <v>Valid</v>
      </c>
    </row>
    <row r="212" spans="1:8" x14ac:dyDescent="0.3">
      <c r="A212" t="str">
        <v>FDB80314</v>
      </c>
      <c r="B212" t="str">
        <v>CUST10826</v>
      </c>
      <c r="C212" s="38">
        <v>45582</v>
      </c>
      <c r="D212" t="str">
        <v>Excellent customer service support.</v>
      </c>
      <c r="E212">
        <v>5</v>
      </c>
      <c r="F212" t="str">
        <v>No</v>
      </c>
      <c r="G212" t="str">
        <v>No</v>
      </c>
      <c r="H212" t="str">
        <v>Valid</v>
      </c>
    </row>
    <row r="213" spans="1:8" x14ac:dyDescent="0.3">
      <c r="A213" t="str">
        <v>FDB80316</v>
      </c>
      <c r="B213" t="str">
        <v>CUST10406</v>
      </c>
      <c r="C213" s="38">
        <v>46039</v>
      </c>
      <c r="D213" t="str">
        <v>Had to wait too long for claim approval.</v>
      </c>
      <c r="E213">
        <v>1</v>
      </c>
      <c r="F213" t="str">
        <v>Yes</v>
      </c>
      <c r="G213" t="str">
        <v>No</v>
      </c>
      <c r="H213" t="str">
        <v>Valid</v>
      </c>
    </row>
    <row r="214" spans="1:8" x14ac:dyDescent="0.3">
      <c r="A214" t="str">
        <v>FDB80317</v>
      </c>
      <c r="B214" t="str">
        <v>CUST11541</v>
      </c>
      <c r="C214" s="38">
        <v>45529</v>
      </c>
      <c r="D214" t="str">
        <v>Had to wait too long for claim approval.</v>
      </c>
      <c r="E214">
        <v>1</v>
      </c>
      <c r="F214" t="str">
        <v>No</v>
      </c>
      <c r="G214" t="str">
        <v>Yes</v>
      </c>
      <c r="H214" t="str">
        <v>Valid</v>
      </c>
    </row>
    <row r="215" spans="1:8" x14ac:dyDescent="0.3">
      <c r="A215" t="str">
        <v>FDB80319</v>
      </c>
      <c r="B215" t="str">
        <v>CUST10879</v>
      </c>
      <c r="C215" s="38">
        <v>45391</v>
      </c>
      <c r="D215" t="str">
        <v>Claim process could be faster.</v>
      </c>
      <c r="E215">
        <v>3</v>
      </c>
      <c r="F215" t="str">
        <v>Yes</v>
      </c>
      <c r="G215" t="str">
        <v>Yes</v>
      </c>
      <c r="H215" t="str">
        <v>Valid</v>
      </c>
    </row>
    <row r="216" spans="1:8" x14ac:dyDescent="0.3">
      <c r="A216" t="str">
        <v>FDB80320</v>
      </c>
      <c r="B216" t="str">
        <v>CUST11293</v>
      </c>
      <c r="C216" s="38">
        <v>45408</v>
      </c>
      <c r="D216" t="str">
        <v>Smooth experience with no issues.</v>
      </c>
      <c r="E216">
        <v>5</v>
      </c>
      <c r="F216" t="str">
        <v>Yes</v>
      </c>
      <c r="G216" t="str">
        <v>No</v>
      </c>
      <c r="H216" t="str">
        <v>Valid</v>
      </c>
    </row>
    <row r="217" spans="1:8" x14ac:dyDescent="0.3">
      <c r="A217" t="str">
        <v>FDB80321</v>
      </c>
      <c r="B217" t="str">
        <v>CUST10538</v>
      </c>
      <c r="C217" s="38">
        <v>45724</v>
      </c>
      <c r="D217" t="str">
        <v>Frustrated with repeated documentation requests.</v>
      </c>
      <c r="E217">
        <v>2</v>
      </c>
      <c r="F217" t="str">
        <v>Yes</v>
      </c>
      <c r="G217" t="str">
        <v>No</v>
      </c>
      <c r="H217" t="str">
        <v>Valid</v>
      </c>
    </row>
    <row r="218" spans="1:8" x14ac:dyDescent="0.3">
      <c r="A218" t="str">
        <v>FDB80322</v>
      </c>
      <c r="B218" t="str">
        <v>CUST10477</v>
      </c>
      <c r="C218" s="38">
        <v>46111</v>
      </c>
      <c r="D218" t="str">
        <v>Frustrated with repeated documentation requests.</v>
      </c>
      <c r="E218">
        <v>2</v>
      </c>
      <c r="F218" t="str">
        <v>Yes</v>
      </c>
      <c r="G218" t="str">
        <v>No</v>
      </c>
      <c r="H218" t="str">
        <v>Valid</v>
      </c>
    </row>
    <row r="219" spans="1:8" x14ac:dyDescent="0.3">
      <c r="A219" t="str">
        <v>FDB80323</v>
      </c>
      <c r="B219" t="str">
        <v>CUST10839</v>
      </c>
      <c r="C219" s="38">
        <v>45290</v>
      </c>
      <c r="D219" t="str">
        <v>Had to wait too long for claim approval.</v>
      </c>
      <c r="E219">
        <v>2</v>
      </c>
      <c r="F219" t="str">
        <v>Yes</v>
      </c>
      <c r="G219" t="str">
        <v>No</v>
      </c>
      <c r="H219" t="str">
        <v>Valid</v>
      </c>
    </row>
    <row r="220" spans="1:8" x14ac:dyDescent="0.3">
      <c r="A220" t="str">
        <v>FDB80324</v>
      </c>
      <c r="B220" t="str">
        <v>CUST11427</v>
      </c>
      <c r="C220" s="38">
        <v>45439</v>
      </c>
      <c r="D220" t="str">
        <v>Frustrated with repeated documentation requests.</v>
      </c>
      <c r="E220">
        <v>2</v>
      </c>
      <c r="F220" t="str">
        <v>Yes</v>
      </c>
      <c r="G220" t="str">
        <v>No</v>
      </c>
      <c r="H220" t="str">
        <v>Valid</v>
      </c>
    </row>
    <row r="221" spans="1:8" x14ac:dyDescent="0.3">
      <c r="A221" t="str">
        <v>FDB80327</v>
      </c>
      <c r="B221" t="str">
        <v>CUST11152</v>
      </c>
      <c r="C221" s="38">
        <v>45963</v>
      </c>
      <c r="D221" t="str">
        <v>The mobile app experience was intuitive.</v>
      </c>
      <c r="E221">
        <v>4</v>
      </c>
      <c r="F221" t="str">
        <v>Yes</v>
      </c>
      <c r="G221" t="str">
        <v>No</v>
      </c>
      <c r="H221" t="str">
        <v>Valid</v>
      </c>
    </row>
    <row r="222" spans="1:8" x14ac:dyDescent="0.3">
      <c r="A222" t="str">
        <v>FDB80328</v>
      </c>
      <c r="B222" t="str">
        <v>CUST11021</v>
      </c>
      <c r="C222" s="38">
        <v>45687</v>
      </c>
      <c r="D222" t="str">
        <v>Frustrated with repeated documentation requests.</v>
      </c>
      <c r="E222">
        <v>2</v>
      </c>
      <c r="F222" t="str">
        <v>No</v>
      </c>
      <c r="G222" t="str">
        <v>No</v>
      </c>
      <c r="H222" t="str">
        <v>Valid</v>
      </c>
    </row>
    <row r="223" spans="1:8" x14ac:dyDescent="0.3">
      <c r="A223" t="str">
        <v>FDB80329</v>
      </c>
      <c r="B223" t="str">
        <v>CUST10165</v>
      </c>
      <c r="C223" s="38">
        <v>46237</v>
      </c>
      <c r="D223" t="str">
        <v>The mobile app experience was intuitive.</v>
      </c>
      <c r="E223">
        <v>4</v>
      </c>
      <c r="F223" t="str">
        <v>Yes</v>
      </c>
      <c r="G223" t="str">
        <v>No</v>
      </c>
      <c r="H223" t="str">
        <v>Valid</v>
      </c>
    </row>
    <row r="224" spans="1:8" x14ac:dyDescent="0.3">
      <c r="A224" t="str">
        <v>FDB80330</v>
      </c>
      <c r="B224" t="str">
        <v>CUST11330</v>
      </c>
      <c r="C224" s="38">
        <v>45223</v>
      </c>
      <c r="D224" t="str">
        <v>Excellent customer service support.</v>
      </c>
      <c r="E224">
        <v>5</v>
      </c>
      <c r="F224" t="str">
        <v>No</v>
      </c>
      <c r="G224" t="str">
        <v>No</v>
      </c>
      <c r="H224" t="str">
        <v>Valid</v>
      </c>
    </row>
    <row r="225" spans="1:8" x14ac:dyDescent="0.3">
      <c r="A225" t="str">
        <v>FDB80331</v>
      </c>
      <c r="B225" t="str">
        <v>CUST10916</v>
      </c>
      <c r="C225" s="38">
        <v>45895</v>
      </c>
      <c r="D225" t="str">
        <v>Had to wait too long for claim approval.</v>
      </c>
      <c r="E225">
        <v>2</v>
      </c>
      <c r="F225" t="str">
        <v>Yes</v>
      </c>
      <c r="G225" t="str">
        <v>Yes</v>
      </c>
      <c r="H225" t="str">
        <v>Valid</v>
      </c>
    </row>
    <row r="226" spans="1:8" x14ac:dyDescent="0.3">
      <c r="A226" t="str">
        <v>FDB80333</v>
      </c>
      <c r="B226" t="str">
        <v>CUST10319</v>
      </c>
      <c r="C226" s="38">
        <v>46169</v>
      </c>
      <c r="D226" t="str">
        <v>The agent was helpful and explained everything.</v>
      </c>
      <c r="E226">
        <v>5</v>
      </c>
      <c r="F226" t="str">
        <v>Yes</v>
      </c>
      <c r="G226" t="str">
        <v>No</v>
      </c>
      <c r="H226" t="str">
        <v>Valid</v>
      </c>
    </row>
    <row r="227" spans="1:8" x14ac:dyDescent="0.3">
      <c r="A227" t="str">
        <v>FDB80334</v>
      </c>
      <c r="B227" t="str">
        <v>CUST11254</v>
      </c>
      <c r="C227" s="38">
        <v>45706</v>
      </c>
      <c r="D227" t="str">
        <v>Excellent customer service support.</v>
      </c>
      <c r="E227">
        <v>4</v>
      </c>
      <c r="F227" t="str">
        <v>No</v>
      </c>
      <c r="G227" t="str">
        <v>No</v>
      </c>
      <c r="H227" t="str">
        <v>Valid</v>
      </c>
    </row>
    <row r="228" spans="1:8" x14ac:dyDescent="0.3">
      <c r="A228" t="str">
        <v>FDB80335</v>
      </c>
      <c r="B228" t="str">
        <v>CUST11370</v>
      </c>
      <c r="C228" s="38">
        <v>45480</v>
      </c>
      <c r="D228" t="str">
        <v>Had to wait too long for claim approval.</v>
      </c>
      <c r="E228">
        <v>2</v>
      </c>
      <c r="F228" t="str">
        <v>Yes</v>
      </c>
      <c r="G228" t="str">
        <v>No</v>
      </c>
      <c r="H228" t="str">
        <v>Valid</v>
      </c>
    </row>
    <row r="229" spans="1:8" x14ac:dyDescent="0.3">
      <c r="A229" t="str">
        <v>FDB80336</v>
      </c>
      <c r="B229" t="str">
        <v>CUST11088</v>
      </c>
      <c r="C229" s="38">
        <v>45837</v>
      </c>
      <c r="D229" t="str">
        <v>Had to wait too long for claim approval.</v>
      </c>
      <c r="E229">
        <v>1</v>
      </c>
      <c r="F229" t="str">
        <v>No</v>
      </c>
      <c r="G229" t="str">
        <v>Yes</v>
      </c>
      <c r="H229" t="str">
        <v>Valid</v>
      </c>
    </row>
    <row r="230" spans="1:8" x14ac:dyDescent="0.3">
      <c r="A230" t="str">
        <v>FDB80339</v>
      </c>
      <c r="B230" t="str">
        <v>CUST11280</v>
      </c>
      <c r="C230" s="38">
        <v>45874</v>
      </c>
      <c r="D230" t="str">
        <v>Excellent customer service support.</v>
      </c>
      <c r="E230">
        <v>5</v>
      </c>
      <c r="F230" t="str">
        <v>Yes</v>
      </c>
      <c r="G230" t="str">
        <v>No</v>
      </c>
      <c r="H230" t="str">
        <v>Valid</v>
      </c>
    </row>
    <row r="231" spans="1:8" x14ac:dyDescent="0.3">
      <c r="A231" t="str">
        <v>FDB80342</v>
      </c>
      <c r="B231" t="str">
        <v>CUST10214</v>
      </c>
      <c r="C231" s="38">
        <v>46185</v>
      </c>
      <c r="D231" t="str">
        <v>The mobile app experience was intuitive.</v>
      </c>
      <c r="E231">
        <v>4</v>
      </c>
      <c r="F231" t="str">
        <v>Yes</v>
      </c>
      <c r="G231" t="str">
        <v>No</v>
      </c>
      <c r="H231" t="str">
        <v>Valid</v>
      </c>
    </row>
    <row r="232" spans="1:8" x14ac:dyDescent="0.3">
      <c r="A232" t="str">
        <v>FDB80344</v>
      </c>
      <c r="B232" t="str">
        <v>CUST10532</v>
      </c>
      <c r="C232" s="38">
        <v>45320</v>
      </c>
      <c r="D232" t="str">
        <v>Claim process could be faster.</v>
      </c>
      <c r="E232">
        <v>3</v>
      </c>
      <c r="F232" t="str">
        <v>Yes</v>
      </c>
      <c r="G232" t="str">
        <v>No</v>
      </c>
      <c r="H232" t="str">
        <v>Valid</v>
      </c>
    </row>
    <row r="233" spans="1:8" x14ac:dyDescent="0.3">
      <c r="A233" t="str">
        <v>FDB80346</v>
      </c>
      <c r="B233" t="str">
        <v>CUST10276</v>
      </c>
      <c r="C233" s="38">
        <v>45528</v>
      </c>
      <c r="D233" t="str">
        <v>Had to wait too long for claim approval.</v>
      </c>
      <c r="E233">
        <v>1</v>
      </c>
      <c r="F233" t="str">
        <v>Yes</v>
      </c>
      <c r="G233" t="str">
        <v>No</v>
      </c>
      <c r="H233" t="str">
        <v>Valid</v>
      </c>
    </row>
    <row r="234" spans="1:8" x14ac:dyDescent="0.3">
      <c r="A234" t="str">
        <v>FDB80347</v>
      </c>
      <c r="B234" t="str">
        <v>CUST11230</v>
      </c>
      <c r="C234" s="38">
        <v>46022</v>
      </c>
      <c r="D234" t="str">
        <v>Claim process could be faster.</v>
      </c>
      <c r="E234">
        <v>2</v>
      </c>
      <c r="F234" t="str">
        <v>No</v>
      </c>
      <c r="G234" t="str">
        <v>No</v>
      </c>
      <c r="H234" t="str">
        <v>Valid</v>
      </c>
    </row>
    <row r="235" spans="1:8" x14ac:dyDescent="0.3">
      <c r="A235" t="str">
        <v>FDB80348</v>
      </c>
      <c r="B235" t="str">
        <v>CUST11177</v>
      </c>
      <c r="C235" s="38">
        <v>45626</v>
      </c>
      <c r="D235" t="str">
        <v>The agent was helpful and explained everything.</v>
      </c>
      <c r="E235">
        <v>4</v>
      </c>
      <c r="F235" t="str">
        <v>Yes</v>
      </c>
      <c r="G235" t="str">
        <v>Yes</v>
      </c>
      <c r="H235" t="str">
        <v>Valid</v>
      </c>
    </row>
    <row r="236" spans="1:8" x14ac:dyDescent="0.3">
      <c r="A236" t="str">
        <v>FDB80349</v>
      </c>
      <c r="B236" t="str">
        <v>CUST10338</v>
      </c>
      <c r="C236" s="38">
        <v>45339</v>
      </c>
      <c r="D236" t="str">
        <v>Frustrated with repeated documentation requests.</v>
      </c>
      <c r="E236">
        <v>2</v>
      </c>
      <c r="F236" t="str">
        <v>No</v>
      </c>
      <c r="G236" t="str">
        <v>No</v>
      </c>
      <c r="H236" t="str">
        <v>Valid</v>
      </c>
    </row>
    <row r="237" spans="1:8" x14ac:dyDescent="0.3">
      <c r="A237" t="str">
        <v>FDB80350</v>
      </c>
      <c r="B237" t="str">
        <v>CUST10504</v>
      </c>
      <c r="C237" s="38">
        <v>45337</v>
      </c>
      <c r="D237" t="str">
        <v>Very satisfied with the claim process.</v>
      </c>
      <c r="E237">
        <v>5</v>
      </c>
      <c r="F237" t="str">
        <v>Yes</v>
      </c>
      <c r="G237" t="str">
        <v>No</v>
      </c>
      <c r="H237" t="str">
        <v>Valid</v>
      </c>
    </row>
    <row r="238" spans="1:8" x14ac:dyDescent="0.3">
      <c r="A238" t="str">
        <v>FDB80351</v>
      </c>
      <c r="B238" t="str">
        <v>CUST11259</v>
      </c>
      <c r="C238" s="38">
        <v>45500</v>
      </c>
      <c r="D238" t="str">
        <v>Very satisfied with the claim process.</v>
      </c>
      <c r="E238">
        <v>5</v>
      </c>
      <c r="F238" t="str">
        <v>No</v>
      </c>
      <c r="G238" t="str">
        <v>Yes</v>
      </c>
      <c r="H238" t="str">
        <v>Valid</v>
      </c>
    </row>
    <row r="239" spans="1:8" x14ac:dyDescent="0.3">
      <c r="A239" t="str">
        <v>FDB80352</v>
      </c>
      <c r="B239" t="str">
        <v>CUST10932</v>
      </c>
      <c r="C239" s="38">
        <v>45392</v>
      </c>
      <c r="D239" t="str">
        <v>Excellent customer service support.</v>
      </c>
      <c r="E239">
        <v>4</v>
      </c>
      <c r="F239" t="str">
        <v>No</v>
      </c>
      <c r="G239" t="str">
        <v>Yes</v>
      </c>
      <c r="H239" t="str">
        <v>Valid</v>
      </c>
    </row>
    <row r="240" spans="1:8" x14ac:dyDescent="0.3">
      <c r="A240" t="str">
        <v>FDB80353</v>
      </c>
      <c r="B240" t="str">
        <v>CUST10016</v>
      </c>
      <c r="C240" s="38">
        <v>45269</v>
      </c>
      <c r="D240" t="str">
        <v>Frustrated with repeated documentation requests.</v>
      </c>
      <c r="E240">
        <v>2</v>
      </c>
      <c r="F240" t="str">
        <v>No</v>
      </c>
      <c r="G240" t="str">
        <v>No</v>
      </c>
      <c r="H240" t="str">
        <v>Valid</v>
      </c>
    </row>
    <row r="241" spans="1:8" x14ac:dyDescent="0.3">
      <c r="A241" t="str">
        <v>FDB80354</v>
      </c>
      <c r="B241" t="str">
        <v>CUST11450</v>
      </c>
      <c r="C241" s="38">
        <v>45441</v>
      </c>
      <c r="D241" t="str">
        <v>Excellent customer service support.</v>
      </c>
      <c r="E241">
        <v>5</v>
      </c>
      <c r="F241" t="str">
        <v>Yes</v>
      </c>
      <c r="G241" t="str">
        <v>No</v>
      </c>
      <c r="H241" t="str">
        <v>Valid</v>
      </c>
    </row>
    <row r="242" spans="1:8" x14ac:dyDescent="0.3">
      <c r="A242" t="str">
        <v>FDB80355</v>
      </c>
      <c r="B242" t="str">
        <v>CUST10985</v>
      </c>
      <c r="C242" s="38">
        <v>45800</v>
      </c>
      <c r="D242" t="str">
        <v>Had to wait too long for claim approval.</v>
      </c>
      <c r="E242">
        <v>2</v>
      </c>
      <c r="F242" t="str">
        <v>Yes</v>
      </c>
      <c r="G242" t="str">
        <v>No</v>
      </c>
      <c r="H242" t="str">
        <v>Valid</v>
      </c>
    </row>
    <row r="243" spans="1:8" x14ac:dyDescent="0.3">
      <c r="A243" t="str">
        <v>FDB80356</v>
      </c>
      <c r="B243" t="str">
        <v>CUST11527</v>
      </c>
      <c r="C243" s="38">
        <v>46009</v>
      </c>
      <c r="D243" t="str">
        <v>The mobile app experience was intuitive.</v>
      </c>
      <c r="E243">
        <v>4</v>
      </c>
      <c r="F243" t="str">
        <v>Yes</v>
      </c>
      <c r="G243" t="str">
        <v>No</v>
      </c>
      <c r="H243" t="str">
        <v>Valid</v>
      </c>
    </row>
    <row r="244" spans="1:8" x14ac:dyDescent="0.3">
      <c r="A244" t="str">
        <v>FDB80357</v>
      </c>
      <c r="B244" t="str">
        <v>CUST10901</v>
      </c>
      <c r="C244" s="38">
        <v>45458</v>
      </c>
      <c r="D244" t="str">
        <v>I'm not happy with the premium charged.</v>
      </c>
      <c r="E244">
        <v>2</v>
      </c>
      <c r="F244" t="str">
        <v>Yes</v>
      </c>
      <c r="G244" t="str">
        <v>Yes</v>
      </c>
      <c r="H244" t="str">
        <v>Valid</v>
      </c>
    </row>
    <row r="245" spans="1:8" x14ac:dyDescent="0.3">
      <c r="A245" t="str">
        <v>FDB80358</v>
      </c>
      <c r="B245" t="str">
        <v>CUST11056</v>
      </c>
      <c r="C245" s="38">
        <v>45755</v>
      </c>
      <c r="D245" t="str">
        <v>Need more clarity on policy coverage.</v>
      </c>
      <c r="E245">
        <v>2</v>
      </c>
      <c r="F245" t="str">
        <v>No</v>
      </c>
      <c r="G245" t="str">
        <v>No</v>
      </c>
      <c r="H245" t="str">
        <v>Valid</v>
      </c>
    </row>
    <row r="246" spans="1:8" x14ac:dyDescent="0.3">
      <c r="A246" t="str">
        <v>FDB80361</v>
      </c>
      <c r="B246" t="str">
        <v>CUST10299</v>
      </c>
      <c r="C246" s="38">
        <v>46019</v>
      </c>
      <c r="D246" t="str">
        <v>Very satisfied with the claim process.</v>
      </c>
      <c r="E246">
        <v>5</v>
      </c>
      <c r="F246" t="str">
        <v>Yes</v>
      </c>
      <c r="G246" t="str">
        <v>No</v>
      </c>
      <c r="H246" t="str">
        <v>Valid</v>
      </c>
    </row>
    <row r="247" spans="1:8" x14ac:dyDescent="0.3">
      <c r="A247" t="str">
        <v>FDB80363</v>
      </c>
      <c r="B247" t="str">
        <v>CUST11045</v>
      </c>
      <c r="C247" s="38">
        <v>46034</v>
      </c>
      <c r="D247" t="str">
        <v>Smooth experience with no issues.</v>
      </c>
      <c r="E247">
        <v>4</v>
      </c>
      <c r="F247" t="str">
        <v>Yes</v>
      </c>
      <c r="G247" t="str">
        <v>Yes</v>
      </c>
      <c r="H247" t="str">
        <v>Valid</v>
      </c>
    </row>
    <row r="248" spans="1:8" x14ac:dyDescent="0.3">
      <c r="A248" t="str">
        <v>FDB80366</v>
      </c>
      <c r="B248" t="str">
        <v>CUST10319</v>
      </c>
      <c r="C248" s="38">
        <v>46108</v>
      </c>
      <c r="D248" t="str">
        <v>Excellent customer service support.</v>
      </c>
      <c r="E248">
        <v>5</v>
      </c>
      <c r="F248" t="str">
        <v>Yes</v>
      </c>
      <c r="G248" t="str">
        <v>Yes</v>
      </c>
      <c r="H248" t="str">
        <v>Valid</v>
      </c>
    </row>
    <row r="249" spans="1:8" x14ac:dyDescent="0.3">
      <c r="A249" t="str">
        <v>FDB80367</v>
      </c>
      <c r="B249" t="str">
        <v>CUST10336</v>
      </c>
      <c r="C249" s="38">
        <v>46164</v>
      </c>
      <c r="D249" t="str">
        <v>The mobile app experience was intuitive.</v>
      </c>
      <c r="E249">
        <v>4</v>
      </c>
      <c r="F249" t="str">
        <v>No</v>
      </c>
      <c r="G249" t="str">
        <v>Yes</v>
      </c>
      <c r="H249" t="str">
        <v>Valid</v>
      </c>
    </row>
    <row r="250" spans="1:8" x14ac:dyDescent="0.3">
      <c r="A250" t="str">
        <v>FDB80369</v>
      </c>
      <c r="B250" t="str">
        <v>CUST11011</v>
      </c>
      <c r="C250" s="38">
        <v>46142</v>
      </c>
      <c r="D250" t="str">
        <v>Frustrated with repeated documentation requests.</v>
      </c>
      <c r="E250">
        <v>2</v>
      </c>
      <c r="F250" t="str">
        <v>Yes</v>
      </c>
      <c r="G250" t="str">
        <v>No</v>
      </c>
      <c r="H250" t="str">
        <v>Valid</v>
      </c>
    </row>
    <row r="251" spans="1:8" x14ac:dyDescent="0.3">
      <c r="A251" t="str">
        <v>FDB80372</v>
      </c>
      <c r="B251" t="str">
        <v>CUST10659</v>
      </c>
      <c r="C251" s="38">
        <v>45678</v>
      </c>
      <c r="D251" t="str">
        <v>The agent was helpful and explained everything.</v>
      </c>
      <c r="E251">
        <v>5</v>
      </c>
      <c r="F251" t="str">
        <v>Yes</v>
      </c>
      <c r="G251" t="str">
        <v>Yes</v>
      </c>
      <c r="H251" t="str">
        <v>Valid</v>
      </c>
    </row>
    <row r="252" spans="1:8" x14ac:dyDescent="0.3">
      <c r="A252" t="str">
        <v>FDB80373</v>
      </c>
      <c r="B252" t="str">
        <v>CUST10189</v>
      </c>
      <c r="C252" s="38">
        <v>45537</v>
      </c>
      <c r="D252" t="str">
        <v>Very satisfied with the claim process.</v>
      </c>
      <c r="E252">
        <v>5</v>
      </c>
      <c r="F252" t="str">
        <v>No</v>
      </c>
      <c r="G252" t="str">
        <v>No</v>
      </c>
      <c r="H252" t="str">
        <v>Valid</v>
      </c>
    </row>
    <row r="253" spans="1:8" x14ac:dyDescent="0.3">
      <c r="A253" t="str">
        <v>FDB80376</v>
      </c>
      <c r="B253" t="str">
        <v>CUST10756</v>
      </c>
      <c r="C253" s="38">
        <v>45452</v>
      </c>
      <c r="D253" t="str">
        <v>Claim process could be faster.</v>
      </c>
      <c r="E253">
        <v>3</v>
      </c>
      <c r="F253" t="str">
        <v>No</v>
      </c>
      <c r="G253" t="str">
        <v>No</v>
      </c>
      <c r="H253" t="str">
        <v>Valid</v>
      </c>
    </row>
    <row r="254" spans="1:8" x14ac:dyDescent="0.3">
      <c r="A254" t="str">
        <v>FDB80377</v>
      </c>
      <c r="B254" t="str">
        <v>CUST10356</v>
      </c>
      <c r="C254" s="38">
        <v>45992</v>
      </c>
      <c r="D254" t="str">
        <v>Smooth experience with no issues.</v>
      </c>
      <c r="E254">
        <v>5</v>
      </c>
      <c r="F254" t="str">
        <v>No</v>
      </c>
      <c r="G254" t="str">
        <v>No</v>
      </c>
      <c r="H254" t="str">
        <v>Valid</v>
      </c>
    </row>
    <row r="255" spans="1:8" x14ac:dyDescent="0.3">
      <c r="A255" t="str">
        <v>FDB80378</v>
      </c>
      <c r="B255" t="str">
        <v>CUST10998</v>
      </c>
      <c r="C255" s="38">
        <v>45198</v>
      </c>
      <c r="D255" t="str">
        <v>Smooth experience with no issues.</v>
      </c>
      <c r="E255">
        <v>4</v>
      </c>
      <c r="F255" t="str">
        <v>No</v>
      </c>
      <c r="G255" t="str">
        <v>Yes</v>
      </c>
      <c r="H255" t="str">
        <v>Valid</v>
      </c>
    </row>
    <row r="256" spans="1:8" x14ac:dyDescent="0.3">
      <c r="A256" t="str">
        <v>FDB80380</v>
      </c>
      <c r="B256" t="str">
        <v>CUST10923</v>
      </c>
      <c r="C256" s="38">
        <v>45623</v>
      </c>
      <c r="D256" t="str">
        <v>Claim process could be faster.</v>
      </c>
      <c r="E256">
        <v>3</v>
      </c>
      <c r="F256" t="str">
        <v>Yes</v>
      </c>
      <c r="G256" t="str">
        <v>No</v>
      </c>
      <c r="H256" t="str">
        <v>Valid</v>
      </c>
    </row>
    <row r="257" spans="1:8" x14ac:dyDescent="0.3">
      <c r="A257" t="str">
        <v>FDB80381</v>
      </c>
      <c r="B257" t="str">
        <v>CUST10582</v>
      </c>
      <c r="C257" s="38">
        <v>45607</v>
      </c>
      <c r="D257" t="str">
        <v>Excellent customer service support.</v>
      </c>
      <c r="E257">
        <v>5</v>
      </c>
      <c r="F257" t="str">
        <v>No</v>
      </c>
      <c r="G257" t="str">
        <v>No</v>
      </c>
      <c r="H257" t="str">
        <v>Valid</v>
      </c>
    </row>
    <row r="258" spans="1:8" x14ac:dyDescent="0.3">
      <c r="A258" t="str">
        <v>FDB80382</v>
      </c>
      <c r="B258" t="str">
        <v>CUST11391</v>
      </c>
      <c r="C258" s="38">
        <v>45706</v>
      </c>
      <c r="D258" t="str">
        <v>The mobile app experience was intuitive.</v>
      </c>
      <c r="E258">
        <v>4</v>
      </c>
      <c r="F258" t="str">
        <v>Yes</v>
      </c>
      <c r="G258" t="str">
        <v>No</v>
      </c>
      <c r="H258" t="str">
        <v>Valid</v>
      </c>
    </row>
    <row r="259" spans="1:8" x14ac:dyDescent="0.3">
      <c r="A259" t="str">
        <v>FDB80383</v>
      </c>
      <c r="B259" t="str">
        <v>CUST11154</v>
      </c>
      <c r="C259" s="38">
        <v>45225</v>
      </c>
      <c r="D259" t="str">
        <v>Smooth experience with no issues.</v>
      </c>
      <c r="E259">
        <v>4</v>
      </c>
      <c r="F259" t="str">
        <v>Yes</v>
      </c>
      <c r="G259" t="str">
        <v>No</v>
      </c>
      <c r="H259" t="str">
        <v>Valid</v>
      </c>
    </row>
    <row r="260" spans="1:8" x14ac:dyDescent="0.3">
      <c r="A260" t="str">
        <v>FDB80385</v>
      </c>
      <c r="B260" t="str">
        <v>CUST10644</v>
      </c>
      <c r="C260" s="38">
        <v>46173</v>
      </c>
      <c r="D260" t="str">
        <v>I'm not happy with the premium charged.</v>
      </c>
      <c r="E260">
        <v>2</v>
      </c>
      <c r="F260" t="str">
        <v>No</v>
      </c>
      <c r="G260" t="str">
        <v>No</v>
      </c>
      <c r="H260" t="str">
        <v>Valid</v>
      </c>
    </row>
    <row r="261" spans="1:8" x14ac:dyDescent="0.3">
      <c r="A261" t="str">
        <v>FDB80388</v>
      </c>
      <c r="B261" t="str">
        <v>CUST10779</v>
      </c>
      <c r="C261" s="38">
        <v>45652</v>
      </c>
      <c r="D261" t="str">
        <v>The agent was helpful and explained everything.</v>
      </c>
      <c r="E261">
        <v>4</v>
      </c>
      <c r="F261" t="str">
        <v>No</v>
      </c>
      <c r="G261" t="str">
        <v>No</v>
      </c>
      <c r="H261" t="str">
        <v>Valid</v>
      </c>
    </row>
    <row r="262" spans="1:8" x14ac:dyDescent="0.3">
      <c r="A262" t="str">
        <v>FDB80389</v>
      </c>
      <c r="B262" t="str">
        <v>CUST11200</v>
      </c>
      <c r="C262" s="38">
        <v>45208</v>
      </c>
      <c r="D262" t="str">
        <v>Very satisfied with the claim process.</v>
      </c>
      <c r="E262">
        <v>4</v>
      </c>
      <c r="F262" t="str">
        <v>Yes</v>
      </c>
      <c r="G262" t="str">
        <v>No</v>
      </c>
      <c r="H262" t="str">
        <v>Valid</v>
      </c>
    </row>
    <row r="263" spans="1:8" x14ac:dyDescent="0.3">
      <c r="A263" t="str">
        <v>FDB80390</v>
      </c>
      <c r="B263" t="str">
        <v>CUST10960</v>
      </c>
      <c r="C263" s="38">
        <v>45725</v>
      </c>
      <c r="D263" t="str">
        <v>The mobile app experience was intuitive.</v>
      </c>
      <c r="E263">
        <v>4</v>
      </c>
      <c r="F263" t="str">
        <v>Yes</v>
      </c>
      <c r="G263" t="str">
        <v>Yes</v>
      </c>
      <c r="H263" t="str">
        <v>Valid</v>
      </c>
    </row>
    <row r="264" spans="1:8" x14ac:dyDescent="0.3">
      <c r="A264" t="str">
        <v>FDB80391</v>
      </c>
      <c r="B264" t="str">
        <v>CUST10413</v>
      </c>
      <c r="C264" s="38">
        <v>46047</v>
      </c>
      <c r="D264" t="str">
        <v>Frustrated with repeated documentation requests.</v>
      </c>
      <c r="E264">
        <v>2</v>
      </c>
      <c r="F264" t="str">
        <v>Yes</v>
      </c>
      <c r="G264" t="str">
        <v>No</v>
      </c>
      <c r="H264" t="str">
        <v>Valid</v>
      </c>
    </row>
    <row r="265" spans="1:8" x14ac:dyDescent="0.3">
      <c r="A265" t="str">
        <v>FDB80394</v>
      </c>
      <c r="B265" t="str">
        <v>CUST10326</v>
      </c>
      <c r="C265" s="38">
        <v>45802</v>
      </c>
      <c r="D265" t="str">
        <v>Frustrated with repeated documentation requests.</v>
      </c>
      <c r="E265">
        <v>2</v>
      </c>
      <c r="F265" t="str">
        <v>Yes</v>
      </c>
      <c r="G265" t="str">
        <v>No</v>
      </c>
      <c r="H265" t="str">
        <v>Valid</v>
      </c>
    </row>
    <row r="266" spans="1:8" x14ac:dyDescent="0.3">
      <c r="A266" t="str">
        <v>FDB80395</v>
      </c>
      <c r="B266" t="str">
        <v>CUST11359</v>
      </c>
      <c r="C266" s="38">
        <v>45868</v>
      </c>
      <c r="D266" t="str">
        <v>Smooth experience with no issues.</v>
      </c>
      <c r="E266">
        <v>4</v>
      </c>
      <c r="F266" t="str">
        <v>Yes</v>
      </c>
      <c r="G266" t="str">
        <v>No</v>
      </c>
      <c r="H266" t="str">
        <v>Valid</v>
      </c>
    </row>
    <row r="267" spans="1:8" x14ac:dyDescent="0.3">
      <c r="A267" t="str">
        <v>FDB80398</v>
      </c>
      <c r="B267" t="str">
        <v>CUST11565</v>
      </c>
      <c r="C267" s="38">
        <v>46240</v>
      </c>
      <c r="D267" t="str">
        <v>The mobile app experience was intuitive.</v>
      </c>
      <c r="E267">
        <v>4</v>
      </c>
      <c r="F267" t="str">
        <v>No</v>
      </c>
      <c r="G267" t="str">
        <v>No</v>
      </c>
      <c r="H267" t="str">
        <v>Valid</v>
      </c>
    </row>
    <row r="268" spans="1:8" x14ac:dyDescent="0.3">
      <c r="A268" t="str">
        <v>FDB80399</v>
      </c>
      <c r="B268" t="str">
        <v>CUST10511</v>
      </c>
      <c r="C268" s="38">
        <v>46028</v>
      </c>
      <c r="D268" t="str">
        <v>The mobile app experience was intuitive.</v>
      </c>
      <c r="E268">
        <v>4</v>
      </c>
      <c r="F268" t="str">
        <v>Yes</v>
      </c>
      <c r="G268" t="str">
        <v>Yes</v>
      </c>
      <c r="H268" t="str">
        <v>Valid</v>
      </c>
    </row>
    <row r="269" spans="1:8" x14ac:dyDescent="0.3">
      <c r="A269" t="str">
        <v>FDB80400</v>
      </c>
      <c r="B269" t="str">
        <v>CUST10569</v>
      </c>
      <c r="C269" s="38">
        <v>45755</v>
      </c>
      <c r="D269" t="str">
        <v>The agent was helpful and explained everything.</v>
      </c>
      <c r="E269">
        <v>4</v>
      </c>
      <c r="F269" t="str">
        <v>No</v>
      </c>
      <c r="G269" t="str">
        <v>Yes</v>
      </c>
      <c r="H269" t="str">
        <v>Valid</v>
      </c>
    </row>
    <row r="270" spans="1:8" x14ac:dyDescent="0.3">
      <c r="A270" t="str">
        <v>FDB80401</v>
      </c>
      <c r="B270" t="str">
        <v>CUST10669</v>
      </c>
      <c r="C270" s="38">
        <v>46048</v>
      </c>
      <c r="D270" t="str">
        <v>Had to wait too long for claim approval.</v>
      </c>
      <c r="E270">
        <v>1</v>
      </c>
      <c r="F270" t="str">
        <v>No</v>
      </c>
      <c r="G270" t="str">
        <v>No</v>
      </c>
      <c r="H270" t="str">
        <v>Valid</v>
      </c>
    </row>
    <row r="271" spans="1:8" x14ac:dyDescent="0.3">
      <c r="A271" t="str">
        <v>FDB80402</v>
      </c>
      <c r="B271" t="str">
        <v>CUST10555</v>
      </c>
      <c r="C271" s="38">
        <v>46100</v>
      </c>
      <c r="D271" t="str">
        <v>Frustrated with repeated documentation requests.</v>
      </c>
      <c r="E271">
        <v>2</v>
      </c>
      <c r="F271" t="str">
        <v>No</v>
      </c>
      <c r="G271" t="str">
        <v>Yes</v>
      </c>
      <c r="H271" t="str">
        <v>Valid</v>
      </c>
    </row>
    <row r="272" spans="1:8" x14ac:dyDescent="0.3">
      <c r="A272" t="str">
        <v>FDB80404</v>
      </c>
      <c r="B272" t="str">
        <v>CUST10582</v>
      </c>
      <c r="C272" s="38">
        <v>46184</v>
      </c>
      <c r="D272" t="str">
        <v>Excellent customer service support.</v>
      </c>
      <c r="E272">
        <v>5</v>
      </c>
      <c r="F272" t="str">
        <v>No</v>
      </c>
      <c r="G272" t="str">
        <v>Yes</v>
      </c>
      <c r="H272" t="str">
        <v>Valid</v>
      </c>
    </row>
    <row r="273" spans="1:8" x14ac:dyDescent="0.3">
      <c r="A273" t="str">
        <v>FDB80406</v>
      </c>
      <c r="B273" t="str">
        <v>CUST10436</v>
      </c>
      <c r="C273" s="38">
        <v>46261</v>
      </c>
      <c r="D273" t="str">
        <v>I'm not happy with the premium charged.</v>
      </c>
      <c r="E273">
        <v>2</v>
      </c>
      <c r="F273" t="str">
        <v>Yes</v>
      </c>
      <c r="G273" t="str">
        <v>No</v>
      </c>
      <c r="H273" t="str">
        <v>Valid</v>
      </c>
    </row>
    <row r="274" spans="1:8" x14ac:dyDescent="0.3">
      <c r="A274" t="str">
        <v>FDB80407</v>
      </c>
      <c r="B274" t="str">
        <v>CUST11498</v>
      </c>
      <c r="C274" s="38">
        <v>45997</v>
      </c>
      <c r="D274" t="str">
        <v>Claim process could be faster.</v>
      </c>
      <c r="E274">
        <v>2</v>
      </c>
      <c r="F274" t="str">
        <v>No</v>
      </c>
      <c r="G274" t="str">
        <v>No</v>
      </c>
      <c r="H274" t="str">
        <v>Valid</v>
      </c>
    </row>
    <row r="275" spans="1:8" x14ac:dyDescent="0.3">
      <c r="A275" t="str">
        <v>FDB80408</v>
      </c>
      <c r="B275" t="str">
        <v>CUST11071</v>
      </c>
      <c r="C275" s="38">
        <v>46013</v>
      </c>
      <c r="D275" t="str">
        <v>Smooth experience with no issues.</v>
      </c>
      <c r="E275">
        <v>4</v>
      </c>
      <c r="F275" t="str">
        <v>Yes</v>
      </c>
      <c r="G275" t="str">
        <v>No</v>
      </c>
      <c r="H275" t="str">
        <v>Valid</v>
      </c>
    </row>
    <row r="276" spans="1:8" x14ac:dyDescent="0.3">
      <c r="A276" t="str">
        <v>FDB80409</v>
      </c>
      <c r="B276" t="str">
        <v>CUST10604</v>
      </c>
      <c r="C276" s="38">
        <v>45645</v>
      </c>
      <c r="D276" t="str">
        <v>Need more clarity on policy coverage.</v>
      </c>
      <c r="E276">
        <v>2</v>
      </c>
      <c r="F276" t="str">
        <v>Yes</v>
      </c>
      <c r="G276" t="str">
        <v>No</v>
      </c>
      <c r="H276" t="str">
        <v>Valid</v>
      </c>
    </row>
    <row r="277" spans="1:8" x14ac:dyDescent="0.3">
      <c r="A277" t="str">
        <v>FDB80410</v>
      </c>
      <c r="B277" t="str">
        <v>CUST11392</v>
      </c>
      <c r="C277" s="38">
        <v>45476</v>
      </c>
      <c r="D277" t="str">
        <v>I'm not happy with the premium charged.</v>
      </c>
      <c r="E277">
        <v>2</v>
      </c>
      <c r="F277" t="str">
        <v>Yes</v>
      </c>
      <c r="G277" t="str">
        <v>Yes</v>
      </c>
      <c r="H277" t="str">
        <v>Valid</v>
      </c>
    </row>
    <row r="278" spans="1:8" x14ac:dyDescent="0.3">
      <c r="A278" t="str">
        <v>FDB80413</v>
      </c>
      <c r="B278" t="str">
        <v>CUST10099</v>
      </c>
      <c r="C278" s="38">
        <v>45982</v>
      </c>
      <c r="D278" t="str">
        <v>Need more clarity on policy coverage.</v>
      </c>
      <c r="E278">
        <v>2</v>
      </c>
      <c r="F278" t="str">
        <v>Yes</v>
      </c>
      <c r="G278" t="str">
        <v>No</v>
      </c>
      <c r="H278" t="str">
        <v>Valid</v>
      </c>
    </row>
    <row r="279" spans="1:8" x14ac:dyDescent="0.3">
      <c r="A279" t="str">
        <v>FDB80415</v>
      </c>
      <c r="B279" t="str">
        <v>CUST11310</v>
      </c>
      <c r="C279" s="38">
        <v>45253</v>
      </c>
      <c r="D279" t="str">
        <v>Claim process could be faster.</v>
      </c>
      <c r="E279">
        <v>2</v>
      </c>
      <c r="F279" t="str">
        <v>Yes</v>
      </c>
      <c r="G279" t="str">
        <v>No</v>
      </c>
      <c r="H279" t="str">
        <v>Valid</v>
      </c>
    </row>
    <row r="280" spans="1:8" x14ac:dyDescent="0.3">
      <c r="A280" t="str">
        <v>FDB80416</v>
      </c>
      <c r="B280" t="str">
        <v>CUST10096</v>
      </c>
      <c r="C280" s="38">
        <v>45883</v>
      </c>
      <c r="D280" t="str">
        <v>The agent was helpful and explained everything.</v>
      </c>
      <c r="E280">
        <v>5</v>
      </c>
      <c r="F280" t="str">
        <v>Yes</v>
      </c>
      <c r="G280" t="str">
        <v>No</v>
      </c>
      <c r="H280" t="str">
        <v>Valid</v>
      </c>
    </row>
    <row r="281" spans="1:8" x14ac:dyDescent="0.3">
      <c r="A281" t="str">
        <v>FDB80417</v>
      </c>
      <c r="B281" t="str">
        <v>CUST10355</v>
      </c>
      <c r="C281" s="38">
        <v>45545</v>
      </c>
      <c r="D281" t="str">
        <v>The agent was helpful and explained everything.</v>
      </c>
      <c r="E281">
        <v>4</v>
      </c>
      <c r="F281" t="str">
        <v>Yes</v>
      </c>
      <c r="G281" t="str">
        <v>No</v>
      </c>
      <c r="H281" t="str">
        <v>Valid</v>
      </c>
    </row>
    <row r="282" spans="1:8" x14ac:dyDescent="0.3">
      <c r="A282" t="str">
        <v>FDB80418</v>
      </c>
      <c r="B282" t="str">
        <v>CUST10914</v>
      </c>
      <c r="C282" s="38">
        <v>45751</v>
      </c>
      <c r="D282" t="str">
        <v>Frustrated with repeated documentation requests.</v>
      </c>
      <c r="E282">
        <v>2</v>
      </c>
      <c r="F282" t="str">
        <v>Yes</v>
      </c>
      <c r="G282" t="str">
        <v>No</v>
      </c>
      <c r="H282" t="str">
        <v>Valid</v>
      </c>
    </row>
    <row r="283" spans="1:8" x14ac:dyDescent="0.3">
      <c r="A283" t="str">
        <v>FDB80420</v>
      </c>
      <c r="B283" t="str">
        <v>CUST10017</v>
      </c>
      <c r="C283" s="38">
        <v>46071</v>
      </c>
      <c r="D283" t="str">
        <v>Smooth experience with no issues.</v>
      </c>
      <c r="E283">
        <v>4</v>
      </c>
      <c r="F283" t="str">
        <v>Yes</v>
      </c>
      <c r="G283" t="str">
        <v>Yes</v>
      </c>
      <c r="H283" t="str">
        <v>Valid</v>
      </c>
    </row>
    <row r="284" spans="1:8" x14ac:dyDescent="0.3">
      <c r="A284" t="str">
        <v>FDB80421</v>
      </c>
      <c r="B284" t="str">
        <v>CUST11304</v>
      </c>
      <c r="C284" s="38">
        <v>45646</v>
      </c>
      <c r="D284" t="str">
        <v>Had to wait too long for claim approval.</v>
      </c>
      <c r="E284">
        <v>2</v>
      </c>
      <c r="F284" t="str">
        <v>Yes</v>
      </c>
      <c r="G284" t="str">
        <v>No</v>
      </c>
      <c r="H284" t="str">
        <v>Valid</v>
      </c>
    </row>
    <row r="285" spans="1:8" x14ac:dyDescent="0.3">
      <c r="A285" t="str">
        <v>FDB80425</v>
      </c>
      <c r="B285" t="str">
        <v>CUST10755</v>
      </c>
      <c r="C285" s="38">
        <v>46080</v>
      </c>
      <c r="D285" t="str">
        <v>Need more clarity on policy coverage.</v>
      </c>
      <c r="E285">
        <v>2</v>
      </c>
      <c r="F285" t="str">
        <v>No</v>
      </c>
      <c r="G285" t="str">
        <v>No</v>
      </c>
      <c r="H285" t="str">
        <v>Valid</v>
      </c>
    </row>
    <row r="286" spans="1:8" x14ac:dyDescent="0.3">
      <c r="A286" t="str">
        <v>FDB80426</v>
      </c>
      <c r="B286" t="str">
        <v>CUST10361</v>
      </c>
      <c r="C286" s="38">
        <v>45193</v>
      </c>
      <c r="D286" t="str">
        <v>The mobile app experience was intuitive.</v>
      </c>
      <c r="E286">
        <v>4</v>
      </c>
      <c r="F286" t="str">
        <v>No</v>
      </c>
      <c r="G286" t="str">
        <v>Yes</v>
      </c>
      <c r="H286" t="str">
        <v>Valid</v>
      </c>
    </row>
    <row r="287" spans="1:8" x14ac:dyDescent="0.3">
      <c r="A287" t="str">
        <v>FDB80428</v>
      </c>
      <c r="B287" t="str">
        <v>CUST11054</v>
      </c>
      <c r="C287" s="38">
        <v>45641</v>
      </c>
      <c r="D287" t="str">
        <v>Very satisfied with the claim process.</v>
      </c>
      <c r="E287">
        <v>5</v>
      </c>
      <c r="F287" t="str">
        <v>Yes</v>
      </c>
      <c r="G287" t="str">
        <v>No</v>
      </c>
      <c r="H287" t="str">
        <v>Valid</v>
      </c>
    </row>
    <row r="288" spans="1:8" x14ac:dyDescent="0.3">
      <c r="A288" t="str">
        <v>FDB80430</v>
      </c>
      <c r="B288" t="str">
        <v>CUST10632</v>
      </c>
      <c r="C288" s="38">
        <v>45417</v>
      </c>
      <c r="D288" t="str">
        <v>Smooth experience with no issues.</v>
      </c>
      <c r="E288">
        <v>5</v>
      </c>
      <c r="F288" t="str">
        <v>No</v>
      </c>
      <c r="G288" t="str">
        <v>No</v>
      </c>
      <c r="H288" t="str">
        <v>Valid</v>
      </c>
    </row>
    <row r="289" spans="1:8" x14ac:dyDescent="0.3">
      <c r="A289" t="str">
        <v>FDB80431</v>
      </c>
      <c r="B289" t="str">
        <v>CUST10472</v>
      </c>
      <c r="C289" s="38">
        <v>45912</v>
      </c>
      <c r="D289" t="str">
        <v>Smooth experience with no issues.</v>
      </c>
      <c r="E289">
        <v>4</v>
      </c>
      <c r="F289" t="str">
        <v>No</v>
      </c>
      <c r="G289" t="str">
        <v>Yes</v>
      </c>
      <c r="H289" t="str">
        <v>Valid</v>
      </c>
    </row>
    <row r="290" spans="1:8" x14ac:dyDescent="0.3">
      <c r="A290" t="str">
        <v>FDB80432</v>
      </c>
      <c r="B290" t="str">
        <v>CUST11193</v>
      </c>
      <c r="C290" s="38">
        <v>45530</v>
      </c>
      <c r="D290" t="str">
        <v>I'm not happy with the premium charged.</v>
      </c>
      <c r="E290">
        <v>2</v>
      </c>
      <c r="F290" t="str">
        <v>No</v>
      </c>
      <c r="G290" t="str">
        <v>No</v>
      </c>
      <c r="H290" t="str">
        <v>Valid</v>
      </c>
    </row>
    <row r="291" spans="1:8" x14ac:dyDescent="0.3">
      <c r="A291" t="str">
        <v>FDB80433</v>
      </c>
      <c r="B291" t="str">
        <v>CUST11171</v>
      </c>
      <c r="C291" s="38">
        <v>45674</v>
      </c>
      <c r="D291" t="str">
        <v>The mobile app experience was intuitive.</v>
      </c>
      <c r="E291">
        <v>4</v>
      </c>
      <c r="F291" t="str">
        <v>No</v>
      </c>
      <c r="G291" t="str">
        <v>No</v>
      </c>
      <c r="H291" t="str">
        <v>Valid</v>
      </c>
    </row>
    <row r="292" spans="1:8" x14ac:dyDescent="0.3">
      <c r="A292" t="str">
        <v>FDB80434</v>
      </c>
      <c r="B292" t="str">
        <v>CUST11021</v>
      </c>
      <c r="C292" s="38">
        <v>45902</v>
      </c>
      <c r="D292" t="str">
        <v>Smooth experience with no issues.</v>
      </c>
      <c r="E292">
        <v>5</v>
      </c>
      <c r="F292" t="str">
        <v>Yes</v>
      </c>
      <c r="G292" t="str">
        <v>No</v>
      </c>
      <c r="H292" t="str">
        <v>Valid</v>
      </c>
    </row>
    <row r="293" spans="1:8" x14ac:dyDescent="0.3">
      <c r="A293" t="str">
        <v>FDB80436</v>
      </c>
      <c r="B293" t="str">
        <v>CUST10984</v>
      </c>
      <c r="C293" s="38">
        <v>45802</v>
      </c>
      <c r="D293" t="str">
        <v>Claim process could be faster.</v>
      </c>
      <c r="E293">
        <v>3</v>
      </c>
      <c r="F293" t="str">
        <v>No</v>
      </c>
      <c r="G293" t="str">
        <v>No</v>
      </c>
      <c r="H293" t="str">
        <v>Valid</v>
      </c>
    </row>
    <row r="294" spans="1:8" x14ac:dyDescent="0.3">
      <c r="A294" t="str">
        <v>FDB80439</v>
      </c>
      <c r="B294" t="str">
        <v>CUST10182</v>
      </c>
      <c r="C294" s="38">
        <v>46123</v>
      </c>
      <c r="D294" t="str">
        <v>Need more clarity on policy coverage.</v>
      </c>
      <c r="E294">
        <v>2</v>
      </c>
      <c r="F294" t="str">
        <v>Yes</v>
      </c>
      <c r="G294" t="str">
        <v>No</v>
      </c>
      <c r="H294" t="str">
        <v>Valid</v>
      </c>
    </row>
    <row r="295" spans="1:8" x14ac:dyDescent="0.3">
      <c r="A295" t="str">
        <v>FDB80440</v>
      </c>
      <c r="B295" t="str">
        <v>CUST10115</v>
      </c>
      <c r="C295" s="38">
        <v>45340</v>
      </c>
      <c r="D295" t="str">
        <v>Frustrated with repeated documentation requests.</v>
      </c>
      <c r="E295">
        <v>2</v>
      </c>
      <c r="F295" t="str">
        <v>No</v>
      </c>
      <c r="G295" t="str">
        <v>Yes</v>
      </c>
      <c r="H295" t="str">
        <v>Valid</v>
      </c>
    </row>
    <row r="296" spans="1:8" x14ac:dyDescent="0.3">
      <c r="A296" t="str">
        <v>FDB80443</v>
      </c>
      <c r="B296" t="str">
        <v>CUST11224</v>
      </c>
      <c r="C296" s="38">
        <v>45372</v>
      </c>
      <c r="D296" t="str">
        <v>Claim process could be faster.</v>
      </c>
      <c r="E296">
        <v>3</v>
      </c>
      <c r="F296" t="str">
        <v>Yes</v>
      </c>
      <c r="G296" t="str">
        <v>Yes</v>
      </c>
      <c r="H296" t="str">
        <v>Valid</v>
      </c>
    </row>
    <row r="297" spans="1:8" x14ac:dyDescent="0.3">
      <c r="A297" t="str">
        <v>FDB80444</v>
      </c>
      <c r="B297" t="str">
        <v>CUST11330</v>
      </c>
      <c r="C297" s="38">
        <v>45201</v>
      </c>
      <c r="D297" t="str">
        <v>Very satisfied with the claim process.</v>
      </c>
      <c r="E297">
        <v>5</v>
      </c>
      <c r="F297" t="str">
        <v>Yes</v>
      </c>
      <c r="G297" t="str">
        <v>No</v>
      </c>
      <c r="H297" t="str">
        <v>Valid</v>
      </c>
    </row>
    <row r="298" spans="1:8" x14ac:dyDescent="0.3">
      <c r="A298" t="str">
        <v>FDB80445</v>
      </c>
      <c r="B298" t="str">
        <v>CUST10209</v>
      </c>
      <c r="C298" s="38">
        <v>45832</v>
      </c>
      <c r="D298" t="str">
        <v>The agent was helpful and explained everything.</v>
      </c>
      <c r="E298">
        <v>4</v>
      </c>
      <c r="F298" t="str">
        <v>Yes</v>
      </c>
      <c r="G298" t="str">
        <v>No</v>
      </c>
      <c r="H298" t="str">
        <v>Valid</v>
      </c>
    </row>
    <row r="299" spans="1:8" x14ac:dyDescent="0.3">
      <c r="A299" t="str">
        <v>FDB80447</v>
      </c>
      <c r="B299" t="str">
        <v>CUST11198</v>
      </c>
      <c r="C299" s="38">
        <v>46027</v>
      </c>
      <c r="D299" t="str">
        <v>The mobile app experience was intuitive.</v>
      </c>
      <c r="E299">
        <v>4</v>
      </c>
      <c r="F299" t="str">
        <v>No</v>
      </c>
      <c r="G299" t="str">
        <v>Yes</v>
      </c>
      <c r="H299" t="str">
        <v>Valid</v>
      </c>
    </row>
    <row r="300" spans="1:8" x14ac:dyDescent="0.3">
      <c r="A300" t="str">
        <v>FDB80448</v>
      </c>
      <c r="B300" t="str">
        <v>CUST10298</v>
      </c>
      <c r="C300" s="38">
        <v>45764</v>
      </c>
      <c r="D300" t="str">
        <v>Had to wait too long for claim approval.</v>
      </c>
      <c r="E300">
        <v>2</v>
      </c>
      <c r="F300" t="str">
        <v>Yes</v>
      </c>
      <c r="G300" t="str">
        <v>No</v>
      </c>
      <c r="H300" t="str">
        <v>Valid</v>
      </c>
    </row>
    <row r="301" spans="1:8" x14ac:dyDescent="0.3">
      <c r="A301" t="str">
        <v>FDB80449</v>
      </c>
      <c r="B301" t="str">
        <v>CUST10062</v>
      </c>
      <c r="C301" s="38">
        <v>46219</v>
      </c>
      <c r="D301" t="str">
        <v>Smooth experience with no issues.</v>
      </c>
      <c r="E301">
        <v>5</v>
      </c>
      <c r="F301" t="str">
        <v>Yes</v>
      </c>
      <c r="G301" t="str">
        <v>No</v>
      </c>
      <c r="H301" t="str">
        <v>Valid</v>
      </c>
    </row>
    <row r="302" spans="1:8" x14ac:dyDescent="0.3">
      <c r="A302" t="str">
        <v>FDB80450</v>
      </c>
      <c r="B302" t="str">
        <v>CUST10381</v>
      </c>
      <c r="C302" s="38">
        <v>45531</v>
      </c>
      <c r="D302" t="str">
        <v>Very satisfied with the claim process.</v>
      </c>
      <c r="E302">
        <v>5</v>
      </c>
      <c r="F302" t="str">
        <v>Yes</v>
      </c>
      <c r="G302" t="str">
        <v>No</v>
      </c>
      <c r="H302" t="str">
        <v>Valid</v>
      </c>
    </row>
    <row r="303" spans="1:8" x14ac:dyDescent="0.3">
      <c r="A303" t="str">
        <v>FDB80451</v>
      </c>
      <c r="B303" t="str">
        <v>CUST10718</v>
      </c>
      <c r="C303" s="38">
        <v>45518</v>
      </c>
      <c r="D303" t="str">
        <v>Very satisfied with the claim process.</v>
      </c>
      <c r="E303">
        <v>5</v>
      </c>
      <c r="F303" t="str">
        <v>Yes</v>
      </c>
      <c r="G303" t="str">
        <v>No</v>
      </c>
      <c r="H303" t="str">
        <v>Valid</v>
      </c>
    </row>
    <row r="304" spans="1:8" x14ac:dyDescent="0.3">
      <c r="A304" t="str">
        <v>FDB80453</v>
      </c>
      <c r="B304" t="str">
        <v>CUST11430</v>
      </c>
      <c r="C304" s="38">
        <v>45401</v>
      </c>
      <c r="D304" t="str">
        <v>Had to wait too long for claim approval.</v>
      </c>
      <c r="E304">
        <v>2</v>
      </c>
      <c r="F304" t="str">
        <v>No</v>
      </c>
      <c r="G304" t="str">
        <v>No</v>
      </c>
      <c r="H304" t="str">
        <v>Valid</v>
      </c>
    </row>
    <row r="305" spans="1:8" x14ac:dyDescent="0.3">
      <c r="A305" t="str">
        <v>FDB80455</v>
      </c>
      <c r="B305" t="str">
        <v>CUST11293</v>
      </c>
      <c r="C305" s="38">
        <v>45638</v>
      </c>
      <c r="D305" t="str">
        <v>Frustrated with repeated documentation requests.</v>
      </c>
      <c r="E305">
        <v>2</v>
      </c>
      <c r="F305" t="str">
        <v>No</v>
      </c>
      <c r="G305" t="str">
        <v>Yes</v>
      </c>
      <c r="H305" t="str">
        <v>Valid</v>
      </c>
    </row>
    <row r="306" spans="1:8" x14ac:dyDescent="0.3">
      <c r="A306" t="str">
        <v>FDB80456</v>
      </c>
      <c r="B306" t="str">
        <v>CUST10528</v>
      </c>
      <c r="C306" s="38">
        <v>45470</v>
      </c>
      <c r="D306" t="str">
        <v>Smooth experience with no issues.</v>
      </c>
      <c r="E306">
        <v>4</v>
      </c>
      <c r="F306" t="str">
        <v>No</v>
      </c>
      <c r="G306" t="str">
        <v>No</v>
      </c>
      <c r="H306" t="str">
        <v>Valid</v>
      </c>
    </row>
    <row r="307" spans="1:8" x14ac:dyDescent="0.3">
      <c r="A307" t="str">
        <v>FDB80461</v>
      </c>
      <c r="B307" t="str">
        <v>CUST10230</v>
      </c>
      <c r="C307" s="38">
        <v>46158</v>
      </c>
      <c r="D307" t="str">
        <v>Very satisfied with the claim process.</v>
      </c>
      <c r="E307">
        <v>5</v>
      </c>
      <c r="F307" t="str">
        <v>No</v>
      </c>
      <c r="G307" t="str">
        <v>No</v>
      </c>
      <c r="H307" t="str">
        <v>Valid</v>
      </c>
    </row>
    <row r="308" spans="1:8" x14ac:dyDescent="0.3">
      <c r="A308" t="str">
        <v>FDB80462</v>
      </c>
      <c r="B308" t="str">
        <v>CUST10747</v>
      </c>
      <c r="C308" s="38">
        <v>45654</v>
      </c>
      <c r="D308" t="str">
        <v>The mobile app experience was intuitive.</v>
      </c>
      <c r="E308">
        <v>4</v>
      </c>
      <c r="F308" t="str">
        <v>No</v>
      </c>
      <c r="G308" t="str">
        <v>Yes</v>
      </c>
      <c r="H308" t="str">
        <v>Valid</v>
      </c>
    </row>
    <row r="309" spans="1:8" x14ac:dyDescent="0.3">
      <c r="A309" t="str">
        <v>FDB80463</v>
      </c>
      <c r="B309" t="str">
        <v>CUST10588</v>
      </c>
      <c r="C309" s="38">
        <v>46087</v>
      </c>
      <c r="D309" t="str">
        <v>Claim process could be faster.</v>
      </c>
      <c r="E309">
        <v>2</v>
      </c>
      <c r="F309" t="str">
        <v>No</v>
      </c>
      <c r="G309" t="str">
        <v>No</v>
      </c>
      <c r="H309" t="str">
        <v>Valid</v>
      </c>
    </row>
    <row r="310" spans="1:8" x14ac:dyDescent="0.3">
      <c r="A310" t="str">
        <v>FDB80465</v>
      </c>
      <c r="B310" t="str">
        <v>CUST10332</v>
      </c>
      <c r="C310" s="38">
        <v>45659</v>
      </c>
      <c r="D310" t="str">
        <v>I'm not happy with the premium charged.</v>
      </c>
      <c r="E310">
        <v>2</v>
      </c>
      <c r="F310" t="str">
        <v>No</v>
      </c>
      <c r="G310" t="str">
        <v>No</v>
      </c>
      <c r="H310" t="str">
        <v>Valid</v>
      </c>
    </row>
    <row r="311" spans="1:8" x14ac:dyDescent="0.3">
      <c r="A311" t="str">
        <v>FDB80468</v>
      </c>
      <c r="B311" t="str">
        <v>CUST10830</v>
      </c>
      <c r="C311" s="38">
        <v>45589</v>
      </c>
      <c r="D311" t="str">
        <v>Excellent customer service support.</v>
      </c>
      <c r="E311">
        <v>4</v>
      </c>
      <c r="F311" t="str">
        <v>No</v>
      </c>
      <c r="G311" t="str">
        <v>Yes</v>
      </c>
      <c r="H311" t="str">
        <v>Valid</v>
      </c>
    </row>
    <row r="312" spans="1:8" x14ac:dyDescent="0.3">
      <c r="A312" t="str">
        <v>FDB80469</v>
      </c>
      <c r="B312" t="str">
        <v>CUST11025</v>
      </c>
      <c r="C312" s="38">
        <v>45662</v>
      </c>
      <c r="D312" t="str">
        <v>Excellent customer service support.</v>
      </c>
      <c r="E312">
        <v>5</v>
      </c>
      <c r="F312" t="str">
        <v>No</v>
      </c>
      <c r="G312" t="str">
        <v>No</v>
      </c>
      <c r="H312" t="str">
        <v>Valid</v>
      </c>
    </row>
    <row r="313" spans="1:8" x14ac:dyDescent="0.3">
      <c r="A313" t="str">
        <v>FDB80470</v>
      </c>
      <c r="B313" t="str">
        <v>CUST10451</v>
      </c>
      <c r="C313" s="38">
        <v>45610</v>
      </c>
      <c r="D313" t="str">
        <v>I'm not happy with the premium charged.</v>
      </c>
      <c r="E313">
        <v>2</v>
      </c>
      <c r="F313" t="str">
        <v>No</v>
      </c>
      <c r="G313" t="str">
        <v>No</v>
      </c>
      <c r="H313" t="str">
        <v>Valid</v>
      </c>
    </row>
    <row r="314" spans="1:8" x14ac:dyDescent="0.3">
      <c r="A314" t="str">
        <v>FDB80471</v>
      </c>
      <c r="B314" t="str">
        <v>CUST11376</v>
      </c>
      <c r="C314" s="38">
        <v>45398</v>
      </c>
      <c r="D314" t="str">
        <v>Excellent customer service support.</v>
      </c>
      <c r="E314">
        <v>5</v>
      </c>
      <c r="F314" t="str">
        <v>No</v>
      </c>
      <c r="G314" t="str">
        <v>No</v>
      </c>
      <c r="H314" t="str">
        <v>Valid</v>
      </c>
    </row>
    <row r="315" spans="1:8" x14ac:dyDescent="0.3">
      <c r="A315" t="str">
        <v>FDB80472</v>
      </c>
      <c r="B315" t="str">
        <v>CUST11177</v>
      </c>
      <c r="C315" s="38">
        <v>45590</v>
      </c>
      <c r="D315" t="str">
        <v>Frustrated with repeated documentation requests.</v>
      </c>
      <c r="E315">
        <v>2</v>
      </c>
      <c r="F315" t="str">
        <v>Yes</v>
      </c>
      <c r="G315" t="str">
        <v>No</v>
      </c>
      <c r="H315" t="str">
        <v>Valid</v>
      </c>
    </row>
    <row r="316" spans="1:8" x14ac:dyDescent="0.3">
      <c r="A316" t="str">
        <v>FDB80476</v>
      </c>
      <c r="B316" t="str">
        <v>CUST10044</v>
      </c>
      <c r="C316" s="38">
        <v>46173</v>
      </c>
      <c r="D316" t="str">
        <v>Smooth experience with no issues.</v>
      </c>
      <c r="E316">
        <v>4</v>
      </c>
      <c r="F316" t="str">
        <v>No</v>
      </c>
      <c r="G316" t="str">
        <v>Yes</v>
      </c>
      <c r="H316" t="str">
        <v>Valid</v>
      </c>
    </row>
    <row r="317" spans="1:8" x14ac:dyDescent="0.3">
      <c r="A317" t="str">
        <v>FDB80477</v>
      </c>
      <c r="B317" t="str">
        <v>CUST10344</v>
      </c>
      <c r="C317" s="38">
        <v>45967</v>
      </c>
      <c r="D317" t="str">
        <v>Had to wait too long for claim approval.</v>
      </c>
      <c r="E317">
        <v>2</v>
      </c>
      <c r="F317" t="str">
        <v>No</v>
      </c>
      <c r="G317" t="str">
        <v>Yes</v>
      </c>
      <c r="H317" t="str">
        <v>Valid</v>
      </c>
    </row>
    <row r="318" spans="1:8" x14ac:dyDescent="0.3">
      <c r="A318" t="str">
        <v>FDB80479</v>
      </c>
      <c r="B318" t="str">
        <v>CUST11349</v>
      </c>
      <c r="C318" s="38">
        <v>46002</v>
      </c>
      <c r="D318" t="str">
        <v>The agent was helpful and explained everything.</v>
      </c>
      <c r="E318">
        <v>5</v>
      </c>
      <c r="F318" t="str">
        <v>Yes</v>
      </c>
      <c r="G318" t="str">
        <v>No</v>
      </c>
      <c r="H318" t="str">
        <v>Valid</v>
      </c>
    </row>
    <row r="319" spans="1:8" x14ac:dyDescent="0.3">
      <c r="A319" t="str">
        <v>FDB80480</v>
      </c>
      <c r="B319" t="str">
        <v>CUST10037</v>
      </c>
      <c r="C319" s="38">
        <v>45304</v>
      </c>
      <c r="D319" t="str">
        <v>Need more clarity on policy coverage.</v>
      </c>
      <c r="E319">
        <v>2</v>
      </c>
      <c r="F319" t="str">
        <v>Yes</v>
      </c>
      <c r="G319" t="str">
        <v>Yes</v>
      </c>
      <c r="H319" t="str">
        <v>Valid</v>
      </c>
    </row>
    <row r="320" spans="1:8" x14ac:dyDescent="0.3">
      <c r="A320" t="str">
        <v>FDB80481</v>
      </c>
      <c r="B320" t="str">
        <v>CUST11481</v>
      </c>
      <c r="C320" s="38">
        <v>45709</v>
      </c>
      <c r="D320" t="str">
        <v>Smooth experience with no issues.</v>
      </c>
      <c r="E320">
        <v>5</v>
      </c>
      <c r="F320" t="str">
        <v>No</v>
      </c>
      <c r="G320" t="str">
        <v>No</v>
      </c>
      <c r="H320" t="str">
        <v>Valid</v>
      </c>
    </row>
    <row r="321" spans="1:8" x14ac:dyDescent="0.3">
      <c r="A321" t="str">
        <v>FDB80482</v>
      </c>
      <c r="B321" t="str">
        <v>CUST11257</v>
      </c>
      <c r="C321" s="38">
        <v>45835</v>
      </c>
      <c r="D321" t="str">
        <v>Very satisfied with the claim process.</v>
      </c>
      <c r="E321">
        <v>5</v>
      </c>
      <c r="F321" t="str">
        <v>No</v>
      </c>
      <c r="G321" t="str">
        <v>No</v>
      </c>
      <c r="H321" t="str">
        <v>Valid</v>
      </c>
    </row>
    <row r="322" spans="1:8" x14ac:dyDescent="0.3">
      <c r="A322" t="str">
        <v>FDB80483</v>
      </c>
      <c r="B322" t="str">
        <v>CUST10074</v>
      </c>
      <c r="C322" s="38">
        <v>45994</v>
      </c>
      <c r="D322" t="str">
        <v>Frustrated with repeated documentation requests.</v>
      </c>
      <c r="E322">
        <v>2</v>
      </c>
      <c r="F322" t="str">
        <v>Yes</v>
      </c>
      <c r="G322" t="str">
        <v>Yes</v>
      </c>
      <c r="H322" t="str">
        <v>Valid</v>
      </c>
    </row>
    <row r="323" spans="1:8" x14ac:dyDescent="0.3">
      <c r="A323" t="str">
        <v>FDB80486</v>
      </c>
      <c r="B323" t="str">
        <v>CUST11647</v>
      </c>
      <c r="C323" s="38">
        <v>46252</v>
      </c>
      <c r="D323" t="str">
        <v>Claim process could be faster.</v>
      </c>
      <c r="E323">
        <v>2</v>
      </c>
      <c r="F323" t="str">
        <v>Yes</v>
      </c>
      <c r="G323" t="str">
        <v>No</v>
      </c>
      <c r="H323" t="str">
        <v>Valid</v>
      </c>
    </row>
    <row r="324" spans="1:8" x14ac:dyDescent="0.3">
      <c r="A324" t="str">
        <v>FDB80487</v>
      </c>
      <c r="B324" t="str">
        <v>CUST11396</v>
      </c>
      <c r="C324" s="38">
        <v>46049</v>
      </c>
      <c r="D324" t="str">
        <v>Very satisfied with the claim process.</v>
      </c>
      <c r="E324">
        <v>5</v>
      </c>
      <c r="F324" t="str">
        <v>Yes</v>
      </c>
      <c r="G324" t="str">
        <v>No</v>
      </c>
      <c r="H324" t="str">
        <v>Valid</v>
      </c>
    </row>
    <row r="325" spans="1:8" x14ac:dyDescent="0.3">
      <c r="A325" t="str">
        <v>FDB80488</v>
      </c>
      <c r="B325" t="str">
        <v>CUST10290</v>
      </c>
      <c r="C325" s="38">
        <v>45567</v>
      </c>
      <c r="D325" t="str">
        <v>Frustrated with repeated documentation requests.</v>
      </c>
      <c r="E325">
        <v>2</v>
      </c>
      <c r="F325" t="str">
        <v>Yes</v>
      </c>
      <c r="G325" t="str">
        <v>Yes</v>
      </c>
      <c r="H325" t="str">
        <v>Valid</v>
      </c>
    </row>
    <row r="326" spans="1:8" x14ac:dyDescent="0.3">
      <c r="A326" t="str">
        <v>FDB80489</v>
      </c>
      <c r="B326" t="str">
        <v>CUST10928</v>
      </c>
      <c r="C326" s="38">
        <v>45452</v>
      </c>
      <c r="D326" t="str">
        <v>Excellent customer service support.</v>
      </c>
      <c r="E326">
        <v>5</v>
      </c>
      <c r="F326" t="str">
        <v>Yes</v>
      </c>
      <c r="G326" t="str">
        <v>No</v>
      </c>
      <c r="H326" t="str">
        <v>Valid</v>
      </c>
    </row>
    <row r="327" spans="1:8" x14ac:dyDescent="0.3">
      <c r="A327" t="str">
        <v>FDB80490</v>
      </c>
      <c r="B327" t="str">
        <v>CUST11144</v>
      </c>
      <c r="C327" s="38">
        <v>45295</v>
      </c>
      <c r="D327" t="str">
        <v>I'm not happy with the premium charged.</v>
      </c>
      <c r="E327">
        <v>2</v>
      </c>
      <c r="F327" t="str">
        <v>Yes</v>
      </c>
      <c r="G327" t="str">
        <v>Yes</v>
      </c>
      <c r="H327" t="str">
        <v>Valid</v>
      </c>
    </row>
    <row r="328" spans="1:8" x14ac:dyDescent="0.3">
      <c r="A328" t="str">
        <v>FDB80491</v>
      </c>
      <c r="B328" t="str">
        <v>CUST10129</v>
      </c>
      <c r="C328" s="38">
        <v>45673</v>
      </c>
      <c r="D328" t="str">
        <v>I'm not happy with the premium charged.</v>
      </c>
      <c r="E328">
        <v>2</v>
      </c>
      <c r="F328" t="str">
        <v>Yes</v>
      </c>
      <c r="G328" t="str">
        <v>Yes</v>
      </c>
      <c r="H328" t="str">
        <v>Valid</v>
      </c>
    </row>
    <row r="329" spans="1:8" x14ac:dyDescent="0.3">
      <c r="A329" t="str">
        <v>FDB80492</v>
      </c>
      <c r="B329" t="str">
        <v>CUST10386</v>
      </c>
      <c r="C329" s="38">
        <v>45180</v>
      </c>
      <c r="D329" t="str">
        <v>Need more clarity on policy coverage.</v>
      </c>
      <c r="E329">
        <v>2</v>
      </c>
      <c r="F329" t="str">
        <v>Yes</v>
      </c>
      <c r="G329" t="str">
        <v>Yes</v>
      </c>
      <c r="H329" t="str">
        <v>Valid</v>
      </c>
    </row>
    <row r="330" spans="1:8" x14ac:dyDescent="0.3">
      <c r="A330" t="str">
        <v>FDB80493</v>
      </c>
      <c r="B330" t="str">
        <v>CUST10975</v>
      </c>
      <c r="C330" s="38">
        <v>46053</v>
      </c>
      <c r="D330" t="str">
        <v>Excellent customer service support.</v>
      </c>
      <c r="E330">
        <v>4</v>
      </c>
      <c r="F330" t="str">
        <v>Yes</v>
      </c>
      <c r="G330" t="str">
        <v>No</v>
      </c>
      <c r="H330" t="str">
        <v>Valid</v>
      </c>
    </row>
    <row r="331" spans="1:8" x14ac:dyDescent="0.3">
      <c r="A331" t="str">
        <v>FDB80494</v>
      </c>
      <c r="B331" t="str">
        <v>CUST10116</v>
      </c>
      <c r="C331" s="38">
        <v>45611</v>
      </c>
      <c r="D331" t="str">
        <v>Frustrated with repeated documentation requests.</v>
      </c>
      <c r="E331">
        <v>2</v>
      </c>
      <c r="F331" t="str">
        <v>No</v>
      </c>
      <c r="G331" t="str">
        <v>No</v>
      </c>
      <c r="H331" t="str">
        <v>Valid</v>
      </c>
    </row>
    <row r="332" spans="1:8" x14ac:dyDescent="0.3">
      <c r="A332" t="str">
        <v>FDB80495</v>
      </c>
      <c r="B332" t="str">
        <v>CUST11030</v>
      </c>
      <c r="C332" s="38">
        <v>46112</v>
      </c>
      <c r="D332" t="str">
        <v>The agent was helpful and explained everything.</v>
      </c>
      <c r="E332">
        <v>4</v>
      </c>
      <c r="F332" t="str">
        <v>Yes</v>
      </c>
      <c r="G332" t="str">
        <v>No</v>
      </c>
      <c r="H332" t="str">
        <v>Valid</v>
      </c>
    </row>
    <row r="333" spans="1:8" x14ac:dyDescent="0.3">
      <c r="A333" t="str">
        <v>FDB80498</v>
      </c>
      <c r="B333" t="str">
        <v>CUST10964</v>
      </c>
      <c r="C333" s="38">
        <v>46089</v>
      </c>
      <c r="D333" t="str">
        <v>Had to wait too long for claim approval.</v>
      </c>
      <c r="E333">
        <v>1</v>
      </c>
      <c r="F333" t="str">
        <v>Yes</v>
      </c>
      <c r="G333" t="str">
        <v>No</v>
      </c>
      <c r="H333" t="str">
        <v>Valid</v>
      </c>
    </row>
    <row r="334" spans="1:8" x14ac:dyDescent="0.3">
      <c r="A334" t="str">
        <v>FDB80500</v>
      </c>
      <c r="B334" t="str">
        <v>CUST10723</v>
      </c>
      <c r="C334" s="38">
        <v>46102</v>
      </c>
      <c r="D334" t="str">
        <v>Very satisfied with the claim process.</v>
      </c>
      <c r="E334">
        <v>5</v>
      </c>
      <c r="F334" t="str">
        <v>Yes</v>
      </c>
      <c r="G334" t="str">
        <v>No</v>
      </c>
      <c r="H334" t="str">
        <v>Valid</v>
      </c>
    </row>
    <row r="335" spans="1:8" x14ac:dyDescent="0.3">
      <c r="A335" t="str">
        <v>FDB80505</v>
      </c>
      <c r="B335" t="str">
        <v>CUST11302</v>
      </c>
      <c r="C335" s="38">
        <v>45600</v>
      </c>
      <c r="D335" t="str">
        <v>Excellent customer service support.</v>
      </c>
      <c r="E335">
        <v>5</v>
      </c>
      <c r="F335" t="str">
        <v>Yes</v>
      </c>
      <c r="G335" t="str">
        <v>No</v>
      </c>
      <c r="H335" t="str">
        <v>Valid</v>
      </c>
    </row>
    <row r="336" spans="1:8" x14ac:dyDescent="0.3">
      <c r="A336" t="str">
        <v>FDB80507</v>
      </c>
      <c r="B336" t="str">
        <v>CUST10552</v>
      </c>
      <c r="C336" s="38">
        <v>46215</v>
      </c>
      <c r="D336" t="str">
        <v>Smooth experience with no issues.</v>
      </c>
      <c r="E336">
        <v>4</v>
      </c>
      <c r="F336" t="str">
        <v>No</v>
      </c>
      <c r="G336" t="str">
        <v>No</v>
      </c>
      <c r="H336" t="str">
        <v>Valid</v>
      </c>
    </row>
    <row r="337" spans="1:8" x14ac:dyDescent="0.3">
      <c r="A337" t="str">
        <v>FDB80509</v>
      </c>
      <c r="B337" t="str">
        <v>CUST11026</v>
      </c>
      <c r="C337" s="38">
        <v>45882</v>
      </c>
      <c r="D337" t="str">
        <v>Smooth experience with no issues.</v>
      </c>
      <c r="E337">
        <v>5</v>
      </c>
      <c r="F337" t="str">
        <v>Yes</v>
      </c>
      <c r="G337" t="str">
        <v>No</v>
      </c>
      <c r="H337" t="str">
        <v>Valid</v>
      </c>
    </row>
    <row r="338" spans="1:8" x14ac:dyDescent="0.3">
      <c r="A338" t="str">
        <v>FDB80511</v>
      </c>
      <c r="B338" t="str">
        <v>CUST10505</v>
      </c>
      <c r="C338" s="38">
        <v>45327</v>
      </c>
      <c r="D338" t="str">
        <v>Frustrated with repeated documentation requests.</v>
      </c>
      <c r="E338">
        <v>2</v>
      </c>
      <c r="F338" t="str">
        <v>Yes</v>
      </c>
      <c r="G338" t="str">
        <v>Yes</v>
      </c>
      <c r="H338" t="str">
        <v>Valid</v>
      </c>
    </row>
    <row r="339" spans="1:8" x14ac:dyDescent="0.3">
      <c r="A339" t="str">
        <v>FDB80512</v>
      </c>
      <c r="B339" t="str">
        <v>CUST11643</v>
      </c>
      <c r="C339" s="38">
        <v>45445</v>
      </c>
      <c r="D339" t="str">
        <v>Very satisfied with the claim process.</v>
      </c>
      <c r="E339">
        <v>5</v>
      </c>
      <c r="F339" t="str">
        <v>No</v>
      </c>
      <c r="G339" t="str">
        <v>No</v>
      </c>
      <c r="H339" t="str">
        <v>Valid</v>
      </c>
    </row>
    <row r="340" spans="1:8" x14ac:dyDescent="0.3">
      <c r="A340" t="str">
        <v>FDB80513</v>
      </c>
      <c r="B340" t="str">
        <v>CUST10469</v>
      </c>
      <c r="C340" s="38">
        <v>45791</v>
      </c>
      <c r="D340" t="str">
        <v>Frustrated with repeated documentation requests.</v>
      </c>
      <c r="E340">
        <v>2</v>
      </c>
      <c r="F340" t="str">
        <v>Yes</v>
      </c>
      <c r="G340" t="str">
        <v>No</v>
      </c>
      <c r="H340" t="str">
        <v>Valid</v>
      </c>
    </row>
    <row r="341" spans="1:8" x14ac:dyDescent="0.3">
      <c r="A341" t="str">
        <v>FDB80520</v>
      </c>
      <c r="B341" t="str">
        <v>CUST11524</v>
      </c>
      <c r="C341" s="38">
        <v>46122</v>
      </c>
      <c r="D341" t="str">
        <v>The mobile app experience was intuitive.</v>
      </c>
      <c r="E341">
        <v>4</v>
      </c>
      <c r="F341" t="str">
        <v>Yes</v>
      </c>
      <c r="G341" t="str">
        <v>Yes</v>
      </c>
      <c r="H341" t="str">
        <v>Valid</v>
      </c>
    </row>
    <row r="342" spans="1:8" x14ac:dyDescent="0.3">
      <c r="A342" t="str">
        <v>FDB80521</v>
      </c>
      <c r="B342" t="str">
        <v>CUST10547</v>
      </c>
      <c r="C342" s="38">
        <v>45897</v>
      </c>
      <c r="D342" t="str">
        <v>Claim process could be faster.</v>
      </c>
      <c r="E342">
        <v>3</v>
      </c>
      <c r="F342" t="str">
        <v>Yes</v>
      </c>
      <c r="G342" t="str">
        <v>No</v>
      </c>
      <c r="H342" t="str">
        <v>Valid</v>
      </c>
    </row>
    <row r="343" spans="1:8" x14ac:dyDescent="0.3">
      <c r="A343" t="str">
        <v>FDB80522</v>
      </c>
      <c r="B343" t="str">
        <v>CUST11547</v>
      </c>
      <c r="C343" s="38">
        <v>45580</v>
      </c>
      <c r="D343" t="str">
        <v>Excellent customer service support.</v>
      </c>
      <c r="E343">
        <v>4</v>
      </c>
      <c r="F343" t="str">
        <v>Yes</v>
      </c>
      <c r="G343" t="str">
        <v>No</v>
      </c>
      <c r="H343" t="str">
        <v>Valid</v>
      </c>
    </row>
    <row r="344" spans="1:8" x14ac:dyDescent="0.3">
      <c r="A344" t="str">
        <v>FDB80523</v>
      </c>
      <c r="B344" t="str">
        <v>CUST10025</v>
      </c>
      <c r="C344" s="38">
        <v>45627</v>
      </c>
      <c r="D344" t="str">
        <v>Excellent customer service support.</v>
      </c>
      <c r="E344">
        <v>5</v>
      </c>
      <c r="F344" t="str">
        <v>No</v>
      </c>
      <c r="G344" t="str">
        <v>Yes</v>
      </c>
      <c r="H344" t="str">
        <v>Valid</v>
      </c>
    </row>
    <row r="345" spans="1:8" x14ac:dyDescent="0.3">
      <c r="A345" t="str">
        <v>FDB80524</v>
      </c>
      <c r="B345" t="str">
        <v>CUST10179</v>
      </c>
      <c r="C345" s="38">
        <v>45345</v>
      </c>
      <c r="D345" t="str">
        <v>The agent was helpful and explained everything.</v>
      </c>
      <c r="E345">
        <v>4</v>
      </c>
      <c r="F345" t="str">
        <v>No</v>
      </c>
      <c r="G345" t="str">
        <v>No</v>
      </c>
      <c r="H345" t="str">
        <v>Valid</v>
      </c>
    </row>
    <row r="346" spans="1:8" x14ac:dyDescent="0.3">
      <c r="A346" t="str">
        <v>FDB80525</v>
      </c>
      <c r="B346" t="str">
        <v>CUST11234</v>
      </c>
      <c r="C346" s="38">
        <v>45361</v>
      </c>
      <c r="D346" t="str">
        <v>Excellent customer service support.</v>
      </c>
      <c r="E346">
        <v>5</v>
      </c>
      <c r="F346" t="str">
        <v>Yes</v>
      </c>
      <c r="G346" t="str">
        <v>Yes</v>
      </c>
      <c r="H346" t="str">
        <v>Valid</v>
      </c>
    </row>
    <row r="347" spans="1:8" x14ac:dyDescent="0.3">
      <c r="A347" t="str">
        <v>FDB80526</v>
      </c>
      <c r="B347" t="str">
        <v>CUST10113</v>
      </c>
      <c r="C347" s="38">
        <v>46199</v>
      </c>
      <c r="D347" t="str">
        <v>The agent was helpful and explained everything.</v>
      </c>
      <c r="E347">
        <v>5</v>
      </c>
      <c r="F347" t="str">
        <v>No</v>
      </c>
      <c r="G347" t="str">
        <v>No</v>
      </c>
      <c r="H347" t="str">
        <v>Valid</v>
      </c>
    </row>
    <row r="348" spans="1:8" x14ac:dyDescent="0.3">
      <c r="A348" t="str">
        <v>FDB80533</v>
      </c>
      <c r="B348" t="str">
        <v>CUST10564</v>
      </c>
      <c r="C348" s="38">
        <v>45350</v>
      </c>
      <c r="D348" t="str">
        <v>Had to wait too long for claim approval.</v>
      </c>
      <c r="E348">
        <v>2</v>
      </c>
      <c r="F348" t="str">
        <v>No</v>
      </c>
      <c r="G348" t="str">
        <v>Yes</v>
      </c>
      <c r="H348" t="str">
        <v>Valid</v>
      </c>
    </row>
    <row r="349" spans="1:8" x14ac:dyDescent="0.3">
      <c r="A349" t="str">
        <v>FDB80534</v>
      </c>
      <c r="B349" t="str">
        <v>CUST10254</v>
      </c>
      <c r="C349" s="38">
        <v>45718</v>
      </c>
      <c r="D349" t="str">
        <v>Smooth experience with no issues.</v>
      </c>
      <c r="E349">
        <v>5</v>
      </c>
      <c r="F349" t="str">
        <v>No</v>
      </c>
      <c r="G349" t="str">
        <v>No</v>
      </c>
      <c r="H349" t="str">
        <v>Valid</v>
      </c>
    </row>
    <row r="350" spans="1:8" x14ac:dyDescent="0.3">
      <c r="A350" t="str">
        <v>FDB80535</v>
      </c>
      <c r="B350" t="str">
        <v>CUST11372</v>
      </c>
      <c r="C350" s="38">
        <v>45508</v>
      </c>
      <c r="D350" t="str">
        <v>The mobile app experience was intuitive.</v>
      </c>
      <c r="E350">
        <v>4</v>
      </c>
      <c r="F350" t="str">
        <v>Yes</v>
      </c>
      <c r="G350" t="str">
        <v>No</v>
      </c>
      <c r="H350" t="str">
        <v>Valid</v>
      </c>
    </row>
    <row r="351" spans="1:8" x14ac:dyDescent="0.3">
      <c r="A351" t="str">
        <v>FDB80538</v>
      </c>
      <c r="B351" t="str">
        <v>CUST10385</v>
      </c>
      <c r="C351" s="38">
        <v>45463</v>
      </c>
      <c r="D351" t="str">
        <v>The mobile app experience was intuitive.</v>
      </c>
      <c r="E351">
        <v>4</v>
      </c>
      <c r="F351" t="str">
        <v>No</v>
      </c>
      <c r="G351" t="str">
        <v>No</v>
      </c>
      <c r="H351" t="str">
        <v>Valid</v>
      </c>
    </row>
    <row r="352" spans="1:8" x14ac:dyDescent="0.3">
      <c r="A352" t="str">
        <v>FDB80539</v>
      </c>
      <c r="B352" t="str">
        <v>CUST11122</v>
      </c>
      <c r="C352" s="38">
        <v>45524</v>
      </c>
      <c r="D352" t="str">
        <v>The agent was helpful and explained everything.</v>
      </c>
      <c r="E352">
        <v>4</v>
      </c>
      <c r="F352" t="str">
        <v>No</v>
      </c>
      <c r="G352" t="str">
        <v>No</v>
      </c>
      <c r="H352" t="str">
        <v>Valid</v>
      </c>
    </row>
    <row r="353" spans="1:8" x14ac:dyDescent="0.3">
      <c r="A353" t="str">
        <v>FDB80540</v>
      </c>
      <c r="B353" t="str">
        <v>CUST10781</v>
      </c>
      <c r="C353" s="38">
        <v>46031</v>
      </c>
      <c r="D353" t="str">
        <v>Frustrated with repeated documentation requests.</v>
      </c>
      <c r="E353">
        <v>2</v>
      </c>
      <c r="F353" t="str">
        <v>No</v>
      </c>
      <c r="G353" t="str">
        <v>No</v>
      </c>
      <c r="H353" t="str">
        <v>Valid</v>
      </c>
    </row>
    <row r="354" spans="1:8" x14ac:dyDescent="0.3">
      <c r="A354" t="str">
        <v>FDB80541</v>
      </c>
      <c r="B354" t="str">
        <v>CUST11064</v>
      </c>
      <c r="C354" s="38">
        <v>45536</v>
      </c>
      <c r="D354" t="str">
        <v>Excellent customer service support.</v>
      </c>
      <c r="E354">
        <v>4</v>
      </c>
      <c r="F354" t="str">
        <v>Yes</v>
      </c>
      <c r="G354" t="str">
        <v>No</v>
      </c>
      <c r="H354" t="str">
        <v>Valid</v>
      </c>
    </row>
    <row r="355" spans="1:8" x14ac:dyDescent="0.3">
      <c r="A355" t="str">
        <v>FDB80545</v>
      </c>
      <c r="B355" t="str">
        <v>CUST10210</v>
      </c>
      <c r="C355" s="38">
        <v>46174</v>
      </c>
      <c r="D355" t="str">
        <v>Had to wait too long for claim approval.</v>
      </c>
      <c r="E355">
        <v>1</v>
      </c>
      <c r="F355" t="str">
        <v>No</v>
      </c>
      <c r="G355" t="str">
        <v>No</v>
      </c>
      <c r="H355" t="str">
        <v>Valid</v>
      </c>
    </row>
    <row r="356" spans="1:8" x14ac:dyDescent="0.3">
      <c r="A356" t="str">
        <v>FDB80547</v>
      </c>
      <c r="B356" t="str">
        <v>CUST10313</v>
      </c>
      <c r="C356" s="38">
        <v>45586</v>
      </c>
      <c r="D356" t="str">
        <v>Claim process could be faster.</v>
      </c>
      <c r="E356">
        <v>2</v>
      </c>
      <c r="F356" t="str">
        <v>Yes</v>
      </c>
      <c r="G356" t="str">
        <v>No</v>
      </c>
      <c r="H356" t="str">
        <v>Valid</v>
      </c>
    </row>
    <row r="357" spans="1:8" x14ac:dyDescent="0.3">
      <c r="A357" t="str">
        <v>FDB80548</v>
      </c>
      <c r="B357" t="str">
        <v>CUST10746</v>
      </c>
      <c r="C357" s="38">
        <v>45828</v>
      </c>
      <c r="D357" t="str">
        <v>The mobile app experience was intuitive.</v>
      </c>
      <c r="E357">
        <v>4</v>
      </c>
      <c r="F357" t="str">
        <v>Yes</v>
      </c>
      <c r="G357" t="str">
        <v>Yes</v>
      </c>
      <c r="H357" t="str">
        <v>Valid</v>
      </c>
    </row>
    <row r="358" spans="1:8" x14ac:dyDescent="0.3">
      <c r="A358" t="str">
        <v>FDB80549</v>
      </c>
      <c r="B358" t="str">
        <v>CUST10712</v>
      </c>
      <c r="C358" s="38">
        <v>45748</v>
      </c>
      <c r="D358" t="str">
        <v>The mobile app experience was intuitive.</v>
      </c>
      <c r="E358">
        <v>4</v>
      </c>
      <c r="F358" t="str">
        <v>No</v>
      </c>
      <c r="G358" t="str">
        <v>Yes</v>
      </c>
      <c r="H358" t="str">
        <v>Valid</v>
      </c>
    </row>
    <row r="359" spans="1:8" x14ac:dyDescent="0.3">
      <c r="A359" t="str">
        <v>FDB80552</v>
      </c>
      <c r="B359" t="str">
        <v>CUST11366</v>
      </c>
      <c r="C359" s="38">
        <v>46156</v>
      </c>
      <c r="D359" t="str">
        <v>Frustrated with repeated documentation requests.</v>
      </c>
      <c r="E359">
        <v>2</v>
      </c>
      <c r="F359" t="str">
        <v>Yes</v>
      </c>
      <c r="G359" t="str">
        <v>No</v>
      </c>
      <c r="H359" t="str">
        <v>Valid</v>
      </c>
    </row>
    <row r="360" spans="1:8" x14ac:dyDescent="0.3">
      <c r="A360" t="str">
        <v>FDB80554</v>
      </c>
      <c r="B360" t="str">
        <v>CUST10660</v>
      </c>
      <c r="C360" s="38">
        <v>46256</v>
      </c>
      <c r="D360" t="str">
        <v>Need more clarity on policy coverage.</v>
      </c>
      <c r="E360">
        <v>2</v>
      </c>
      <c r="F360" t="str">
        <v>Yes</v>
      </c>
      <c r="G360" t="str">
        <v>No</v>
      </c>
      <c r="H360" t="str">
        <v>Valid</v>
      </c>
    </row>
    <row r="361" spans="1:8" x14ac:dyDescent="0.3">
      <c r="A361" t="str">
        <v>FDB80555</v>
      </c>
      <c r="B361" t="str">
        <v>CUST10082</v>
      </c>
      <c r="C361" s="38">
        <v>45296</v>
      </c>
      <c r="D361" t="str">
        <v>The mobile app experience was intuitive.</v>
      </c>
      <c r="E361">
        <v>4</v>
      </c>
      <c r="F361" t="str">
        <v>Yes</v>
      </c>
      <c r="G361" t="str">
        <v>No</v>
      </c>
      <c r="H361" t="str">
        <v>Valid</v>
      </c>
    </row>
    <row r="362" spans="1:8" x14ac:dyDescent="0.3">
      <c r="A362" t="str">
        <v>FDB80558</v>
      </c>
      <c r="B362" t="str">
        <v>CUST11152</v>
      </c>
      <c r="C362" s="38">
        <v>46111</v>
      </c>
      <c r="D362" t="str">
        <v>The agent was helpful and explained everything.</v>
      </c>
      <c r="E362">
        <v>5</v>
      </c>
      <c r="F362" t="str">
        <v>Yes</v>
      </c>
      <c r="G362" t="str">
        <v>Yes</v>
      </c>
      <c r="H362" t="str">
        <v>Valid</v>
      </c>
    </row>
    <row r="363" spans="1:8" x14ac:dyDescent="0.3">
      <c r="A363" t="str">
        <v>FDB80559</v>
      </c>
      <c r="B363" t="str">
        <v>CUST10329</v>
      </c>
      <c r="C363" s="38">
        <v>45761</v>
      </c>
      <c r="D363" t="str">
        <v>Frustrated with repeated documentation requests.</v>
      </c>
      <c r="E363">
        <v>2</v>
      </c>
      <c r="F363" t="str">
        <v>No</v>
      </c>
      <c r="G363" t="str">
        <v>No</v>
      </c>
      <c r="H363" t="str">
        <v>Valid</v>
      </c>
    </row>
    <row r="364" spans="1:8" x14ac:dyDescent="0.3">
      <c r="A364" t="str">
        <v>FDB80563</v>
      </c>
      <c r="B364" t="str">
        <v>CUST11157</v>
      </c>
      <c r="C364" s="38">
        <v>45514</v>
      </c>
      <c r="D364" t="str">
        <v>I'm not happy with the premium charged.</v>
      </c>
      <c r="E364">
        <v>2</v>
      </c>
      <c r="F364" t="str">
        <v>Yes</v>
      </c>
      <c r="G364" t="str">
        <v>No</v>
      </c>
      <c r="H364" t="str">
        <v>Valid</v>
      </c>
    </row>
    <row r="365" spans="1:8" x14ac:dyDescent="0.3">
      <c r="A365" t="str">
        <v>FDB80565</v>
      </c>
      <c r="B365" t="str">
        <v>CUST11140</v>
      </c>
      <c r="C365" s="38">
        <v>46162</v>
      </c>
      <c r="D365" t="str">
        <v>Smooth experience with no issues.</v>
      </c>
      <c r="E365">
        <v>5</v>
      </c>
      <c r="F365" t="str">
        <v>No</v>
      </c>
      <c r="G365" t="str">
        <v>No</v>
      </c>
      <c r="H365" t="str">
        <v>Valid</v>
      </c>
    </row>
    <row r="366" spans="1:8" x14ac:dyDescent="0.3">
      <c r="A366" t="str">
        <v>FDB80567</v>
      </c>
      <c r="B366" t="str">
        <v>CUST11023</v>
      </c>
      <c r="C366" s="38">
        <v>45892</v>
      </c>
      <c r="D366" t="str">
        <v>The mobile app experience was intuitive.</v>
      </c>
      <c r="E366">
        <v>4</v>
      </c>
      <c r="F366" t="str">
        <v>Yes</v>
      </c>
      <c r="G366" t="str">
        <v>Yes</v>
      </c>
      <c r="H366" t="str">
        <v>Valid</v>
      </c>
    </row>
    <row r="367" spans="1:8" x14ac:dyDescent="0.3">
      <c r="A367" t="str">
        <v>FDB80568</v>
      </c>
      <c r="B367" t="str">
        <v>CUST11416</v>
      </c>
      <c r="C367" s="38">
        <v>45573</v>
      </c>
      <c r="D367" t="str">
        <v>Had to wait too long for claim approval.</v>
      </c>
      <c r="E367">
        <v>2</v>
      </c>
      <c r="F367" t="str">
        <v>No</v>
      </c>
      <c r="G367" t="str">
        <v>No</v>
      </c>
      <c r="H367" t="str">
        <v>Valid</v>
      </c>
    </row>
    <row r="368" spans="1:8" x14ac:dyDescent="0.3">
      <c r="A368" t="str">
        <v>FDB80569</v>
      </c>
      <c r="B368" t="str">
        <v>CUST11502</v>
      </c>
      <c r="C368" s="38">
        <v>45845</v>
      </c>
      <c r="D368" t="str">
        <v>Very satisfied with the claim process.</v>
      </c>
      <c r="E368">
        <v>5</v>
      </c>
      <c r="F368" t="str">
        <v>Yes</v>
      </c>
      <c r="G368" t="str">
        <v>No</v>
      </c>
      <c r="H368" t="str">
        <v>Valid</v>
      </c>
    </row>
    <row r="369" spans="1:8" x14ac:dyDescent="0.3">
      <c r="A369" t="str">
        <v>FDB80570</v>
      </c>
      <c r="B369" t="str">
        <v>CUST10658</v>
      </c>
      <c r="C369" s="38">
        <v>45958</v>
      </c>
      <c r="D369" t="str">
        <v>Smooth experience with no issues.</v>
      </c>
      <c r="E369">
        <v>4</v>
      </c>
      <c r="F369" t="str">
        <v>No</v>
      </c>
      <c r="G369" t="str">
        <v>No</v>
      </c>
      <c r="H369" t="str">
        <v>Valid</v>
      </c>
    </row>
    <row r="370" spans="1:8" x14ac:dyDescent="0.3">
      <c r="A370" t="str">
        <v>FDB80572</v>
      </c>
      <c r="B370" t="str">
        <v>CUST11015</v>
      </c>
      <c r="C370" s="38">
        <v>45993</v>
      </c>
      <c r="D370" t="str">
        <v>Had to wait too long for claim approval.</v>
      </c>
      <c r="E370">
        <v>1</v>
      </c>
      <c r="F370" t="str">
        <v>No</v>
      </c>
      <c r="G370" t="str">
        <v>Yes</v>
      </c>
      <c r="H370" t="str">
        <v>Valid</v>
      </c>
    </row>
    <row r="371" spans="1:8" x14ac:dyDescent="0.3">
      <c r="A371" t="str">
        <v>FDB80577</v>
      </c>
      <c r="B371" t="str">
        <v>CUST11144</v>
      </c>
      <c r="C371" s="38">
        <v>46205</v>
      </c>
      <c r="D371" t="str">
        <v>I'm not happy with the premium charged.</v>
      </c>
      <c r="E371">
        <v>2</v>
      </c>
      <c r="F371" t="str">
        <v>Yes</v>
      </c>
      <c r="G371" t="str">
        <v>Yes</v>
      </c>
      <c r="H371" t="str">
        <v>Valid</v>
      </c>
    </row>
    <row r="372" spans="1:8" x14ac:dyDescent="0.3">
      <c r="A372" t="str">
        <v>FDB80578</v>
      </c>
      <c r="B372" t="str">
        <v>CUST10274</v>
      </c>
      <c r="C372" s="38">
        <v>45420</v>
      </c>
      <c r="D372" t="str">
        <v>Frustrated with repeated documentation requests.</v>
      </c>
      <c r="E372">
        <v>2</v>
      </c>
      <c r="F372" t="str">
        <v>No</v>
      </c>
      <c r="G372" t="str">
        <v>No</v>
      </c>
      <c r="H372" t="str">
        <v>Valid</v>
      </c>
    </row>
    <row r="373" spans="1:8" x14ac:dyDescent="0.3">
      <c r="A373" t="str">
        <v>FDB80579</v>
      </c>
      <c r="B373" t="str">
        <v>CUST10509</v>
      </c>
      <c r="C373" s="38">
        <v>45263</v>
      </c>
      <c r="D373" t="str">
        <v>Had to wait too long for claim approval.</v>
      </c>
      <c r="E373">
        <v>1</v>
      </c>
      <c r="F373" t="str">
        <v>No</v>
      </c>
      <c r="G373" t="str">
        <v>Yes</v>
      </c>
      <c r="H373" t="str">
        <v>Valid</v>
      </c>
    </row>
    <row r="374" spans="1:8" x14ac:dyDescent="0.3">
      <c r="A374" t="str">
        <v>FDB80580</v>
      </c>
      <c r="B374" t="str">
        <v>CUST11196</v>
      </c>
      <c r="C374" s="38">
        <v>45276</v>
      </c>
      <c r="D374" t="str">
        <v>Smooth experience with no issues.</v>
      </c>
      <c r="E374">
        <v>5</v>
      </c>
      <c r="F374" t="str">
        <v>Yes</v>
      </c>
      <c r="G374" t="str">
        <v>No</v>
      </c>
      <c r="H374" t="str">
        <v>Valid</v>
      </c>
    </row>
    <row r="375" spans="1:8" x14ac:dyDescent="0.3">
      <c r="A375" t="str">
        <v>FDB80581</v>
      </c>
      <c r="B375" t="str">
        <v>CUST10523</v>
      </c>
      <c r="C375" s="38">
        <v>45615</v>
      </c>
      <c r="D375" t="str">
        <v>Frustrated with repeated documentation requests.</v>
      </c>
      <c r="E375">
        <v>2</v>
      </c>
      <c r="F375" t="str">
        <v>No</v>
      </c>
      <c r="G375" t="str">
        <v>No</v>
      </c>
      <c r="H375" t="str">
        <v>Valid</v>
      </c>
    </row>
    <row r="376" spans="1:8" x14ac:dyDescent="0.3">
      <c r="A376" t="str">
        <v>FDB80583</v>
      </c>
      <c r="B376" t="str">
        <v>CUST10673</v>
      </c>
      <c r="C376" s="38">
        <v>45288</v>
      </c>
      <c r="D376" t="str">
        <v>Claim process could be faster.</v>
      </c>
      <c r="E376">
        <v>2</v>
      </c>
      <c r="F376" t="str">
        <v>No</v>
      </c>
      <c r="G376" t="str">
        <v>No</v>
      </c>
      <c r="H376" t="str">
        <v>Valid</v>
      </c>
    </row>
    <row r="377" spans="1:8" x14ac:dyDescent="0.3">
      <c r="A377" t="str">
        <v>FDB80585</v>
      </c>
      <c r="B377" t="str">
        <v>CUST11335</v>
      </c>
      <c r="C377" s="38">
        <v>45375</v>
      </c>
      <c r="D377" t="str">
        <v>The agent was helpful and explained everything.</v>
      </c>
      <c r="E377">
        <v>4</v>
      </c>
      <c r="F377" t="str">
        <v>Yes</v>
      </c>
      <c r="G377" t="str">
        <v>No</v>
      </c>
      <c r="H377" t="str">
        <v>Valid</v>
      </c>
    </row>
    <row r="378" spans="1:8" x14ac:dyDescent="0.3">
      <c r="A378" t="str">
        <v>FDB80586</v>
      </c>
      <c r="B378" t="str">
        <v>CUST10037</v>
      </c>
      <c r="C378" s="38">
        <v>45895</v>
      </c>
      <c r="D378" t="str">
        <v>I'm not happy with the premium charged.</v>
      </c>
      <c r="E378">
        <v>2</v>
      </c>
      <c r="F378" t="str">
        <v>No</v>
      </c>
      <c r="G378" t="str">
        <v>Yes</v>
      </c>
      <c r="H378" t="str">
        <v>Valid</v>
      </c>
    </row>
    <row r="379" spans="1:8" x14ac:dyDescent="0.3">
      <c r="A379" t="str">
        <v>FDB80587</v>
      </c>
      <c r="B379" t="str">
        <v>CUST10874</v>
      </c>
      <c r="C379" s="38">
        <v>45533</v>
      </c>
      <c r="D379" t="str">
        <v>Need more clarity on policy coverage.</v>
      </c>
      <c r="E379">
        <v>2</v>
      </c>
      <c r="F379" t="str">
        <v>Yes</v>
      </c>
      <c r="G379" t="str">
        <v>No</v>
      </c>
      <c r="H379" t="str">
        <v>Valid</v>
      </c>
    </row>
    <row r="380" spans="1:8" x14ac:dyDescent="0.3">
      <c r="A380" t="str">
        <v>FDB80588</v>
      </c>
      <c r="B380" t="str">
        <v>CUST11423</v>
      </c>
      <c r="C380" s="38">
        <v>46240</v>
      </c>
      <c r="D380" t="str">
        <v>Frustrated with repeated documentation requests.</v>
      </c>
      <c r="E380">
        <v>2</v>
      </c>
      <c r="F380" t="str">
        <v>No</v>
      </c>
      <c r="G380" t="str">
        <v>No</v>
      </c>
      <c r="H380" t="str">
        <v>Valid</v>
      </c>
    </row>
    <row r="381" spans="1:8" x14ac:dyDescent="0.3">
      <c r="A381" t="str">
        <v>FDB80590</v>
      </c>
      <c r="B381" t="str">
        <v>CUST11151</v>
      </c>
      <c r="C381" s="38">
        <v>45742</v>
      </c>
      <c r="D381" t="str">
        <v>Frustrated with repeated documentation requests.</v>
      </c>
      <c r="E381">
        <v>2</v>
      </c>
      <c r="F381" t="str">
        <v>Yes</v>
      </c>
      <c r="G381" t="str">
        <v>No</v>
      </c>
      <c r="H381" t="str">
        <v>Valid</v>
      </c>
    </row>
    <row r="382" spans="1:8" x14ac:dyDescent="0.3">
      <c r="A382" t="str">
        <v>FDB80592</v>
      </c>
      <c r="B382" t="str">
        <v>CUST10331</v>
      </c>
      <c r="C382" s="38">
        <v>46141</v>
      </c>
      <c r="D382" t="str">
        <v>Excellent customer service support.</v>
      </c>
      <c r="E382">
        <v>5</v>
      </c>
      <c r="F382" t="str">
        <v>Yes</v>
      </c>
      <c r="G382" t="str">
        <v>No</v>
      </c>
      <c r="H382" t="str">
        <v>Valid</v>
      </c>
    </row>
    <row r="383" spans="1:8" x14ac:dyDescent="0.3">
      <c r="A383" t="str">
        <v>FDB80596</v>
      </c>
      <c r="B383" t="str">
        <v>CUST11389</v>
      </c>
      <c r="C383" s="38">
        <v>45897</v>
      </c>
      <c r="D383" t="str">
        <v>Very satisfied with the claim process.</v>
      </c>
      <c r="E383">
        <v>4</v>
      </c>
      <c r="F383" t="str">
        <v>No</v>
      </c>
      <c r="G383" t="str">
        <v>Yes</v>
      </c>
      <c r="H383" t="str">
        <v>Valid</v>
      </c>
    </row>
    <row r="384" spans="1:8" x14ac:dyDescent="0.3">
      <c r="A384" t="str">
        <v>FDB80597</v>
      </c>
      <c r="B384" t="str">
        <v>CUST10443</v>
      </c>
      <c r="C384" s="38">
        <v>45807</v>
      </c>
      <c r="D384" t="str">
        <v>The agent was helpful and explained everything.</v>
      </c>
      <c r="E384">
        <v>4</v>
      </c>
      <c r="F384" t="str">
        <v>No</v>
      </c>
      <c r="G384" t="str">
        <v>Yes</v>
      </c>
      <c r="H384" t="str">
        <v>Valid</v>
      </c>
    </row>
    <row r="385" spans="1:8" x14ac:dyDescent="0.3">
      <c r="A385" t="str">
        <v>FDB80598</v>
      </c>
      <c r="B385" t="str">
        <v>CUST11632</v>
      </c>
      <c r="C385" s="38">
        <v>46197</v>
      </c>
      <c r="D385" t="str">
        <v>Excellent customer service support.</v>
      </c>
      <c r="E385">
        <v>4</v>
      </c>
      <c r="F385" t="str">
        <v>Yes</v>
      </c>
      <c r="G385" t="str">
        <v>No</v>
      </c>
      <c r="H385" t="str">
        <v>Valid</v>
      </c>
    </row>
    <row r="386" spans="1:8" x14ac:dyDescent="0.3">
      <c r="A386" t="str">
        <v>FDB80599</v>
      </c>
      <c r="B386" t="str">
        <v>CUST11098</v>
      </c>
      <c r="C386" s="38">
        <v>45210</v>
      </c>
      <c r="D386" t="str">
        <v>The agent was helpful and explained everything.</v>
      </c>
      <c r="E386">
        <v>4</v>
      </c>
      <c r="F386" t="str">
        <v>Yes</v>
      </c>
      <c r="G386" t="str">
        <v>No</v>
      </c>
      <c r="H386" t="str">
        <v>Valid</v>
      </c>
    </row>
    <row r="387" spans="1:8" x14ac:dyDescent="0.3">
      <c r="A387" t="str">
        <v>FDB80600</v>
      </c>
      <c r="B387" t="str">
        <v>CUST10228</v>
      </c>
      <c r="C387" s="38">
        <v>46165</v>
      </c>
      <c r="D387" t="str">
        <v>Need more clarity on policy coverage.</v>
      </c>
      <c r="E387">
        <v>2</v>
      </c>
      <c r="F387" t="str">
        <v>No</v>
      </c>
      <c r="G387" t="str">
        <v>No</v>
      </c>
      <c r="H387" t="str">
        <v>Valid</v>
      </c>
    </row>
    <row r="388" spans="1:8" x14ac:dyDescent="0.3">
      <c r="A388" t="str">
        <v>FDB80602</v>
      </c>
      <c r="B388" t="str">
        <v>CUST10249</v>
      </c>
      <c r="C388" s="38">
        <v>45225</v>
      </c>
      <c r="D388" t="str">
        <v>The agent was helpful and explained everything.</v>
      </c>
      <c r="E388">
        <v>4</v>
      </c>
      <c r="F388" t="str">
        <v>Yes</v>
      </c>
      <c r="G388" t="str">
        <v>Yes</v>
      </c>
      <c r="H388" t="str">
        <v>Valid</v>
      </c>
    </row>
    <row r="389" spans="1:8" x14ac:dyDescent="0.3">
      <c r="A389" t="str">
        <v>FDB80603</v>
      </c>
      <c r="B389" t="str">
        <v>CUST10825</v>
      </c>
      <c r="C389" s="38">
        <v>45389</v>
      </c>
      <c r="D389" t="str">
        <v>Had to wait too long for claim approval.</v>
      </c>
      <c r="E389">
        <v>1</v>
      </c>
      <c r="F389" t="str">
        <v>No</v>
      </c>
      <c r="G389" t="str">
        <v>Yes</v>
      </c>
      <c r="H389" t="str">
        <v>Valid</v>
      </c>
    </row>
    <row r="390" spans="1:8" x14ac:dyDescent="0.3">
      <c r="A390" t="str">
        <v>FDB80605</v>
      </c>
      <c r="B390" t="str">
        <v>CUST10694</v>
      </c>
      <c r="C390" s="38">
        <v>45329</v>
      </c>
      <c r="D390" t="str">
        <v>Had to wait too long for claim approval.</v>
      </c>
      <c r="E390">
        <v>1</v>
      </c>
      <c r="F390" t="str">
        <v>Yes</v>
      </c>
      <c r="G390" t="str">
        <v>Yes</v>
      </c>
      <c r="H390" t="str">
        <v>Valid</v>
      </c>
    </row>
    <row r="391" spans="1:8" x14ac:dyDescent="0.3">
      <c r="A391" t="str">
        <v>FDB80606</v>
      </c>
      <c r="B391" t="str">
        <v>CUST10965</v>
      </c>
      <c r="C391" s="38">
        <v>45210</v>
      </c>
      <c r="D391" t="str">
        <v>Frustrated with repeated documentation requests.</v>
      </c>
      <c r="E391">
        <v>2</v>
      </c>
      <c r="F391" t="str">
        <v>Yes</v>
      </c>
      <c r="G391" t="str">
        <v>Yes</v>
      </c>
      <c r="H391" t="str">
        <v>Valid</v>
      </c>
    </row>
    <row r="392" spans="1:8" x14ac:dyDescent="0.3">
      <c r="A392" t="str">
        <v>FDB80607</v>
      </c>
      <c r="B392" t="str">
        <v>CUST11602</v>
      </c>
      <c r="C392" s="38">
        <v>46044</v>
      </c>
      <c r="D392" t="str">
        <v>Frustrated with repeated documentation requests.</v>
      </c>
      <c r="E392">
        <v>2</v>
      </c>
      <c r="F392" t="str">
        <v>No</v>
      </c>
      <c r="G392" t="str">
        <v>No</v>
      </c>
      <c r="H392" t="str">
        <v>Valid</v>
      </c>
    </row>
    <row r="393" spans="1:8" x14ac:dyDescent="0.3">
      <c r="A393" t="str">
        <v>FDB80612</v>
      </c>
      <c r="B393" t="str">
        <v>CUST10441</v>
      </c>
      <c r="C393" s="38">
        <v>45549</v>
      </c>
      <c r="D393" t="str">
        <v>Had to wait too long for claim approval.</v>
      </c>
      <c r="E393">
        <v>2</v>
      </c>
      <c r="F393" t="str">
        <v>No</v>
      </c>
      <c r="G393" t="str">
        <v>No</v>
      </c>
      <c r="H393" t="str">
        <v>Valid</v>
      </c>
    </row>
    <row r="394" spans="1:8" x14ac:dyDescent="0.3">
      <c r="A394" t="str">
        <v>FDB80617</v>
      </c>
      <c r="B394" t="str">
        <v>CUST10125</v>
      </c>
      <c r="C394" s="38">
        <v>45408</v>
      </c>
      <c r="D394" t="str">
        <v>I'm not happy with the premium charged.</v>
      </c>
      <c r="E394">
        <v>2</v>
      </c>
      <c r="F394" t="str">
        <v>Yes</v>
      </c>
      <c r="G394" t="str">
        <v>No</v>
      </c>
      <c r="H394" t="str">
        <v>Valid</v>
      </c>
    </row>
    <row r="395" spans="1:8" x14ac:dyDescent="0.3">
      <c r="A395" t="str">
        <v>FDB80618</v>
      </c>
      <c r="B395" t="str">
        <v>CUST11388</v>
      </c>
      <c r="C395" s="38">
        <v>45853</v>
      </c>
      <c r="D395" t="str">
        <v>The agent was helpful and explained everything.</v>
      </c>
      <c r="E395">
        <v>4</v>
      </c>
      <c r="F395" t="str">
        <v>No</v>
      </c>
      <c r="G395" t="str">
        <v>Yes</v>
      </c>
      <c r="H395" t="str">
        <v>Valid</v>
      </c>
    </row>
    <row r="396" spans="1:8" x14ac:dyDescent="0.3">
      <c r="A396" t="str">
        <v>FDB80619</v>
      </c>
      <c r="B396" t="str">
        <v>CUST11291</v>
      </c>
      <c r="C396" s="38">
        <v>45771</v>
      </c>
      <c r="D396" t="str">
        <v>Smooth experience with no issues.</v>
      </c>
      <c r="E396">
        <v>4</v>
      </c>
      <c r="F396" t="str">
        <v>No</v>
      </c>
      <c r="G396" t="str">
        <v>Yes</v>
      </c>
      <c r="H396" t="str">
        <v>Valid</v>
      </c>
    </row>
    <row r="397" spans="1:8" x14ac:dyDescent="0.3">
      <c r="A397" t="str">
        <v>FDB80620</v>
      </c>
      <c r="B397" t="str">
        <v>CUST11543</v>
      </c>
      <c r="C397" s="38">
        <v>45302</v>
      </c>
      <c r="D397" t="str">
        <v>The mobile app experience was intuitive.</v>
      </c>
      <c r="E397">
        <v>4</v>
      </c>
      <c r="F397" t="str">
        <v>No</v>
      </c>
      <c r="G397" t="str">
        <v>Yes</v>
      </c>
      <c r="H397" t="str">
        <v>Valid</v>
      </c>
    </row>
    <row r="398" spans="1:8" x14ac:dyDescent="0.3">
      <c r="A398" t="str">
        <v>FDB80622</v>
      </c>
      <c r="B398" t="str">
        <v>CUST10387</v>
      </c>
      <c r="C398" s="38">
        <v>46015</v>
      </c>
      <c r="D398" t="str">
        <v>Claim process could be faster.</v>
      </c>
      <c r="E398">
        <v>2</v>
      </c>
      <c r="F398" t="str">
        <v>No</v>
      </c>
      <c r="G398" t="str">
        <v>Yes</v>
      </c>
      <c r="H398" t="str">
        <v>Valid</v>
      </c>
    </row>
    <row r="399" spans="1:8" x14ac:dyDescent="0.3">
      <c r="A399" t="str">
        <v>FDB80624</v>
      </c>
      <c r="B399" t="str">
        <v>CUST10328</v>
      </c>
      <c r="C399" s="38">
        <v>45542</v>
      </c>
      <c r="D399" t="str">
        <v>The mobile app experience was intuitive.</v>
      </c>
      <c r="E399">
        <v>4</v>
      </c>
      <c r="F399" t="str">
        <v>Yes</v>
      </c>
      <c r="G399" t="str">
        <v>Yes</v>
      </c>
      <c r="H399" t="str">
        <v>Valid</v>
      </c>
    </row>
    <row r="400" spans="1:8" x14ac:dyDescent="0.3">
      <c r="A400" t="str">
        <v>FDB80625</v>
      </c>
      <c r="B400" t="str">
        <v>CUST10242</v>
      </c>
      <c r="C400" s="38">
        <v>46151</v>
      </c>
      <c r="D400" t="str">
        <v>The mobile app experience was intuitive.</v>
      </c>
      <c r="E400">
        <v>4</v>
      </c>
      <c r="F400" t="str">
        <v>No</v>
      </c>
      <c r="G400" t="str">
        <v>No</v>
      </c>
      <c r="H400" t="str">
        <v>Valid</v>
      </c>
    </row>
    <row r="401" spans="1:8" x14ac:dyDescent="0.3">
      <c r="A401" t="str">
        <v>FDB80627</v>
      </c>
      <c r="B401" t="str">
        <v>CUST10253</v>
      </c>
      <c r="C401" s="38">
        <v>46057</v>
      </c>
      <c r="D401" t="str">
        <v>Claim process could be faster.</v>
      </c>
      <c r="E401">
        <v>2</v>
      </c>
      <c r="F401" t="str">
        <v>No</v>
      </c>
      <c r="G401" t="str">
        <v>No</v>
      </c>
      <c r="H401" t="str">
        <v>Valid</v>
      </c>
    </row>
    <row r="402" spans="1:8" x14ac:dyDescent="0.3">
      <c r="A402" t="str">
        <v>FDB80630</v>
      </c>
      <c r="B402" t="str">
        <v>CUST10110</v>
      </c>
      <c r="C402" s="38">
        <v>45899</v>
      </c>
      <c r="D402" t="str">
        <v>Claim process could be faster.</v>
      </c>
      <c r="E402">
        <v>3</v>
      </c>
      <c r="F402" t="str">
        <v>Yes</v>
      </c>
      <c r="G402" t="str">
        <v>Yes</v>
      </c>
      <c r="H402" t="str">
        <v>Valid</v>
      </c>
    </row>
    <row r="403" spans="1:8" x14ac:dyDescent="0.3">
      <c r="A403" t="str">
        <v>FDB80632</v>
      </c>
      <c r="B403" t="str">
        <v>CUST11585</v>
      </c>
      <c r="C403" s="38">
        <v>45548</v>
      </c>
      <c r="D403" t="str">
        <v>Smooth experience with no issues.</v>
      </c>
      <c r="E403">
        <v>5</v>
      </c>
      <c r="F403" t="str">
        <v>No</v>
      </c>
      <c r="G403" t="str">
        <v>Yes</v>
      </c>
      <c r="H403" t="str">
        <v>Valid</v>
      </c>
    </row>
    <row r="404" spans="1:8" x14ac:dyDescent="0.3">
      <c r="A404" t="str">
        <v>FDB80634</v>
      </c>
      <c r="B404" t="str">
        <v>CUST11258</v>
      </c>
      <c r="C404" s="38">
        <v>45242</v>
      </c>
      <c r="D404" t="str">
        <v>Claim process could be faster.</v>
      </c>
      <c r="E404">
        <v>2</v>
      </c>
      <c r="F404" t="str">
        <v>Yes</v>
      </c>
      <c r="G404" t="str">
        <v>No</v>
      </c>
      <c r="H404" t="str">
        <v>Valid</v>
      </c>
    </row>
    <row r="405" spans="1:8" x14ac:dyDescent="0.3">
      <c r="A405" t="str">
        <v>FDB80635</v>
      </c>
      <c r="B405" t="str">
        <v>CUST11278</v>
      </c>
      <c r="C405" s="38">
        <v>45573</v>
      </c>
      <c r="D405" t="str">
        <v>Frustrated with repeated documentation requests.</v>
      </c>
      <c r="E405">
        <v>2</v>
      </c>
      <c r="F405" t="str">
        <v>Yes</v>
      </c>
      <c r="G405" t="str">
        <v>No</v>
      </c>
      <c r="H405" t="str">
        <v>Valid</v>
      </c>
    </row>
    <row r="406" spans="1:8" x14ac:dyDescent="0.3">
      <c r="A406" t="str">
        <v>FDB80637</v>
      </c>
      <c r="B406" t="str">
        <v>CUST11114</v>
      </c>
      <c r="C406" s="38">
        <v>46230</v>
      </c>
      <c r="D406" t="str">
        <v>I'm not happy with the premium charged.</v>
      </c>
      <c r="E406">
        <v>2</v>
      </c>
      <c r="F406" t="str">
        <v>No</v>
      </c>
      <c r="G406" t="str">
        <v>Yes</v>
      </c>
      <c r="H406" t="str">
        <v>Valid</v>
      </c>
    </row>
    <row r="407" spans="1:8" x14ac:dyDescent="0.3">
      <c r="A407" t="str">
        <v>FDB80642</v>
      </c>
      <c r="B407" t="str">
        <v>CUST11160</v>
      </c>
      <c r="C407" s="38">
        <v>45776</v>
      </c>
      <c r="D407" t="str">
        <v>Need more clarity on policy coverage.</v>
      </c>
      <c r="E407">
        <v>2</v>
      </c>
      <c r="F407" t="str">
        <v>Yes</v>
      </c>
      <c r="G407" t="str">
        <v>No</v>
      </c>
      <c r="H407" t="str">
        <v>Valid</v>
      </c>
    </row>
    <row r="408" spans="1:8" x14ac:dyDescent="0.3">
      <c r="A408" t="str">
        <v>FDB80643</v>
      </c>
      <c r="B408" t="str">
        <v>CUST10999</v>
      </c>
      <c r="C408" s="38">
        <v>45497</v>
      </c>
      <c r="D408" t="str">
        <v>Very satisfied with the claim process.</v>
      </c>
      <c r="E408">
        <v>5</v>
      </c>
      <c r="F408" t="str">
        <v>No</v>
      </c>
      <c r="G408" t="str">
        <v>No</v>
      </c>
      <c r="H408" t="str">
        <v>Valid</v>
      </c>
    </row>
    <row r="409" spans="1:8" x14ac:dyDescent="0.3">
      <c r="A409" t="str">
        <v>FDB80645</v>
      </c>
      <c r="B409" t="str">
        <v>CUST10517</v>
      </c>
      <c r="C409" s="38">
        <v>45509</v>
      </c>
      <c r="D409" t="str">
        <v>Smooth experience with no issues.</v>
      </c>
      <c r="E409">
        <v>5</v>
      </c>
      <c r="F409" t="str">
        <v>No</v>
      </c>
      <c r="G409" t="str">
        <v>Yes</v>
      </c>
      <c r="H409" t="str">
        <v>Valid</v>
      </c>
    </row>
    <row r="410" spans="1:8" x14ac:dyDescent="0.3">
      <c r="A410" t="str">
        <v>FDB80647</v>
      </c>
      <c r="B410" t="str">
        <v>CUST11134</v>
      </c>
      <c r="C410" s="38">
        <v>46251</v>
      </c>
      <c r="D410" t="str">
        <v>Frustrated with repeated documentation requests.</v>
      </c>
      <c r="E410">
        <v>2</v>
      </c>
      <c r="F410" t="str">
        <v>No</v>
      </c>
      <c r="G410" t="str">
        <v>Yes</v>
      </c>
      <c r="H410" t="str">
        <v>Valid</v>
      </c>
    </row>
    <row r="411" spans="1:8" x14ac:dyDescent="0.3">
      <c r="A411" t="str">
        <v>FDB80648</v>
      </c>
      <c r="B411" t="str">
        <v>CUST11503</v>
      </c>
      <c r="C411" s="38">
        <v>45263</v>
      </c>
      <c r="D411" t="str">
        <v>I'm not happy with the premium charged.</v>
      </c>
      <c r="E411">
        <v>2</v>
      </c>
      <c r="F411" t="str">
        <v>No</v>
      </c>
      <c r="G411" t="str">
        <v>Yes</v>
      </c>
      <c r="H411" t="str">
        <v>Valid</v>
      </c>
    </row>
    <row r="412" spans="1:8" x14ac:dyDescent="0.3">
      <c r="A412" t="str">
        <v>FDB80649</v>
      </c>
      <c r="B412" t="str">
        <v>CUST10374</v>
      </c>
      <c r="C412" s="38">
        <v>46123</v>
      </c>
      <c r="D412" t="str">
        <v>I'm not happy with the premium charged.</v>
      </c>
      <c r="E412">
        <v>2</v>
      </c>
      <c r="F412" t="str">
        <v>No</v>
      </c>
      <c r="G412" t="str">
        <v>No</v>
      </c>
      <c r="H412" t="str">
        <v>Valid</v>
      </c>
    </row>
    <row r="413" spans="1:8" x14ac:dyDescent="0.3">
      <c r="A413" t="str">
        <v>FDB80650</v>
      </c>
      <c r="B413" t="str">
        <v>CUST11504</v>
      </c>
      <c r="C413" s="38">
        <v>45726</v>
      </c>
      <c r="D413" t="str">
        <v>The mobile app experience was intuitive.</v>
      </c>
      <c r="E413">
        <v>4</v>
      </c>
      <c r="F413" t="str">
        <v>No</v>
      </c>
      <c r="G413" t="str">
        <v>No</v>
      </c>
      <c r="H413" t="str">
        <v>Valid</v>
      </c>
    </row>
    <row r="414" spans="1:8" x14ac:dyDescent="0.3">
      <c r="A414" t="str">
        <v>FDB80651</v>
      </c>
      <c r="B414" t="str">
        <v>CUST11289</v>
      </c>
      <c r="C414" s="38">
        <v>45608</v>
      </c>
      <c r="D414" t="str">
        <v>Excellent customer service support.</v>
      </c>
      <c r="E414">
        <v>4</v>
      </c>
      <c r="F414" t="str">
        <v>Yes</v>
      </c>
      <c r="G414" t="str">
        <v>No</v>
      </c>
      <c r="H414" t="str">
        <v>Valid</v>
      </c>
    </row>
    <row r="415" spans="1:8" x14ac:dyDescent="0.3">
      <c r="A415" t="str">
        <v>FDB80653</v>
      </c>
      <c r="B415" t="str">
        <v>CUST11204</v>
      </c>
      <c r="C415" s="38">
        <v>46267</v>
      </c>
      <c r="D415" t="str">
        <v>Frustrated with repeated documentation requests.</v>
      </c>
      <c r="E415">
        <v>2</v>
      </c>
      <c r="F415" t="str">
        <v>Yes</v>
      </c>
      <c r="G415" t="str">
        <v>Yes</v>
      </c>
      <c r="H415" t="str">
        <v>Valid</v>
      </c>
    </row>
    <row r="416" spans="1:8" x14ac:dyDescent="0.3">
      <c r="A416" t="str">
        <v>FDB80654</v>
      </c>
      <c r="B416" t="str">
        <v>CUST10125</v>
      </c>
      <c r="C416" s="38">
        <v>45386</v>
      </c>
      <c r="D416" t="str">
        <v>Excellent customer service support.</v>
      </c>
      <c r="E416">
        <v>5</v>
      </c>
      <c r="F416" t="str">
        <v>No</v>
      </c>
      <c r="G416" t="str">
        <v>Yes</v>
      </c>
      <c r="H416" t="str">
        <v>Valid</v>
      </c>
    </row>
    <row r="417" spans="1:8" x14ac:dyDescent="0.3">
      <c r="A417" t="str">
        <v>FDB80655</v>
      </c>
      <c r="B417" t="str">
        <v>CUST11178</v>
      </c>
      <c r="C417" s="38">
        <v>46093</v>
      </c>
      <c r="D417" t="str">
        <v>The mobile app experience was intuitive.</v>
      </c>
      <c r="E417">
        <v>4</v>
      </c>
      <c r="F417" t="str">
        <v>Yes</v>
      </c>
      <c r="G417" t="str">
        <v>No</v>
      </c>
      <c r="H417" t="str">
        <v>Valid</v>
      </c>
    </row>
    <row r="418" spans="1:8" x14ac:dyDescent="0.3">
      <c r="A418" t="str">
        <v>FDB80656</v>
      </c>
      <c r="B418" t="str">
        <v>CUST11013</v>
      </c>
      <c r="C418" s="38">
        <v>45416</v>
      </c>
      <c r="D418" t="str">
        <v>Very satisfied with the claim process.</v>
      </c>
      <c r="E418">
        <v>4</v>
      </c>
      <c r="F418" t="str">
        <v>No</v>
      </c>
      <c r="G418" t="str">
        <v>No</v>
      </c>
      <c r="H418" t="str">
        <v>Valid</v>
      </c>
    </row>
    <row r="419" spans="1:8" x14ac:dyDescent="0.3">
      <c r="A419" t="str">
        <v>FDB80659</v>
      </c>
      <c r="B419" t="str">
        <v>CUST10985</v>
      </c>
      <c r="C419" s="38">
        <v>45560</v>
      </c>
      <c r="D419" t="str">
        <v>Claim process could be faster.</v>
      </c>
      <c r="E419">
        <v>2</v>
      </c>
      <c r="F419" t="str">
        <v>No</v>
      </c>
      <c r="G419" t="str">
        <v>Yes</v>
      </c>
      <c r="H419" t="str">
        <v>Valid</v>
      </c>
    </row>
    <row r="420" spans="1:8" x14ac:dyDescent="0.3">
      <c r="A420" t="str">
        <v>FDB80661</v>
      </c>
      <c r="B420" t="str">
        <v>CUST10361</v>
      </c>
      <c r="C420" s="38">
        <v>45339</v>
      </c>
      <c r="D420" t="str">
        <v>I'm not happy with the premium charged.</v>
      </c>
      <c r="E420">
        <v>2</v>
      </c>
      <c r="F420" t="str">
        <v>No</v>
      </c>
      <c r="G420" t="str">
        <v>Yes</v>
      </c>
      <c r="H420" t="str">
        <v>Valid</v>
      </c>
    </row>
    <row r="421" spans="1:8" x14ac:dyDescent="0.3">
      <c r="A421" t="str">
        <v>FDB80662</v>
      </c>
      <c r="B421" t="str">
        <v>CUST10171</v>
      </c>
      <c r="C421" s="38">
        <v>46115</v>
      </c>
      <c r="D421" t="str">
        <v>I'm not happy with the premium charged.</v>
      </c>
      <c r="E421">
        <v>2</v>
      </c>
      <c r="F421" t="str">
        <v>No</v>
      </c>
      <c r="G421" t="str">
        <v>No</v>
      </c>
      <c r="H421" t="str">
        <v>Valid</v>
      </c>
    </row>
    <row r="422" spans="1:8" x14ac:dyDescent="0.3">
      <c r="A422" t="str">
        <v>FDB80663</v>
      </c>
      <c r="B422" t="str">
        <v>CUST10978</v>
      </c>
      <c r="C422" s="38">
        <v>45748</v>
      </c>
      <c r="D422" t="str">
        <v>I'm not happy with the premium charged.</v>
      </c>
      <c r="E422">
        <v>2</v>
      </c>
      <c r="F422" t="str">
        <v>No</v>
      </c>
      <c r="G422" t="str">
        <v>No</v>
      </c>
      <c r="H422" t="str">
        <v>Valid</v>
      </c>
    </row>
    <row r="423" spans="1:8" x14ac:dyDescent="0.3">
      <c r="A423" t="str">
        <v>FDB80664</v>
      </c>
      <c r="B423" t="str">
        <v>CUST10853</v>
      </c>
      <c r="C423" s="38">
        <v>46050</v>
      </c>
      <c r="D423" t="str">
        <v>The mobile app experience was intuitive.</v>
      </c>
      <c r="E423">
        <v>4</v>
      </c>
      <c r="F423" t="str">
        <v>Yes</v>
      </c>
      <c r="G423" t="str">
        <v>Yes</v>
      </c>
      <c r="H423" t="str">
        <v>Valid</v>
      </c>
    </row>
    <row r="424" spans="1:8" x14ac:dyDescent="0.3">
      <c r="A424" t="str">
        <v>FDB80665</v>
      </c>
      <c r="B424" t="str">
        <v>CUST10486</v>
      </c>
      <c r="C424" s="38">
        <v>45570</v>
      </c>
      <c r="D424" t="str">
        <v>Claim process could be faster.</v>
      </c>
      <c r="E424">
        <v>2</v>
      </c>
      <c r="F424" t="str">
        <v>No</v>
      </c>
      <c r="G424" t="str">
        <v>No</v>
      </c>
      <c r="H424" t="str">
        <v>Valid</v>
      </c>
    </row>
    <row r="425" spans="1:8" x14ac:dyDescent="0.3">
      <c r="A425" t="str">
        <v>FDB80667</v>
      </c>
      <c r="B425" t="str">
        <v>CUST11194</v>
      </c>
      <c r="C425" s="38">
        <v>46211</v>
      </c>
      <c r="D425" t="str">
        <v>Frustrated with repeated documentation requests.</v>
      </c>
      <c r="E425">
        <v>2</v>
      </c>
      <c r="F425" t="str">
        <v>No</v>
      </c>
      <c r="G425" t="str">
        <v>No</v>
      </c>
      <c r="H425" t="str">
        <v>Valid</v>
      </c>
    </row>
    <row r="426" spans="1:8" x14ac:dyDescent="0.3">
      <c r="A426" t="str">
        <v>FDB80670</v>
      </c>
      <c r="B426" t="str">
        <v>CUST10161</v>
      </c>
      <c r="C426" s="38">
        <v>45282</v>
      </c>
      <c r="D426" t="str">
        <v>Very satisfied with the claim process.</v>
      </c>
      <c r="E426">
        <v>5</v>
      </c>
      <c r="F426" t="str">
        <v>No</v>
      </c>
      <c r="G426" t="str">
        <v>No</v>
      </c>
      <c r="H426" t="str">
        <v>Valid</v>
      </c>
    </row>
    <row r="427" spans="1:8" x14ac:dyDescent="0.3">
      <c r="A427" t="str">
        <v>FDB80672</v>
      </c>
      <c r="B427" t="str">
        <v>CUST10970</v>
      </c>
      <c r="C427" s="38">
        <v>45868</v>
      </c>
      <c r="D427" t="str">
        <v>Frustrated with repeated documentation requests.</v>
      </c>
      <c r="E427">
        <v>2</v>
      </c>
      <c r="F427" t="str">
        <v>Yes</v>
      </c>
      <c r="G427" t="str">
        <v>No</v>
      </c>
      <c r="H427" t="str">
        <v>Valid</v>
      </c>
    </row>
    <row r="428" spans="1:8" x14ac:dyDescent="0.3">
      <c r="A428" t="str">
        <v>FDB80673</v>
      </c>
      <c r="B428" t="str">
        <v>CUST10048</v>
      </c>
      <c r="C428" s="38">
        <v>45850</v>
      </c>
      <c r="D428" t="str">
        <v>Had to wait too long for claim approval.</v>
      </c>
      <c r="E428">
        <v>1</v>
      </c>
      <c r="F428" t="str">
        <v>Yes</v>
      </c>
      <c r="G428" t="str">
        <v>No</v>
      </c>
      <c r="H428" t="str">
        <v>Valid</v>
      </c>
    </row>
    <row r="429" spans="1:8" x14ac:dyDescent="0.3">
      <c r="A429" t="str">
        <v>FDB80674</v>
      </c>
      <c r="B429" t="str">
        <v>CUST11218</v>
      </c>
      <c r="C429" s="38">
        <v>46097</v>
      </c>
      <c r="D429" t="str">
        <v>Smooth experience with no issues.</v>
      </c>
      <c r="E429">
        <v>5</v>
      </c>
      <c r="F429" t="str">
        <v>No</v>
      </c>
      <c r="G429" t="str">
        <v>Yes</v>
      </c>
      <c r="H429" t="str">
        <v>Valid</v>
      </c>
    </row>
    <row r="430" spans="1:8" x14ac:dyDescent="0.3">
      <c r="A430" t="str">
        <v>FDB80675</v>
      </c>
      <c r="B430" t="str">
        <v>CUST10974</v>
      </c>
      <c r="C430" s="38">
        <v>45996</v>
      </c>
      <c r="D430" t="str">
        <v>Smooth experience with no issues.</v>
      </c>
      <c r="E430">
        <v>5</v>
      </c>
      <c r="F430" t="str">
        <v>Yes</v>
      </c>
      <c r="G430" t="str">
        <v>No</v>
      </c>
      <c r="H430" t="str">
        <v>Valid</v>
      </c>
    </row>
    <row r="431" spans="1:8" x14ac:dyDescent="0.3">
      <c r="A431" t="str">
        <v>FDB80678</v>
      </c>
      <c r="B431" t="str">
        <v>CUST11099</v>
      </c>
      <c r="C431" s="38">
        <v>45841</v>
      </c>
      <c r="D431" t="str">
        <v>I'm not happy with the premium charged.</v>
      </c>
      <c r="E431">
        <v>2</v>
      </c>
      <c r="F431" t="str">
        <v>Yes</v>
      </c>
      <c r="G431" t="str">
        <v>Yes</v>
      </c>
      <c r="H431" t="str">
        <v>Valid</v>
      </c>
    </row>
    <row r="432" spans="1:8" x14ac:dyDescent="0.3">
      <c r="A432" t="str">
        <v>FDB80680</v>
      </c>
      <c r="B432" t="str">
        <v>CUST10566</v>
      </c>
      <c r="C432" s="38">
        <v>45478</v>
      </c>
      <c r="D432" t="str">
        <v>Frustrated with repeated documentation requests.</v>
      </c>
      <c r="E432">
        <v>2</v>
      </c>
      <c r="F432" t="str">
        <v>No</v>
      </c>
      <c r="G432" t="str">
        <v>No</v>
      </c>
      <c r="H432" t="str">
        <v>Valid</v>
      </c>
    </row>
    <row r="433" spans="1:8" x14ac:dyDescent="0.3">
      <c r="A433" t="str">
        <v>FDB80681</v>
      </c>
      <c r="B433" t="str">
        <v>CUST10801</v>
      </c>
      <c r="C433" s="38">
        <v>46224</v>
      </c>
      <c r="D433" t="str">
        <v>Excellent customer service support.</v>
      </c>
      <c r="E433">
        <v>4</v>
      </c>
      <c r="F433" t="str">
        <v>No</v>
      </c>
      <c r="G433" t="str">
        <v>Yes</v>
      </c>
      <c r="H433" t="str">
        <v>Valid</v>
      </c>
    </row>
    <row r="434" spans="1:8" x14ac:dyDescent="0.3">
      <c r="A434" t="str">
        <v>FDB80682</v>
      </c>
      <c r="B434" t="str">
        <v>CUST10550</v>
      </c>
      <c r="C434" s="38">
        <v>46212</v>
      </c>
      <c r="D434" t="str">
        <v>Frustrated with repeated documentation requests.</v>
      </c>
      <c r="E434">
        <v>2</v>
      </c>
      <c r="F434" t="str">
        <v>No</v>
      </c>
      <c r="G434" t="str">
        <v>No</v>
      </c>
      <c r="H434" t="str">
        <v>Valid</v>
      </c>
    </row>
    <row r="435" spans="1:8" x14ac:dyDescent="0.3">
      <c r="A435" t="str">
        <v>FDB80684</v>
      </c>
      <c r="B435" t="str">
        <v>CUST11300</v>
      </c>
      <c r="C435" s="38">
        <v>46160</v>
      </c>
      <c r="D435" t="str">
        <v>Very satisfied with the claim process.</v>
      </c>
      <c r="E435">
        <v>5</v>
      </c>
      <c r="F435" t="str">
        <v>No</v>
      </c>
      <c r="G435" t="str">
        <v>No</v>
      </c>
      <c r="H435" t="str">
        <v>Valid</v>
      </c>
    </row>
    <row r="436" spans="1:8" x14ac:dyDescent="0.3">
      <c r="A436" t="str">
        <v>FDB80686</v>
      </c>
      <c r="B436" t="str">
        <v>CUST11284</v>
      </c>
      <c r="C436" s="38">
        <v>46152</v>
      </c>
      <c r="D436" t="str">
        <v>I'm not happy with the premium charged.</v>
      </c>
      <c r="E436">
        <v>2</v>
      </c>
      <c r="F436" t="str">
        <v>No</v>
      </c>
      <c r="G436" t="str">
        <v>Yes</v>
      </c>
      <c r="H436" t="str">
        <v>Valid</v>
      </c>
    </row>
    <row r="437" spans="1:8" x14ac:dyDescent="0.3">
      <c r="A437" t="str">
        <v>FDB80689</v>
      </c>
      <c r="B437" t="str">
        <v>CUST10112</v>
      </c>
      <c r="C437" s="38">
        <v>46201</v>
      </c>
      <c r="D437" t="str">
        <v>I'm not happy with the premium charged.</v>
      </c>
      <c r="E437">
        <v>2</v>
      </c>
      <c r="F437" t="str">
        <v>Yes</v>
      </c>
      <c r="G437" t="str">
        <v>No</v>
      </c>
      <c r="H437" t="str">
        <v>Valid</v>
      </c>
    </row>
    <row r="438" spans="1:8" x14ac:dyDescent="0.3">
      <c r="A438" t="str">
        <v>FDB80690</v>
      </c>
      <c r="B438" t="str">
        <v>CUST10505</v>
      </c>
      <c r="C438" s="38">
        <v>45173</v>
      </c>
      <c r="D438" t="str">
        <v>I'm not happy with the premium charged.</v>
      </c>
      <c r="E438">
        <v>2</v>
      </c>
      <c r="F438" t="str">
        <v>Yes</v>
      </c>
      <c r="G438" t="str">
        <v>No</v>
      </c>
      <c r="H438" t="str">
        <v>Valid</v>
      </c>
    </row>
    <row r="439" spans="1:8" x14ac:dyDescent="0.3">
      <c r="A439" t="str">
        <v>FDB80692</v>
      </c>
      <c r="B439" t="str">
        <v>CUST11558</v>
      </c>
      <c r="C439" s="38">
        <v>45782</v>
      </c>
      <c r="D439" t="str">
        <v>Had to wait too long for claim approval.</v>
      </c>
      <c r="E439">
        <v>2</v>
      </c>
      <c r="F439" t="str">
        <v>No</v>
      </c>
      <c r="G439" t="str">
        <v>No</v>
      </c>
      <c r="H439" t="str">
        <v>Valid</v>
      </c>
    </row>
    <row r="440" spans="1:8" x14ac:dyDescent="0.3">
      <c r="A440" t="str">
        <v>FDB80693</v>
      </c>
      <c r="B440" t="str">
        <v>CUST10984</v>
      </c>
      <c r="C440" s="38">
        <v>45514</v>
      </c>
      <c r="D440" t="str">
        <v>Excellent customer service support.</v>
      </c>
      <c r="E440">
        <v>5</v>
      </c>
      <c r="F440" t="str">
        <v>Yes</v>
      </c>
      <c r="G440" t="str">
        <v>Yes</v>
      </c>
      <c r="H440" t="str">
        <v>Valid</v>
      </c>
    </row>
    <row r="441" spans="1:8" x14ac:dyDescent="0.3">
      <c r="A441" t="str">
        <v>FDB80699</v>
      </c>
      <c r="B441" t="str">
        <v>CUST11505</v>
      </c>
      <c r="C441" s="38">
        <v>45330</v>
      </c>
      <c r="D441" t="str">
        <v>Smooth experience with no issues.</v>
      </c>
      <c r="E441">
        <v>5</v>
      </c>
      <c r="F441" t="str">
        <v>Yes</v>
      </c>
      <c r="G441" t="str">
        <v>No</v>
      </c>
      <c r="H441" t="str">
        <v>Valid</v>
      </c>
    </row>
    <row r="442" spans="1:8" x14ac:dyDescent="0.3">
      <c r="A442" t="str">
        <v>FDB80701</v>
      </c>
      <c r="B442" t="str">
        <v>CUST10986</v>
      </c>
      <c r="C442" s="38">
        <v>46010</v>
      </c>
      <c r="D442" t="str">
        <v>Very satisfied with the claim process.</v>
      </c>
      <c r="E442">
        <v>5</v>
      </c>
      <c r="F442" t="str">
        <v>Yes</v>
      </c>
      <c r="G442" t="str">
        <v>No</v>
      </c>
      <c r="H442" t="str">
        <v>Valid</v>
      </c>
    </row>
    <row r="443" spans="1:8" x14ac:dyDescent="0.3">
      <c r="A443" t="str">
        <v>FDB80702</v>
      </c>
      <c r="B443" t="str">
        <v>CUST10552</v>
      </c>
      <c r="C443" s="38">
        <v>46057</v>
      </c>
      <c r="D443" t="str">
        <v>The agent was helpful and explained everything.</v>
      </c>
      <c r="E443">
        <v>4</v>
      </c>
      <c r="F443" t="str">
        <v>No</v>
      </c>
      <c r="G443" t="str">
        <v>Yes</v>
      </c>
      <c r="H443" t="str">
        <v>Valid</v>
      </c>
    </row>
    <row r="444" spans="1:8" x14ac:dyDescent="0.3">
      <c r="A444" t="str">
        <v>FDB80703</v>
      </c>
      <c r="B444" t="str">
        <v>CUST10146</v>
      </c>
      <c r="C444" s="38">
        <v>46215</v>
      </c>
      <c r="D444" t="str">
        <v>Had to wait too long for claim approval.</v>
      </c>
      <c r="E444">
        <v>2</v>
      </c>
      <c r="F444" t="str">
        <v>No</v>
      </c>
      <c r="G444" t="str">
        <v>No</v>
      </c>
      <c r="H444" t="str">
        <v>Valid</v>
      </c>
    </row>
    <row r="445" spans="1:8" x14ac:dyDescent="0.3">
      <c r="A445" t="str">
        <v>FDB80704</v>
      </c>
      <c r="B445" t="str">
        <v>CUST10803</v>
      </c>
      <c r="C445" s="38">
        <v>45438</v>
      </c>
      <c r="D445" t="str">
        <v>Had to wait too long for claim approval.</v>
      </c>
      <c r="E445">
        <v>1</v>
      </c>
      <c r="F445" t="str">
        <v>Yes</v>
      </c>
      <c r="G445" t="str">
        <v>No</v>
      </c>
      <c r="H445" t="str">
        <v>Valid</v>
      </c>
    </row>
    <row r="446" spans="1:8" x14ac:dyDescent="0.3">
      <c r="A446" t="str">
        <v>FDB80706</v>
      </c>
      <c r="B446" t="str">
        <v>CUST10705</v>
      </c>
      <c r="C446" s="38">
        <v>45881</v>
      </c>
      <c r="D446" t="str">
        <v>The agent was helpful and explained everything.</v>
      </c>
      <c r="E446">
        <v>5</v>
      </c>
      <c r="F446" t="str">
        <v>No</v>
      </c>
      <c r="G446" t="str">
        <v>Yes</v>
      </c>
      <c r="H446" t="str">
        <v>Valid</v>
      </c>
    </row>
    <row r="447" spans="1:8" x14ac:dyDescent="0.3">
      <c r="A447" t="str">
        <v>FDB80707</v>
      </c>
      <c r="B447" t="str">
        <v>CUST11440</v>
      </c>
      <c r="C447" s="38">
        <v>45601</v>
      </c>
      <c r="D447" t="str">
        <v>I'm not happy with the premium charged.</v>
      </c>
      <c r="E447">
        <v>2</v>
      </c>
      <c r="F447" t="str">
        <v>No</v>
      </c>
      <c r="G447" t="str">
        <v>No</v>
      </c>
      <c r="H447" t="str">
        <v>Valid</v>
      </c>
    </row>
    <row r="448" spans="1:8" x14ac:dyDescent="0.3">
      <c r="A448" t="str">
        <v>FDB80709</v>
      </c>
      <c r="B448" t="str">
        <v>CUST11501</v>
      </c>
      <c r="C448" s="38">
        <v>46087</v>
      </c>
      <c r="D448" t="str">
        <v>Claim process could be faster.</v>
      </c>
      <c r="E448">
        <v>2</v>
      </c>
      <c r="F448" t="str">
        <v>Yes</v>
      </c>
      <c r="G448" t="str">
        <v>No</v>
      </c>
      <c r="H448" t="str">
        <v>Valid</v>
      </c>
    </row>
    <row r="449" spans="1:8" x14ac:dyDescent="0.3">
      <c r="A449" t="str">
        <v>FDB80712</v>
      </c>
      <c r="B449" t="str">
        <v>CUST11481</v>
      </c>
      <c r="C449" s="38">
        <v>45475</v>
      </c>
      <c r="D449" t="str">
        <v>Claim process could be faster.</v>
      </c>
      <c r="E449">
        <v>3</v>
      </c>
      <c r="F449" t="str">
        <v>No</v>
      </c>
      <c r="G449" t="str">
        <v>Yes</v>
      </c>
      <c r="H449" t="str">
        <v>Valid</v>
      </c>
    </row>
    <row r="450" spans="1:8" x14ac:dyDescent="0.3">
      <c r="A450" t="str">
        <v>FDB80713</v>
      </c>
      <c r="B450" t="str">
        <v>CUST11169</v>
      </c>
      <c r="C450" s="38">
        <v>46151</v>
      </c>
      <c r="D450" t="str">
        <v>Need more clarity on policy coverage.</v>
      </c>
      <c r="E450">
        <v>2</v>
      </c>
      <c r="F450" t="str">
        <v>Yes</v>
      </c>
      <c r="G450" t="str">
        <v>No</v>
      </c>
      <c r="H450" t="str">
        <v>Valid</v>
      </c>
    </row>
    <row r="451" spans="1:8" x14ac:dyDescent="0.3">
      <c r="A451" t="str">
        <v>FDB80714</v>
      </c>
      <c r="B451" t="str">
        <v>CUST11496</v>
      </c>
      <c r="C451" s="38">
        <v>45308</v>
      </c>
      <c r="D451" t="str">
        <v>Need more clarity on policy coverage.</v>
      </c>
      <c r="E451">
        <v>2</v>
      </c>
      <c r="F451" t="str">
        <v>No</v>
      </c>
      <c r="G451" t="str">
        <v>Yes</v>
      </c>
      <c r="H451" t="str">
        <v>Valid</v>
      </c>
    </row>
    <row r="452" spans="1:8" x14ac:dyDescent="0.3">
      <c r="A452" t="str">
        <v>FDB80716</v>
      </c>
      <c r="B452" t="str">
        <v>CUST10490</v>
      </c>
      <c r="C452" s="38">
        <v>46207</v>
      </c>
      <c r="D452" t="str">
        <v>The agent was helpful and explained everything.</v>
      </c>
      <c r="E452">
        <v>4</v>
      </c>
      <c r="F452" t="str">
        <v>Yes</v>
      </c>
      <c r="G452" t="str">
        <v>Yes</v>
      </c>
      <c r="H452" t="str">
        <v>Valid</v>
      </c>
    </row>
    <row r="453" spans="1:8" x14ac:dyDescent="0.3">
      <c r="A453" t="str">
        <v>FDB80717</v>
      </c>
      <c r="B453" t="str">
        <v>CUST10469</v>
      </c>
      <c r="C453" s="38">
        <v>45339</v>
      </c>
      <c r="D453" t="str">
        <v>I'm not happy with the premium charged.</v>
      </c>
      <c r="E453">
        <v>2</v>
      </c>
      <c r="F453" t="str">
        <v>Yes</v>
      </c>
      <c r="G453" t="str">
        <v>Yes</v>
      </c>
      <c r="H453" t="str">
        <v>Valid</v>
      </c>
    </row>
    <row r="454" spans="1:8" x14ac:dyDescent="0.3">
      <c r="A454" t="str">
        <v>FDB80719</v>
      </c>
      <c r="B454" t="str">
        <v>CUST10280</v>
      </c>
      <c r="C454" s="38">
        <v>45909</v>
      </c>
      <c r="D454" t="str">
        <v>Claim process could be faster.</v>
      </c>
      <c r="E454">
        <v>3</v>
      </c>
      <c r="F454" t="str">
        <v>No</v>
      </c>
      <c r="G454" t="str">
        <v>Yes</v>
      </c>
      <c r="H454" t="str">
        <v>Valid</v>
      </c>
    </row>
    <row r="455" spans="1:8" x14ac:dyDescent="0.3">
      <c r="A455" t="str">
        <v>FDB80720</v>
      </c>
      <c r="B455" t="str">
        <v>CUST10841</v>
      </c>
      <c r="C455" s="38">
        <v>46006</v>
      </c>
      <c r="D455" t="str">
        <v>The mobile app experience was intuitive.</v>
      </c>
      <c r="E455">
        <v>4</v>
      </c>
      <c r="F455" t="str">
        <v>Yes</v>
      </c>
      <c r="G455" t="str">
        <v>No</v>
      </c>
      <c r="H455" t="str">
        <v>Valid</v>
      </c>
    </row>
    <row r="456" spans="1:8" x14ac:dyDescent="0.3">
      <c r="A456" t="str">
        <v>FDB80721</v>
      </c>
      <c r="B456" t="str">
        <v>CUST11529</v>
      </c>
      <c r="C456" s="38">
        <v>45184</v>
      </c>
      <c r="D456" t="str">
        <v>Need more clarity on policy coverage.</v>
      </c>
      <c r="E456">
        <v>2</v>
      </c>
      <c r="F456" t="str">
        <v>No</v>
      </c>
      <c r="G456" t="str">
        <v>No</v>
      </c>
      <c r="H456" t="str">
        <v>Valid</v>
      </c>
    </row>
    <row r="457" spans="1:8" x14ac:dyDescent="0.3">
      <c r="A457" t="str">
        <v>FDB80722</v>
      </c>
      <c r="B457" t="str">
        <v>CUST11106</v>
      </c>
      <c r="C457" s="38">
        <v>45301</v>
      </c>
      <c r="D457" t="str">
        <v>Very satisfied with the claim process.</v>
      </c>
      <c r="E457">
        <v>5</v>
      </c>
      <c r="F457" t="str">
        <v>Yes</v>
      </c>
      <c r="G457" t="str">
        <v>No</v>
      </c>
      <c r="H457" t="str">
        <v>Valid</v>
      </c>
    </row>
    <row r="458" spans="1:8" x14ac:dyDescent="0.3">
      <c r="A458" t="str">
        <v>FDB80725</v>
      </c>
      <c r="B458" t="str">
        <v>CUST10865</v>
      </c>
      <c r="C458" s="38">
        <v>45861</v>
      </c>
      <c r="D458" t="str">
        <v>Had to wait too long for claim approval.</v>
      </c>
      <c r="E458">
        <v>1</v>
      </c>
      <c r="F458" t="str">
        <v>Yes</v>
      </c>
      <c r="G458" t="str">
        <v>Yes</v>
      </c>
      <c r="H458" t="str">
        <v>Valid</v>
      </c>
    </row>
    <row r="459" spans="1:8" x14ac:dyDescent="0.3">
      <c r="A459" t="str">
        <v>FDB80726</v>
      </c>
      <c r="B459" t="str">
        <v>CUST11448</v>
      </c>
      <c r="C459" s="38">
        <v>45689</v>
      </c>
      <c r="D459" t="str">
        <v>Had to wait too long for claim approval.</v>
      </c>
      <c r="E459">
        <v>1</v>
      </c>
      <c r="F459" t="str">
        <v>No</v>
      </c>
      <c r="G459" t="str">
        <v>No</v>
      </c>
      <c r="H459" t="str">
        <v>Valid</v>
      </c>
    </row>
    <row r="460" spans="1:8" x14ac:dyDescent="0.3">
      <c r="A460" t="str">
        <v>FDB80727</v>
      </c>
      <c r="B460" t="str">
        <v>CUST11057</v>
      </c>
      <c r="C460" s="38">
        <v>45896</v>
      </c>
      <c r="D460" t="str">
        <v>The mobile app experience was intuitive.</v>
      </c>
      <c r="E460">
        <v>4</v>
      </c>
      <c r="F460" t="str">
        <v>No</v>
      </c>
      <c r="G460" t="str">
        <v>No</v>
      </c>
      <c r="H460" t="str">
        <v>Valid</v>
      </c>
    </row>
    <row r="461" spans="1:8" x14ac:dyDescent="0.3">
      <c r="A461" t="str">
        <v>FDB80728</v>
      </c>
      <c r="B461" t="str">
        <v>CUST11346</v>
      </c>
      <c r="C461" s="38">
        <v>45500</v>
      </c>
      <c r="D461" t="str">
        <v>Very satisfied with the claim process.</v>
      </c>
      <c r="E461">
        <v>4</v>
      </c>
      <c r="F461" t="str">
        <v>Yes</v>
      </c>
      <c r="G461" t="str">
        <v>No</v>
      </c>
      <c r="H461" t="str">
        <v>Valid</v>
      </c>
    </row>
    <row r="462" spans="1:8" x14ac:dyDescent="0.3">
      <c r="A462" t="str">
        <v>FDB80729</v>
      </c>
      <c r="B462" t="str">
        <v>CUST11597</v>
      </c>
      <c r="C462" s="38">
        <v>45309</v>
      </c>
      <c r="D462" t="str">
        <v>Had to wait too long for claim approval.</v>
      </c>
      <c r="E462">
        <v>1</v>
      </c>
      <c r="F462" t="str">
        <v>No</v>
      </c>
      <c r="G462" t="str">
        <v>No</v>
      </c>
      <c r="H462" t="str">
        <v>Valid</v>
      </c>
    </row>
    <row r="463" spans="1:8" x14ac:dyDescent="0.3">
      <c r="A463" t="str">
        <v>FDB80732</v>
      </c>
      <c r="B463" t="str">
        <v>CUST10134</v>
      </c>
      <c r="C463" s="38">
        <v>45250</v>
      </c>
      <c r="D463" t="str">
        <v>Excellent customer service support.</v>
      </c>
      <c r="E463">
        <v>5</v>
      </c>
      <c r="F463" t="str">
        <v>No</v>
      </c>
      <c r="G463" t="str">
        <v>Yes</v>
      </c>
      <c r="H463" t="str">
        <v>Valid</v>
      </c>
    </row>
    <row r="464" spans="1:8" x14ac:dyDescent="0.3">
      <c r="A464" t="str">
        <v>FDB80733</v>
      </c>
      <c r="B464" t="str">
        <v>CUST11539</v>
      </c>
      <c r="C464" s="38">
        <v>46245</v>
      </c>
      <c r="D464" t="str">
        <v>The agent was helpful and explained everything.</v>
      </c>
      <c r="E464">
        <v>5</v>
      </c>
      <c r="F464" t="str">
        <v>No</v>
      </c>
      <c r="G464" t="str">
        <v>Yes</v>
      </c>
      <c r="H464" t="str">
        <v>Valid</v>
      </c>
    </row>
    <row r="465" spans="1:8" x14ac:dyDescent="0.3">
      <c r="A465" t="str">
        <v>FDB80734</v>
      </c>
      <c r="B465" t="str">
        <v>CUST10152</v>
      </c>
      <c r="C465" s="38">
        <v>46170</v>
      </c>
      <c r="D465" t="str">
        <v>Excellent customer service support.</v>
      </c>
      <c r="E465">
        <v>5</v>
      </c>
      <c r="F465" t="str">
        <v>No</v>
      </c>
      <c r="G465" t="str">
        <v>Yes</v>
      </c>
      <c r="H465" t="str">
        <v>Valid</v>
      </c>
    </row>
    <row r="466" spans="1:8" x14ac:dyDescent="0.3">
      <c r="A466" t="str">
        <v>FDB80735</v>
      </c>
      <c r="B466" t="str">
        <v>CUST10238</v>
      </c>
      <c r="C466" s="38">
        <v>45547</v>
      </c>
      <c r="D466" t="str">
        <v>I'm not happy with the premium charged.</v>
      </c>
      <c r="E466">
        <v>2</v>
      </c>
      <c r="F466" t="str">
        <v>Yes</v>
      </c>
      <c r="G466" t="str">
        <v>No</v>
      </c>
      <c r="H466" t="str">
        <v>Valid</v>
      </c>
    </row>
    <row r="467" spans="1:8" x14ac:dyDescent="0.3">
      <c r="A467" t="str">
        <v>FDB80737</v>
      </c>
      <c r="B467" t="str">
        <v>CUST11354</v>
      </c>
      <c r="C467" s="38">
        <v>46255</v>
      </c>
      <c r="D467" t="str">
        <v>Claim process could be faster.</v>
      </c>
      <c r="E467">
        <v>2</v>
      </c>
      <c r="F467" t="str">
        <v>Yes</v>
      </c>
      <c r="G467" t="str">
        <v>No</v>
      </c>
      <c r="H467" t="str">
        <v>Valid</v>
      </c>
    </row>
    <row r="468" spans="1:8" x14ac:dyDescent="0.3">
      <c r="A468" t="str">
        <v>FDB80740</v>
      </c>
      <c r="B468" t="str">
        <v>CUST11127</v>
      </c>
      <c r="C468" s="38">
        <v>45296</v>
      </c>
      <c r="D468" t="str">
        <v>The mobile app experience was intuitive.</v>
      </c>
      <c r="E468">
        <v>4</v>
      </c>
      <c r="F468" t="str">
        <v>Yes</v>
      </c>
      <c r="G468" t="str">
        <v>No</v>
      </c>
      <c r="H468" t="str">
        <v>Valid</v>
      </c>
    </row>
    <row r="469" spans="1:8" x14ac:dyDescent="0.3">
      <c r="A469" t="str">
        <v>FDB80742</v>
      </c>
      <c r="B469" t="str">
        <v>CUST11361</v>
      </c>
      <c r="C469" s="38">
        <v>45814</v>
      </c>
      <c r="D469" t="str">
        <v>The mobile app experience was intuitive.</v>
      </c>
      <c r="E469">
        <v>4</v>
      </c>
      <c r="F469" t="str">
        <v>No</v>
      </c>
      <c r="G469" t="str">
        <v>No</v>
      </c>
      <c r="H469" t="str">
        <v>Valid</v>
      </c>
    </row>
    <row r="470" spans="1:8" x14ac:dyDescent="0.3">
      <c r="A470" t="str">
        <v>FDB80745</v>
      </c>
      <c r="B470" t="str">
        <v>CUST10855</v>
      </c>
      <c r="C470" s="38">
        <v>46043</v>
      </c>
      <c r="D470" t="str">
        <v>Excellent customer service support.</v>
      </c>
      <c r="E470">
        <v>4</v>
      </c>
      <c r="F470" t="str">
        <v>Yes</v>
      </c>
      <c r="G470" t="str">
        <v>No</v>
      </c>
      <c r="H470" t="str">
        <v>Valid</v>
      </c>
    </row>
    <row r="471" spans="1:8" x14ac:dyDescent="0.3">
      <c r="A471" t="str">
        <v>FDB80746</v>
      </c>
      <c r="B471" t="str">
        <v>CUST10491</v>
      </c>
      <c r="C471" s="38">
        <v>46004</v>
      </c>
      <c r="D471" t="str">
        <v>Very satisfied with the claim process.</v>
      </c>
      <c r="E471">
        <v>5</v>
      </c>
      <c r="F471" t="str">
        <v>Yes</v>
      </c>
      <c r="G471" t="str">
        <v>No</v>
      </c>
      <c r="H471" t="str">
        <v>Valid</v>
      </c>
    </row>
    <row r="472" spans="1:8" x14ac:dyDescent="0.3">
      <c r="A472" t="str">
        <v>FDB80747</v>
      </c>
      <c r="B472" t="str">
        <v>CUST11565</v>
      </c>
      <c r="C472" s="38">
        <v>45419</v>
      </c>
      <c r="D472" t="str">
        <v>Claim process could be faster.</v>
      </c>
      <c r="E472">
        <v>2</v>
      </c>
      <c r="F472" t="str">
        <v>No</v>
      </c>
      <c r="G472" t="str">
        <v>No</v>
      </c>
      <c r="H472" t="str">
        <v>Valid</v>
      </c>
    </row>
    <row r="473" spans="1:8" x14ac:dyDescent="0.3">
      <c r="A473" t="str">
        <v>FDB80750</v>
      </c>
      <c r="B473" t="str">
        <v>CUST11476</v>
      </c>
      <c r="C473" s="38">
        <v>45834</v>
      </c>
      <c r="D473" t="str">
        <v>Had to wait too long for claim approval.</v>
      </c>
      <c r="E473">
        <v>1</v>
      </c>
      <c r="F473" t="str">
        <v>Yes</v>
      </c>
      <c r="G473" t="str">
        <v>Yes</v>
      </c>
      <c r="H473" t="str">
        <v>Valid</v>
      </c>
    </row>
    <row r="474" spans="1:8" x14ac:dyDescent="0.3">
      <c r="A474" t="str">
        <v>FDB80752</v>
      </c>
      <c r="B474" t="str">
        <v>CUST11411</v>
      </c>
      <c r="C474" s="38">
        <v>45570</v>
      </c>
      <c r="D474" t="str">
        <v>Frustrated with repeated documentation requests.</v>
      </c>
      <c r="E474">
        <v>2</v>
      </c>
      <c r="F474" t="str">
        <v>No</v>
      </c>
      <c r="G474" t="str">
        <v>No</v>
      </c>
      <c r="H474" t="str">
        <v>Valid</v>
      </c>
    </row>
    <row r="475" spans="1:8" x14ac:dyDescent="0.3">
      <c r="A475" t="str">
        <v>FDB80753</v>
      </c>
      <c r="B475" t="str">
        <v>CUST10166</v>
      </c>
      <c r="C475" s="38">
        <v>46125</v>
      </c>
      <c r="D475" t="str">
        <v>Excellent customer service support.</v>
      </c>
      <c r="E475">
        <v>5</v>
      </c>
      <c r="F475" t="str">
        <v>No</v>
      </c>
      <c r="G475" t="str">
        <v>No</v>
      </c>
      <c r="H475" t="str">
        <v>Valid</v>
      </c>
    </row>
    <row r="476" spans="1:8" x14ac:dyDescent="0.3">
      <c r="A476" t="str">
        <v>FDB80756</v>
      </c>
      <c r="B476" t="str">
        <v>CUST10463</v>
      </c>
      <c r="C476" s="38">
        <v>46228</v>
      </c>
      <c r="D476" t="str">
        <v>Had to wait too long for claim approval.</v>
      </c>
      <c r="E476">
        <v>1</v>
      </c>
      <c r="F476" t="str">
        <v>No</v>
      </c>
      <c r="G476" t="str">
        <v>No</v>
      </c>
      <c r="H476" t="str">
        <v>Valid</v>
      </c>
    </row>
    <row r="477" spans="1:8" x14ac:dyDescent="0.3">
      <c r="A477" t="str">
        <v>FDB80757</v>
      </c>
      <c r="B477" t="str">
        <v>CUST10869</v>
      </c>
      <c r="C477" s="38">
        <v>45635</v>
      </c>
      <c r="D477" t="str">
        <v>Need more clarity on policy coverage.</v>
      </c>
      <c r="E477">
        <v>2</v>
      </c>
      <c r="F477" t="str">
        <v>Yes</v>
      </c>
      <c r="G477" t="str">
        <v>No</v>
      </c>
      <c r="H477" t="str">
        <v>Valid</v>
      </c>
    </row>
    <row r="478" spans="1:8" x14ac:dyDescent="0.3">
      <c r="A478" t="str">
        <v>FDB80758</v>
      </c>
      <c r="B478" t="str">
        <v>CUST10398</v>
      </c>
      <c r="C478" s="38">
        <v>45872</v>
      </c>
      <c r="D478" t="str">
        <v>Need more clarity on policy coverage.</v>
      </c>
      <c r="E478">
        <v>2</v>
      </c>
      <c r="F478" t="str">
        <v>Yes</v>
      </c>
      <c r="G478" t="str">
        <v>No</v>
      </c>
      <c r="H478" t="str">
        <v>Valid</v>
      </c>
    </row>
    <row r="479" spans="1:8" x14ac:dyDescent="0.3">
      <c r="A479" t="str">
        <v>FDB80759</v>
      </c>
      <c r="B479" t="str">
        <v>CUST10222</v>
      </c>
      <c r="C479" s="38">
        <v>46121</v>
      </c>
      <c r="D479" t="str">
        <v>Claim process could be faster.</v>
      </c>
      <c r="E479">
        <v>2</v>
      </c>
      <c r="F479" t="str">
        <v>No</v>
      </c>
      <c r="G479" t="str">
        <v>Yes</v>
      </c>
      <c r="H479" t="str">
        <v>Valid</v>
      </c>
    </row>
    <row r="480" spans="1:8" x14ac:dyDescent="0.3">
      <c r="A480" t="str">
        <v>FDB80760</v>
      </c>
      <c r="B480" t="str">
        <v>CUST11196</v>
      </c>
      <c r="C480" s="38">
        <v>45480</v>
      </c>
      <c r="D480" t="str">
        <v>Claim process could be faster.</v>
      </c>
      <c r="E480">
        <v>2</v>
      </c>
      <c r="F480" t="str">
        <v>Yes</v>
      </c>
      <c r="G480" t="str">
        <v>Yes</v>
      </c>
      <c r="H480" t="str">
        <v>Valid</v>
      </c>
    </row>
    <row r="481" spans="1:8" x14ac:dyDescent="0.3">
      <c r="A481" t="str">
        <v>FDB80762</v>
      </c>
      <c r="B481" t="str">
        <v>CUST10469</v>
      </c>
      <c r="C481" s="38">
        <v>45475</v>
      </c>
      <c r="D481" t="str">
        <v>Had to wait too long for claim approval.</v>
      </c>
      <c r="E481">
        <v>2</v>
      </c>
      <c r="F481" t="str">
        <v>No</v>
      </c>
      <c r="G481" t="str">
        <v>No</v>
      </c>
      <c r="H481" t="str">
        <v>Valid</v>
      </c>
    </row>
    <row r="482" spans="1:8" x14ac:dyDescent="0.3">
      <c r="A482" t="str">
        <v>FDB80763</v>
      </c>
      <c r="B482" t="str">
        <v>CUST10000</v>
      </c>
      <c r="C482" s="38">
        <v>45448</v>
      </c>
      <c r="D482" t="str">
        <v>Very satisfied with the claim process.</v>
      </c>
      <c r="E482">
        <v>5</v>
      </c>
      <c r="F482" t="str">
        <v>No</v>
      </c>
      <c r="G482" t="str">
        <v>Yes</v>
      </c>
      <c r="H482" t="str">
        <v>Valid</v>
      </c>
    </row>
    <row r="483" spans="1:8" x14ac:dyDescent="0.3">
      <c r="A483" t="str">
        <v>FDB80764</v>
      </c>
      <c r="B483" t="str">
        <v>CUST11618</v>
      </c>
      <c r="C483" s="38">
        <v>45729</v>
      </c>
      <c r="D483" t="str">
        <v>Smooth experience with no issues.</v>
      </c>
      <c r="E483">
        <v>5</v>
      </c>
      <c r="F483" t="str">
        <v>Yes</v>
      </c>
      <c r="G483" t="str">
        <v>No</v>
      </c>
      <c r="H483" t="str">
        <v>Valid</v>
      </c>
    </row>
    <row r="484" spans="1:8" x14ac:dyDescent="0.3">
      <c r="A484" t="str">
        <v>FDB80766</v>
      </c>
      <c r="B484" t="str">
        <v>CUST10326</v>
      </c>
      <c r="C484" s="38">
        <v>46089</v>
      </c>
      <c r="D484" t="str">
        <v>I'm not happy with the premium charged.</v>
      </c>
      <c r="E484">
        <v>2</v>
      </c>
      <c r="F484" t="str">
        <v>No</v>
      </c>
      <c r="G484" t="str">
        <v>No</v>
      </c>
      <c r="H484" t="str">
        <v>Valid</v>
      </c>
    </row>
    <row r="485" spans="1:8" x14ac:dyDescent="0.3">
      <c r="A485" t="str">
        <v>FDB80767</v>
      </c>
      <c r="B485" t="str">
        <v>CUST10470</v>
      </c>
      <c r="C485" s="38">
        <v>46250</v>
      </c>
      <c r="D485" t="str">
        <v>The agent was helpful and explained everything.</v>
      </c>
      <c r="E485">
        <v>4</v>
      </c>
      <c r="F485" t="str">
        <v>No</v>
      </c>
      <c r="G485" t="str">
        <v>No</v>
      </c>
      <c r="H485" t="str">
        <v>Valid</v>
      </c>
    </row>
    <row r="486" spans="1:8" x14ac:dyDescent="0.3">
      <c r="A486" t="str">
        <v>FDB80769</v>
      </c>
      <c r="B486" t="str">
        <v>CUST10264</v>
      </c>
      <c r="C486" s="38">
        <v>45283</v>
      </c>
      <c r="D486" t="str">
        <v>Had to wait too long for claim approval.</v>
      </c>
      <c r="E486">
        <v>1</v>
      </c>
      <c r="F486" t="str">
        <v>Yes</v>
      </c>
      <c r="G486" t="str">
        <v>No</v>
      </c>
      <c r="H486" t="str">
        <v>Valid</v>
      </c>
    </row>
    <row r="487" spans="1:8" x14ac:dyDescent="0.3">
      <c r="A487" t="str">
        <v>FDB80770</v>
      </c>
      <c r="B487" t="str">
        <v>CUST10254</v>
      </c>
      <c r="C487" s="38">
        <v>46056</v>
      </c>
      <c r="D487" t="str">
        <v>The mobile app experience was intuitive.</v>
      </c>
      <c r="E487">
        <v>4</v>
      </c>
      <c r="F487" t="str">
        <v>Yes</v>
      </c>
      <c r="G487" t="str">
        <v>No</v>
      </c>
      <c r="H487" t="str">
        <v>Valid</v>
      </c>
    </row>
    <row r="488" spans="1:8" x14ac:dyDescent="0.3">
      <c r="A488" t="str">
        <v>FDB80771</v>
      </c>
      <c r="B488" t="str">
        <v>CUST10415</v>
      </c>
      <c r="C488" s="38">
        <v>45439</v>
      </c>
      <c r="D488" t="str">
        <v>Had to wait too long for claim approval.</v>
      </c>
      <c r="E488">
        <v>2</v>
      </c>
      <c r="F488" t="str">
        <v>No</v>
      </c>
      <c r="G488" t="str">
        <v>No</v>
      </c>
      <c r="H488" t="str">
        <v>Valid</v>
      </c>
    </row>
    <row r="489" spans="1:8" x14ac:dyDescent="0.3">
      <c r="A489" t="str">
        <v>FDB80773</v>
      </c>
      <c r="B489" t="str">
        <v>CUST11593</v>
      </c>
      <c r="C489" s="38">
        <v>45820</v>
      </c>
      <c r="D489" t="str">
        <v>The mobile app experience was intuitive.</v>
      </c>
      <c r="E489">
        <v>4</v>
      </c>
      <c r="F489" t="str">
        <v>No</v>
      </c>
      <c r="G489" t="str">
        <v>No</v>
      </c>
      <c r="H489" t="str">
        <v>Valid</v>
      </c>
    </row>
    <row r="490" spans="1:8" x14ac:dyDescent="0.3">
      <c r="A490" t="str">
        <v>FDB80776</v>
      </c>
      <c r="B490" t="str">
        <v>CUST11306</v>
      </c>
      <c r="C490" s="38">
        <v>46028</v>
      </c>
      <c r="D490" t="str">
        <v>Frustrated with repeated documentation requests.</v>
      </c>
      <c r="E490">
        <v>2</v>
      </c>
      <c r="F490" t="str">
        <v>No</v>
      </c>
      <c r="G490" t="str">
        <v>No</v>
      </c>
      <c r="H490" t="str">
        <v>Valid</v>
      </c>
    </row>
    <row r="491" spans="1:8" x14ac:dyDescent="0.3">
      <c r="A491" t="str">
        <v>FDB80777</v>
      </c>
      <c r="B491" t="str">
        <v>CUST10449</v>
      </c>
      <c r="C491" s="38">
        <v>45949</v>
      </c>
      <c r="D491" t="str">
        <v>The mobile app experience was intuitive.</v>
      </c>
      <c r="E491">
        <v>4</v>
      </c>
      <c r="F491" t="str">
        <v>Yes</v>
      </c>
      <c r="G491" t="str">
        <v>No</v>
      </c>
      <c r="H491" t="str">
        <v>Valid</v>
      </c>
    </row>
    <row r="492" spans="1:8" x14ac:dyDescent="0.3">
      <c r="A492" t="str">
        <v>FDB80780</v>
      </c>
      <c r="B492" t="str">
        <v>CUST11010</v>
      </c>
      <c r="C492" s="38">
        <v>45584</v>
      </c>
      <c r="D492" t="str">
        <v>The agent was helpful and explained everything.</v>
      </c>
      <c r="E492">
        <v>4</v>
      </c>
      <c r="F492" t="str">
        <v>No</v>
      </c>
      <c r="G492" t="str">
        <v>No</v>
      </c>
      <c r="H492" t="str">
        <v>Valid</v>
      </c>
    </row>
    <row r="493" spans="1:8" x14ac:dyDescent="0.3">
      <c r="A493" t="str">
        <v>FDB80781</v>
      </c>
      <c r="B493" t="str">
        <v>CUST10429</v>
      </c>
      <c r="C493" s="38">
        <v>45741</v>
      </c>
      <c r="D493" t="str">
        <v>Claim process could be faster.</v>
      </c>
      <c r="E493">
        <v>3</v>
      </c>
      <c r="F493" t="str">
        <v>Yes</v>
      </c>
      <c r="G493" t="str">
        <v>Yes</v>
      </c>
      <c r="H493" t="str">
        <v>Valid</v>
      </c>
    </row>
    <row r="494" spans="1:8" x14ac:dyDescent="0.3">
      <c r="A494" t="str">
        <v>FDB80782</v>
      </c>
      <c r="B494" t="str">
        <v>CUST10742</v>
      </c>
      <c r="C494" s="38">
        <v>46187</v>
      </c>
      <c r="D494" t="str">
        <v>Frustrated with repeated documentation requests.</v>
      </c>
      <c r="E494">
        <v>2</v>
      </c>
      <c r="F494" t="str">
        <v>No</v>
      </c>
      <c r="G494" t="str">
        <v>No</v>
      </c>
      <c r="H494" t="str">
        <v>Valid</v>
      </c>
    </row>
    <row r="495" spans="1:8" x14ac:dyDescent="0.3">
      <c r="A495" t="str">
        <v>FDB80784</v>
      </c>
      <c r="B495" t="str">
        <v>CUST10200</v>
      </c>
      <c r="C495" s="38">
        <v>45832</v>
      </c>
      <c r="D495" t="str">
        <v>Very satisfied with the claim process.</v>
      </c>
      <c r="E495">
        <v>5</v>
      </c>
      <c r="F495" t="str">
        <v>Yes</v>
      </c>
      <c r="G495" t="str">
        <v>No</v>
      </c>
      <c r="H495" t="str">
        <v>Valid</v>
      </c>
    </row>
    <row r="496" spans="1:8" x14ac:dyDescent="0.3">
      <c r="A496" t="str">
        <v>FDB80785</v>
      </c>
      <c r="B496" t="str">
        <v>CUST10039</v>
      </c>
      <c r="C496" s="38">
        <v>45820</v>
      </c>
      <c r="D496" t="str">
        <v>Claim process could be faster.</v>
      </c>
      <c r="E496">
        <v>2</v>
      </c>
      <c r="F496" t="str">
        <v>No</v>
      </c>
      <c r="G496" t="str">
        <v>No</v>
      </c>
      <c r="H496" t="str">
        <v>Valid</v>
      </c>
    </row>
    <row r="497" spans="1:8" x14ac:dyDescent="0.3">
      <c r="A497" t="str">
        <v>FDB80786</v>
      </c>
      <c r="B497" t="str">
        <v>CUST10043</v>
      </c>
      <c r="C497" s="38">
        <v>46042</v>
      </c>
      <c r="D497" t="str">
        <v>Smooth experience with no issues.</v>
      </c>
      <c r="E497">
        <v>5</v>
      </c>
      <c r="F497" t="str">
        <v>Yes</v>
      </c>
      <c r="G497" t="str">
        <v>No</v>
      </c>
      <c r="H497" t="str">
        <v>Valid</v>
      </c>
    </row>
    <row r="498" spans="1:8" x14ac:dyDescent="0.3">
      <c r="A498" t="str">
        <v>FDB80787</v>
      </c>
      <c r="B498" t="str">
        <v>CUST11123</v>
      </c>
      <c r="C498" s="38">
        <v>46218</v>
      </c>
      <c r="D498" t="str">
        <v>Need more clarity on policy coverage.</v>
      </c>
      <c r="E498">
        <v>2</v>
      </c>
      <c r="F498" t="str">
        <v>Yes</v>
      </c>
      <c r="G498" t="str">
        <v>No</v>
      </c>
      <c r="H498" t="str">
        <v>Valid</v>
      </c>
    </row>
    <row r="499" spans="1:8" x14ac:dyDescent="0.3">
      <c r="A499" t="str">
        <v>FDB80788</v>
      </c>
      <c r="B499" t="str">
        <v>CUST10869</v>
      </c>
      <c r="C499" s="38">
        <v>45803</v>
      </c>
      <c r="D499" t="str">
        <v>Excellent customer service support.</v>
      </c>
      <c r="E499">
        <v>4</v>
      </c>
      <c r="F499" t="str">
        <v>Yes</v>
      </c>
      <c r="G499" t="str">
        <v>No</v>
      </c>
      <c r="H499" t="str">
        <v>Valid</v>
      </c>
    </row>
    <row r="500" spans="1:8" x14ac:dyDescent="0.3">
      <c r="A500" t="str">
        <v>FDB80789</v>
      </c>
      <c r="B500" t="str">
        <v>CUST11582</v>
      </c>
      <c r="C500" s="38">
        <v>45301</v>
      </c>
      <c r="D500" t="str">
        <v>I'm not happy with the premium charged.</v>
      </c>
      <c r="E500">
        <v>2</v>
      </c>
      <c r="F500" t="str">
        <v>No</v>
      </c>
      <c r="G500" t="str">
        <v>No</v>
      </c>
      <c r="H500" t="str">
        <v>Valid</v>
      </c>
    </row>
    <row r="501" spans="1:8" x14ac:dyDescent="0.3">
      <c r="A501" t="str">
        <v>FDB80791</v>
      </c>
      <c r="B501" t="str">
        <v>CUST10278</v>
      </c>
      <c r="C501" s="38">
        <v>45568</v>
      </c>
      <c r="D501" t="str">
        <v>I'm not happy with the premium charged.</v>
      </c>
      <c r="E501">
        <v>2</v>
      </c>
      <c r="F501" t="str">
        <v>No</v>
      </c>
      <c r="G501" t="str">
        <v>No</v>
      </c>
      <c r="H501" t="str">
        <v>Valid</v>
      </c>
    </row>
    <row r="502" spans="1:8" x14ac:dyDescent="0.3">
      <c r="A502" t="str">
        <v>FDB80792</v>
      </c>
      <c r="B502" t="str">
        <v>CUST10384</v>
      </c>
      <c r="C502" s="38">
        <v>45910</v>
      </c>
      <c r="D502" t="str">
        <v>Smooth experience with no issues.</v>
      </c>
      <c r="E502">
        <v>4</v>
      </c>
      <c r="F502" t="str">
        <v>No</v>
      </c>
      <c r="G502" t="str">
        <v>No</v>
      </c>
      <c r="H502" t="str">
        <v>Valid</v>
      </c>
    </row>
    <row r="503" spans="1:8" x14ac:dyDescent="0.3">
      <c r="A503" t="str">
        <v>FDB80793</v>
      </c>
      <c r="B503" t="str">
        <v>CUST10935</v>
      </c>
      <c r="C503" s="38">
        <v>46163</v>
      </c>
      <c r="D503" t="str">
        <v>Need more clarity on policy coverage.</v>
      </c>
      <c r="E503">
        <v>2</v>
      </c>
      <c r="F503" t="str">
        <v>Yes</v>
      </c>
      <c r="G503" t="str">
        <v>No</v>
      </c>
      <c r="H503" t="str">
        <v>Valid</v>
      </c>
    </row>
    <row r="504" spans="1:8" x14ac:dyDescent="0.3">
      <c r="A504" t="str">
        <v>FDB80794</v>
      </c>
      <c r="B504" t="str">
        <v>CUST10922</v>
      </c>
      <c r="C504" s="38">
        <v>45635</v>
      </c>
      <c r="D504" t="str">
        <v>I'm not happy with the premium charged.</v>
      </c>
      <c r="E504">
        <v>2</v>
      </c>
      <c r="F504" t="str">
        <v>No</v>
      </c>
      <c r="G504" t="str">
        <v>No</v>
      </c>
      <c r="H504" t="str">
        <v>Valid</v>
      </c>
    </row>
    <row r="505" spans="1:8" x14ac:dyDescent="0.3">
      <c r="A505" t="str">
        <v>FDB80796</v>
      </c>
      <c r="B505" t="str">
        <v>CUST10053</v>
      </c>
      <c r="C505" s="38">
        <v>45988</v>
      </c>
      <c r="D505" t="str">
        <v>Need more clarity on policy coverage.</v>
      </c>
      <c r="E505">
        <v>2</v>
      </c>
      <c r="F505" t="str">
        <v>No</v>
      </c>
      <c r="G505" t="str">
        <v>No</v>
      </c>
      <c r="H505" t="str">
        <v>Valid</v>
      </c>
    </row>
    <row r="506" spans="1:8" x14ac:dyDescent="0.3">
      <c r="A506" t="str">
        <v>FDB80797</v>
      </c>
      <c r="B506" t="str">
        <v>CUST10608</v>
      </c>
      <c r="C506" s="38">
        <v>45553</v>
      </c>
      <c r="D506" t="str">
        <v>Need more clarity on policy coverage.</v>
      </c>
      <c r="E506">
        <v>2</v>
      </c>
      <c r="F506" t="str">
        <v>Yes</v>
      </c>
      <c r="G506" t="str">
        <v>No</v>
      </c>
      <c r="H506" t="str">
        <v>Valid</v>
      </c>
    </row>
    <row r="507" spans="1:8" x14ac:dyDescent="0.3">
      <c r="A507" t="str">
        <v>FDB80798</v>
      </c>
      <c r="B507" t="str">
        <v>CUST10636</v>
      </c>
      <c r="C507" s="38">
        <v>46036</v>
      </c>
      <c r="D507" t="str">
        <v>The mobile app experience was intuitive.</v>
      </c>
      <c r="E507">
        <v>4</v>
      </c>
      <c r="F507" t="str">
        <v>Yes</v>
      </c>
      <c r="G507" t="str">
        <v>No</v>
      </c>
      <c r="H507" t="str">
        <v>Valid</v>
      </c>
    </row>
    <row r="508" spans="1:8" x14ac:dyDescent="0.3">
      <c r="A508" t="str">
        <v>FDB80799</v>
      </c>
      <c r="B508" t="str">
        <v>CUST10544</v>
      </c>
      <c r="C508" s="38">
        <v>46107</v>
      </c>
      <c r="D508" t="str">
        <v>Excellent customer service support.</v>
      </c>
      <c r="E508">
        <v>4</v>
      </c>
      <c r="F508" t="str">
        <v>No</v>
      </c>
      <c r="G508" t="str">
        <v>No</v>
      </c>
      <c r="H508" t="str">
        <v>Valid</v>
      </c>
    </row>
    <row r="509" spans="1:8" x14ac:dyDescent="0.3">
      <c r="A509" t="str">
        <v>FDB80800</v>
      </c>
      <c r="B509" t="str">
        <v>CUST10868</v>
      </c>
      <c r="C509" s="38">
        <v>45801</v>
      </c>
      <c r="D509" t="str">
        <v>Need more clarity on policy coverage.</v>
      </c>
      <c r="E509">
        <v>2</v>
      </c>
      <c r="F509" t="str">
        <v>No</v>
      </c>
      <c r="G509" t="str">
        <v>Yes</v>
      </c>
      <c r="H509" t="str">
        <v>Valid</v>
      </c>
    </row>
    <row r="510" spans="1:8" x14ac:dyDescent="0.3">
      <c r="A510" t="str">
        <v>FDB80802</v>
      </c>
      <c r="B510" t="str">
        <v>CUST10160</v>
      </c>
      <c r="C510" s="38">
        <v>46203</v>
      </c>
      <c r="D510" t="str">
        <v>Had to wait too long for claim approval.</v>
      </c>
      <c r="E510">
        <v>2</v>
      </c>
      <c r="F510" t="str">
        <v>Yes</v>
      </c>
      <c r="G510" t="str">
        <v>No</v>
      </c>
      <c r="H510" t="str">
        <v>Valid</v>
      </c>
    </row>
    <row r="511" spans="1:8" x14ac:dyDescent="0.3">
      <c r="A511" t="str">
        <v>FDB80803</v>
      </c>
      <c r="B511" t="str">
        <v>CUST11328</v>
      </c>
      <c r="C511" s="38">
        <v>46064</v>
      </c>
      <c r="D511" t="str">
        <v>Had to wait too long for claim approval.</v>
      </c>
      <c r="E511">
        <v>1</v>
      </c>
      <c r="F511" t="str">
        <v>No</v>
      </c>
      <c r="G511" t="str">
        <v>Yes</v>
      </c>
      <c r="H511" t="str">
        <v>Valid</v>
      </c>
    </row>
    <row r="512" spans="1:8" x14ac:dyDescent="0.3">
      <c r="A512" t="str">
        <v>FDB80804</v>
      </c>
      <c r="B512" t="str">
        <v>CUST10962</v>
      </c>
      <c r="C512" s="38">
        <v>45861</v>
      </c>
      <c r="D512" t="str">
        <v>I'm not happy with the premium charged.</v>
      </c>
      <c r="E512">
        <v>2</v>
      </c>
      <c r="F512" t="str">
        <v>Yes</v>
      </c>
      <c r="G512" t="str">
        <v>No</v>
      </c>
      <c r="H512" t="str">
        <v>Valid</v>
      </c>
    </row>
    <row r="513" spans="1:8" x14ac:dyDescent="0.3">
      <c r="A513" t="str">
        <v>FDB80809</v>
      </c>
      <c r="B513" t="str">
        <v>CUST10200</v>
      </c>
      <c r="C513" s="38">
        <v>45199</v>
      </c>
      <c r="D513" t="str">
        <v>I'm not happy with the premium charged.</v>
      </c>
      <c r="E513">
        <v>2</v>
      </c>
      <c r="F513" t="str">
        <v>Yes</v>
      </c>
      <c r="G513" t="str">
        <v>No</v>
      </c>
      <c r="H513" t="str">
        <v>Valid</v>
      </c>
    </row>
    <row r="514" spans="1:8" x14ac:dyDescent="0.3">
      <c r="A514" t="str">
        <v>FDB80810</v>
      </c>
      <c r="B514" t="str">
        <v>CUST10621</v>
      </c>
      <c r="C514" s="38">
        <v>46209</v>
      </c>
      <c r="D514" t="str">
        <v>Need more clarity on policy coverage.</v>
      </c>
      <c r="E514">
        <v>2</v>
      </c>
      <c r="F514" t="str">
        <v>No</v>
      </c>
      <c r="G514" t="str">
        <v>No</v>
      </c>
      <c r="H514" t="str">
        <v>Valid</v>
      </c>
    </row>
    <row r="515" spans="1:8" x14ac:dyDescent="0.3">
      <c r="A515" t="str">
        <v>FDB80814</v>
      </c>
      <c r="B515" t="str">
        <v>CUST10982</v>
      </c>
      <c r="C515" s="38">
        <v>45972</v>
      </c>
      <c r="D515" t="str">
        <v>Smooth experience with no issues.</v>
      </c>
      <c r="E515">
        <v>5</v>
      </c>
      <c r="F515" t="str">
        <v>No</v>
      </c>
      <c r="G515" t="str">
        <v>No</v>
      </c>
      <c r="H515" t="str">
        <v>Valid</v>
      </c>
    </row>
    <row r="516" spans="1:8" x14ac:dyDescent="0.3">
      <c r="A516" t="str">
        <v>FDB80816</v>
      </c>
      <c r="B516" t="str">
        <v>CUST10838</v>
      </c>
      <c r="C516" s="38">
        <v>45450</v>
      </c>
      <c r="D516" t="str">
        <v>Very satisfied with the claim process.</v>
      </c>
      <c r="E516">
        <v>5</v>
      </c>
      <c r="F516" t="str">
        <v>No</v>
      </c>
      <c r="G516" t="str">
        <v>No</v>
      </c>
      <c r="H516" t="str">
        <v>Valid</v>
      </c>
    </row>
    <row r="517" spans="1:8" x14ac:dyDescent="0.3">
      <c r="A517" t="str">
        <v>FDB80817</v>
      </c>
      <c r="B517" t="str">
        <v>CUST10459</v>
      </c>
      <c r="C517" s="38">
        <v>46069</v>
      </c>
      <c r="D517" t="str">
        <v>Need more clarity on policy coverage.</v>
      </c>
      <c r="E517">
        <v>2</v>
      </c>
      <c r="F517" t="str">
        <v>No</v>
      </c>
      <c r="G517" t="str">
        <v>Yes</v>
      </c>
      <c r="H517" t="str">
        <v>Valid</v>
      </c>
    </row>
    <row r="518" spans="1:8" x14ac:dyDescent="0.3">
      <c r="A518" t="str">
        <v>FDB80818</v>
      </c>
      <c r="B518" t="str">
        <v>CUST10066</v>
      </c>
      <c r="C518" s="38">
        <v>45550</v>
      </c>
      <c r="D518" t="str">
        <v>Had to wait too long for claim approval.</v>
      </c>
      <c r="E518">
        <v>1</v>
      </c>
      <c r="F518" t="str">
        <v>No</v>
      </c>
      <c r="G518" t="str">
        <v>No</v>
      </c>
      <c r="H518" t="str">
        <v>Valid</v>
      </c>
    </row>
    <row r="519" spans="1:8" x14ac:dyDescent="0.3">
      <c r="A519" t="str">
        <v>FDB80819</v>
      </c>
      <c r="B519" t="str">
        <v>CUST10804</v>
      </c>
      <c r="C519" s="38">
        <v>46240</v>
      </c>
      <c r="D519" t="str">
        <v>Need more clarity on policy coverage.</v>
      </c>
      <c r="E519">
        <v>2</v>
      </c>
      <c r="F519" t="str">
        <v>No</v>
      </c>
      <c r="G519" t="str">
        <v>No</v>
      </c>
      <c r="H519" t="str">
        <v>Valid</v>
      </c>
    </row>
    <row r="520" spans="1:8" x14ac:dyDescent="0.3">
      <c r="A520" t="str">
        <v>FDB80822</v>
      </c>
      <c r="B520" t="str">
        <v>CUST10499</v>
      </c>
      <c r="C520" s="38">
        <v>45225</v>
      </c>
      <c r="D520" t="str">
        <v>Frustrated with repeated documentation requests.</v>
      </c>
      <c r="E520">
        <v>2</v>
      </c>
      <c r="F520" t="str">
        <v>Yes</v>
      </c>
      <c r="G520" t="str">
        <v>Yes</v>
      </c>
      <c r="H520" t="str">
        <v>Valid</v>
      </c>
    </row>
    <row r="521" spans="1:8" x14ac:dyDescent="0.3">
      <c r="A521" t="str">
        <v>FDB80824</v>
      </c>
      <c r="B521" t="str">
        <v>CUST10985</v>
      </c>
      <c r="C521" s="38">
        <v>46259</v>
      </c>
      <c r="D521" t="str">
        <v>The agent was helpful and explained everything.</v>
      </c>
      <c r="E521">
        <v>4</v>
      </c>
      <c r="F521" t="str">
        <v>Yes</v>
      </c>
      <c r="G521" t="str">
        <v>Yes</v>
      </c>
      <c r="H521" t="str">
        <v>Valid</v>
      </c>
    </row>
    <row r="522" spans="1:8" x14ac:dyDescent="0.3">
      <c r="A522" t="str">
        <v>FDB80825</v>
      </c>
      <c r="B522" t="str">
        <v>CUST10709</v>
      </c>
      <c r="C522" s="38">
        <v>45461</v>
      </c>
      <c r="D522" t="str">
        <v>Claim process could be faster.</v>
      </c>
      <c r="E522">
        <v>3</v>
      </c>
      <c r="F522" t="str">
        <v>Yes</v>
      </c>
      <c r="G522" t="str">
        <v>No</v>
      </c>
      <c r="H522" t="str">
        <v>Valid</v>
      </c>
    </row>
    <row r="523" spans="1:8" x14ac:dyDescent="0.3">
      <c r="A523" t="str">
        <v>FDB80826</v>
      </c>
      <c r="B523" t="str">
        <v>CUST11177</v>
      </c>
      <c r="C523" s="38">
        <v>46042</v>
      </c>
      <c r="D523" t="str">
        <v>Had to wait too long for claim approval.</v>
      </c>
      <c r="E523">
        <v>1</v>
      </c>
      <c r="F523" t="str">
        <v>No</v>
      </c>
      <c r="G523" t="str">
        <v>No</v>
      </c>
      <c r="H523" t="str">
        <v>Valid</v>
      </c>
    </row>
    <row r="524" spans="1:8" x14ac:dyDescent="0.3">
      <c r="A524" t="str">
        <v>FDB80827</v>
      </c>
      <c r="B524" t="str">
        <v>CUST10130</v>
      </c>
      <c r="C524" s="38">
        <v>45402</v>
      </c>
      <c r="D524" t="str">
        <v>Claim process could be faster.</v>
      </c>
      <c r="E524">
        <v>2</v>
      </c>
      <c r="F524" t="str">
        <v>Yes</v>
      </c>
      <c r="G524" t="str">
        <v>Yes</v>
      </c>
      <c r="H524" t="str">
        <v>Valid</v>
      </c>
    </row>
    <row r="525" spans="1:8" x14ac:dyDescent="0.3">
      <c r="A525" t="str">
        <v>FDB80828</v>
      </c>
      <c r="B525" t="str">
        <v>CUST11017</v>
      </c>
      <c r="C525" s="38">
        <v>46017</v>
      </c>
      <c r="D525" t="str">
        <v>Claim process could be faster.</v>
      </c>
      <c r="E525">
        <v>2</v>
      </c>
      <c r="F525" t="str">
        <v>No</v>
      </c>
      <c r="G525" t="str">
        <v>No</v>
      </c>
      <c r="H525" t="str">
        <v>Valid</v>
      </c>
    </row>
    <row r="526" spans="1:8" x14ac:dyDescent="0.3">
      <c r="A526" t="str">
        <v>FDB80829</v>
      </c>
      <c r="B526" t="str">
        <v>CUST10765</v>
      </c>
      <c r="C526" s="38">
        <v>45772</v>
      </c>
      <c r="D526" t="str">
        <v>Need more clarity on policy coverage.</v>
      </c>
      <c r="E526">
        <v>2</v>
      </c>
      <c r="F526" t="str">
        <v>No</v>
      </c>
      <c r="G526" t="str">
        <v>No</v>
      </c>
      <c r="H526" t="str">
        <v>Valid</v>
      </c>
    </row>
    <row r="527" spans="1:8" x14ac:dyDescent="0.3">
      <c r="A527" t="str">
        <v>FDB80830</v>
      </c>
      <c r="B527" t="str">
        <v>CUST11089</v>
      </c>
      <c r="C527" s="38">
        <v>45525</v>
      </c>
      <c r="D527" t="str">
        <v>Frustrated with repeated documentation requests.</v>
      </c>
      <c r="E527">
        <v>2</v>
      </c>
      <c r="F527" t="str">
        <v>No</v>
      </c>
      <c r="G527" t="str">
        <v>No</v>
      </c>
      <c r="H527" t="str">
        <v>Valid</v>
      </c>
    </row>
    <row r="528" spans="1:8" x14ac:dyDescent="0.3">
      <c r="A528" t="str">
        <v>FDB80831</v>
      </c>
      <c r="B528" t="str">
        <v>CUST10723</v>
      </c>
      <c r="C528" s="38">
        <v>45612</v>
      </c>
      <c r="D528" t="str">
        <v>The mobile app experience was intuitive.</v>
      </c>
      <c r="E528">
        <v>4</v>
      </c>
      <c r="F528" t="str">
        <v>Yes</v>
      </c>
      <c r="G528" t="str">
        <v>No</v>
      </c>
      <c r="H528" t="str">
        <v>Valid</v>
      </c>
    </row>
    <row r="529" spans="1:8" x14ac:dyDescent="0.3">
      <c r="A529" t="str">
        <v>FDB80833</v>
      </c>
      <c r="B529" t="str">
        <v>CUST11091</v>
      </c>
      <c r="C529" s="38">
        <v>46066</v>
      </c>
      <c r="D529" t="str">
        <v>Very satisfied with the claim process.</v>
      </c>
      <c r="E529">
        <v>5</v>
      </c>
      <c r="F529" t="str">
        <v>No</v>
      </c>
      <c r="G529" t="str">
        <v>Yes</v>
      </c>
      <c r="H529" t="str">
        <v>Valid</v>
      </c>
    </row>
    <row r="530" spans="1:8" x14ac:dyDescent="0.3">
      <c r="A530" t="str">
        <v>FDB80834</v>
      </c>
      <c r="B530" t="str">
        <v>CUST11009</v>
      </c>
      <c r="C530" s="38">
        <v>46098</v>
      </c>
      <c r="D530" t="str">
        <v>Frustrated with repeated documentation requests.</v>
      </c>
      <c r="E530">
        <v>2</v>
      </c>
      <c r="F530" t="str">
        <v>Yes</v>
      </c>
      <c r="G530" t="str">
        <v>No</v>
      </c>
      <c r="H530" t="str">
        <v>Valid</v>
      </c>
    </row>
    <row r="531" spans="1:8" x14ac:dyDescent="0.3">
      <c r="A531" t="str">
        <v>FDB80835</v>
      </c>
      <c r="B531" t="str">
        <v>CUST11084</v>
      </c>
      <c r="C531" s="38">
        <v>46111</v>
      </c>
      <c r="D531" t="str">
        <v>I'm not happy with the premium charged.</v>
      </c>
      <c r="E531">
        <v>2</v>
      </c>
      <c r="F531" t="str">
        <v>No</v>
      </c>
      <c r="G531" t="str">
        <v>No</v>
      </c>
      <c r="H531" t="str">
        <v>Valid</v>
      </c>
    </row>
    <row r="532" spans="1:8" x14ac:dyDescent="0.3">
      <c r="A532" t="str">
        <v>FDB80837</v>
      </c>
      <c r="B532" t="str">
        <v>CUST11247</v>
      </c>
      <c r="C532" s="38">
        <v>45848</v>
      </c>
      <c r="D532" t="str">
        <v>The agent was helpful and explained everything.</v>
      </c>
      <c r="E532">
        <v>4</v>
      </c>
      <c r="F532" t="str">
        <v>Yes</v>
      </c>
      <c r="G532" t="str">
        <v>No</v>
      </c>
      <c r="H532" t="str">
        <v>Valid</v>
      </c>
    </row>
    <row r="533" spans="1:8" x14ac:dyDescent="0.3">
      <c r="A533" t="str">
        <v>FDB80840</v>
      </c>
      <c r="B533" t="str">
        <v>CUST11553</v>
      </c>
      <c r="C533" s="38">
        <v>45422</v>
      </c>
      <c r="D533" t="str">
        <v>Excellent customer service support.</v>
      </c>
      <c r="E533">
        <v>5</v>
      </c>
      <c r="F533" t="str">
        <v>No</v>
      </c>
      <c r="G533" t="str">
        <v>Yes</v>
      </c>
      <c r="H533" t="str">
        <v>Valid</v>
      </c>
    </row>
    <row r="534" spans="1:8" x14ac:dyDescent="0.3">
      <c r="A534" t="str">
        <v>FDB80841</v>
      </c>
      <c r="B534" t="str">
        <v>CUST10037</v>
      </c>
      <c r="C534" s="38">
        <v>46081</v>
      </c>
      <c r="D534" t="str">
        <v>I'm not happy with the premium charged.</v>
      </c>
      <c r="E534">
        <v>2</v>
      </c>
      <c r="F534" t="str">
        <v>Yes</v>
      </c>
      <c r="G534" t="str">
        <v>No</v>
      </c>
      <c r="H534" t="str">
        <v>Valid</v>
      </c>
    </row>
    <row r="535" spans="1:8" x14ac:dyDescent="0.3">
      <c r="A535" t="str">
        <v>FDB80842</v>
      </c>
      <c r="B535" t="str">
        <v>CUST11504</v>
      </c>
      <c r="C535" s="38">
        <v>45284</v>
      </c>
      <c r="D535" t="str">
        <v>The agent was helpful and explained everything.</v>
      </c>
      <c r="E535">
        <v>4</v>
      </c>
      <c r="F535" t="str">
        <v>No</v>
      </c>
      <c r="G535" t="str">
        <v>Yes</v>
      </c>
      <c r="H535" t="str">
        <v>Valid</v>
      </c>
    </row>
    <row r="536" spans="1:8" x14ac:dyDescent="0.3">
      <c r="A536" t="str">
        <v>FDB80845</v>
      </c>
      <c r="B536" t="str">
        <v>CUST10328</v>
      </c>
      <c r="C536" s="38">
        <v>45515</v>
      </c>
      <c r="D536" t="str">
        <v>Need more clarity on policy coverage.</v>
      </c>
      <c r="E536">
        <v>2</v>
      </c>
      <c r="F536" t="str">
        <v>No</v>
      </c>
      <c r="G536" t="str">
        <v>No</v>
      </c>
      <c r="H536" t="str">
        <v>Valid</v>
      </c>
    </row>
    <row r="537" spans="1:8" x14ac:dyDescent="0.3">
      <c r="A537" t="str">
        <v>FDB80846</v>
      </c>
      <c r="B537" t="str">
        <v>CUST10604</v>
      </c>
      <c r="C537" s="38">
        <v>45717</v>
      </c>
      <c r="D537" t="str">
        <v>Very satisfied with the claim process.</v>
      </c>
      <c r="E537">
        <v>4</v>
      </c>
      <c r="F537" t="str">
        <v>Yes</v>
      </c>
      <c r="G537" t="str">
        <v>No</v>
      </c>
      <c r="H537" t="str">
        <v>Valid</v>
      </c>
    </row>
    <row r="538" spans="1:8" x14ac:dyDescent="0.3">
      <c r="A538" t="str">
        <v>FDB80847</v>
      </c>
      <c r="B538" t="str">
        <v>CUST11414</v>
      </c>
      <c r="C538" s="38">
        <v>45377</v>
      </c>
      <c r="D538" t="str">
        <v>Very satisfied with the claim process.</v>
      </c>
      <c r="E538">
        <v>5</v>
      </c>
      <c r="F538" t="str">
        <v>No</v>
      </c>
      <c r="G538" t="str">
        <v>No</v>
      </c>
      <c r="H538" t="str">
        <v>Valid</v>
      </c>
    </row>
    <row r="539" spans="1:8" x14ac:dyDescent="0.3">
      <c r="A539" t="str">
        <v>FDB80848</v>
      </c>
      <c r="B539" t="str">
        <v>CUST10593</v>
      </c>
      <c r="C539" s="38">
        <v>45592</v>
      </c>
      <c r="D539" t="str">
        <v>Smooth experience with no issues.</v>
      </c>
      <c r="E539">
        <v>5</v>
      </c>
      <c r="F539" t="str">
        <v>No</v>
      </c>
      <c r="G539" t="str">
        <v>No</v>
      </c>
      <c r="H539" t="str">
        <v>Valid</v>
      </c>
    </row>
    <row r="540" spans="1:8" x14ac:dyDescent="0.3">
      <c r="A540" t="str">
        <v>FDB80849</v>
      </c>
      <c r="B540" t="str">
        <v>CUST10548</v>
      </c>
      <c r="C540" s="38">
        <v>45463</v>
      </c>
      <c r="D540" t="str">
        <v>Need more clarity on policy coverage.</v>
      </c>
      <c r="E540">
        <v>2</v>
      </c>
      <c r="F540" t="str">
        <v>No</v>
      </c>
      <c r="G540" t="str">
        <v>No</v>
      </c>
      <c r="H540" t="str">
        <v>Valid</v>
      </c>
    </row>
    <row r="541" spans="1:8" x14ac:dyDescent="0.3">
      <c r="A541" t="str">
        <v>FDB80851</v>
      </c>
      <c r="B541" t="str">
        <v>CUST10700</v>
      </c>
      <c r="C541" s="38">
        <v>45557</v>
      </c>
      <c r="D541" t="str">
        <v>Frustrated with repeated documentation requests.</v>
      </c>
      <c r="E541">
        <v>2</v>
      </c>
      <c r="F541" t="str">
        <v>No</v>
      </c>
      <c r="G541" t="str">
        <v>No</v>
      </c>
      <c r="H541" t="str">
        <v>Valid</v>
      </c>
    </row>
    <row r="542" spans="1:8" x14ac:dyDescent="0.3">
      <c r="A542" t="str">
        <v>FDB80855</v>
      </c>
      <c r="B542" t="str">
        <v>CUST11353</v>
      </c>
      <c r="C542" s="38">
        <v>46224</v>
      </c>
      <c r="D542" t="str">
        <v>I'm not happy with the premium charged.</v>
      </c>
      <c r="E542">
        <v>2</v>
      </c>
      <c r="F542" t="str">
        <v>Yes</v>
      </c>
      <c r="G542" t="str">
        <v>Yes</v>
      </c>
      <c r="H542" t="str">
        <v>Valid</v>
      </c>
    </row>
    <row r="543" spans="1:8" x14ac:dyDescent="0.3">
      <c r="A543" t="str">
        <v>FDB80856</v>
      </c>
      <c r="B543" t="str">
        <v>CUST10161</v>
      </c>
      <c r="C543" s="38">
        <v>45526</v>
      </c>
      <c r="D543" t="str">
        <v>Smooth experience with no issues.</v>
      </c>
      <c r="E543">
        <v>5</v>
      </c>
      <c r="F543" t="str">
        <v>No</v>
      </c>
      <c r="G543" t="str">
        <v>Yes</v>
      </c>
      <c r="H543" t="str">
        <v>Valid</v>
      </c>
    </row>
    <row r="544" spans="1:8" x14ac:dyDescent="0.3">
      <c r="A544" t="str">
        <v>FDB80858</v>
      </c>
      <c r="B544" t="str">
        <v>CUST10802</v>
      </c>
      <c r="C544" s="38">
        <v>45810</v>
      </c>
      <c r="D544" t="str">
        <v>Very satisfied with the claim process.</v>
      </c>
      <c r="E544">
        <v>5</v>
      </c>
      <c r="F544" t="str">
        <v>Yes</v>
      </c>
      <c r="G544" t="str">
        <v>No</v>
      </c>
      <c r="H544" t="str">
        <v>Valid</v>
      </c>
    </row>
    <row r="545" spans="1:8" x14ac:dyDescent="0.3">
      <c r="A545" t="str">
        <v>FDB80863</v>
      </c>
      <c r="B545" t="str">
        <v>CUST11003</v>
      </c>
      <c r="C545" s="38">
        <v>45762</v>
      </c>
      <c r="D545" t="str">
        <v>Had to wait too long for claim approval.</v>
      </c>
      <c r="E545">
        <v>1</v>
      </c>
      <c r="F545" t="str">
        <v>Yes</v>
      </c>
      <c r="G545" t="str">
        <v>Yes</v>
      </c>
      <c r="H545" t="str">
        <v>Valid</v>
      </c>
    </row>
    <row r="546" spans="1:8" x14ac:dyDescent="0.3">
      <c r="A546" t="str">
        <v>FDB80864</v>
      </c>
      <c r="B546" t="str">
        <v>CUST10980</v>
      </c>
      <c r="C546" s="38">
        <v>45609</v>
      </c>
      <c r="D546" t="str">
        <v>Had to wait too long for claim approval.</v>
      </c>
      <c r="E546">
        <v>1</v>
      </c>
      <c r="F546" t="str">
        <v>Yes</v>
      </c>
      <c r="G546" t="str">
        <v>Yes</v>
      </c>
      <c r="H546" t="str">
        <v>Valid</v>
      </c>
    </row>
    <row r="547" spans="1:8" x14ac:dyDescent="0.3">
      <c r="A547" t="str">
        <v>FDB80866</v>
      </c>
      <c r="B547" t="str">
        <v>CUST11371</v>
      </c>
      <c r="C547" s="38">
        <v>45390</v>
      </c>
      <c r="D547" t="str">
        <v>The agent was helpful and explained everything.</v>
      </c>
      <c r="E547">
        <v>4</v>
      </c>
      <c r="F547" t="str">
        <v>Yes</v>
      </c>
      <c r="G547" t="str">
        <v>No</v>
      </c>
      <c r="H547" t="str">
        <v>Valid</v>
      </c>
    </row>
    <row r="548" spans="1:8" x14ac:dyDescent="0.3">
      <c r="A548" t="str">
        <v>FDB80867</v>
      </c>
      <c r="B548" t="str">
        <v>CUST11506</v>
      </c>
      <c r="C548" s="38">
        <v>45272</v>
      </c>
      <c r="D548" t="str">
        <v>Had to wait too long for claim approval.</v>
      </c>
      <c r="E548">
        <v>2</v>
      </c>
      <c r="F548" t="str">
        <v>No</v>
      </c>
      <c r="G548" t="str">
        <v>Yes</v>
      </c>
      <c r="H548" t="str">
        <v>Valid</v>
      </c>
    </row>
    <row r="549" spans="1:8" x14ac:dyDescent="0.3">
      <c r="A549" t="str">
        <v>FDB80869</v>
      </c>
      <c r="B549" t="str">
        <v>CUST11630</v>
      </c>
      <c r="C549" s="38">
        <v>46134</v>
      </c>
      <c r="D549" t="str">
        <v>Smooth experience with no issues.</v>
      </c>
      <c r="E549">
        <v>5</v>
      </c>
      <c r="F549" t="str">
        <v>No</v>
      </c>
      <c r="G549" t="str">
        <v>No</v>
      </c>
      <c r="H549" t="str">
        <v>Valid</v>
      </c>
    </row>
    <row r="550" spans="1:8" x14ac:dyDescent="0.3">
      <c r="A550" t="str">
        <v>FDB80870</v>
      </c>
      <c r="B550" t="str">
        <v>CUST10132</v>
      </c>
      <c r="C550" s="38">
        <v>45616</v>
      </c>
      <c r="D550" t="str">
        <v>Had to wait too long for claim approval.</v>
      </c>
      <c r="E550">
        <v>2</v>
      </c>
      <c r="F550" t="str">
        <v>No</v>
      </c>
      <c r="G550" t="str">
        <v>No</v>
      </c>
      <c r="H550" t="str">
        <v>Valid</v>
      </c>
    </row>
    <row r="551" spans="1:8" x14ac:dyDescent="0.3">
      <c r="A551" t="str">
        <v>FDB80871</v>
      </c>
      <c r="B551" t="str">
        <v>CUST10134</v>
      </c>
      <c r="C551" s="38">
        <v>45461</v>
      </c>
      <c r="D551" t="str">
        <v>Frustrated with repeated documentation requests.</v>
      </c>
      <c r="E551">
        <v>2</v>
      </c>
      <c r="F551" t="str">
        <v>Yes</v>
      </c>
      <c r="G551" t="str">
        <v>Yes</v>
      </c>
      <c r="H551" t="str">
        <v>Valid</v>
      </c>
    </row>
    <row r="552" spans="1:8" x14ac:dyDescent="0.3">
      <c r="A552" t="str">
        <v>FDB80872</v>
      </c>
      <c r="B552" t="str">
        <v>CUST10366</v>
      </c>
      <c r="C552" s="38">
        <v>45957</v>
      </c>
      <c r="D552" t="str">
        <v>The mobile app experience was intuitive.</v>
      </c>
      <c r="E552">
        <v>4</v>
      </c>
      <c r="F552" t="str">
        <v>No</v>
      </c>
      <c r="G552" t="str">
        <v>No</v>
      </c>
      <c r="H552" t="str">
        <v>Valid</v>
      </c>
    </row>
    <row r="553" spans="1:8" x14ac:dyDescent="0.3">
      <c r="A553" t="str">
        <v>FDB80876</v>
      </c>
      <c r="B553" t="str">
        <v>CUST10091</v>
      </c>
      <c r="C553" s="38">
        <v>45286</v>
      </c>
      <c r="D553" t="str">
        <v>Excellent customer service support.</v>
      </c>
      <c r="E553">
        <v>5</v>
      </c>
      <c r="F553" t="str">
        <v>No</v>
      </c>
      <c r="G553" t="str">
        <v>No</v>
      </c>
      <c r="H553" t="str">
        <v>Valid</v>
      </c>
    </row>
    <row r="554" spans="1:8" x14ac:dyDescent="0.3">
      <c r="A554" t="str">
        <v>FDB80878</v>
      </c>
      <c r="B554" t="str">
        <v>CUST11316</v>
      </c>
      <c r="C554" s="38">
        <v>46065</v>
      </c>
      <c r="D554" t="str">
        <v>Frustrated with repeated documentation requests.</v>
      </c>
      <c r="E554">
        <v>2</v>
      </c>
      <c r="F554" t="str">
        <v>Yes</v>
      </c>
      <c r="G554" t="str">
        <v>No</v>
      </c>
      <c r="H554" t="str">
        <v>Valid</v>
      </c>
    </row>
    <row r="555" spans="1:8" x14ac:dyDescent="0.3">
      <c r="A555" t="str">
        <v>FDB80879</v>
      </c>
      <c r="B555" t="str">
        <v>CUST10222</v>
      </c>
      <c r="C555" s="38">
        <v>46145</v>
      </c>
      <c r="D555" t="str">
        <v>Smooth experience with no issues.</v>
      </c>
      <c r="E555">
        <v>5</v>
      </c>
      <c r="F555" t="str">
        <v>No</v>
      </c>
      <c r="G555" t="str">
        <v>No</v>
      </c>
      <c r="H555" t="str">
        <v>Valid</v>
      </c>
    </row>
    <row r="556" spans="1:8" x14ac:dyDescent="0.3">
      <c r="A556" t="str">
        <v>FDB80881</v>
      </c>
      <c r="B556" t="str">
        <v>CUST10241</v>
      </c>
      <c r="C556" s="38">
        <v>45797</v>
      </c>
      <c r="D556" t="str">
        <v>Very satisfied with the claim process.</v>
      </c>
      <c r="E556">
        <v>4</v>
      </c>
      <c r="F556" t="str">
        <v>No</v>
      </c>
      <c r="G556" t="str">
        <v>No</v>
      </c>
      <c r="H556" t="str">
        <v>Valid</v>
      </c>
    </row>
    <row r="557" spans="1:8" x14ac:dyDescent="0.3">
      <c r="A557" t="str">
        <v>FDB80882</v>
      </c>
      <c r="B557" t="str">
        <v>CUST10123</v>
      </c>
      <c r="C557" s="38">
        <v>45263</v>
      </c>
      <c r="D557" t="str">
        <v>Frustrated with repeated documentation requests.</v>
      </c>
      <c r="E557">
        <v>2</v>
      </c>
      <c r="F557" t="str">
        <v>No</v>
      </c>
      <c r="G557" t="str">
        <v>No</v>
      </c>
      <c r="H557" t="str">
        <v>Valid</v>
      </c>
    </row>
    <row r="558" spans="1:8" x14ac:dyDescent="0.3">
      <c r="A558" t="str">
        <v>FDB80883</v>
      </c>
      <c r="B558" t="str">
        <v>CUST10605</v>
      </c>
      <c r="C558" s="38">
        <v>46268</v>
      </c>
      <c r="D558" t="str">
        <v>Very satisfied with the claim process.</v>
      </c>
      <c r="E558">
        <v>5</v>
      </c>
      <c r="F558" t="str">
        <v>No</v>
      </c>
      <c r="G558" t="str">
        <v>No</v>
      </c>
      <c r="H558" t="str">
        <v>Valid</v>
      </c>
    </row>
    <row r="559" spans="1:8" x14ac:dyDescent="0.3">
      <c r="A559" t="str">
        <v>FDB80885</v>
      </c>
      <c r="B559" t="str">
        <v>CUST11028</v>
      </c>
      <c r="C559" s="38">
        <v>45217</v>
      </c>
      <c r="D559" t="str">
        <v>Very satisfied with the claim process.</v>
      </c>
      <c r="E559">
        <v>5</v>
      </c>
      <c r="F559" t="str">
        <v>No</v>
      </c>
      <c r="G559" t="str">
        <v>No</v>
      </c>
      <c r="H559" t="str">
        <v>Valid</v>
      </c>
    </row>
    <row r="560" spans="1:8" x14ac:dyDescent="0.3">
      <c r="A560" t="str">
        <v>FDB80886</v>
      </c>
      <c r="B560" t="str">
        <v>CUST11228</v>
      </c>
      <c r="C560" s="38">
        <v>45773</v>
      </c>
      <c r="D560" t="str">
        <v>The agent was helpful and explained everything.</v>
      </c>
      <c r="E560">
        <v>5</v>
      </c>
      <c r="F560" t="str">
        <v>Yes</v>
      </c>
      <c r="G560" t="str">
        <v>No</v>
      </c>
      <c r="H560" t="str">
        <v>Valid</v>
      </c>
    </row>
    <row r="561" spans="1:8" x14ac:dyDescent="0.3">
      <c r="A561" t="str">
        <v>FDB80887</v>
      </c>
      <c r="B561" t="str">
        <v>CUST10665</v>
      </c>
      <c r="C561" s="38">
        <v>45904</v>
      </c>
      <c r="D561" t="str">
        <v>Had to wait too long for claim approval.</v>
      </c>
      <c r="E561">
        <v>1</v>
      </c>
      <c r="F561" t="str">
        <v>No</v>
      </c>
      <c r="G561" t="str">
        <v>Yes</v>
      </c>
      <c r="H561" t="str">
        <v>Valid</v>
      </c>
    </row>
    <row r="562" spans="1:8" x14ac:dyDescent="0.3">
      <c r="A562" t="str">
        <v>FDB80888</v>
      </c>
      <c r="B562" t="str">
        <v>CUST10428</v>
      </c>
      <c r="C562" s="38">
        <v>45473</v>
      </c>
      <c r="D562" t="str">
        <v>The agent was helpful and explained everything.</v>
      </c>
      <c r="E562">
        <v>4</v>
      </c>
      <c r="F562" t="str">
        <v>No</v>
      </c>
      <c r="G562" t="str">
        <v>Yes</v>
      </c>
      <c r="H562" t="str">
        <v>Valid</v>
      </c>
    </row>
    <row r="563" spans="1:8" x14ac:dyDescent="0.3">
      <c r="A563" t="str">
        <v>FDB80890</v>
      </c>
      <c r="B563" t="str">
        <v>CUST10306</v>
      </c>
      <c r="C563" s="38">
        <v>46086</v>
      </c>
      <c r="D563" t="str">
        <v>Had to wait too long for claim approval.</v>
      </c>
      <c r="E563">
        <v>2</v>
      </c>
      <c r="F563" t="str">
        <v>Yes</v>
      </c>
      <c r="G563" t="str">
        <v>No</v>
      </c>
      <c r="H563" t="str">
        <v>Valid</v>
      </c>
    </row>
    <row r="564" spans="1:8" x14ac:dyDescent="0.3">
      <c r="A564" t="str">
        <v>FDB80891</v>
      </c>
      <c r="B564" t="str">
        <v>CUST11083</v>
      </c>
      <c r="C564" s="38">
        <v>46250</v>
      </c>
      <c r="D564" t="str">
        <v>Claim process could be faster.</v>
      </c>
      <c r="E564">
        <v>3</v>
      </c>
      <c r="F564" t="str">
        <v>Yes</v>
      </c>
      <c r="G564" t="str">
        <v>Yes</v>
      </c>
      <c r="H564" t="str">
        <v>Valid</v>
      </c>
    </row>
    <row r="565" spans="1:8" x14ac:dyDescent="0.3">
      <c r="A565" t="str">
        <v>FDB80893</v>
      </c>
      <c r="B565" t="str">
        <v>CUST10086</v>
      </c>
      <c r="C565" s="38">
        <v>45420</v>
      </c>
      <c r="D565" t="str">
        <v>Smooth experience with no issues.</v>
      </c>
      <c r="E565">
        <v>4</v>
      </c>
      <c r="F565" t="str">
        <v>Yes</v>
      </c>
      <c r="G565" t="str">
        <v>No</v>
      </c>
      <c r="H565" t="str">
        <v>Valid</v>
      </c>
    </row>
    <row r="566" spans="1:8" x14ac:dyDescent="0.3">
      <c r="A566" t="str">
        <v>FDB80894</v>
      </c>
      <c r="B566" t="str">
        <v>CUST11377</v>
      </c>
      <c r="C566" s="38">
        <v>45883</v>
      </c>
      <c r="D566" t="str">
        <v>Smooth experience with no issues.</v>
      </c>
      <c r="E566">
        <v>4</v>
      </c>
      <c r="F566" t="str">
        <v>No</v>
      </c>
      <c r="G566" t="str">
        <v>No</v>
      </c>
      <c r="H566" t="str">
        <v>Valid</v>
      </c>
    </row>
    <row r="567" spans="1:8" x14ac:dyDescent="0.3">
      <c r="A567" t="str">
        <v>FDB80895</v>
      </c>
      <c r="B567" t="str">
        <v>CUST10453</v>
      </c>
      <c r="C567" s="38">
        <v>45409</v>
      </c>
      <c r="D567" t="str">
        <v>Claim process could be faster.</v>
      </c>
      <c r="E567">
        <v>2</v>
      </c>
      <c r="F567" t="str">
        <v>Yes</v>
      </c>
      <c r="G567" t="str">
        <v>Yes</v>
      </c>
      <c r="H567" t="str">
        <v>Valid</v>
      </c>
    </row>
    <row r="568" spans="1:8" x14ac:dyDescent="0.3">
      <c r="A568" t="str">
        <v>FDB80896</v>
      </c>
      <c r="B568" t="str">
        <v>CUST11466</v>
      </c>
      <c r="C568" s="38">
        <v>45186</v>
      </c>
      <c r="D568" t="str">
        <v>Claim process could be faster.</v>
      </c>
      <c r="E568">
        <v>2</v>
      </c>
      <c r="F568" t="str">
        <v>No</v>
      </c>
      <c r="G568" t="str">
        <v>Yes</v>
      </c>
      <c r="H568" t="str">
        <v>Valid</v>
      </c>
    </row>
    <row r="569" spans="1:8" x14ac:dyDescent="0.3">
      <c r="A569" t="str">
        <v>FDB80897</v>
      </c>
      <c r="B569" t="str">
        <v>CUST10362</v>
      </c>
      <c r="C569" s="38">
        <v>45440</v>
      </c>
      <c r="D569" t="str">
        <v>Smooth experience with no issues.</v>
      </c>
      <c r="E569">
        <v>4</v>
      </c>
      <c r="F569" t="str">
        <v>No</v>
      </c>
      <c r="G569" t="str">
        <v>Yes</v>
      </c>
      <c r="H569" t="str">
        <v>Valid</v>
      </c>
    </row>
    <row r="570" spans="1:8" x14ac:dyDescent="0.3">
      <c r="A570" t="str">
        <v>FDB80899</v>
      </c>
      <c r="B570" t="str">
        <v>CUST11463</v>
      </c>
      <c r="C570" s="38">
        <v>45843</v>
      </c>
      <c r="D570" t="str">
        <v>Excellent customer service support.</v>
      </c>
      <c r="E570">
        <v>4</v>
      </c>
      <c r="F570" t="str">
        <v>No</v>
      </c>
      <c r="G570" t="str">
        <v>No</v>
      </c>
      <c r="H570" t="str">
        <v>Valid</v>
      </c>
    </row>
    <row r="571" spans="1:8" x14ac:dyDescent="0.3">
      <c r="A571" t="str">
        <v>FDB80900</v>
      </c>
      <c r="B571" t="str">
        <v>CUST10311</v>
      </c>
      <c r="C571" s="38">
        <v>46091</v>
      </c>
      <c r="D571" t="str">
        <v>Frustrated with repeated documentation requests.</v>
      </c>
      <c r="E571">
        <v>2</v>
      </c>
      <c r="F571" t="str">
        <v>Yes</v>
      </c>
      <c r="G571" t="str">
        <v>Yes</v>
      </c>
      <c r="H571" t="str">
        <v>Valid</v>
      </c>
    </row>
    <row r="572" spans="1:8" x14ac:dyDescent="0.3">
      <c r="A572" t="str">
        <v>FDB80901</v>
      </c>
      <c r="B572" t="str">
        <v>CUST10528</v>
      </c>
      <c r="C572" s="38">
        <v>45627</v>
      </c>
      <c r="D572" t="str">
        <v>Very satisfied with the claim process.</v>
      </c>
      <c r="E572">
        <v>5</v>
      </c>
      <c r="F572" t="str">
        <v>Yes</v>
      </c>
      <c r="G572" t="str">
        <v>Yes</v>
      </c>
      <c r="H572" t="str">
        <v>Valid</v>
      </c>
    </row>
    <row r="573" spans="1:8" x14ac:dyDescent="0.3">
      <c r="A573" t="str">
        <v>FDB80902</v>
      </c>
      <c r="B573" t="str">
        <v>CUST10450</v>
      </c>
      <c r="C573" s="38">
        <v>45777</v>
      </c>
      <c r="D573" t="str">
        <v>I'm not happy with the premium charged.</v>
      </c>
      <c r="E573">
        <v>2</v>
      </c>
      <c r="F573" t="str">
        <v>Yes</v>
      </c>
      <c r="G573" t="str">
        <v>Yes</v>
      </c>
      <c r="H573" t="str">
        <v>Valid</v>
      </c>
    </row>
    <row r="574" spans="1:8" x14ac:dyDescent="0.3">
      <c r="A574" t="str">
        <v>FDB80903</v>
      </c>
      <c r="B574" t="str">
        <v>CUST11573</v>
      </c>
      <c r="C574" s="38">
        <v>45795</v>
      </c>
      <c r="D574" t="str">
        <v>Need more clarity on policy coverage.</v>
      </c>
      <c r="E574">
        <v>2</v>
      </c>
      <c r="F574" t="str">
        <v>Yes</v>
      </c>
      <c r="G574" t="str">
        <v>No</v>
      </c>
      <c r="H574" t="str">
        <v>Valid</v>
      </c>
    </row>
    <row r="575" spans="1:8" x14ac:dyDescent="0.3">
      <c r="A575" t="str">
        <v>FDB80905</v>
      </c>
      <c r="B575" t="str">
        <v>CUST11561</v>
      </c>
      <c r="C575" s="38">
        <v>46102</v>
      </c>
      <c r="D575" t="str">
        <v>The mobile app experience was intuitive.</v>
      </c>
      <c r="E575">
        <v>4</v>
      </c>
      <c r="F575" t="str">
        <v>Yes</v>
      </c>
      <c r="G575" t="str">
        <v>No</v>
      </c>
      <c r="H575" t="str">
        <v>Valid</v>
      </c>
    </row>
    <row r="576" spans="1:8" x14ac:dyDescent="0.3">
      <c r="A576" t="str">
        <v>FDB80906</v>
      </c>
      <c r="B576" t="str">
        <v>CUST10787</v>
      </c>
      <c r="C576" s="38">
        <v>45809</v>
      </c>
      <c r="D576" t="str">
        <v>The agent was helpful and explained everything.</v>
      </c>
      <c r="E576">
        <v>4</v>
      </c>
      <c r="F576" t="str">
        <v>No</v>
      </c>
      <c r="G576" t="str">
        <v>Yes</v>
      </c>
      <c r="H576" t="str">
        <v>Valid</v>
      </c>
    </row>
    <row r="577" spans="1:8" x14ac:dyDescent="0.3">
      <c r="A577" t="str">
        <v>FDB80907</v>
      </c>
      <c r="B577" t="str">
        <v>CUST10958</v>
      </c>
      <c r="C577" s="38">
        <v>45860</v>
      </c>
      <c r="D577" t="str">
        <v>Need more clarity on policy coverage.</v>
      </c>
      <c r="E577">
        <v>2</v>
      </c>
      <c r="F577" t="str">
        <v>Yes</v>
      </c>
      <c r="G577" t="str">
        <v>No</v>
      </c>
      <c r="H577" t="str">
        <v>Valid</v>
      </c>
    </row>
    <row r="578" spans="1:8" x14ac:dyDescent="0.3">
      <c r="A578" t="str">
        <v>FDB80910</v>
      </c>
      <c r="B578" t="str">
        <v>CUST10707</v>
      </c>
      <c r="C578" s="38">
        <v>45991</v>
      </c>
      <c r="D578" t="str">
        <v>Had to wait too long for claim approval.</v>
      </c>
      <c r="E578">
        <v>1</v>
      </c>
      <c r="F578" t="str">
        <v>Yes</v>
      </c>
      <c r="G578" t="str">
        <v>No</v>
      </c>
      <c r="H578" t="str">
        <v>Valid</v>
      </c>
    </row>
    <row r="579" spans="1:8" x14ac:dyDescent="0.3">
      <c r="A579" t="str">
        <v>FDB80912</v>
      </c>
      <c r="B579" t="str">
        <v>CUST10878</v>
      </c>
      <c r="C579" s="38">
        <v>46249</v>
      </c>
      <c r="D579" t="str">
        <v>Had to wait too long for claim approval.</v>
      </c>
      <c r="E579">
        <v>2</v>
      </c>
      <c r="F579" t="str">
        <v>No</v>
      </c>
      <c r="G579" t="str">
        <v>No</v>
      </c>
      <c r="H579" t="str">
        <v>Valid</v>
      </c>
    </row>
    <row r="580" spans="1:8" x14ac:dyDescent="0.3">
      <c r="A580" t="str">
        <v>FDB80914</v>
      </c>
      <c r="B580" t="str">
        <v>CUST10827</v>
      </c>
      <c r="C580" s="38">
        <v>45461</v>
      </c>
      <c r="D580" t="str">
        <v>Smooth experience with no issues.</v>
      </c>
      <c r="E580">
        <v>5</v>
      </c>
      <c r="F580" t="str">
        <v>Yes</v>
      </c>
      <c r="G580" t="str">
        <v>No</v>
      </c>
      <c r="H580" t="str">
        <v>Valid</v>
      </c>
    </row>
    <row r="581" spans="1:8" x14ac:dyDescent="0.3">
      <c r="A581" t="str">
        <v>FDB80915</v>
      </c>
      <c r="B581" t="str">
        <v>CUST10687</v>
      </c>
      <c r="C581" s="38">
        <v>45578</v>
      </c>
      <c r="D581" t="str">
        <v>Need more clarity on policy coverage.</v>
      </c>
      <c r="E581">
        <v>2</v>
      </c>
      <c r="F581" t="str">
        <v>No</v>
      </c>
      <c r="G581" t="str">
        <v>No</v>
      </c>
      <c r="H581" t="str">
        <v>Valid</v>
      </c>
    </row>
    <row r="582" spans="1:8" x14ac:dyDescent="0.3">
      <c r="A582" t="str">
        <v>FDB80916</v>
      </c>
      <c r="B582" t="str">
        <v>CUST10965</v>
      </c>
      <c r="C582" s="38">
        <v>46159</v>
      </c>
      <c r="D582" t="str">
        <v>Claim process could be faster.</v>
      </c>
      <c r="E582">
        <v>2</v>
      </c>
      <c r="F582" t="str">
        <v>No</v>
      </c>
      <c r="G582" t="str">
        <v>Yes</v>
      </c>
      <c r="H582" t="str">
        <v>Valid</v>
      </c>
    </row>
    <row r="583" spans="1:8" x14ac:dyDescent="0.3">
      <c r="A583" t="str">
        <v>FDB80918</v>
      </c>
      <c r="B583" t="str">
        <v>CUST10574</v>
      </c>
      <c r="C583" s="38">
        <v>45523</v>
      </c>
      <c r="D583" t="str">
        <v>Frustrated with repeated documentation requests.</v>
      </c>
      <c r="E583">
        <v>2</v>
      </c>
      <c r="F583" t="str">
        <v>Yes</v>
      </c>
      <c r="G583" t="str">
        <v>Yes</v>
      </c>
      <c r="H583" t="str">
        <v>Valid</v>
      </c>
    </row>
    <row r="584" spans="1:8" x14ac:dyDescent="0.3">
      <c r="A584" t="str">
        <v>FDB80919</v>
      </c>
      <c r="B584" t="str">
        <v>CUST11381</v>
      </c>
      <c r="C584" s="38">
        <v>45564</v>
      </c>
      <c r="D584" t="str">
        <v>The mobile app experience was intuitive.</v>
      </c>
      <c r="E584">
        <v>4</v>
      </c>
      <c r="F584" t="str">
        <v>No</v>
      </c>
      <c r="G584" t="str">
        <v>No</v>
      </c>
      <c r="H584" t="str">
        <v>Valid</v>
      </c>
    </row>
    <row r="585" spans="1:8" x14ac:dyDescent="0.3">
      <c r="A585" t="str">
        <v>FDB80921</v>
      </c>
      <c r="B585" t="str">
        <v>CUST10213</v>
      </c>
      <c r="C585" s="38">
        <v>45320</v>
      </c>
      <c r="D585" t="str">
        <v>The mobile app experience was intuitive.</v>
      </c>
      <c r="E585">
        <v>4</v>
      </c>
      <c r="F585" t="str">
        <v>Yes</v>
      </c>
      <c r="G585" t="str">
        <v>Yes</v>
      </c>
      <c r="H585" t="str">
        <v>Valid</v>
      </c>
    </row>
    <row r="586" spans="1:8" x14ac:dyDescent="0.3">
      <c r="A586" t="str">
        <v>FDB80922</v>
      </c>
      <c r="B586" t="str">
        <v>CUST11634</v>
      </c>
      <c r="C586" s="38">
        <v>46115</v>
      </c>
      <c r="D586" t="str">
        <v>Very satisfied with the claim process.</v>
      </c>
      <c r="E586">
        <v>5</v>
      </c>
      <c r="F586" t="str">
        <v>Yes</v>
      </c>
      <c r="G586" t="str">
        <v>Yes</v>
      </c>
      <c r="H586" t="str">
        <v>Valid</v>
      </c>
    </row>
    <row r="587" spans="1:8" x14ac:dyDescent="0.3">
      <c r="A587" t="str">
        <v>FDB80923</v>
      </c>
      <c r="B587" t="str">
        <v>CUST10965</v>
      </c>
      <c r="C587" s="38">
        <v>46253</v>
      </c>
      <c r="D587" t="str">
        <v>The agent was helpful and explained everything.</v>
      </c>
      <c r="E587">
        <v>4</v>
      </c>
      <c r="F587" t="str">
        <v>Yes</v>
      </c>
      <c r="G587" t="str">
        <v>No</v>
      </c>
      <c r="H587" t="str">
        <v>Valid</v>
      </c>
    </row>
    <row r="588" spans="1:8" x14ac:dyDescent="0.3">
      <c r="A588" t="str">
        <v>FDB80924</v>
      </c>
      <c r="B588" t="str">
        <v>CUST10815</v>
      </c>
      <c r="C588" s="38">
        <v>45443</v>
      </c>
      <c r="D588" t="str">
        <v>Very satisfied with the claim process.</v>
      </c>
      <c r="E588">
        <v>5</v>
      </c>
      <c r="F588" t="str">
        <v>Yes</v>
      </c>
      <c r="G588" t="str">
        <v>No</v>
      </c>
      <c r="H588" t="str">
        <v>Valid</v>
      </c>
    </row>
    <row r="589" spans="1:8" x14ac:dyDescent="0.3">
      <c r="A589" t="str">
        <v>FDB80927</v>
      </c>
      <c r="B589" t="str">
        <v>CUST11213</v>
      </c>
      <c r="C589" s="38">
        <v>46248</v>
      </c>
      <c r="D589" t="str">
        <v>Frustrated with repeated documentation requests.</v>
      </c>
      <c r="E589">
        <v>2</v>
      </c>
      <c r="F589" t="str">
        <v>Yes</v>
      </c>
      <c r="G589" t="str">
        <v>No</v>
      </c>
      <c r="H589" t="str">
        <v>Valid</v>
      </c>
    </row>
    <row r="590" spans="1:8" x14ac:dyDescent="0.3">
      <c r="A590" t="str">
        <v>FDB80928</v>
      </c>
      <c r="B590" t="str">
        <v>CUST11021</v>
      </c>
      <c r="C590" s="38">
        <v>46032</v>
      </c>
      <c r="D590" t="str">
        <v>Very satisfied with the claim process.</v>
      </c>
      <c r="E590">
        <v>5</v>
      </c>
      <c r="F590" t="str">
        <v>Yes</v>
      </c>
      <c r="G590" t="str">
        <v>Yes</v>
      </c>
      <c r="H590" t="str">
        <v>Valid</v>
      </c>
    </row>
    <row r="591" spans="1:8" x14ac:dyDescent="0.3">
      <c r="A591" t="str">
        <v>FDB80929</v>
      </c>
      <c r="B591" t="str">
        <v>CUST11188</v>
      </c>
      <c r="C591" s="38">
        <v>45729</v>
      </c>
      <c r="D591" t="str">
        <v>Very satisfied with the claim process.</v>
      </c>
      <c r="E591">
        <v>5</v>
      </c>
      <c r="F591" t="str">
        <v>Yes</v>
      </c>
      <c r="G591" t="str">
        <v>No</v>
      </c>
      <c r="H591" t="str">
        <v>Valid</v>
      </c>
    </row>
    <row r="592" spans="1:8" x14ac:dyDescent="0.3">
      <c r="A592" t="str">
        <v>FDB80933</v>
      </c>
      <c r="B592" t="str">
        <v>CUST10869</v>
      </c>
      <c r="C592" s="38">
        <v>45835</v>
      </c>
      <c r="D592" t="str">
        <v>Very satisfied with the claim process.</v>
      </c>
      <c r="E592">
        <v>5</v>
      </c>
      <c r="F592" t="str">
        <v>No</v>
      </c>
      <c r="G592" t="str">
        <v>No</v>
      </c>
      <c r="H592" t="str">
        <v>Valid</v>
      </c>
    </row>
    <row r="593" spans="1:8" x14ac:dyDescent="0.3">
      <c r="A593" t="str">
        <v>FDB80934</v>
      </c>
      <c r="B593" t="str">
        <v>CUST10274</v>
      </c>
      <c r="C593" s="38">
        <v>45962</v>
      </c>
      <c r="D593" t="str">
        <v>Very satisfied with the claim process.</v>
      </c>
      <c r="E593">
        <v>5</v>
      </c>
      <c r="F593" t="str">
        <v>Yes</v>
      </c>
      <c r="G593" t="str">
        <v>No</v>
      </c>
      <c r="H593" t="str">
        <v>Valid</v>
      </c>
    </row>
    <row r="594" spans="1:8" x14ac:dyDescent="0.3">
      <c r="A594" t="str">
        <v>FDB80935</v>
      </c>
      <c r="B594" t="str">
        <v>CUST11108</v>
      </c>
      <c r="C594" s="38">
        <v>45959</v>
      </c>
      <c r="D594" t="str">
        <v>The mobile app experience was intuitive.</v>
      </c>
      <c r="E594">
        <v>4</v>
      </c>
      <c r="F594" t="str">
        <v>Yes</v>
      </c>
      <c r="G594" t="str">
        <v>Yes</v>
      </c>
      <c r="H594" t="str">
        <v>Valid</v>
      </c>
    </row>
    <row r="595" spans="1:8" x14ac:dyDescent="0.3">
      <c r="A595" t="str">
        <v>FDB80936</v>
      </c>
      <c r="B595" t="str">
        <v>CUST11298</v>
      </c>
      <c r="C595" s="38">
        <v>45879</v>
      </c>
      <c r="D595" t="str">
        <v>Excellent customer service support.</v>
      </c>
      <c r="E595">
        <v>4</v>
      </c>
      <c r="F595" t="str">
        <v>Yes</v>
      </c>
      <c r="G595" t="str">
        <v>No</v>
      </c>
      <c r="H595" t="str">
        <v>Valid</v>
      </c>
    </row>
    <row r="596" spans="1:8" x14ac:dyDescent="0.3">
      <c r="A596" t="str">
        <v>FDB80939</v>
      </c>
      <c r="B596" t="str">
        <v>CUST10451</v>
      </c>
      <c r="C596" s="38">
        <v>45682</v>
      </c>
      <c r="D596" t="str">
        <v>Had to wait too long for claim approval.</v>
      </c>
      <c r="E596">
        <v>2</v>
      </c>
      <c r="F596" t="str">
        <v>Yes</v>
      </c>
      <c r="G596" t="str">
        <v>Yes</v>
      </c>
      <c r="H596" t="str">
        <v>Valid</v>
      </c>
    </row>
    <row r="597" spans="1:8" x14ac:dyDescent="0.3">
      <c r="A597" t="str">
        <v>FDB80940</v>
      </c>
      <c r="B597" t="str">
        <v>CUST10593</v>
      </c>
      <c r="C597" s="38">
        <v>45802</v>
      </c>
      <c r="D597" t="str">
        <v>Frustrated with repeated documentation requests.</v>
      </c>
      <c r="E597">
        <v>2</v>
      </c>
      <c r="F597" t="str">
        <v>No</v>
      </c>
      <c r="G597" t="str">
        <v>No</v>
      </c>
      <c r="H597" t="str">
        <v>Valid</v>
      </c>
    </row>
    <row r="598" spans="1:8" x14ac:dyDescent="0.3">
      <c r="A598" t="str">
        <v>FDB80941</v>
      </c>
      <c r="B598" t="str">
        <v>CUST10269</v>
      </c>
      <c r="C598" s="38">
        <v>45231</v>
      </c>
      <c r="D598" t="str">
        <v>Need more clarity on policy coverage.</v>
      </c>
      <c r="E598">
        <v>2</v>
      </c>
      <c r="F598" t="str">
        <v>Yes</v>
      </c>
      <c r="G598" t="str">
        <v>No</v>
      </c>
      <c r="H598" t="str">
        <v>Valid</v>
      </c>
    </row>
    <row r="599" spans="1:8" x14ac:dyDescent="0.3">
      <c r="A599" t="str">
        <v>FDB80943</v>
      </c>
      <c r="B599" t="str">
        <v>CUST10010</v>
      </c>
      <c r="C599" s="38">
        <v>45717</v>
      </c>
      <c r="D599" t="str">
        <v>Need more clarity on policy coverage.</v>
      </c>
      <c r="E599">
        <v>2</v>
      </c>
      <c r="F599" t="str">
        <v>No</v>
      </c>
      <c r="G599" t="str">
        <v>No</v>
      </c>
      <c r="H599" t="str">
        <v>Valid</v>
      </c>
    </row>
    <row r="600" spans="1:8" x14ac:dyDescent="0.3">
      <c r="A600" t="str">
        <v>FDB80944</v>
      </c>
      <c r="B600" t="str">
        <v>CUST10857</v>
      </c>
      <c r="C600" s="38">
        <v>45651</v>
      </c>
      <c r="D600" t="str">
        <v>Had to wait too long for claim approval.</v>
      </c>
      <c r="E600">
        <v>2</v>
      </c>
      <c r="F600" t="str">
        <v>Yes</v>
      </c>
      <c r="G600" t="str">
        <v>Yes</v>
      </c>
      <c r="H600" t="str">
        <v>Valid</v>
      </c>
    </row>
    <row r="601" spans="1:8" x14ac:dyDescent="0.3">
      <c r="A601" t="str">
        <v>FDB80945</v>
      </c>
      <c r="B601" t="str">
        <v>CUST11063</v>
      </c>
      <c r="C601" s="38">
        <v>46217</v>
      </c>
      <c r="D601" t="str">
        <v>Frustrated with repeated documentation requests.</v>
      </c>
      <c r="E601">
        <v>2</v>
      </c>
      <c r="F601" t="str">
        <v>No</v>
      </c>
      <c r="G601" t="str">
        <v>Yes</v>
      </c>
      <c r="H601" t="str">
        <v>Valid</v>
      </c>
    </row>
    <row r="602" spans="1:8" x14ac:dyDescent="0.3">
      <c r="A602" t="str">
        <v>FDB80946</v>
      </c>
      <c r="B602" t="str">
        <v>CUST11169</v>
      </c>
      <c r="C602" s="38">
        <v>45360</v>
      </c>
      <c r="D602" t="str">
        <v>I'm not happy with the premium charged.</v>
      </c>
      <c r="E602">
        <v>2</v>
      </c>
      <c r="F602" t="str">
        <v>Yes</v>
      </c>
      <c r="G602" t="str">
        <v>No</v>
      </c>
      <c r="H602" t="str">
        <v>Valid</v>
      </c>
    </row>
    <row r="603" spans="1:8" x14ac:dyDescent="0.3">
      <c r="A603" t="str">
        <v>FDB80948</v>
      </c>
      <c r="B603" t="str">
        <v>CUST11017</v>
      </c>
      <c r="C603" s="38">
        <v>45785</v>
      </c>
      <c r="D603" t="str">
        <v>Frustrated with repeated documentation requests.</v>
      </c>
      <c r="E603">
        <v>2</v>
      </c>
      <c r="F603" t="str">
        <v>No</v>
      </c>
      <c r="G603" t="str">
        <v>No</v>
      </c>
      <c r="H603" t="str">
        <v>Valid</v>
      </c>
    </row>
    <row r="604" spans="1:8" x14ac:dyDescent="0.3">
      <c r="A604" t="str">
        <v>FDB80952</v>
      </c>
      <c r="B604" t="str">
        <v>CUST10342</v>
      </c>
      <c r="C604" s="38">
        <v>45335</v>
      </c>
      <c r="D604" t="str">
        <v>Smooth experience with no issues.</v>
      </c>
      <c r="E604">
        <v>4</v>
      </c>
      <c r="F604" t="str">
        <v>Yes</v>
      </c>
      <c r="G604" t="str">
        <v>No</v>
      </c>
      <c r="H604" t="str">
        <v>Valid</v>
      </c>
    </row>
    <row r="605" spans="1:8" x14ac:dyDescent="0.3">
      <c r="A605" t="str">
        <v>FDB80955</v>
      </c>
      <c r="B605" t="str">
        <v>CUST11356</v>
      </c>
      <c r="C605" s="38">
        <v>45960</v>
      </c>
      <c r="D605" t="str">
        <v>Had to wait too long for claim approval.</v>
      </c>
      <c r="E605">
        <v>2</v>
      </c>
      <c r="F605" t="str">
        <v>Yes</v>
      </c>
      <c r="G605" t="str">
        <v>Yes</v>
      </c>
      <c r="H605" t="str">
        <v>Valid</v>
      </c>
    </row>
    <row r="606" spans="1:8" x14ac:dyDescent="0.3">
      <c r="A606" t="str">
        <v>FDB80960</v>
      </c>
      <c r="B606" t="str">
        <v>CUST10981</v>
      </c>
      <c r="C606" s="38">
        <v>45710</v>
      </c>
      <c r="D606" t="str">
        <v>I'm not happy with the premium charged.</v>
      </c>
      <c r="E606">
        <v>2</v>
      </c>
      <c r="F606" t="str">
        <v>Yes</v>
      </c>
      <c r="G606" t="str">
        <v>No</v>
      </c>
      <c r="H606" t="str">
        <v>Valid</v>
      </c>
    </row>
    <row r="607" spans="1:8" x14ac:dyDescent="0.3">
      <c r="A607" t="str">
        <v>FDB80961</v>
      </c>
      <c r="B607" t="str">
        <v>CUST10468</v>
      </c>
      <c r="C607" s="38">
        <v>45944</v>
      </c>
      <c r="D607" t="str">
        <v>Had to wait too long for claim approval.</v>
      </c>
      <c r="E607">
        <v>1</v>
      </c>
      <c r="F607" t="str">
        <v>Yes</v>
      </c>
      <c r="G607" t="str">
        <v>No</v>
      </c>
      <c r="H607" t="str">
        <v>Valid</v>
      </c>
    </row>
    <row r="608" spans="1:8" x14ac:dyDescent="0.3">
      <c r="A608" t="str">
        <v>FDB80962</v>
      </c>
      <c r="B608" t="str">
        <v>CUST11482</v>
      </c>
      <c r="C608" s="38">
        <v>46206</v>
      </c>
      <c r="D608" t="str">
        <v>Frustrated with repeated documentation requests.</v>
      </c>
      <c r="E608">
        <v>2</v>
      </c>
      <c r="F608" t="str">
        <v>No</v>
      </c>
      <c r="G608" t="str">
        <v>No</v>
      </c>
      <c r="H608" t="str">
        <v>Valid</v>
      </c>
    </row>
    <row r="609" spans="1:8" x14ac:dyDescent="0.3">
      <c r="A609" t="str">
        <v>FDB80966</v>
      </c>
      <c r="B609" t="str">
        <v>CUST10898</v>
      </c>
      <c r="C609" s="38">
        <v>45763</v>
      </c>
      <c r="D609" t="str">
        <v>I'm not happy with the premium charged.</v>
      </c>
      <c r="E609">
        <v>2</v>
      </c>
      <c r="F609" t="str">
        <v>Yes</v>
      </c>
      <c r="G609" t="str">
        <v>No</v>
      </c>
      <c r="H609" t="str">
        <v>Valid</v>
      </c>
    </row>
    <row r="610" spans="1:8" x14ac:dyDescent="0.3">
      <c r="A610" t="str">
        <v>FDB80967</v>
      </c>
      <c r="B610" t="str">
        <v>CUST11070</v>
      </c>
      <c r="C610" s="38">
        <v>45912</v>
      </c>
      <c r="D610" t="str">
        <v>Need more clarity on policy coverage.</v>
      </c>
      <c r="E610">
        <v>2</v>
      </c>
      <c r="F610" t="str">
        <v>No</v>
      </c>
      <c r="G610" t="str">
        <v>No</v>
      </c>
      <c r="H610" t="str">
        <v>Valid</v>
      </c>
    </row>
    <row r="611" spans="1:8" x14ac:dyDescent="0.3">
      <c r="A611" t="str">
        <v>FDB80969</v>
      </c>
      <c r="B611" t="str">
        <v>CUST10402</v>
      </c>
      <c r="C611" s="38">
        <v>45797</v>
      </c>
      <c r="D611" t="str">
        <v>The mobile app experience was intuitive.</v>
      </c>
      <c r="E611">
        <v>4</v>
      </c>
      <c r="F611" t="str">
        <v>No</v>
      </c>
      <c r="G611" t="str">
        <v>Yes</v>
      </c>
      <c r="H611" t="str">
        <v>Valid</v>
      </c>
    </row>
    <row r="612" spans="1:8" x14ac:dyDescent="0.3">
      <c r="A612" t="str">
        <v>FDB80970</v>
      </c>
      <c r="B612" t="str">
        <v>CUST11356</v>
      </c>
      <c r="C612" s="38">
        <v>46133</v>
      </c>
      <c r="D612" t="str">
        <v>Smooth experience with no issues.</v>
      </c>
      <c r="E612">
        <v>4</v>
      </c>
      <c r="F612" t="str">
        <v>No</v>
      </c>
      <c r="G612" t="str">
        <v>Yes</v>
      </c>
      <c r="H612" t="str">
        <v>Valid</v>
      </c>
    </row>
    <row r="613" spans="1:8" x14ac:dyDescent="0.3">
      <c r="A613" t="str">
        <v>FDB80971</v>
      </c>
      <c r="B613" t="str">
        <v>CUST10366</v>
      </c>
      <c r="C613" s="38">
        <v>46210</v>
      </c>
      <c r="D613" t="str">
        <v>The mobile app experience was intuitive.</v>
      </c>
      <c r="E613">
        <v>4</v>
      </c>
      <c r="F613" t="str">
        <v>No</v>
      </c>
      <c r="G613" t="str">
        <v>Yes</v>
      </c>
      <c r="H613" t="str">
        <v>Valid</v>
      </c>
    </row>
    <row r="614" spans="1:8" x14ac:dyDescent="0.3">
      <c r="A614" t="str">
        <v>FDB80972</v>
      </c>
      <c r="B614" t="str">
        <v>CUST10060</v>
      </c>
      <c r="C614" s="38">
        <v>45331</v>
      </c>
      <c r="D614" t="str">
        <v>The agent was helpful and explained everything.</v>
      </c>
      <c r="E614">
        <v>4</v>
      </c>
      <c r="F614" t="str">
        <v>Yes</v>
      </c>
      <c r="G614" t="str">
        <v>Yes</v>
      </c>
      <c r="H614" t="str">
        <v>Valid</v>
      </c>
    </row>
    <row r="615" spans="1:8" x14ac:dyDescent="0.3">
      <c r="A615" t="str">
        <v>FDB80973</v>
      </c>
      <c r="B615" t="str">
        <v>CUST10308</v>
      </c>
      <c r="C615" s="38">
        <v>45764</v>
      </c>
      <c r="D615" t="str">
        <v>The mobile app experience was intuitive.</v>
      </c>
      <c r="E615">
        <v>4</v>
      </c>
      <c r="F615" t="str">
        <v>No</v>
      </c>
      <c r="G615" t="str">
        <v>No</v>
      </c>
      <c r="H615" t="str">
        <v>Valid</v>
      </c>
    </row>
    <row r="616" spans="1:8" x14ac:dyDescent="0.3">
      <c r="A616" t="str">
        <v>FDB80974</v>
      </c>
      <c r="B616" t="str">
        <v>CUST11069</v>
      </c>
      <c r="C616" s="38">
        <v>45919</v>
      </c>
      <c r="D616" t="str">
        <v>Need more clarity on policy coverage.</v>
      </c>
      <c r="E616">
        <v>2</v>
      </c>
      <c r="F616" t="str">
        <v>No</v>
      </c>
      <c r="G616" t="str">
        <v>Yes</v>
      </c>
      <c r="H616" t="str">
        <v>Valid</v>
      </c>
    </row>
    <row r="617" spans="1:8" x14ac:dyDescent="0.3">
      <c r="A617" t="str">
        <v>FDB80975</v>
      </c>
      <c r="B617" t="str">
        <v>CUST11045</v>
      </c>
      <c r="C617" s="38">
        <v>45517</v>
      </c>
      <c r="D617" t="str">
        <v>Smooth experience with no issues.</v>
      </c>
      <c r="E617">
        <v>5</v>
      </c>
      <c r="F617" t="str">
        <v>No</v>
      </c>
      <c r="G617" t="str">
        <v>No</v>
      </c>
      <c r="H617" t="str">
        <v>Valid</v>
      </c>
    </row>
    <row r="618" spans="1:8" x14ac:dyDescent="0.3">
      <c r="A618" t="str">
        <v>FDB80977</v>
      </c>
      <c r="B618" t="str">
        <v>CUST10054</v>
      </c>
      <c r="C618" s="38">
        <v>45841</v>
      </c>
      <c r="D618" t="str">
        <v>Need more clarity on policy coverage.</v>
      </c>
      <c r="E618">
        <v>2</v>
      </c>
      <c r="F618" t="str">
        <v>No</v>
      </c>
      <c r="G618" t="str">
        <v>No</v>
      </c>
      <c r="H618" t="str">
        <v>Valid</v>
      </c>
    </row>
    <row r="619" spans="1:8" x14ac:dyDescent="0.3">
      <c r="A619" t="str">
        <v>FDB80978</v>
      </c>
      <c r="B619" t="str">
        <v>CUST10046</v>
      </c>
      <c r="C619" s="38">
        <v>45953</v>
      </c>
      <c r="D619" t="str">
        <v>The mobile app experience was intuitive.</v>
      </c>
      <c r="E619">
        <v>4</v>
      </c>
      <c r="F619" t="str">
        <v>No</v>
      </c>
      <c r="G619" t="str">
        <v>No</v>
      </c>
      <c r="H619" t="str">
        <v>Valid</v>
      </c>
    </row>
    <row r="620" spans="1:8" x14ac:dyDescent="0.3">
      <c r="A620" t="str">
        <v>FDB80979</v>
      </c>
      <c r="B620" t="str">
        <v>CUST10026</v>
      </c>
      <c r="C620" s="38">
        <v>45565</v>
      </c>
      <c r="D620" t="str">
        <v>Excellent customer service support.</v>
      </c>
      <c r="E620">
        <v>5</v>
      </c>
      <c r="F620" t="str">
        <v>Yes</v>
      </c>
      <c r="G620" t="str">
        <v>No</v>
      </c>
      <c r="H620" t="str">
        <v>Valid</v>
      </c>
    </row>
    <row r="621" spans="1:8" x14ac:dyDescent="0.3">
      <c r="A621" t="str">
        <v>FDB80980</v>
      </c>
      <c r="B621" t="str">
        <v>CUST11434</v>
      </c>
      <c r="C621" s="38">
        <v>45304</v>
      </c>
      <c r="D621" t="str">
        <v>The agent was helpful and explained everything.</v>
      </c>
      <c r="E621">
        <v>4</v>
      </c>
      <c r="F621" t="str">
        <v>Yes</v>
      </c>
      <c r="G621" t="str">
        <v>Yes</v>
      </c>
      <c r="H621" t="str">
        <v>Valid</v>
      </c>
    </row>
    <row r="622" spans="1:8" x14ac:dyDescent="0.3">
      <c r="A622" t="str">
        <v>FDB80982</v>
      </c>
      <c r="B622" t="str">
        <v>CUST11080</v>
      </c>
      <c r="C622" s="38">
        <v>45845</v>
      </c>
      <c r="D622" t="str">
        <v>Excellent customer service support.</v>
      </c>
      <c r="E622">
        <v>5</v>
      </c>
      <c r="F622" t="str">
        <v>No</v>
      </c>
      <c r="G622" t="str">
        <v>Yes</v>
      </c>
      <c r="H622" t="str">
        <v>Valid</v>
      </c>
    </row>
    <row r="623" spans="1:8" x14ac:dyDescent="0.3">
      <c r="A623" t="str">
        <v>FDB80983</v>
      </c>
      <c r="B623" t="str">
        <v>CUST11195</v>
      </c>
      <c r="C623" s="38">
        <v>45753</v>
      </c>
      <c r="D623" t="str">
        <v>Frustrated with repeated documentation requests.</v>
      </c>
      <c r="E623">
        <v>2</v>
      </c>
      <c r="F623" t="str">
        <v>No</v>
      </c>
      <c r="G623" t="str">
        <v>Yes</v>
      </c>
      <c r="H623" t="str">
        <v>Valid</v>
      </c>
    </row>
    <row r="624" spans="1:8" x14ac:dyDescent="0.3">
      <c r="A624" t="str">
        <v>FDB80987</v>
      </c>
      <c r="B624" t="str">
        <v>CUST11087</v>
      </c>
      <c r="C624" s="38">
        <v>45832</v>
      </c>
      <c r="D624" t="str">
        <v>Need more clarity on policy coverage.</v>
      </c>
      <c r="E624">
        <v>2</v>
      </c>
      <c r="F624" t="str">
        <v>Yes</v>
      </c>
      <c r="G624" t="str">
        <v>No</v>
      </c>
      <c r="H624" t="str">
        <v>Valid</v>
      </c>
    </row>
    <row r="625" spans="1:8" x14ac:dyDescent="0.3">
      <c r="A625" t="str">
        <v>FDB80988</v>
      </c>
      <c r="B625" t="str">
        <v>CUST10002</v>
      </c>
      <c r="C625" s="38">
        <v>46004</v>
      </c>
      <c r="D625" t="str">
        <v>Excellent customer service support.</v>
      </c>
      <c r="E625">
        <v>5</v>
      </c>
      <c r="F625" t="str">
        <v>Yes</v>
      </c>
      <c r="G625" t="str">
        <v>No</v>
      </c>
      <c r="H625" t="str">
        <v>Valid</v>
      </c>
    </row>
    <row r="626" spans="1:8" x14ac:dyDescent="0.3">
      <c r="A626" t="str">
        <v>FDB80991</v>
      </c>
      <c r="B626" t="str">
        <v>CUST11282</v>
      </c>
      <c r="C626" s="38">
        <v>45884</v>
      </c>
      <c r="D626" t="str">
        <v>The mobile app experience was intuitive.</v>
      </c>
      <c r="E626">
        <v>4</v>
      </c>
      <c r="F626" t="str">
        <v>Yes</v>
      </c>
      <c r="G626" t="str">
        <v>No</v>
      </c>
      <c r="H626" t="str">
        <v>Valid</v>
      </c>
    </row>
    <row r="627" spans="1:8" x14ac:dyDescent="0.3">
      <c r="A627" t="str">
        <v>FDB80992</v>
      </c>
      <c r="B627" t="str">
        <v>CUST10924</v>
      </c>
      <c r="C627" s="38">
        <v>45715</v>
      </c>
      <c r="D627" t="str">
        <v>Very satisfied with the claim process.</v>
      </c>
      <c r="E627">
        <v>4</v>
      </c>
      <c r="F627" t="str">
        <v>No</v>
      </c>
      <c r="G627" t="str">
        <v>Yes</v>
      </c>
      <c r="H627" t="str">
        <v>Valid</v>
      </c>
    </row>
    <row r="628" spans="1:8" x14ac:dyDescent="0.3">
      <c r="A628" t="str">
        <v>FDB80993</v>
      </c>
      <c r="B628" t="str">
        <v>CUST11634</v>
      </c>
      <c r="C628" s="38">
        <v>45303</v>
      </c>
      <c r="D628" t="str">
        <v>I'm not happy with the premium charged.</v>
      </c>
      <c r="E628">
        <v>2</v>
      </c>
      <c r="F628" t="str">
        <v>Yes</v>
      </c>
      <c r="G628" t="str">
        <v>No</v>
      </c>
      <c r="H628" t="str">
        <v>Valid</v>
      </c>
    </row>
    <row r="629" spans="1:8" x14ac:dyDescent="0.3">
      <c r="A629" t="str">
        <v>FDB80994</v>
      </c>
      <c r="B629" t="str">
        <v>CUST10462</v>
      </c>
      <c r="C629" s="38">
        <v>45270</v>
      </c>
      <c r="D629" t="str">
        <v>Smooth experience with no issues.</v>
      </c>
      <c r="E629">
        <v>4</v>
      </c>
      <c r="F629" t="str">
        <v>Yes</v>
      </c>
      <c r="G629" t="str">
        <v>No</v>
      </c>
      <c r="H629" t="str">
        <v>Valid</v>
      </c>
    </row>
    <row r="630" spans="1:8" x14ac:dyDescent="0.3">
      <c r="A630" t="str">
        <v>FDB80995</v>
      </c>
      <c r="B630" t="str">
        <v>CUST10139</v>
      </c>
      <c r="C630" s="38">
        <v>46209</v>
      </c>
      <c r="D630" t="str">
        <v>Excellent customer service support.</v>
      </c>
      <c r="E630">
        <v>5</v>
      </c>
      <c r="F630" t="str">
        <v>No</v>
      </c>
      <c r="G630" t="str">
        <v>Yes</v>
      </c>
      <c r="H630" t="str">
        <v>Valid</v>
      </c>
    </row>
    <row r="631" spans="1:8" x14ac:dyDescent="0.3">
      <c r="A631" t="str">
        <v>FDB80997</v>
      </c>
      <c r="B631" t="str">
        <v>CUST11001</v>
      </c>
      <c r="C631" s="38">
        <v>46213</v>
      </c>
      <c r="D631" t="str">
        <v>Very satisfied with the claim process.</v>
      </c>
      <c r="E631">
        <v>5</v>
      </c>
      <c r="F631" t="str">
        <v>No</v>
      </c>
      <c r="G631" t="str">
        <v>Yes</v>
      </c>
      <c r="H631" t="str">
        <v>Valid</v>
      </c>
    </row>
    <row r="632" spans="1:8" x14ac:dyDescent="0.3">
      <c r="A632" t="str">
        <v>FDB80999</v>
      </c>
      <c r="B632" t="str">
        <v>CUST11568</v>
      </c>
      <c r="C632" s="38">
        <v>45619</v>
      </c>
      <c r="D632" t="str">
        <v>Smooth experience with no issues.</v>
      </c>
      <c r="E632">
        <v>4</v>
      </c>
      <c r="F632" t="str">
        <v>No</v>
      </c>
      <c r="G632" t="str">
        <v>No</v>
      </c>
      <c r="H632" t="str">
        <v>Valid</v>
      </c>
    </row>
  </sheetData>
  <autoFilter ref="A1:H632" xr:uid="{45BA7C6B-BA82-41C1-A6C1-9C613D47571F}"/>
  <conditionalFormatting sqref="E1">
    <cfRule type="colorScale" priority="1">
      <colorScale>
        <cfvo type="min"/>
        <cfvo type="percentile" val="50"/>
        <cfvo type="max"/>
        <color rgb="FFFBA7A9"/>
        <color theme="0"/>
        <color rgb="FFB3DFBF"/>
      </colorScale>
    </cfRule>
  </conditionalFormatting>
  <conditionalFormatting sqref="H1">
    <cfRule type="cellIs" dxfId="0" priority="2" operator="equal">
      <formula>"Orphan"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Data_Quality_Log</vt:lpstr>
      <vt:lpstr>customer_master</vt:lpstr>
      <vt:lpstr>policy_details</vt:lpstr>
      <vt:lpstr>claim_history</vt:lpstr>
      <vt:lpstr>agent_info</vt:lpstr>
      <vt:lpstr>customer_feedback_surveys</vt:lpstr>
      <vt:lpstr>customer_feedback_surveys_valid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Dushyant Kumar</dc:creator>
  <cp:lastModifiedBy>Dushyant Kumar</cp:lastModifiedBy>
  <dcterms:created xsi:type="dcterms:W3CDTF">2026-09-04T11:17:43Z</dcterms:created>
  <dcterms:modified xsi:type="dcterms:W3CDTF">2026-09-08T16:08:45Z</dcterms:modified>
</cp:coreProperties>
</file>